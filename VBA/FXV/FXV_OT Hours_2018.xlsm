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0" yWindow="0" windowWidth="19440" windowHeight="7530" activeTab="2"/>
  </bookViews>
  <sheets>
    <sheet name="2017OT" sheetId="1" r:id="rId1"/>
    <sheet name="Temp" sheetId="4" r:id="rId2"/>
    <sheet name="PivotReport" sheetId="5" r:id="rId3"/>
    <sheet name="Chart_FXV Overtime" sheetId="8" r:id="rId4"/>
    <sheet name="Summary" sheetId="7" r:id="rId5"/>
    <sheet name="Report" sheetId="3" r:id="rId6"/>
  </sheets>
  <externalReferences>
    <externalReference r:id="rId7"/>
    <externalReference r:id="rId8"/>
  </externalReferences>
  <definedNames>
    <definedName name="_xlnm._FilterDatabase" localSheetId="0" hidden="1">'2017OT'!$A$1:$M$2841</definedName>
    <definedName name="_xlnm._FilterDatabase" localSheetId="2" hidden="1">PivotReport!$A$1:$M$1</definedName>
    <definedName name="_xlnm._FilterDatabase" localSheetId="1" hidden="1">Temp!$A$1:$M$18</definedName>
    <definedName name="DROPBOX">'[1]QA Report DPLX'!$Q$14:INDEX('[1]QA Report DPLX'!XFD1:XFD144,COUNTIF('[1]QA Report DPLX'!XFD1:XFD144,"?*"))</definedName>
    <definedName name="Staff_Name">[2]Overtime!$U$3:$U$12</definedName>
  </definedNames>
  <calcPr calcId="171027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841" i="1" l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737" i="1" l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 l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 l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 l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G57" i="3" l="1"/>
  <c r="H57" i="3"/>
  <c r="I57" i="3"/>
  <c r="G58" i="3"/>
  <c r="H58" i="3"/>
  <c r="I58" i="3"/>
  <c r="G59" i="3"/>
  <c r="H59" i="3"/>
  <c r="I59" i="3"/>
  <c r="G60" i="3"/>
  <c r="H60" i="3"/>
  <c r="I60" i="3"/>
  <c r="G61" i="3"/>
  <c r="H61" i="3"/>
  <c r="I61" i="3"/>
  <c r="G62" i="3"/>
  <c r="H62" i="3"/>
  <c r="I62" i="3"/>
  <c r="G63" i="3"/>
  <c r="H63" i="3"/>
  <c r="I63" i="3"/>
  <c r="G64" i="3"/>
  <c r="H64" i="3"/>
  <c r="I64" i="3"/>
  <c r="G65" i="3"/>
  <c r="H65" i="3"/>
  <c r="I65" i="3"/>
  <c r="G66" i="3"/>
  <c r="H66" i="3"/>
  <c r="I66" i="3"/>
  <c r="M2461" i="1" l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 l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M2332" i="1"/>
  <c r="M2331" i="1"/>
  <c r="M2330" i="1" l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 l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B5" i="7" l="1"/>
  <c r="C5" i="7" s="1"/>
  <c r="B6" i="7" s="1"/>
  <c r="C6" i="7" s="1"/>
  <c r="B7" i="7" s="1"/>
  <c r="C7" i="7" s="1"/>
  <c r="B8" i="7" s="1"/>
  <c r="C8" i="7" s="1"/>
  <c r="B9" i="7" s="1"/>
  <c r="C9" i="7" s="1"/>
  <c r="B10" i="7" s="1"/>
  <c r="C10" i="7" s="1"/>
  <c r="B11" i="7" s="1"/>
  <c r="C11" i="7" s="1"/>
  <c r="B12" i="7" s="1"/>
  <c r="C12" i="7" s="1"/>
  <c r="B13" i="7" s="1"/>
  <c r="C13" i="7" s="1"/>
  <c r="E16" i="7"/>
  <c r="D16" i="7"/>
  <c r="E15" i="7"/>
  <c r="D15" i="7"/>
  <c r="D13" i="7"/>
  <c r="E12" i="7"/>
  <c r="D12" i="7"/>
  <c r="D11" i="7"/>
  <c r="E10" i="7"/>
  <c r="D10" i="7"/>
  <c r="D9" i="7"/>
  <c r="E8" i="7"/>
  <c r="D8" i="7"/>
  <c r="E7" i="7"/>
  <c r="E6" i="7"/>
  <c r="D6" i="7"/>
  <c r="E5" i="7"/>
  <c r="D5" i="7"/>
  <c r="E4" i="7"/>
  <c r="D4" i="7"/>
  <c r="B16" i="7"/>
  <c r="B19" i="7"/>
  <c r="C19" i="7" s="1"/>
  <c r="B20" i="7" s="1"/>
  <c r="C20" i="7" s="1"/>
  <c r="E9" i="7" l="1"/>
  <c r="E11" i="7"/>
  <c r="E13" i="7"/>
  <c r="D7" i="7"/>
  <c r="E18" i="7"/>
  <c r="D18" i="7"/>
  <c r="E17" i="7"/>
  <c r="D17" i="7"/>
  <c r="E14" i="7"/>
  <c r="D14" i="7"/>
  <c r="D19" i="7" l="1"/>
  <c r="E19" i="7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B21" i="7" l="1"/>
  <c r="M2231" i="1"/>
  <c r="M2230" i="1"/>
  <c r="M2229" i="1"/>
  <c r="M2228" i="1"/>
  <c r="M2227" i="1"/>
  <c r="M2226" i="1"/>
  <c r="M2225" i="1"/>
  <c r="M2224" i="1"/>
  <c r="M2223" i="1"/>
  <c r="M2222" i="1"/>
  <c r="M2221" i="1"/>
  <c r="M2220" i="1"/>
  <c r="M2219" i="1"/>
  <c r="M2218" i="1"/>
  <c r="M2217" i="1"/>
  <c r="M2216" i="1"/>
  <c r="M2215" i="1"/>
  <c r="M2214" i="1"/>
  <c r="M2213" i="1"/>
  <c r="M2212" i="1"/>
  <c r="M2211" i="1"/>
  <c r="D20" i="7" l="1"/>
  <c r="C21" i="7"/>
  <c r="B22" i="7" s="1"/>
  <c r="C22" i="7" s="1"/>
  <c r="B23" i="7" s="1"/>
  <c r="C23" i="7" s="1"/>
  <c r="E20" i="7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D21" i="7" l="1"/>
  <c r="E21" i="7"/>
  <c r="M2163" i="1"/>
  <c r="M2162" i="1"/>
  <c r="D22" i="7" l="1"/>
  <c r="B24" i="7"/>
  <c r="E22" i="7"/>
  <c r="M2178" i="1"/>
  <c r="M2177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C24" i="7" l="1"/>
  <c r="B25" i="7" s="1"/>
  <c r="D23" i="7"/>
  <c r="E23" i="7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D24" i="7" l="1"/>
  <c r="C25" i="7"/>
  <c r="B26" i="7" s="1"/>
  <c r="E24" i="7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M1900" i="1"/>
  <c r="M1899" i="1"/>
  <c r="M1898" i="1"/>
  <c r="M1897" i="1"/>
  <c r="M1896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D25" i="7" l="1"/>
  <c r="C26" i="7"/>
  <c r="B27" i="7" s="1"/>
  <c r="E25" i="7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D26" i="7" l="1"/>
  <c r="E26" i="7"/>
  <c r="C27" i="7"/>
  <c r="B28" i="7" s="1"/>
  <c r="D27" i="7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C28" i="7" l="1"/>
  <c r="B29" i="7" s="1"/>
  <c r="E27" i="7"/>
  <c r="BI6" i="3"/>
  <c r="BW6" i="3" s="1"/>
  <c r="BH6" i="3"/>
  <c r="BV6" i="3" s="1"/>
  <c r="BG6" i="3"/>
  <c r="BU6" i="3" s="1"/>
  <c r="BF6" i="3"/>
  <c r="BT6" i="3" s="1"/>
  <c r="BE6" i="3"/>
  <c r="BS6" i="3" s="1"/>
  <c r="BD6" i="3"/>
  <c r="BR6" i="3" s="1"/>
  <c r="BC6" i="3"/>
  <c r="BQ6" i="3" s="1"/>
  <c r="BB6" i="3"/>
  <c r="BP6" i="3" s="1"/>
  <c r="BA6" i="3"/>
  <c r="BO6" i="3" s="1"/>
  <c r="AZ6" i="3"/>
  <c r="BN6" i="3" s="1"/>
  <c r="AY6" i="3"/>
  <c r="BM6" i="3" s="1"/>
  <c r="AX6" i="3"/>
  <c r="BL6" i="3" s="1"/>
  <c r="BI47" i="3"/>
  <c r="BW47" i="3" s="1"/>
  <c r="BH47" i="3"/>
  <c r="BV47" i="3" s="1"/>
  <c r="BG47" i="3"/>
  <c r="BU47" i="3" s="1"/>
  <c r="BF47" i="3"/>
  <c r="BT47" i="3" s="1"/>
  <c r="BE47" i="3"/>
  <c r="BS47" i="3" s="1"/>
  <c r="BD47" i="3"/>
  <c r="BR47" i="3" s="1"/>
  <c r="BC47" i="3"/>
  <c r="BQ47" i="3" s="1"/>
  <c r="BB47" i="3"/>
  <c r="BP47" i="3" s="1"/>
  <c r="BA47" i="3"/>
  <c r="BO47" i="3" s="1"/>
  <c r="AZ47" i="3"/>
  <c r="BN47" i="3" s="1"/>
  <c r="AY47" i="3"/>
  <c r="BM47" i="3" s="1"/>
  <c r="AX47" i="3"/>
  <c r="BI8" i="3"/>
  <c r="BW8" i="3" s="1"/>
  <c r="BH8" i="3"/>
  <c r="BV8" i="3" s="1"/>
  <c r="BG8" i="3"/>
  <c r="BU8" i="3" s="1"/>
  <c r="BF8" i="3"/>
  <c r="BT8" i="3" s="1"/>
  <c r="BE8" i="3"/>
  <c r="BS8" i="3" s="1"/>
  <c r="BD8" i="3"/>
  <c r="BR8" i="3" s="1"/>
  <c r="BC8" i="3"/>
  <c r="BQ8" i="3" s="1"/>
  <c r="BB8" i="3"/>
  <c r="BP8" i="3" s="1"/>
  <c r="BA8" i="3"/>
  <c r="BO8" i="3" s="1"/>
  <c r="AZ8" i="3"/>
  <c r="BN8" i="3" s="1"/>
  <c r="AY8" i="3"/>
  <c r="BM8" i="3" s="1"/>
  <c r="AX8" i="3"/>
  <c r="BI41" i="3"/>
  <c r="BW41" i="3" s="1"/>
  <c r="BH41" i="3"/>
  <c r="BV41" i="3" s="1"/>
  <c r="BG41" i="3"/>
  <c r="BU41" i="3" s="1"/>
  <c r="BF41" i="3"/>
  <c r="BT41" i="3" s="1"/>
  <c r="BE41" i="3"/>
  <c r="BS41" i="3" s="1"/>
  <c r="BD41" i="3"/>
  <c r="BR41" i="3" s="1"/>
  <c r="BC41" i="3"/>
  <c r="BQ41" i="3" s="1"/>
  <c r="BB41" i="3"/>
  <c r="BP41" i="3" s="1"/>
  <c r="BA41" i="3"/>
  <c r="BO41" i="3" s="1"/>
  <c r="AZ41" i="3"/>
  <c r="BN41" i="3" s="1"/>
  <c r="AY41" i="3"/>
  <c r="BM41" i="3" s="1"/>
  <c r="AX41" i="3"/>
  <c r="BI43" i="3"/>
  <c r="BW43" i="3" s="1"/>
  <c r="BH43" i="3"/>
  <c r="BV43" i="3" s="1"/>
  <c r="BG43" i="3"/>
  <c r="BU43" i="3" s="1"/>
  <c r="BF43" i="3"/>
  <c r="BT43" i="3" s="1"/>
  <c r="BE43" i="3"/>
  <c r="BS43" i="3" s="1"/>
  <c r="BD43" i="3"/>
  <c r="BR43" i="3" s="1"/>
  <c r="BC43" i="3"/>
  <c r="BQ43" i="3" s="1"/>
  <c r="BB43" i="3"/>
  <c r="BP43" i="3" s="1"/>
  <c r="BA43" i="3"/>
  <c r="BO43" i="3" s="1"/>
  <c r="AZ43" i="3"/>
  <c r="BN43" i="3" s="1"/>
  <c r="AY43" i="3"/>
  <c r="BM43" i="3" s="1"/>
  <c r="AX43" i="3"/>
  <c r="BI9" i="3"/>
  <c r="BW9" i="3" s="1"/>
  <c r="BH9" i="3"/>
  <c r="BV9" i="3" s="1"/>
  <c r="BG9" i="3"/>
  <c r="BU9" i="3" s="1"/>
  <c r="BF9" i="3"/>
  <c r="BT9" i="3" s="1"/>
  <c r="BE9" i="3"/>
  <c r="BS9" i="3" s="1"/>
  <c r="BD9" i="3"/>
  <c r="BR9" i="3" s="1"/>
  <c r="BC9" i="3"/>
  <c r="BQ9" i="3" s="1"/>
  <c r="BB9" i="3"/>
  <c r="BP9" i="3" s="1"/>
  <c r="BA9" i="3"/>
  <c r="BO9" i="3" s="1"/>
  <c r="AZ9" i="3"/>
  <c r="BN9" i="3" s="1"/>
  <c r="AY9" i="3"/>
  <c r="BM9" i="3" s="1"/>
  <c r="AX9" i="3"/>
  <c r="BI35" i="3"/>
  <c r="BW35" i="3" s="1"/>
  <c r="BH35" i="3"/>
  <c r="BV35" i="3" s="1"/>
  <c r="BG35" i="3"/>
  <c r="BU35" i="3" s="1"/>
  <c r="BF35" i="3"/>
  <c r="BT35" i="3" s="1"/>
  <c r="BE35" i="3"/>
  <c r="BS35" i="3" s="1"/>
  <c r="BD35" i="3"/>
  <c r="BR35" i="3" s="1"/>
  <c r="BC35" i="3"/>
  <c r="BQ35" i="3" s="1"/>
  <c r="BB35" i="3"/>
  <c r="BP35" i="3" s="1"/>
  <c r="BA35" i="3"/>
  <c r="BO35" i="3" s="1"/>
  <c r="AZ35" i="3"/>
  <c r="BN35" i="3" s="1"/>
  <c r="AY35" i="3"/>
  <c r="BM35" i="3" s="1"/>
  <c r="AX35" i="3"/>
  <c r="BI15" i="3"/>
  <c r="BW15" i="3" s="1"/>
  <c r="BH15" i="3"/>
  <c r="BV15" i="3" s="1"/>
  <c r="BG15" i="3"/>
  <c r="BU15" i="3" s="1"/>
  <c r="BF15" i="3"/>
  <c r="BT15" i="3" s="1"/>
  <c r="BE15" i="3"/>
  <c r="BS15" i="3" s="1"/>
  <c r="BD15" i="3"/>
  <c r="BR15" i="3" s="1"/>
  <c r="BC15" i="3"/>
  <c r="BQ15" i="3" s="1"/>
  <c r="BB15" i="3"/>
  <c r="BP15" i="3" s="1"/>
  <c r="BA15" i="3"/>
  <c r="BO15" i="3" s="1"/>
  <c r="AZ15" i="3"/>
  <c r="BN15" i="3" s="1"/>
  <c r="AY15" i="3"/>
  <c r="BM15" i="3" s="1"/>
  <c r="AX15" i="3"/>
  <c r="BL15" i="3" s="1"/>
  <c r="BI14" i="3"/>
  <c r="BW14" i="3" s="1"/>
  <c r="BH14" i="3"/>
  <c r="BV14" i="3" s="1"/>
  <c r="BG14" i="3"/>
  <c r="BU14" i="3" s="1"/>
  <c r="BF14" i="3"/>
  <c r="BT14" i="3" s="1"/>
  <c r="BE14" i="3"/>
  <c r="BS14" i="3" s="1"/>
  <c r="BD14" i="3"/>
  <c r="BR14" i="3" s="1"/>
  <c r="BC14" i="3"/>
  <c r="BQ14" i="3" s="1"/>
  <c r="BB14" i="3"/>
  <c r="BP14" i="3" s="1"/>
  <c r="BA14" i="3"/>
  <c r="BO14" i="3" s="1"/>
  <c r="AZ14" i="3"/>
  <c r="BN14" i="3" s="1"/>
  <c r="AY14" i="3"/>
  <c r="AX14" i="3"/>
  <c r="BL14" i="3" s="1"/>
  <c r="BI13" i="3"/>
  <c r="BW13" i="3" s="1"/>
  <c r="BH13" i="3"/>
  <c r="BV13" i="3" s="1"/>
  <c r="BG13" i="3"/>
  <c r="BU13" i="3" s="1"/>
  <c r="BF13" i="3"/>
  <c r="BT13" i="3" s="1"/>
  <c r="BE13" i="3"/>
  <c r="BS13" i="3" s="1"/>
  <c r="BD13" i="3"/>
  <c r="BR13" i="3" s="1"/>
  <c r="BC13" i="3"/>
  <c r="BQ13" i="3" s="1"/>
  <c r="BB13" i="3"/>
  <c r="BP13" i="3" s="1"/>
  <c r="BA13" i="3"/>
  <c r="BO13" i="3" s="1"/>
  <c r="AZ13" i="3"/>
  <c r="BN13" i="3" s="1"/>
  <c r="AY13" i="3"/>
  <c r="AX13" i="3"/>
  <c r="BL13" i="3" s="1"/>
  <c r="BI12" i="3"/>
  <c r="BW12" i="3" s="1"/>
  <c r="BH12" i="3"/>
  <c r="BV12" i="3" s="1"/>
  <c r="BG12" i="3"/>
  <c r="BU12" i="3" s="1"/>
  <c r="BF12" i="3"/>
  <c r="BT12" i="3" s="1"/>
  <c r="BE12" i="3"/>
  <c r="BS12" i="3" s="1"/>
  <c r="BD12" i="3"/>
  <c r="BR12" i="3" s="1"/>
  <c r="BC12" i="3"/>
  <c r="BQ12" i="3" s="1"/>
  <c r="BB12" i="3"/>
  <c r="BP12" i="3" s="1"/>
  <c r="BA12" i="3"/>
  <c r="BO12" i="3" s="1"/>
  <c r="AZ12" i="3"/>
  <c r="BN12" i="3" s="1"/>
  <c r="AY12" i="3"/>
  <c r="AX12" i="3"/>
  <c r="BL12" i="3" s="1"/>
  <c r="BI20" i="3"/>
  <c r="BW20" i="3" s="1"/>
  <c r="BH20" i="3"/>
  <c r="BV20" i="3" s="1"/>
  <c r="BG20" i="3"/>
  <c r="BU20" i="3" s="1"/>
  <c r="BF20" i="3"/>
  <c r="BT20" i="3" s="1"/>
  <c r="BE20" i="3"/>
  <c r="BS20" i="3" s="1"/>
  <c r="BD20" i="3"/>
  <c r="BR20" i="3" s="1"/>
  <c r="BC20" i="3"/>
  <c r="BQ20" i="3" s="1"/>
  <c r="BB20" i="3"/>
  <c r="BP20" i="3" s="1"/>
  <c r="BA20" i="3"/>
  <c r="BO20" i="3" s="1"/>
  <c r="AZ20" i="3"/>
  <c r="BN20" i="3" s="1"/>
  <c r="AY20" i="3"/>
  <c r="AX20" i="3"/>
  <c r="BL20" i="3" s="1"/>
  <c r="BI52" i="3"/>
  <c r="BW52" i="3" s="1"/>
  <c r="BH52" i="3"/>
  <c r="BV52" i="3" s="1"/>
  <c r="BG52" i="3"/>
  <c r="BU52" i="3" s="1"/>
  <c r="BF52" i="3"/>
  <c r="BT52" i="3" s="1"/>
  <c r="BE52" i="3"/>
  <c r="BS52" i="3" s="1"/>
  <c r="BD52" i="3"/>
  <c r="BR52" i="3" s="1"/>
  <c r="BC52" i="3"/>
  <c r="BQ52" i="3" s="1"/>
  <c r="BB52" i="3"/>
  <c r="BP52" i="3" s="1"/>
  <c r="BA52" i="3"/>
  <c r="BO52" i="3" s="1"/>
  <c r="AZ52" i="3"/>
  <c r="BN52" i="3" s="1"/>
  <c r="AY52" i="3"/>
  <c r="BM52" i="3" s="1"/>
  <c r="AX52" i="3"/>
  <c r="BL52" i="3" s="1"/>
  <c r="BI51" i="3"/>
  <c r="BW51" i="3" s="1"/>
  <c r="BH51" i="3"/>
  <c r="BV51" i="3" s="1"/>
  <c r="BG51" i="3"/>
  <c r="BU51" i="3" s="1"/>
  <c r="BF51" i="3"/>
  <c r="BT51" i="3" s="1"/>
  <c r="BE51" i="3"/>
  <c r="BS51" i="3" s="1"/>
  <c r="BD51" i="3"/>
  <c r="BR51" i="3" s="1"/>
  <c r="BC51" i="3"/>
  <c r="BQ51" i="3" s="1"/>
  <c r="BB51" i="3"/>
  <c r="BP51" i="3" s="1"/>
  <c r="BA51" i="3"/>
  <c r="BO51" i="3" s="1"/>
  <c r="AZ51" i="3"/>
  <c r="BN51" i="3" s="1"/>
  <c r="AY51" i="3"/>
  <c r="AX51" i="3"/>
  <c r="BL51" i="3" s="1"/>
  <c r="BI50" i="3"/>
  <c r="BW50" i="3" s="1"/>
  <c r="BH50" i="3"/>
  <c r="BV50" i="3" s="1"/>
  <c r="BG50" i="3"/>
  <c r="BU50" i="3" s="1"/>
  <c r="BF50" i="3"/>
  <c r="BT50" i="3" s="1"/>
  <c r="BE50" i="3"/>
  <c r="BS50" i="3" s="1"/>
  <c r="BD50" i="3"/>
  <c r="BR50" i="3" s="1"/>
  <c r="BC50" i="3"/>
  <c r="BQ50" i="3" s="1"/>
  <c r="BB50" i="3"/>
  <c r="BP50" i="3" s="1"/>
  <c r="BA50" i="3"/>
  <c r="BO50" i="3" s="1"/>
  <c r="AZ50" i="3"/>
  <c r="BN50" i="3" s="1"/>
  <c r="AY50" i="3"/>
  <c r="AX50" i="3"/>
  <c r="BL50" i="3" s="1"/>
  <c r="D28" i="7" l="1"/>
  <c r="C29" i="7"/>
  <c r="B30" i="7" s="1"/>
  <c r="E28" i="7"/>
  <c r="AW20" i="3"/>
  <c r="AW35" i="3"/>
  <c r="AW41" i="3"/>
  <c r="BK52" i="3"/>
  <c r="AW51" i="3"/>
  <c r="BM51" i="3"/>
  <c r="BK51" i="3" s="1"/>
  <c r="AW13" i="3"/>
  <c r="BM13" i="3"/>
  <c r="BK13" i="3" s="1"/>
  <c r="BK15" i="3"/>
  <c r="AW50" i="3"/>
  <c r="BM50" i="3"/>
  <c r="BK50" i="3" s="1"/>
  <c r="AW12" i="3"/>
  <c r="BM12" i="3"/>
  <c r="BK12" i="3" s="1"/>
  <c r="AW14" i="3"/>
  <c r="BM14" i="3"/>
  <c r="BK14" i="3" s="1"/>
  <c r="AW43" i="3"/>
  <c r="AW9" i="3"/>
  <c r="AW47" i="3"/>
  <c r="BM20" i="3"/>
  <c r="BK20" i="3" s="1"/>
  <c r="AW8" i="3"/>
  <c r="BK6" i="3"/>
  <c r="BL35" i="3"/>
  <c r="BK35" i="3" s="1"/>
  <c r="BL9" i="3"/>
  <c r="BK9" i="3" s="1"/>
  <c r="BL43" i="3"/>
  <c r="BK43" i="3" s="1"/>
  <c r="BL41" i="3"/>
  <c r="BK41" i="3" s="1"/>
  <c r="BL8" i="3"/>
  <c r="BK8" i="3" s="1"/>
  <c r="BL47" i="3"/>
  <c r="BK47" i="3" s="1"/>
  <c r="AW6" i="3"/>
  <c r="AW15" i="3"/>
  <c r="AW52" i="3"/>
  <c r="C30" i="7" l="1"/>
  <c r="B31" i="7" s="1"/>
  <c r="D29" i="7"/>
  <c r="E29" i="7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D30" i="7" l="1"/>
  <c r="C31" i="7"/>
  <c r="B32" i="7" s="1"/>
  <c r="E30" i="7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D31" i="7" l="1"/>
  <c r="C32" i="7"/>
  <c r="B33" i="7" s="1"/>
  <c r="E31" i="7"/>
  <c r="BI55" i="3"/>
  <c r="BI54" i="3"/>
  <c r="BI53" i="3"/>
  <c r="BI34" i="3"/>
  <c r="BI10" i="3"/>
  <c r="BI31" i="3"/>
  <c r="BI7" i="3"/>
  <c r="BI42" i="3"/>
  <c r="BI46" i="3"/>
  <c r="BI39" i="3"/>
  <c r="BI23" i="3"/>
  <c r="BI30" i="3"/>
  <c r="BI36" i="3"/>
  <c r="BI21" i="3"/>
  <c r="BI29" i="3"/>
  <c r="BI48" i="3"/>
  <c r="BI45" i="3"/>
  <c r="BI28" i="3"/>
  <c r="BI37" i="3"/>
  <c r="BI40" i="3"/>
  <c r="BI27" i="3"/>
  <c r="BI38" i="3"/>
  <c r="BI16" i="3"/>
  <c r="BI18" i="3"/>
  <c r="BI49" i="3"/>
  <c r="BI26" i="3"/>
  <c r="BI32" i="3"/>
  <c r="BI17" i="3"/>
  <c r="BI33" i="3"/>
  <c r="BI44" i="3"/>
  <c r="BI24" i="3"/>
  <c r="BI22" i="3"/>
  <c r="BI11" i="3"/>
  <c r="BI25" i="3"/>
  <c r="BI19" i="3"/>
  <c r="BH55" i="3"/>
  <c r="BH54" i="3"/>
  <c r="BH53" i="3"/>
  <c r="BH34" i="3"/>
  <c r="BH10" i="3"/>
  <c r="BH31" i="3"/>
  <c r="BH7" i="3"/>
  <c r="BH42" i="3"/>
  <c r="BH46" i="3"/>
  <c r="BH39" i="3"/>
  <c r="BH23" i="3"/>
  <c r="BH30" i="3"/>
  <c r="BH36" i="3"/>
  <c r="BH21" i="3"/>
  <c r="BH29" i="3"/>
  <c r="BH48" i="3"/>
  <c r="BH45" i="3"/>
  <c r="BH28" i="3"/>
  <c r="BH37" i="3"/>
  <c r="BH40" i="3"/>
  <c r="BH27" i="3"/>
  <c r="BH38" i="3"/>
  <c r="BH16" i="3"/>
  <c r="BH18" i="3"/>
  <c r="BH49" i="3"/>
  <c r="BH26" i="3"/>
  <c r="BH32" i="3"/>
  <c r="BH17" i="3"/>
  <c r="BH33" i="3"/>
  <c r="BH44" i="3"/>
  <c r="BH24" i="3"/>
  <c r="BH22" i="3"/>
  <c r="BH11" i="3"/>
  <c r="BH25" i="3"/>
  <c r="BH19" i="3"/>
  <c r="BG55" i="3"/>
  <c r="BG54" i="3"/>
  <c r="BG53" i="3"/>
  <c r="BG34" i="3"/>
  <c r="BG10" i="3"/>
  <c r="BG31" i="3"/>
  <c r="BG7" i="3"/>
  <c r="BG42" i="3"/>
  <c r="BG46" i="3"/>
  <c r="BG39" i="3"/>
  <c r="BG23" i="3"/>
  <c r="BG30" i="3"/>
  <c r="BG36" i="3"/>
  <c r="BG21" i="3"/>
  <c r="BG29" i="3"/>
  <c r="BG48" i="3"/>
  <c r="BG45" i="3"/>
  <c r="BG28" i="3"/>
  <c r="BG37" i="3"/>
  <c r="BG40" i="3"/>
  <c r="BG27" i="3"/>
  <c r="BG38" i="3"/>
  <c r="BG16" i="3"/>
  <c r="BG18" i="3"/>
  <c r="BG49" i="3"/>
  <c r="BG26" i="3"/>
  <c r="BG32" i="3"/>
  <c r="BG17" i="3"/>
  <c r="BG33" i="3"/>
  <c r="BG44" i="3"/>
  <c r="BG24" i="3"/>
  <c r="BG22" i="3"/>
  <c r="BG11" i="3"/>
  <c r="BG25" i="3"/>
  <c r="BG19" i="3"/>
  <c r="BF55" i="3"/>
  <c r="BF54" i="3"/>
  <c r="BF53" i="3"/>
  <c r="BF34" i="3"/>
  <c r="BF10" i="3"/>
  <c r="BF31" i="3"/>
  <c r="BF7" i="3"/>
  <c r="BF42" i="3"/>
  <c r="BF46" i="3"/>
  <c r="BF39" i="3"/>
  <c r="BF23" i="3"/>
  <c r="BF30" i="3"/>
  <c r="BF36" i="3"/>
  <c r="BF21" i="3"/>
  <c r="BF29" i="3"/>
  <c r="BF48" i="3"/>
  <c r="BF45" i="3"/>
  <c r="BF28" i="3"/>
  <c r="BF37" i="3"/>
  <c r="BF40" i="3"/>
  <c r="BF27" i="3"/>
  <c r="BF38" i="3"/>
  <c r="BF16" i="3"/>
  <c r="BF18" i="3"/>
  <c r="BF49" i="3"/>
  <c r="BF26" i="3"/>
  <c r="BF32" i="3"/>
  <c r="BF17" i="3"/>
  <c r="BF33" i="3"/>
  <c r="BF44" i="3"/>
  <c r="BF24" i="3"/>
  <c r="BF22" i="3"/>
  <c r="BF11" i="3"/>
  <c r="BF25" i="3"/>
  <c r="BF19" i="3"/>
  <c r="D32" i="7" l="1"/>
  <c r="C33" i="7"/>
  <c r="B34" i="7" s="1"/>
  <c r="E32" i="7"/>
  <c r="BH56" i="3"/>
  <c r="BG56" i="3"/>
  <c r="BF56" i="3"/>
  <c r="BI56" i="3"/>
  <c r="D33" i="7" l="1"/>
  <c r="C34" i="7"/>
  <c r="B35" i="7" s="1"/>
  <c r="E33" i="7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D34" i="7" l="1"/>
  <c r="C35" i="7"/>
  <c r="B36" i="7" s="1"/>
  <c r="E34" i="7"/>
  <c r="D35" i="7" l="1"/>
  <c r="C36" i="7"/>
  <c r="B37" i="7" s="1"/>
  <c r="E35" i="7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D36" i="7" l="1"/>
  <c r="E36" i="7"/>
  <c r="C37" i="7"/>
  <c r="B38" i="7" s="1"/>
  <c r="BW38" i="3"/>
  <c r="BV38" i="3"/>
  <c r="BU38" i="3"/>
  <c r="BT38" i="3"/>
  <c r="BE38" i="3"/>
  <c r="BS38" i="3" s="1"/>
  <c r="BD38" i="3"/>
  <c r="BR38" i="3" s="1"/>
  <c r="BC38" i="3"/>
  <c r="BQ38" i="3" s="1"/>
  <c r="BB38" i="3"/>
  <c r="BP38" i="3" s="1"/>
  <c r="BA38" i="3"/>
  <c r="BO38" i="3" s="1"/>
  <c r="AZ38" i="3"/>
  <c r="BN38" i="3" s="1"/>
  <c r="AY38" i="3"/>
  <c r="AX38" i="3"/>
  <c r="BL38" i="3" s="1"/>
  <c r="BW27" i="3"/>
  <c r="BV27" i="3"/>
  <c r="BU27" i="3"/>
  <c r="BT27" i="3"/>
  <c r="BE27" i="3"/>
  <c r="BS27" i="3" s="1"/>
  <c r="BD27" i="3"/>
  <c r="BR27" i="3" s="1"/>
  <c r="BC27" i="3"/>
  <c r="BQ27" i="3" s="1"/>
  <c r="BB27" i="3"/>
  <c r="BP27" i="3" s="1"/>
  <c r="BA27" i="3"/>
  <c r="BO27" i="3" s="1"/>
  <c r="AZ27" i="3"/>
  <c r="BN27" i="3" s="1"/>
  <c r="AY27" i="3"/>
  <c r="BM27" i="3" s="1"/>
  <c r="AX27" i="3"/>
  <c r="BL27" i="3" s="1"/>
  <c r="C38" i="7" l="1"/>
  <c r="B39" i="7" s="1"/>
  <c r="D37" i="7"/>
  <c r="E37" i="7"/>
  <c r="AW38" i="3"/>
  <c r="BM38" i="3"/>
  <c r="BK38" i="3" s="1"/>
  <c r="BK27" i="3"/>
  <c r="AW27" i="3"/>
  <c r="D38" i="7" l="1"/>
  <c r="C39" i="7"/>
  <c r="B40" i="7" s="1"/>
  <c r="E38" i="7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D39" i="7" l="1"/>
  <c r="C40" i="7"/>
  <c r="B41" i="7" s="1"/>
  <c r="E39" i="7"/>
  <c r="BW55" i="3"/>
  <c r="BV55" i="3"/>
  <c r="BU55" i="3"/>
  <c r="BT55" i="3"/>
  <c r="BE55" i="3"/>
  <c r="BS55" i="3" s="1"/>
  <c r="BD55" i="3"/>
  <c r="BR55" i="3" s="1"/>
  <c r="BC55" i="3"/>
  <c r="BQ55" i="3" s="1"/>
  <c r="BB55" i="3"/>
  <c r="BP55" i="3" s="1"/>
  <c r="BA55" i="3"/>
  <c r="BO55" i="3" s="1"/>
  <c r="AZ55" i="3"/>
  <c r="BN55" i="3" s="1"/>
  <c r="AY55" i="3"/>
  <c r="BM55" i="3" s="1"/>
  <c r="AX55" i="3"/>
  <c r="BW54" i="3"/>
  <c r="BV54" i="3"/>
  <c r="BU54" i="3"/>
  <c r="BT54" i="3"/>
  <c r="BE54" i="3"/>
  <c r="BS54" i="3" s="1"/>
  <c r="BD54" i="3"/>
  <c r="BR54" i="3" s="1"/>
  <c r="BC54" i="3"/>
  <c r="BQ54" i="3" s="1"/>
  <c r="BB54" i="3"/>
  <c r="BP54" i="3" s="1"/>
  <c r="BA54" i="3"/>
  <c r="BO54" i="3" s="1"/>
  <c r="AZ54" i="3"/>
  <c r="AY54" i="3"/>
  <c r="BM54" i="3" s="1"/>
  <c r="AX54" i="3"/>
  <c r="BL54" i="3" s="1"/>
  <c r="BW53" i="3"/>
  <c r="BV53" i="3"/>
  <c r="BU53" i="3"/>
  <c r="BT53" i="3"/>
  <c r="BE53" i="3"/>
  <c r="BS53" i="3" s="1"/>
  <c r="BD53" i="3"/>
  <c r="BR53" i="3" s="1"/>
  <c r="BC53" i="3"/>
  <c r="BQ53" i="3" s="1"/>
  <c r="BB53" i="3"/>
  <c r="BP53" i="3" s="1"/>
  <c r="BA53" i="3"/>
  <c r="BO53" i="3" s="1"/>
  <c r="AZ53" i="3"/>
  <c r="BN53" i="3" s="1"/>
  <c r="AY53" i="3"/>
  <c r="BM53" i="3" s="1"/>
  <c r="AX53" i="3"/>
  <c r="BW34" i="3"/>
  <c r="BV34" i="3"/>
  <c r="BU34" i="3"/>
  <c r="BT34" i="3"/>
  <c r="BE34" i="3"/>
  <c r="BS34" i="3" s="1"/>
  <c r="BD34" i="3"/>
  <c r="BR34" i="3" s="1"/>
  <c r="BC34" i="3"/>
  <c r="BQ34" i="3" s="1"/>
  <c r="BB34" i="3"/>
  <c r="BP34" i="3" s="1"/>
  <c r="BA34" i="3"/>
  <c r="BO34" i="3" s="1"/>
  <c r="AZ34" i="3"/>
  <c r="AY34" i="3"/>
  <c r="BM34" i="3" s="1"/>
  <c r="AX34" i="3"/>
  <c r="BL34" i="3" s="1"/>
  <c r="BW10" i="3"/>
  <c r="BV10" i="3"/>
  <c r="BU10" i="3"/>
  <c r="BT10" i="3"/>
  <c r="BE10" i="3"/>
  <c r="BS10" i="3" s="1"/>
  <c r="BD10" i="3"/>
  <c r="BR10" i="3" s="1"/>
  <c r="BC10" i="3"/>
  <c r="BQ10" i="3" s="1"/>
  <c r="BB10" i="3"/>
  <c r="BP10" i="3" s="1"/>
  <c r="BA10" i="3"/>
  <c r="BO10" i="3" s="1"/>
  <c r="AZ10" i="3"/>
  <c r="BN10" i="3" s="1"/>
  <c r="AY10" i="3"/>
  <c r="BM10" i="3" s="1"/>
  <c r="AX10" i="3"/>
  <c r="BW31" i="3"/>
  <c r="BV31" i="3"/>
  <c r="BU31" i="3"/>
  <c r="BT31" i="3"/>
  <c r="BE31" i="3"/>
  <c r="BS31" i="3" s="1"/>
  <c r="BD31" i="3"/>
  <c r="BR31" i="3" s="1"/>
  <c r="BC31" i="3"/>
  <c r="BQ31" i="3" s="1"/>
  <c r="BB31" i="3"/>
  <c r="BP31" i="3" s="1"/>
  <c r="BA31" i="3"/>
  <c r="BO31" i="3" s="1"/>
  <c r="AZ31" i="3"/>
  <c r="AY31" i="3"/>
  <c r="BM31" i="3" s="1"/>
  <c r="AX31" i="3"/>
  <c r="BL31" i="3" s="1"/>
  <c r="BW7" i="3"/>
  <c r="BV7" i="3"/>
  <c r="BU7" i="3"/>
  <c r="BT7" i="3"/>
  <c r="BE7" i="3"/>
  <c r="BS7" i="3" s="1"/>
  <c r="BD7" i="3"/>
  <c r="BR7" i="3" s="1"/>
  <c r="BC7" i="3"/>
  <c r="BQ7" i="3" s="1"/>
  <c r="BB7" i="3"/>
  <c r="BP7" i="3" s="1"/>
  <c r="BA7" i="3"/>
  <c r="BO7" i="3" s="1"/>
  <c r="AZ7" i="3"/>
  <c r="BN7" i="3" s="1"/>
  <c r="AY7" i="3"/>
  <c r="BM7" i="3" s="1"/>
  <c r="AX7" i="3"/>
  <c r="BW42" i="3"/>
  <c r="BV42" i="3"/>
  <c r="BU42" i="3"/>
  <c r="BT42" i="3"/>
  <c r="BE42" i="3"/>
  <c r="BS42" i="3" s="1"/>
  <c r="BD42" i="3"/>
  <c r="BR42" i="3" s="1"/>
  <c r="BC42" i="3"/>
  <c r="BQ42" i="3" s="1"/>
  <c r="BB42" i="3"/>
  <c r="BP42" i="3" s="1"/>
  <c r="BA42" i="3"/>
  <c r="BO42" i="3" s="1"/>
  <c r="AZ42" i="3"/>
  <c r="AY42" i="3"/>
  <c r="BM42" i="3" s="1"/>
  <c r="AX42" i="3"/>
  <c r="BL42" i="3" s="1"/>
  <c r="BW46" i="3"/>
  <c r="BV46" i="3"/>
  <c r="BU46" i="3"/>
  <c r="BT46" i="3"/>
  <c r="BE46" i="3"/>
  <c r="BS46" i="3" s="1"/>
  <c r="BD46" i="3"/>
  <c r="BR46" i="3" s="1"/>
  <c r="BC46" i="3"/>
  <c r="BQ46" i="3" s="1"/>
  <c r="BB46" i="3"/>
  <c r="BP46" i="3" s="1"/>
  <c r="BA46" i="3"/>
  <c r="BO46" i="3" s="1"/>
  <c r="AZ46" i="3"/>
  <c r="BN46" i="3" s="1"/>
  <c r="AY46" i="3"/>
  <c r="BM46" i="3" s="1"/>
  <c r="AX46" i="3"/>
  <c r="BW39" i="3"/>
  <c r="BV39" i="3"/>
  <c r="BU39" i="3"/>
  <c r="BT39" i="3"/>
  <c r="BE39" i="3"/>
  <c r="BS39" i="3" s="1"/>
  <c r="BD39" i="3"/>
  <c r="BR39" i="3" s="1"/>
  <c r="BC39" i="3"/>
  <c r="BQ39" i="3" s="1"/>
  <c r="BB39" i="3"/>
  <c r="BP39" i="3" s="1"/>
  <c r="BA39" i="3"/>
  <c r="BO39" i="3" s="1"/>
  <c r="AZ39" i="3"/>
  <c r="AY39" i="3"/>
  <c r="BM39" i="3" s="1"/>
  <c r="AX39" i="3"/>
  <c r="BL39" i="3" s="1"/>
  <c r="BW23" i="3"/>
  <c r="BV23" i="3"/>
  <c r="BU23" i="3"/>
  <c r="BT23" i="3"/>
  <c r="BE23" i="3"/>
  <c r="BS23" i="3" s="1"/>
  <c r="BD23" i="3"/>
  <c r="BR23" i="3" s="1"/>
  <c r="BC23" i="3"/>
  <c r="BQ23" i="3" s="1"/>
  <c r="BB23" i="3"/>
  <c r="BP23" i="3" s="1"/>
  <c r="BA23" i="3"/>
  <c r="BO23" i="3" s="1"/>
  <c r="AZ23" i="3"/>
  <c r="BN23" i="3" s="1"/>
  <c r="AY23" i="3"/>
  <c r="BM23" i="3" s="1"/>
  <c r="AX23" i="3"/>
  <c r="BW30" i="3"/>
  <c r="BV30" i="3"/>
  <c r="BU30" i="3"/>
  <c r="BT30" i="3"/>
  <c r="BE30" i="3"/>
  <c r="BS30" i="3" s="1"/>
  <c r="BD30" i="3"/>
  <c r="BR30" i="3" s="1"/>
  <c r="BC30" i="3"/>
  <c r="BQ30" i="3" s="1"/>
  <c r="BB30" i="3"/>
  <c r="BP30" i="3" s="1"/>
  <c r="BA30" i="3"/>
  <c r="BO30" i="3" s="1"/>
  <c r="AZ30" i="3"/>
  <c r="AY30" i="3"/>
  <c r="BM30" i="3" s="1"/>
  <c r="AX30" i="3"/>
  <c r="BL30" i="3" s="1"/>
  <c r="BW36" i="3"/>
  <c r="BV36" i="3"/>
  <c r="BU36" i="3"/>
  <c r="BT36" i="3"/>
  <c r="BE36" i="3"/>
  <c r="BS36" i="3" s="1"/>
  <c r="BD36" i="3"/>
  <c r="BR36" i="3" s="1"/>
  <c r="BC36" i="3"/>
  <c r="BQ36" i="3" s="1"/>
  <c r="BB36" i="3"/>
  <c r="BP36" i="3" s="1"/>
  <c r="BA36" i="3"/>
  <c r="BO36" i="3" s="1"/>
  <c r="AZ36" i="3"/>
  <c r="BN36" i="3" s="1"/>
  <c r="AY36" i="3"/>
  <c r="BM36" i="3" s="1"/>
  <c r="AX36" i="3"/>
  <c r="BW21" i="3"/>
  <c r="BV21" i="3"/>
  <c r="BU21" i="3"/>
  <c r="BT21" i="3"/>
  <c r="BE21" i="3"/>
  <c r="BS21" i="3" s="1"/>
  <c r="BD21" i="3"/>
  <c r="BR21" i="3" s="1"/>
  <c r="BC21" i="3"/>
  <c r="BQ21" i="3" s="1"/>
  <c r="BB21" i="3"/>
  <c r="BP21" i="3" s="1"/>
  <c r="BA21" i="3"/>
  <c r="BO21" i="3" s="1"/>
  <c r="AZ21" i="3"/>
  <c r="AY21" i="3"/>
  <c r="BM21" i="3" s="1"/>
  <c r="AX21" i="3"/>
  <c r="BL21" i="3" s="1"/>
  <c r="BW29" i="3"/>
  <c r="BV29" i="3"/>
  <c r="BU29" i="3"/>
  <c r="BT29" i="3"/>
  <c r="BE29" i="3"/>
  <c r="BS29" i="3" s="1"/>
  <c r="BD29" i="3"/>
  <c r="BR29" i="3" s="1"/>
  <c r="BC29" i="3"/>
  <c r="BQ29" i="3" s="1"/>
  <c r="BB29" i="3"/>
  <c r="BP29" i="3" s="1"/>
  <c r="BA29" i="3"/>
  <c r="BO29" i="3" s="1"/>
  <c r="AZ29" i="3"/>
  <c r="BN29" i="3" s="1"/>
  <c r="AY29" i="3"/>
  <c r="BM29" i="3" s="1"/>
  <c r="AX29" i="3"/>
  <c r="BW48" i="3"/>
  <c r="BV48" i="3"/>
  <c r="BU48" i="3"/>
  <c r="BT48" i="3"/>
  <c r="BE48" i="3"/>
  <c r="BS48" i="3" s="1"/>
  <c r="BD48" i="3"/>
  <c r="BR48" i="3" s="1"/>
  <c r="BC48" i="3"/>
  <c r="BQ48" i="3" s="1"/>
  <c r="BB48" i="3"/>
  <c r="BP48" i="3" s="1"/>
  <c r="BA48" i="3"/>
  <c r="BO48" i="3" s="1"/>
  <c r="AZ48" i="3"/>
  <c r="AY48" i="3"/>
  <c r="BM48" i="3" s="1"/>
  <c r="AX48" i="3"/>
  <c r="BL48" i="3" s="1"/>
  <c r="BW45" i="3"/>
  <c r="BV45" i="3"/>
  <c r="BU45" i="3"/>
  <c r="BT45" i="3"/>
  <c r="BE45" i="3"/>
  <c r="BS45" i="3" s="1"/>
  <c r="BD45" i="3"/>
  <c r="BR45" i="3" s="1"/>
  <c r="BC45" i="3"/>
  <c r="BQ45" i="3" s="1"/>
  <c r="BB45" i="3"/>
  <c r="BP45" i="3" s="1"/>
  <c r="BA45" i="3"/>
  <c r="BO45" i="3" s="1"/>
  <c r="AZ45" i="3"/>
  <c r="BN45" i="3" s="1"/>
  <c r="AY45" i="3"/>
  <c r="BM45" i="3" s="1"/>
  <c r="AX45" i="3"/>
  <c r="BW28" i="3"/>
  <c r="BV28" i="3"/>
  <c r="BU28" i="3"/>
  <c r="BT28" i="3"/>
  <c r="BE28" i="3"/>
  <c r="BS28" i="3" s="1"/>
  <c r="BD28" i="3"/>
  <c r="BR28" i="3" s="1"/>
  <c r="BC28" i="3"/>
  <c r="BQ28" i="3" s="1"/>
  <c r="BB28" i="3"/>
  <c r="BP28" i="3" s="1"/>
  <c r="BA28" i="3"/>
  <c r="BO28" i="3" s="1"/>
  <c r="AZ28" i="3"/>
  <c r="AY28" i="3"/>
  <c r="BM28" i="3" s="1"/>
  <c r="AX28" i="3"/>
  <c r="BL28" i="3" s="1"/>
  <c r="BW37" i="3"/>
  <c r="BV37" i="3"/>
  <c r="BU37" i="3"/>
  <c r="BT37" i="3"/>
  <c r="BE37" i="3"/>
  <c r="BS37" i="3" s="1"/>
  <c r="BD37" i="3"/>
  <c r="BR37" i="3" s="1"/>
  <c r="BC37" i="3"/>
  <c r="BQ37" i="3" s="1"/>
  <c r="BB37" i="3"/>
  <c r="BP37" i="3" s="1"/>
  <c r="BA37" i="3"/>
  <c r="BO37" i="3" s="1"/>
  <c r="AZ37" i="3"/>
  <c r="BN37" i="3" s="1"/>
  <c r="AY37" i="3"/>
  <c r="BM37" i="3" s="1"/>
  <c r="AX37" i="3"/>
  <c r="BW40" i="3"/>
  <c r="BV40" i="3"/>
  <c r="BU40" i="3"/>
  <c r="BT40" i="3"/>
  <c r="BE40" i="3"/>
  <c r="BS40" i="3" s="1"/>
  <c r="BD40" i="3"/>
  <c r="BR40" i="3" s="1"/>
  <c r="BC40" i="3"/>
  <c r="BQ40" i="3" s="1"/>
  <c r="BB40" i="3"/>
  <c r="BP40" i="3" s="1"/>
  <c r="BA40" i="3"/>
  <c r="BO40" i="3" s="1"/>
  <c r="AZ40" i="3"/>
  <c r="AY40" i="3"/>
  <c r="BM40" i="3" s="1"/>
  <c r="AX40" i="3"/>
  <c r="BL40" i="3" s="1"/>
  <c r="BW16" i="3"/>
  <c r="BV16" i="3"/>
  <c r="BU16" i="3"/>
  <c r="BT16" i="3"/>
  <c r="BE16" i="3"/>
  <c r="BS16" i="3" s="1"/>
  <c r="BD16" i="3"/>
  <c r="BR16" i="3" s="1"/>
  <c r="BC16" i="3"/>
  <c r="BQ16" i="3" s="1"/>
  <c r="BB16" i="3"/>
  <c r="BP16" i="3" s="1"/>
  <c r="BA16" i="3"/>
  <c r="BO16" i="3" s="1"/>
  <c r="AZ16" i="3"/>
  <c r="BN16" i="3" s="1"/>
  <c r="AY16" i="3"/>
  <c r="BM16" i="3" s="1"/>
  <c r="AX16" i="3"/>
  <c r="BW18" i="3"/>
  <c r="BV18" i="3"/>
  <c r="BU18" i="3"/>
  <c r="BT18" i="3"/>
  <c r="BE18" i="3"/>
  <c r="BS18" i="3" s="1"/>
  <c r="BD18" i="3"/>
  <c r="BR18" i="3" s="1"/>
  <c r="BC18" i="3"/>
  <c r="BQ18" i="3" s="1"/>
  <c r="BB18" i="3"/>
  <c r="BP18" i="3" s="1"/>
  <c r="BA18" i="3"/>
  <c r="BO18" i="3" s="1"/>
  <c r="AZ18" i="3"/>
  <c r="AY18" i="3"/>
  <c r="BM18" i="3" s="1"/>
  <c r="AX18" i="3"/>
  <c r="BL18" i="3" s="1"/>
  <c r="BW49" i="3"/>
  <c r="BV49" i="3"/>
  <c r="BU49" i="3"/>
  <c r="BT49" i="3"/>
  <c r="BE49" i="3"/>
  <c r="BS49" i="3" s="1"/>
  <c r="BD49" i="3"/>
  <c r="BR49" i="3" s="1"/>
  <c r="BC49" i="3"/>
  <c r="BQ49" i="3" s="1"/>
  <c r="BB49" i="3"/>
  <c r="BP49" i="3" s="1"/>
  <c r="BA49" i="3"/>
  <c r="BO49" i="3" s="1"/>
  <c r="AZ49" i="3"/>
  <c r="BN49" i="3" s="1"/>
  <c r="AY49" i="3"/>
  <c r="BM49" i="3" s="1"/>
  <c r="AX49" i="3"/>
  <c r="BW26" i="3"/>
  <c r="BV26" i="3"/>
  <c r="BU26" i="3"/>
  <c r="BT26" i="3"/>
  <c r="BE26" i="3"/>
  <c r="BS26" i="3" s="1"/>
  <c r="BD26" i="3"/>
  <c r="BR26" i="3" s="1"/>
  <c r="BC26" i="3"/>
  <c r="BQ26" i="3" s="1"/>
  <c r="BB26" i="3"/>
  <c r="BP26" i="3" s="1"/>
  <c r="BA26" i="3"/>
  <c r="BO26" i="3" s="1"/>
  <c r="AZ26" i="3"/>
  <c r="AY26" i="3"/>
  <c r="BM26" i="3" s="1"/>
  <c r="AX26" i="3"/>
  <c r="BL26" i="3" s="1"/>
  <c r="BW32" i="3"/>
  <c r="BV32" i="3"/>
  <c r="BU32" i="3"/>
  <c r="BT32" i="3"/>
  <c r="BE32" i="3"/>
  <c r="BS32" i="3" s="1"/>
  <c r="BD32" i="3"/>
  <c r="BR32" i="3" s="1"/>
  <c r="BC32" i="3"/>
  <c r="BQ32" i="3" s="1"/>
  <c r="BB32" i="3"/>
  <c r="BP32" i="3" s="1"/>
  <c r="BA32" i="3"/>
  <c r="BO32" i="3" s="1"/>
  <c r="AZ32" i="3"/>
  <c r="BN32" i="3" s="1"/>
  <c r="AY32" i="3"/>
  <c r="BM32" i="3" s="1"/>
  <c r="AX32" i="3"/>
  <c r="BW17" i="3"/>
  <c r="BV17" i="3"/>
  <c r="BU17" i="3"/>
  <c r="BT17" i="3"/>
  <c r="BE17" i="3"/>
  <c r="BS17" i="3" s="1"/>
  <c r="BD17" i="3"/>
  <c r="BR17" i="3" s="1"/>
  <c r="BC17" i="3"/>
  <c r="BQ17" i="3" s="1"/>
  <c r="BB17" i="3"/>
  <c r="BP17" i="3" s="1"/>
  <c r="BA17" i="3"/>
  <c r="BO17" i="3" s="1"/>
  <c r="AZ17" i="3"/>
  <c r="AY17" i="3"/>
  <c r="BM17" i="3" s="1"/>
  <c r="AX17" i="3"/>
  <c r="BL17" i="3" s="1"/>
  <c r="BW33" i="3"/>
  <c r="BV33" i="3"/>
  <c r="BU33" i="3"/>
  <c r="BT33" i="3"/>
  <c r="BE33" i="3"/>
  <c r="BS33" i="3" s="1"/>
  <c r="BD33" i="3"/>
  <c r="BR33" i="3" s="1"/>
  <c r="BC33" i="3"/>
  <c r="BQ33" i="3" s="1"/>
  <c r="BB33" i="3"/>
  <c r="BP33" i="3" s="1"/>
  <c r="BA33" i="3"/>
  <c r="BO33" i="3" s="1"/>
  <c r="AZ33" i="3"/>
  <c r="BN33" i="3" s="1"/>
  <c r="AY33" i="3"/>
  <c r="BM33" i="3" s="1"/>
  <c r="AX33" i="3"/>
  <c r="BW44" i="3"/>
  <c r="BV44" i="3"/>
  <c r="BU44" i="3"/>
  <c r="BT44" i="3"/>
  <c r="BE44" i="3"/>
  <c r="BS44" i="3" s="1"/>
  <c r="BD44" i="3"/>
  <c r="BR44" i="3" s="1"/>
  <c r="BC44" i="3"/>
  <c r="BQ44" i="3" s="1"/>
  <c r="BB44" i="3"/>
  <c r="BP44" i="3" s="1"/>
  <c r="BA44" i="3"/>
  <c r="BO44" i="3" s="1"/>
  <c r="AZ44" i="3"/>
  <c r="BN44" i="3" s="1"/>
  <c r="AY44" i="3"/>
  <c r="BM44" i="3" s="1"/>
  <c r="AX44" i="3"/>
  <c r="BL44" i="3" s="1"/>
  <c r="BW24" i="3"/>
  <c r="BV24" i="3"/>
  <c r="BU24" i="3"/>
  <c r="BT24" i="3"/>
  <c r="BE24" i="3"/>
  <c r="BS24" i="3" s="1"/>
  <c r="BD24" i="3"/>
  <c r="BR24" i="3" s="1"/>
  <c r="BC24" i="3"/>
  <c r="BQ24" i="3" s="1"/>
  <c r="BB24" i="3"/>
  <c r="BP24" i="3" s="1"/>
  <c r="BA24" i="3"/>
  <c r="BO24" i="3" s="1"/>
  <c r="AZ24" i="3"/>
  <c r="BN24" i="3" s="1"/>
  <c r="AY24" i="3"/>
  <c r="BM24" i="3" s="1"/>
  <c r="AX24" i="3"/>
  <c r="BL24" i="3" s="1"/>
  <c r="BW22" i="3"/>
  <c r="BV22" i="3"/>
  <c r="BU22" i="3"/>
  <c r="BT22" i="3"/>
  <c r="BE22" i="3"/>
  <c r="BS22" i="3" s="1"/>
  <c r="BD22" i="3"/>
  <c r="BR22" i="3" s="1"/>
  <c r="BC22" i="3"/>
  <c r="BQ22" i="3" s="1"/>
  <c r="BB22" i="3"/>
  <c r="BA22" i="3"/>
  <c r="BO22" i="3" s="1"/>
  <c r="AZ22" i="3"/>
  <c r="BN22" i="3" s="1"/>
  <c r="AY22" i="3"/>
  <c r="AX22" i="3"/>
  <c r="BL22" i="3" s="1"/>
  <c r="BW11" i="3"/>
  <c r="BV11" i="3"/>
  <c r="BU11" i="3"/>
  <c r="BT11" i="3"/>
  <c r="BE11" i="3"/>
  <c r="BS11" i="3" s="1"/>
  <c r="BD11" i="3"/>
  <c r="BR11" i="3" s="1"/>
  <c r="BC11" i="3"/>
  <c r="BQ11" i="3" s="1"/>
  <c r="BB11" i="3"/>
  <c r="BP11" i="3" s="1"/>
  <c r="BA11" i="3"/>
  <c r="BO11" i="3" s="1"/>
  <c r="AZ11" i="3"/>
  <c r="BN11" i="3" s="1"/>
  <c r="AY11" i="3"/>
  <c r="BM11" i="3" s="1"/>
  <c r="AX11" i="3"/>
  <c r="BL11" i="3" s="1"/>
  <c r="CB25" i="3"/>
  <c r="CA25" i="3"/>
  <c r="BZ25" i="3"/>
  <c r="BY25" i="3"/>
  <c r="BW25" i="3"/>
  <c r="BV25" i="3"/>
  <c r="BU25" i="3"/>
  <c r="BT25" i="3"/>
  <c r="BE25" i="3"/>
  <c r="BS25" i="3" s="1"/>
  <c r="BD25" i="3"/>
  <c r="BR25" i="3" s="1"/>
  <c r="BC25" i="3"/>
  <c r="BQ25" i="3" s="1"/>
  <c r="BB25" i="3"/>
  <c r="BP25" i="3" s="1"/>
  <c r="BA25" i="3"/>
  <c r="BO25" i="3" s="1"/>
  <c r="AZ25" i="3"/>
  <c r="BN25" i="3" s="1"/>
  <c r="AY25" i="3"/>
  <c r="BM25" i="3" s="1"/>
  <c r="AX25" i="3"/>
  <c r="BL25" i="3" s="1"/>
  <c r="BW19" i="3"/>
  <c r="BW56" i="3" s="1"/>
  <c r="BV19" i="3"/>
  <c r="BU19" i="3"/>
  <c r="BU56" i="3" s="1"/>
  <c r="BT19" i="3"/>
  <c r="BT56" i="3" s="1"/>
  <c r="BE19" i="3"/>
  <c r="BD19" i="3"/>
  <c r="BC19" i="3"/>
  <c r="BB19" i="3"/>
  <c r="BA19" i="3"/>
  <c r="BO19" i="3" s="1"/>
  <c r="AZ19" i="3"/>
  <c r="AY19" i="3"/>
  <c r="BM19" i="3" s="1"/>
  <c r="AX19" i="3"/>
  <c r="B7" i="5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L774" i="1"/>
  <c r="M773" i="1"/>
  <c r="L773" i="1"/>
  <c r="M772" i="1"/>
  <c r="L772" i="1"/>
  <c r="M771" i="1"/>
  <c r="L771" i="1"/>
  <c r="M770" i="1"/>
  <c r="L770" i="1"/>
  <c r="M769" i="1"/>
  <c r="L769" i="1"/>
  <c r="M768" i="1"/>
  <c r="L768" i="1"/>
  <c r="M767" i="1"/>
  <c r="L767" i="1"/>
  <c r="M766" i="1"/>
  <c r="L766" i="1"/>
  <c r="M765" i="1"/>
  <c r="L765" i="1"/>
  <c r="M764" i="1"/>
  <c r="L764" i="1"/>
  <c r="M763" i="1"/>
  <c r="L763" i="1"/>
  <c r="M762" i="1"/>
  <c r="L762" i="1"/>
  <c r="M761" i="1"/>
  <c r="L761" i="1"/>
  <c r="M760" i="1"/>
  <c r="L760" i="1"/>
  <c r="M759" i="1"/>
  <c r="L759" i="1"/>
  <c r="M758" i="1"/>
  <c r="L758" i="1"/>
  <c r="M757" i="1"/>
  <c r="L757" i="1"/>
  <c r="M756" i="1"/>
  <c r="L756" i="1"/>
  <c r="M755" i="1"/>
  <c r="L755" i="1"/>
  <c r="M754" i="1"/>
  <c r="L754" i="1"/>
  <c r="M753" i="1"/>
  <c r="L753" i="1"/>
  <c r="M752" i="1"/>
  <c r="L752" i="1"/>
  <c r="M751" i="1"/>
  <c r="L751" i="1"/>
  <c r="M750" i="1"/>
  <c r="L750" i="1"/>
  <c r="M749" i="1"/>
  <c r="L749" i="1"/>
  <c r="M748" i="1"/>
  <c r="L748" i="1"/>
  <c r="M747" i="1"/>
  <c r="L747" i="1"/>
  <c r="M746" i="1"/>
  <c r="L746" i="1"/>
  <c r="M745" i="1"/>
  <c r="L745" i="1"/>
  <c r="M744" i="1"/>
  <c r="L744" i="1"/>
  <c r="M743" i="1"/>
  <c r="L743" i="1"/>
  <c r="M742" i="1"/>
  <c r="L742" i="1"/>
  <c r="M741" i="1"/>
  <c r="L741" i="1"/>
  <c r="M740" i="1"/>
  <c r="M739" i="1"/>
  <c r="M738" i="1"/>
  <c r="M737" i="1"/>
  <c r="L737" i="1"/>
  <c r="M736" i="1"/>
  <c r="L736" i="1"/>
  <c r="M735" i="1"/>
  <c r="L735" i="1"/>
  <c r="M734" i="1"/>
  <c r="L734" i="1"/>
  <c r="M733" i="1"/>
  <c r="L733" i="1"/>
  <c r="M732" i="1"/>
  <c r="L732" i="1"/>
  <c r="M731" i="1"/>
  <c r="L731" i="1"/>
  <c r="M730" i="1"/>
  <c r="L730" i="1"/>
  <c r="M729" i="1"/>
  <c r="L729" i="1"/>
  <c r="M728" i="1"/>
  <c r="L728" i="1"/>
  <c r="M727" i="1"/>
  <c r="L727" i="1"/>
  <c r="M726" i="1"/>
  <c r="L726" i="1"/>
  <c r="M725" i="1"/>
  <c r="L725" i="1"/>
  <c r="M724" i="1"/>
  <c r="L724" i="1"/>
  <c r="M723" i="1"/>
  <c r="L723" i="1"/>
  <c r="M722" i="1"/>
  <c r="L722" i="1"/>
  <c r="M721" i="1"/>
  <c r="L721" i="1"/>
  <c r="M720" i="1"/>
  <c r="L720" i="1"/>
  <c r="M719" i="1"/>
  <c r="L719" i="1"/>
  <c r="M718" i="1"/>
  <c r="L718" i="1"/>
  <c r="M717" i="1"/>
  <c r="L717" i="1"/>
  <c r="M716" i="1"/>
  <c r="L716" i="1"/>
  <c r="M715" i="1"/>
  <c r="L715" i="1"/>
  <c r="M714" i="1"/>
  <c r="L714" i="1"/>
  <c r="M713" i="1"/>
  <c r="L713" i="1"/>
  <c r="M712" i="1"/>
  <c r="L712" i="1"/>
  <c r="M711" i="1"/>
  <c r="L711" i="1"/>
  <c r="M710" i="1"/>
  <c r="L710" i="1"/>
  <c r="M709" i="1"/>
  <c r="L709" i="1"/>
  <c r="M708" i="1"/>
  <c r="L708" i="1"/>
  <c r="M707" i="1"/>
  <c r="L707" i="1"/>
  <c r="M706" i="1"/>
  <c r="L706" i="1"/>
  <c r="M705" i="1"/>
  <c r="L705" i="1"/>
  <c r="M704" i="1"/>
  <c r="L704" i="1"/>
  <c r="M703" i="1"/>
  <c r="L703" i="1"/>
  <c r="M702" i="1"/>
  <c r="L702" i="1"/>
  <c r="M701" i="1"/>
  <c r="L701" i="1"/>
  <c r="M700" i="1"/>
  <c r="L700" i="1"/>
  <c r="M699" i="1"/>
  <c r="L699" i="1"/>
  <c r="M698" i="1"/>
  <c r="L698" i="1"/>
  <c r="M697" i="1"/>
  <c r="L697" i="1"/>
  <c r="M696" i="1"/>
  <c r="L696" i="1"/>
  <c r="M695" i="1"/>
  <c r="L695" i="1"/>
  <c r="M694" i="1"/>
  <c r="L694" i="1"/>
  <c r="M693" i="1"/>
  <c r="L693" i="1"/>
  <c r="M692" i="1"/>
  <c r="L692" i="1"/>
  <c r="M691" i="1"/>
  <c r="L691" i="1"/>
  <c r="M690" i="1"/>
  <c r="L690" i="1"/>
  <c r="M689" i="1"/>
  <c r="L689" i="1"/>
  <c r="M688" i="1"/>
  <c r="L688" i="1"/>
  <c r="M687" i="1"/>
  <c r="L687" i="1"/>
  <c r="M686" i="1"/>
  <c r="L686" i="1"/>
  <c r="M685" i="1"/>
  <c r="L685" i="1"/>
  <c r="M684" i="1"/>
  <c r="L684" i="1"/>
  <c r="M683" i="1"/>
  <c r="L683" i="1"/>
  <c r="M682" i="1"/>
  <c r="L682" i="1"/>
  <c r="M681" i="1"/>
  <c r="L681" i="1"/>
  <c r="M680" i="1"/>
  <c r="L680" i="1"/>
  <c r="M679" i="1"/>
  <c r="L679" i="1"/>
  <c r="M678" i="1"/>
  <c r="L678" i="1"/>
  <c r="M677" i="1"/>
  <c r="L677" i="1"/>
  <c r="M676" i="1"/>
  <c r="L676" i="1"/>
  <c r="M675" i="1"/>
  <c r="L675" i="1"/>
  <c r="M674" i="1"/>
  <c r="L674" i="1"/>
  <c r="M673" i="1"/>
  <c r="L673" i="1"/>
  <c r="M672" i="1"/>
  <c r="L672" i="1"/>
  <c r="M671" i="1"/>
  <c r="L671" i="1"/>
  <c r="M670" i="1"/>
  <c r="L670" i="1"/>
  <c r="M669" i="1"/>
  <c r="L669" i="1"/>
  <c r="M668" i="1"/>
  <c r="L668" i="1"/>
  <c r="M667" i="1"/>
  <c r="L667" i="1"/>
  <c r="M666" i="1"/>
  <c r="L666" i="1"/>
  <c r="M665" i="1"/>
  <c r="L665" i="1"/>
  <c r="M664" i="1"/>
  <c r="L664" i="1"/>
  <c r="M663" i="1"/>
  <c r="L663" i="1"/>
  <c r="M662" i="1"/>
  <c r="L662" i="1"/>
  <c r="M661" i="1"/>
  <c r="L661" i="1"/>
  <c r="M660" i="1"/>
  <c r="L660" i="1"/>
  <c r="M659" i="1"/>
  <c r="L659" i="1"/>
  <c r="M658" i="1"/>
  <c r="L658" i="1"/>
  <c r="M657" i="1"/>
  <c r="L657" i="1"/>
  <c r="M656" i="1"/>
  <c r="L656" i="1"/>
  <c r="M655" i="1"/>
  <c r="L655" i="1"/>
  <c r="M654" i="1"/>
  <c r="L654" i="1"/>
  <c r="M653" i="1"/>
  <c r="L653" i="1"/>
  <c r="M652" i="1"/>
  <c r="L652" i="1"/>
  <c r="M651" i="1"/>
  <c r="L651" i="1"/>
  <c r="M650" i="1"/>
  <c r="L650" i="1"/>
  <c r="M649" i="1"/>
  <c r="L649" i="1"/>
  <c r="M648" i="1"/>
  <c r="L648" i="1"/>
  <c r="M647" i="1"/>
  <c r="L647" i="1"/>
  <c r="M646" i="1"/>
  <c r="L646" i="1"/>
  <c r="M645" i="1"/>
  <c r="L645" i="1"/>
  <c r="M644" i="1"/>
  <c r="L644" i="1"/>
  <c r="M643" i="1"/>
  <c r="L643" i="1"/>
  <c r="M642" i="1"/>
  <c r="L642" i="1"/>
  <c r="M641" i="1"/>
  <c r="L641" i="1"/>
  <c r="M640" i="1"/>
  <c r="L640" i="1"/>
  <c r="M639" i="1"/>
  <c r="L639" i="1"/>
  <c r="M638" i="1"/>
  <c r="L638" i="1"/>
  <c r="M637" i="1"/>
  <c r="L637" i="1"/>
  <c r="M636" i="1"/>
  <c r="L636" i="1"/>
  <c r="M635" i="1"/>
  <c r="L635" i="1"/>
  <c r="M634" i="1"/>
  <c r="L634" i="1"/>
  <c r="M633" i="1"/>
  <c r="L633" i="1"/>
  <c r="M632" i="1"/>
  <c r="L632" i="1"/>
  <c r="M631" i="1"/>
  <c r="L631" i="1"/>
  <c r="M630" i="1"/>
  <c r="L630" i="1"/>
  <c r="M629" i="1"/>
  <c r="L629" i="1"/>
  <c r="M628" i="1"/>
  <c r="L628" i="1"/>
  <c r="M627" i="1"/>
  <c r="L627" i="1"/>
  <c r="M626" i="1"/>
  <c r="L626" i="1"/>
  <c r="M625" i="1"/>
  <c r="L625" i="1"/>
  <c r="M624" i="1"/>
  <c r="L624" i="1"/>
  <c r="M623" i="1"/>
  <c r="L623" i="1"/>
  <c r="M622" i="1"/>
  <c r="L622" i="1"/>
  <c r="M621" i="1"/>
  <c r="L621" i="1"/>
  <c r="M620" i="1"/>
  <c r="L620" i="1"/>
  <c r="M619" i="1"/>
  <c r="L619" i="1"/>
  <c r="M618" i="1"/>
  <c r="L618" i="1"/>
  <c r="M617" i="1"/>
  <c r="L617" i="1"/>
  <c r="M616" i="1"/>
  <c r="L616" i="1"/>
  <c r="M615" i="1"/>
  <c r="L615" i="1"/>
  <c r="M614" i="1"/>
  <c r="L614" i="1"/>
  <c r="M613" i="1"/>
  <c r="L613" i="1"/>
  <c r="M612" i="1"/>
  <c r="L612" i="1"/>
  <c r="M611" i="1"/>
  <c r="L611" i="1"/>
  <c r="M610" i="1"/>
  <c r="L610" i="1"/>
  <c r="M609" i="1"/>
  <c r="L609" i="1"/>
  <c r="M608" i="1"/>
  <c r="L608" i="1"/>
  <c r="M607" i="1"/>
  <c r="L607" i="1"/>
  <c r="M606" i="1"/>
  <c r="L606" i="1"/>
  <c r="M605" i="1"/>
  <c r="L605" i="1"/>
  <c r="M604" i="1"/>
  <c r="L604" i="1"/>
  <c r="M603" i="1"/>
  <c r="L603" i="1"/>
  <c r="M602" i="1"/>
  <c r="L602" i="1"/>
  <c r="M601" i="1"/>
  <c r="L601" i="1"/>
  <c r="M600" i="1"/>
  <c r="L600" i="1"/>
  <c r="M599" i="1"/>
  <c r="L599" i="1"/>
  <c r="M598" i="1"/>
  <c r="L598" i="1"/>
  <c r="M597" i="1"/>
  <c r="L597" i="1"/>
  <c r="M596" i="1"/>
  <c r="L596" i="1"/>
  <c r="M595" i="1"/>
  <c r="L595" i="1"/>
  <c r="M594" i="1"/>
  <c r="L594" i="1"/>
  <c r="M593" i="1"/>
  <c r="L593" i="1"/>
  <c r="M592" i="1"/>
  <c r="L592" i="1"/>
  <c r="M591" i="1"/>
  <c r="L591" i="1"/>
  <c r="M590" i="1"/>
  <c r="L590" i="1"/>
  <c r="M589" i="1"/>
  <c r="L589" i="1"/>
  <c r="M588" i="1"/>
  <c r="L588" i="1"/>
  <c r="M587" i="1"/>
  <c r="L587" i="1"/>
  <c r="M586" i="1"/>
  <c r="L586" i="1"/>
  <c r="M585" i="1"/>
  <c r="L585" i="1"/>
  <c r="M584" i="1"/>
  <c r="L584" i="1"/>
  <c r="M583" i="1"/>
  <c r="L583" i="1"/>
  <c r="M582" i="1"/>
  <c r="L582" i="1"/>
  <c r="M581" i="1"/>
  <c r="L581" i="1"/>
  <c r="M580" i="1"/>
  <c r="L580" i="1"/>
  <c r="M579" i="1"/>
  <c r="L579" i="1"/>
  <c r="M578" i="1"/>
  <c r="L578" i="1"/>
  <c r="M577" i="1"/>
  <c r="L577" i="1"/>
  <c r="M576" i="1"/>
  <c r="L576" i="1"/>
  <c r="M575" i="1"/>
  <c r="L575" i="1"/>
  <c r="M574" i="1"/>
  <c r="L574" i="1"/>
  <c r="M573" i="1"/>
  <c r="L573" i="1"/>
  <c r="M572" i="1"/>
  <c r="L572" i="1"/>
  <c r="M571" i="1"/>
  <c r="L571" i="1"/>
  <c r="M570" i="1"/>
  <c r="L570" i="1"/>
  <c r="M569" i="1"/>
  <c r="L569" i="1"/>
  <c r="M568" i="1"/>
  <c r="L568" i="1"/>
  <c r="M567" i="1"/>
  <c r="L567" i="1"/>
  <c r="M566" i="1"/>
  <c r="L566" i="1"/>
  <c r="M565" i="1"/>
  <c r="L565" i="1"/>
  <c r="M564" i="1"/>
  <c r="L564" i="1"/>
  <c r="M563" i="1"/>
  <c r="L563" i="1"/>
  <c r="M562" i="1"/>
  <c r="L562" i="1"/>
  <c r="M561" i="1"/>
  <c r="L561" i="1"/>
  <c r="M560" i="1"/>
  <c r="L560" i="1"/>
  <c r="M559" i="1"/>
  <c r="L559" i="1"/>
  <c r="M558" i="1"/>
  <c r="L558" i="1"/>
  <c r="M557" i="1"/>
  <c r="L557" i="1"/>
  <c r="M556" i="1"/>
  <c r="L556" i="1"/>
  <c r="M555" i="1"/>
  <c r="L555" i="1"/>
  <c r="M554" i="1"/>
  <c r="L554" i="1"/>
  <c r="M553" i="1"/>
  <c r="L553" i="1"/>
  <c r="M552" i="1"/>
  <c r="L552" i="1"/>
  <c r="M551" i="1"/>
  <c r="L551" i="1"/>
  <c r="M550" i="1"/>
  <c r="L550" i="1"/>
  <c r="M549" i="1"/>
  <c r="L549" i="1"/>
  <c r="M548" i="1"/>
  <c r="L548" i="1"/>
  <c r="M547" i="1"/>
  <c r="L547" i="1"/>
  <c r="M546" i="1"/>
  <c r="L546" i="1"/>
  <c r="M545" i="1"/>
  <c r="L545" i="1"/>
  <c r="M544" i="1"/>
  <c r="L544" i="1"/>
  <c r="M543" i="1"/>
  <c r="L543" i="1"/>
  <c r="M542" i="1"/>
  <c r="L542" i="1"/>
  <c r="M541" i="1"/>
  <c r="L541" i="1"/>
  <c r="M540" i="1"/>
  <c r="L540" i="1"/>
  <c r="M539" i="1"/>
  <c r="L539" i="1"/>
  <c r="M538" i="1"/>
  <c r="L538" i="1"/>
  <c r="M537" i="1"/>
  <c r="L537" i="1"/>
  <c r="M536" i="1"/>
  <c r="L536" i="1"/>
  <c r="M535" i="1"/>
  <c r="L535" i="1"/>
  <c r="M534" i="1"/>
  <c r="L534" i="1"/>
  <c r="M533" i="1"/>
  <c r="L533" i="1"/>
  <c r="M532" i="1"/>
  <c r="L532" i="1"/>
  <c r="M531" i="1"/>
  <c r="L531" i="1"/>
  <c r="M530" i="1"/>
  <c r="L530" i="1"/>
  <c r="M529" i="1"/>
  <c r="L529" i="1"/>
  <c r="M528" i="1"/>
  <c r="L528" i="1"/>
  <c r="M527" i="1"/>
  <c r="L527" i="1"/>
  <c r="M526" i="1"/>
  <c r="L526" i="1"/>
  <c r="M525" i="1"/>
  <c r="L525" i="1"/>
  <c r="M524" i="1"/>
  <c r="L524" i="1"/>
  <c r="M523" i="1"/>
  <c r="L523" i="1"/>
  <c r="M522" i="1"/>
  <c r="L522" i="1"/>
  <c r="M521" i="1"/>
  <c r="L521" i="1"/>
  <c r="M520" i="1"/>
  <c r="L520" i="1"/>
  <c r="M519" i="1"/>
  <c r="L519" i="1"/>
  <c r="M518" i="1"/>
  <c r="L518" i="1"/>
  <c r="M517" i="1"/>
  <c r="L517" i="1"/>
  <c r="M516" i="1"/>
  <c r="L516" i="1"/>
  <c r="M515" i="1"/>
  <c r="L515" i="1"/>
  <c r="M514" i="1"/>
  <c r="L514" i="1"/>
  <c r="M513" i="1"/>
  <c r="L513" i="1"/>
  <c r="M512" i="1"/>
  <c r="L512" i="1"/>
  <c r="M511" i="1"/>
  <c r="L511" i="1"/>
  <c r="M510" i="1"/>
  <c r="L510" i="1"/>
  <c r="M509" i="1"/>
  <c r="L509" i="1"/>
  <c r="M508" i="1"/>
  <c r="L508" i="1"/>
  <c r="M507" i="1"/>
  <c r="L507" i="1"/>
  <c r="M506" i="1"/>
  <c r="L506" i="1"/>
  <c r="M505" i="1"/>
  <c r="L505" i="1"/>
  <c r="M504" i="1"/>
  <c r="L504" i="1"/>
  <c r="M503" i="1"/>
  <c r="L503" i="1"/>
  <c r="M502" i="1"/>
  <c r="L502" i="1"/>
  <c r="M501" i="1"/>
  <c r="L501" i="1"/>
  <c r="M500" i="1"/>
  <c r="L500" i="1"/>
  <c r="M499" i="1"/>
  <c r="L499" i="1"/>
  <c r="M498" i="1"/>
  <c r="L498" i="1"/>
  <c r="M497" i="1"/>
  <c r="L497" i="1"/>
  <c r="M496" i="1"/>
  <c r="L496" i="1"/>
  <c r="M495" i="1"/>
  <c r="L495" i="1"/>
  <c r="M494" i="1"/>
  <c r="L494" i="1"/>
  <c r="M493" i="1"/>
  <c r="L493" i="1"/>
  <c r="M492" i="1"/>
  <c r="L492" i="1"/>
  <c r="M491" i="1"/>
  <c r="L491" i="1"/>
  <c r="M490" i="1"/>
  <c r="L490" i="1"/>
  <c r="M489" i="1"/>
  <c r="L489" i="1"/>
  <c r="M488" i="1"/>
  <c r="L488" i="1"/>
  <c r="M487" i="1"/>
  <c r="L487" i="1"/>
  <c r="M486" i="1"/>
  <c r="L486" i="1"/>
  <c r="M485" i="1"/>
  <c r="L485" i="1"/>
  <c r="M484" i="1"/>
  <c r="L484" i="1"/>
  <c r="M483" i="1"/>
  <c r="L483" i="1"/>
  <c r="M482" i="1"/>
  <c r="L482" i="1"/>
  <c r="M481" i="1"/>
  <c r="L481" i="1"/>
  <c r="M480" i="1"/>
  <c r="L480" i="1"/>
  <c r="M479" i="1"/>
  <c r="L479" i="1"/>
  <c r="M478" i="1"/>
  <c r="L478" i="1"/>
  <c r="M477" i="1"/>
  <c r="L477" i="1"/>
  <c r="M476" i="1"/>
  <c r="L476" i="1"/>
  <c r="M475" i="1"/>
  <c r="L475" i="1"/>
  <c r="M474" i="1"/>
  <c r="L474" i="1"/>
  <c r="M473" i="1"/>
  <c r="L473" i="1"/>
  <c r="M472" i="1"/>
  <c r="L472" i="1"/>
  <c r="M471" i="1"/>
  <c r="L471" i="1"/>
  <c r="M470" i="1"/>
  <c r="L470" i="1"/>
  <c r="M469" i="1"/>
  <c r="L469" i="1"/>
  <c r="M468" i="1"/>
  <c r="L468" i="1"/>
  <c r="M467" i="1"/>
  <c r="L467" i="1"/>
  <c r="M466" i="1"/>
  <c r="L466" i="1"/>
  <c r="M465" i="1"/>
  <c r="L465" i="1"/>
  <c r="M464" i="1"/>
  <c r="L464" i="1"/>
  <c r="M463" i="1"/>
  <c r="L463" i="1"/>
  <c r="M462" i="1"/>
  <c r="L462" i="1"/>
  <c r="M461" i="1"/>
  <c r="L461" i="1"/>
  <c r="M460" i="1"/>
  <c r="L460" i="1"/>
  <c r="M459" i="1"/>
  <c r="L459" i="1"/>
  <c r="M458" i="1"/>
  <c r="L458" i="1"/>
  <c r="M457" i="1"/>
  <c r="L457" i="1"/>
  <c r="M456" i="1"/>
  <c r="L456" i="1"/>
  <c r="M455" i="1"/>
  <c r="L455" i="1"/>
  <c r="M454" i="1"/>
  <c r="L454" i="1"/>
  <c r="M453" i="1"/>
  <c r="L453" i="1"/>
  <c r="M452" i="1"/>
  <c r="L452" i="1"/>
  <c r="M451" i="1"/>
  <c r="L451" i="1"/>
  <c r="M450" i="1"/>
  <c r="L450" i="1"/>
  <c r="M449" i="1"/>
  <c r="L449" i="1"/>
  <c r="M448" i="1"/>
  <c r="L448" i="1"/>
  <c r="M447" i="1"/>
  <c r="L447" i="1"/>
  <c r="M446" i="1"/>
  <c r="L446" i="1"/>
  <c r="M445" i="1"/>
  <c r="L445" i="1"/>
  <c r="M444" i="1"/>
  <c r="L444" i="1"/>
  <c r="M443" i="1"/>
  <c r="L443" i="1"/>
  <c r="M442" i="1"/>
  <c r="L442" i="1"/>
  <c r="M441" i="1"/>
  <c r="L441" i="1"/>
  <c r="M440" i="1"/>
  <c r="L440" i="1"/>
  <c r="M439" i="1"/>
  <c r="L439" i="1"/>
  <c r="M438" i="1"/>
  <c r="L438" i="1"/>
  <c r="M437" i="1"/>
  <c r="L437" i="1"/>
  <c r="M436" i="1"/>
  <c r="L436" i="1"/>
  <c r="M435" i="1"/>
  <c r="L435" i="1"/>
  <c r="M434" i="1"/>
  <c r="L434" i="1"/>
  <c r="M433" i="1"/>
  <c r="L433" i="1"/>
  <c r="M432" i="1"/>
  <c r="L432" i="1"/>
  <c r="M431" i="1"/>
  <c r="L431" i="1"/>
  <c r="M430" i="1"/>
  <c r="L430" i="1"/>
  <c r="M429" i="1"/>
  <c r="L429" i="1"/>
  <c r="M428" i="1"/>
  <c r="L428" i="1"/>
  <c r="M427" i="1"/>
  <c r="L427" i="1"/>
  <c r="M426" i="1"/>
  <c r="L426" i="1"/>
  <c r="M425" i="1"/>
  <c r="L425" i="1"/>
  <c r="M424" i="1"/>
  <c r="L424" i="1"/>
  <c r="M423" i="1"/>
  <c r="L423" i="1"/>
  <c r="M422" i="1"/>
  <c r="L422" i="1"/>
  <c r="M421" i="1"/>
  <c r="L421" i="1"/>
  <c r="M420" i="1"/>
  <c r="L420" i="1"/>
  <c r="M419" i="1"/>
  <c r="L419" i="1"/>
  <c r="M418" i="1"/>
  <c r="L418" i="1"/>
  <c r="M417" i="1"/>
  <c r="L417" i="1"/>
  <c r="M416" i="1"/>
  <c r="L416" i="1"/>
  <c r="M415" i="1"/>
  <c r="L415" i="1"/>
  <c r="M414" i="1"/>
  <c r="L414" i="1"/>
  <c r="M413" i="1"/>
  <c r="L413" i="1"/>
  <c r="M412" i="1"/>
  <c r="L412" i="1"/>
  <c r="M411" i="1"/>
  <c r="L411" i="1"/>
  <c r="M410" i="1"/>
  <c r="L410" i="1"/>
  <c r="M409" i="1"/>
  <c r="L409" i="1"/>
  <c r="M408" i="1"/>
  <c r="L408" i="1"/>
  <c r="M407" i="1"/>
  <c r="L407" i="1"/>
  <c r="M406" i="1"/>
  <c r="L406" i="1"/>
  <c r="M405" i="1"/>
  <c r="L405" i="1"/>
  <c r="M404" i="1"/>
  <c r="L404" i="1"/>
  <c r="M403" i="1"/>
  <c r="L403" i="1"/>
  <c r="M402" i="1"/>
  <c r="L402" i="1"/>
  <c r="M401" i="1"/>
  <c r="L401" i="1"/>
  <c r="M400" i="1"/>
  <c r="L400" i="1"/>
  <c r="M399" i="1"/>
  <c r="L399" i="1"/>
  <c r="M398" i="1"/>
  <c r="L398" i="1"/>
  <c r="M397" i="1"/>
  <c r="L397" i="1"/>
  <c r="M396" i="1"/>
  <c r="L396" i="1"/>
  <c r="M395" i="1"/>
  <c r="L395" i="1"/>
  <c r="M394" i="1"/>
  <c r="L394" i="1"/>
  <c r="M393" i="1"/>
  <c r="L393" i="1"/>
  <c r="M392" i="1"/>
  <c r="L392" i="1"/>
  <c r="M391" i="1"/>
  <c r="L391" i="1"/>
  <c r="M390" i="1"/>
  <c r="L390" i="1"/>
  <c r="M389" i="1"/>
  <c r="L389" i="1"/>
  <c r="M388" i="1"/>
  <c r="L388" i="1"/>
  <c r="M387" i="1"/>
  <c r="L387" i="1"/>
  <c r="M386" i="1"/>
  <c r="L386" i="1"/>
  <c r="M385" i="1"/>
  <c r="L385" i="1"/>
  <c r="M384" i="1"/>
  <c r="L384" i="1"/>
  <c r="M383" i="1"/>
  <c r="L383" i="1"/>
  <c r="M382" i="1"/>
  <c r="L382" i="1"/>
  <c r="M381" i="1"/>
  <c r="L381" i="1"/>
  <c r="M380" i="1"/>
  <c r="L380" i="1"/>
  <c r="M379" i="1"/>
  <c r="L379" i="1"/>
  <c r="M378" i="1"/>
  <c r="L378" i="1"/>
  <c r="M377" i="1"/>
  <c r="L377" i="1"/>
  <c r="M376" i="1"/>
  <c r="L376" i="1"/>
  <c r="M375" i="1"/>
  <c r="L375" i="1"/>
  <c r="M374" i="1"/>
  <c r="L374" i="1"/>
  <c r="M373" i="1"/>
  <c r="L373" i="1"/>
  <c r="M372" i="1"/>
  <c r="L372" i="1"/>
  <c r="M371" i="1"/>
  <c r="L371" i="1"/>
  <c r="M370" i="1"/>
  <c r="L370" i="1"/>
  <c r="M369" i="1"/>
  <c r="L369" i="1"/>
  <c r="M368" i="1"/>
  <c r="L368" i="1"/>
  <c r="M367" i="1"/>
  <c r="L367" i="1"/>
  <c r="M366" i="1"/>
  <c r="L366" i="1"/>
  <c r="M365" i="1"/>
  <c r="L365" i="1"/>
  <c r="M364" i="1"/>
  <c r="L364" i="1"/>
  <c r="M363" i="1"/>
  <c r="L363" i="1"/>
  <c r="M362" i="1"/>
  <c r="L362" i="1"/>
  <c r="M361" i="1"/>
  <c r="L361" i="1"/>
  <c r="M360" i="1"/>
  <c r="L360" i="1"/>
  <c r="M359" i="1"/>
  <c r="L359" i="1"/>
  <c r="M358" i="1"/>
  <c r="L358" i="1"/>
  <c r="M357" i="1"/>
  <c r="L357" i="1"/>
  <c r="M356" i="1"/>
  <c r="L356" i="1"/>
  <c r="M355" i="1"/>
  <c r="L355" i="1"/>
  <c r="M354" i="1"/>
  <c r="L354" i="1"/>
  <c r="M353" i="1"/>
  <c r="L353" i="1"/>
  <c r="M352" i="1"/>
  <c r="L352" i="1"/>
  <c r="M351" i="1"/>
  <c r="L351" i="1"/>
  <c r="M350" i="1"/>
  <c r="L350" i="1"/>
  <c r="M349" i="1"/>
  <c r="L349" i="1"/>
  <c r="M348" i="1"/>
  <c r="L348" i="1"/>
  <c r="M347" i="1"/>
  <c r="L347" i="1"/>
  <c r="M346" i="1"/>
  <c r="L346" i="1"/>
  <c r="M345" i="1"/>
  <c r="L345" i="1"/>
  <c r="M344" i="1"/>
  <c r="L344" i="1"/>
  <c r="M343" i="1"/>
  <c r="L343" i="1"/>
  <c r="M342" i="1"/>
  <c r="L342" i="1"/>
  <c r="M341" i="1"/>
  <c r="L341" i="1"/>
  <c r="M340" i="1"/>
  <c r="L340" i="1"/>
  <c r="M339" i="1"/>
  <c r="L339" i="1"/>
  <c r="M338" i="1"/>
  <c r="L338" i="1"/>
  <c r="M337" i="1"/>
  <c r="L337" i="1"/>
  <c r="M336" i="1"/>
  <c r="L336" i="1"/>
  <c r="M335" i="1"/>
  <c r="L335" i="1"/>
  <c r="M334" i="1"/>
  <c r="L334" i="1"/>
  <c r="M333" i="1"/>
  <c r="L333" i="1"/>
  <c r="M332" i="1"/>
  <c r="L332" i="1"/>
  <c r="M331" i="1"/>
  <c r="L331" i="1"/>
  <c r="M330" i="1"/>
  <c r="L330" i="1"/>
  <c r="M329" i="1"/>
  <c r="L329" i="1"/>
  <c r="M328" i="1"/>
  <c r="L328" i="1"/>
  <c r="M327" i="1"/>
  <c r="L327" i="1"/>
  <c r="M326" i="1"/>
  <c r="L326" i="1"/>
  <c r="M325" i="1"/>
  <c r="L325" i="1"/>
  <c r="M324" i="1"/>
  <c r="L324" i="1"/>
  <c r="M323" i="1"/>
  <c r="L323" i="1"/>
  <c r="M322" i="1"/>
  <c r="L322" i="1"/>
  <c r="M321" i="1"/>
  <c r="L321" i="1"/>
  <c r="M320" i="1"/>
  <c r="L320" i="1"/>
  <c r="M319" i="1"/>
  <c r="L319" i="1"/>
  <c r="M318" i="1"/>
  <c r="L318" i="1"/>
  <c r="M317" i="1"/>
  <c r="L317" i="1"/>
  <c r="M316" i="1"/>
  <c r="L316" i="1"/>
  <c r="M315" i="1"/>
  <c r="L315" i="1"/>
  <c r="M314" i="1"/>
  <c r="L314" i="1"/>
  <c r="M313" i="1"/>
  <c r="L313" i="1"/>
  <c r="M312" i="1"/>
  <c r="L312" i="1"/>
  <c r="M311" i="1"/>
  <c r="L311" i="1"/>
  <c r="M310" i="1"/>
  <c r="L310" i="1"/>
  <c r="M309" i="1"/>
  <c r="L309" i="1"/>
  <c r="M308" i="1"/>
  <c r="L308" i="1"/>
  <c r="M307" i="1"/>
  <c r="L307" i="1"/>
  <c r="M306" i="1"/>
  <c r="L306" i="1"/>
  <c r="M305" i="1"/>
  <c r="L305" i="1"/>
  <c r="M304" i="1"/>
  <c r="L304" i="1"/>
  <c r="M303" i="1"/>
  <c r="L303" i="1"/>
  <c r="M302" i="1"/>
  <c r="L302" i="1"/>
  <c r="M301" i="1"/>
  <c r="L301" i="1"/>
  <c r="M300" i="1"/>
  <c r="L300" i="1"/>
  <c r="M299" i="1"/>
  <c r="L299" i="1"/>
  <c r="M298" i="1"/>
  <c r="L298" i="1"/>
  <c r="M297" i="1"/>
  <c r="L297" i="1"/>
  <c r="M296" i="1"/>
  <c r="L296" i="1"/>
  <c r="M295" i="1"/>
  <c r="L295" i="1"/>
  <c r="M294" i="1"/>
  <c r="L294" i="1"/>
  <c r="M293" i="1"/>
  <c r="L293" i="1"/>
  <c r="M292" i="1"/>
  <c r="L292" i="1"/>
  <c r="M291" i="1"/>
  <c r="L291" i="1"/>
  <c r="M290" i="1"/>
  <c r="L290" i="1"/>
  <c r="M289" i="1"/>
  <c r="L289" i="1"/>
  <c r="M288" i="1"/>
  <c r="L288" i="1"/>
  <c r="M287" i="1"/>
  <c r="L287" i="1"/>
  <c r="M286" i="1"/>
  <c r="L286" i="1"/>
  <c r="M285" i="1"/>
  <c r="L285" i="1"/>
  <c r="M284" i="1"/>
  <c r="L284" i="1"/>
  <c r="M283" i="1"/>
  <c r="L283" i="1"/>
  <c r="M282" i="1"/>
  <c r="L282" i="1"/>
  <c r="M281" i="1"/>
  <c r="L281" i="1"/>
  <c r="M280" i="1"/>
  <c r="L280" i="1"/>
  <c r="M279" i="1"/>
  <c r="L279" i="1"/>
  <c r="M278" i="1"/>
  <c r="L278" i="1"/>
  <c r="M277" i="1"/>
  <c r="L277" i="1"/>
  <c r="M276" i="1"/>
  <c r="L276" i="1"/>
  <c r="M275" i="1"/>
  <c r="L275" i="1"/>
  <c r="M274" i="1"/>
  <c r="L274" i="1"/>
  <c r="M273" i="1"/>
  <c r="L273" i="1"/>
  <c r="M272" i="1"/>
  <c r="L272" i="1"/>
  <c r="M271" i="1"/>
  <c r="L271" i="1"/>
  <c r="M270" i="1"/>
  <c r="L270" i="1"/>
  <c r="M269" i="1"/>
  <c r="L269" i="1"/>
  <c r="M268" i="1"/>
  <c r="L268" i="1"/>
  <c r="M267" i="1"/>
  <c r="L267" i="1"/>
  <c r="M266" i="1"/>
  <c r="L266" i="1"/>
  <c r="M265" i="1"/>
  <c r="L265" i="1"/>
  <c r="M264" i="1"/>
  <c r="L264" i="1"/>
  <c r="M263" i="1"/>
  <c r="L263" i="1"/>
  <c r="M262" i="1"/>
  <c r="L262" i="1"/>
  <c r="M261" i="1"/>
  <c r="L261" i="1"/>
  <c r="M260" i="1"/>
  <c r="L260" i="1"/>
  <c r="M259" i="1"/>
  <c r="L259" i="1"/>
  <c r="M258" i="1"/>
  <c r="L258" i="1"/>
  <c r="M257" i="1"/>
  <c r="L257" i="1"/>
  <c r="M256" i="1"/>
  <c r="L256" i="1"/>
  <c r="M255" i="1"/>
  <c r="L255" i="1"/>
  <c r="M254" i="1"/>
  <c r="L254" i="1"/>
  <c r="M253" i="1"/>
  <c r="L253" i="1"/>
  <c r="M252" i="1"/>
  <c r="L252" i="1"/>
  <c r="M251" i="1"/>
  <c r="L251" i="1"/>
  <c r="M250" i="1"/>
  <c r="L250" i="1"/>
  <c r="M249" i="1"/>
  <c r="L249" i="1"/>
  <c r="M248" i="1"/>
  <c r="L248" i="1"/>
  <c r="M247" i="1"/>
  <c r="L247" i="1"/>
  <c r="M246" i="1"/>
  <c r="L246" i="1"/>
  <c r="M245" i="1"/>
  <c r="L245" i="1"/>
  <c r="M244" i="1"/>
  <c r="L244" i="1"/>
  <c r="M243" i="1"/>
  <c r="L243" i="1"/>
  <c r="M242" i="1"/>
  <c r="L242" i="1"/>
  <c r="M241" i="1"/>
  <c r="L241" i="1"/>
  <c r="M240" i="1"/>
  <c r="L240" i="1"/>
  <c r="M239" i="1"/>
  <c r="L239" i="1"/>
  <c r="M238" i="1"/>
  <c r="L238" i="1"/>
  <c r="M237" i="1"/>
  <c r="L237" i="1"/>
  <c r="M236" i="1"/>
  <c r="L236" i="1"/>
  <c r="M235" i="1"/>
  <c r="L235" i="1"/>
  <c r="M234" i="1"/>
  <c r="L234" i="1"/>
  <c r="M233" i="1"/>
  <c r="L233" i="1"/>
  <c r="M232" i="1"/>
  <c r="L232" i="1"/>
  <c r="M231" i="1"/>
  <c r="L231" i="1"/>
  <c r="M230" i="1"/>
  <c r="L230" i="1"/>
  <c r="M229" i="1"/>
  <c r="L229" i="1"/>
  <c r="M228" i="1"/>
  <c r="L228" i="1"/>
  <c r="M227" i="1"/>
  <c r="L227" i="1"/>
  <c r="M226" i="1"/>
  <c r="L226" i="1"/>
  <c r="M225" i="1"/>
  <c r="L225" i="1"/>
  <c r="M224" i="1"/>
  <c r="L224" i="1"/>
  <c r="M223" i="1"/>
  <c r="L223" i="1"/>
  <c r="M222" i="1"/>
  <c r="L222" i="1"/>
  <c r="M221" i="1"/>
  <c r="L221" i="1"/>
  <c r="M220" i="1"/>
  <c r="L220" i="1"/>
  <c r="M219" i="1"/>
  <c r="L219" i="1"/>
  <c r="M218" i="1"/>
  <c r="L218" i="1"/>
  <c r="M217" i="1"/>
  <c r="L217" i="1"/>
  <c r="M216" i="1"/>
  <c r="L216" i="1"/>
  <c r="M215" i="1"/>
  <c r="L215" i="1"/>
  <c r="M214" i="1"/>
  <c r="L214" i="1"/>
  <c r="M213" i="1"/>
  <c r="L213" i="1"/>
  <c r="M212" i="1"/>
  <c r="L212" i="1"/>
  <c r="M211" i="1"/>
  <c r="L211" i="1"/>
  <c r="M210" i="1"/>
  <c r="L210" i="1"/>
  <c r="M209" i="1"/>
  <c r="L209" i="1"/>
  <c r="M208" i="1"/>
  <c r="L208" i="1"/>
  <c r="M207" i="1"/>
  <c r="L207" i="1"/>
  <c r="M206" i="1"/>
  <c r="L206" i="1"/>
  <c r="M205" i="1"/>
  <c r="L205" i="1"/>
  <c r="M204" i="1"/>
  <c r="L204" i="1"/>
  <c r="M203" i="1"/>
  <c r="L203" i="1"/>
  <c r="M202" i="1"/>
  <c r="L202" i="1"/>
  <c r="M201" i="1"/>
  <c r="L201" i="1"/>
  <c r="M200" i="1"/>
  <c r="L200" i="1"/>
  <c r="M199" i="1"/>
  <c r="L199" i="1"/>
  <c r="M198" i="1"/>
  <c r="L198" i="1"/>
  <c r="M197" i="1"/>
  <c r="L197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6" i="1"/>
  <c r="L186" i="1"/>
  <c r="M185" i="1"/>
  <c r="L185" i="1"/>
  <c r="M184" i="1"/>
  <c r="L184" i="1"/>
  <c r="M183" i="1"/>
  <c r="L183" i="1"/>
  <c r="M182" i="1"/>
  <c r="L182" i="1"/>
  <c r="M181" i="1"/>
  <c r="L181" i="1"/>
  <c r="M180" i="1"/>
  <c r="L180" i="1"/>
  <c r="M179" i="1"/>
  <c r="L179" i="1"/>
  <c r="M178" i="1"/>
  <c r="L178" i="1"/>
  <c r="M177" i="1"/>
  <c r="L177" i="1"/>
  <c r="M176" i="1"/>
  <c r="L176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8" i="1"/>
  <c r="L168" i="1"/>
  <c r="M167" i="1"/>
  <c r="L167" i="1"/>
  <c r="M166" i="1"/>
  <c r="L166" i="1"/>
  <c r="M165" i="1"/>
  <c r="L165" i="1"/>
  <c r="M164" i="1"/>
  <c r="L164" i="1"/>
  <c r="M163" i="1"/>
  <c r="L163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5" i="1"/>
  <c r="L155" i="1"/>
  <c r="M154" i="1"/>
  <c r="L154" i="1"/>
  <c r="M153" i="1"/>
  <c r="L153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42" i="1"/>
  <c r="L142" i="1"/>
  <c r="M141" i="1"/>
  <c r="L141" i="1"/>
  <c r="M140" i="1"/>
  <c r="L140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9" i="1"/>
  <c r="L129" i="1"/>
  <c r="M128" i="1"/>
  <c r="L128" i="1"/>
  <c r="M127" i="1"/>
  <c r="L127" i="1"/>
  <c r="M126" i="1"/>
  <c r="L126" i="1"/>
  <c r="M125" i="1"/>
  <c r="L125" i="1"/>
  <c r="M124" i="1"/>
  <c r="L124" i="1"/>
  <c r="M123" i="1"/>
  <c r="L123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M19" i="1"/>
  <c r="L19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M5" i="1"/>
  <c r="L5" i="1"/>
  <c r="M4" i="1"/>
  <c r="L4" i="1"/>
  <c r="M3" i="1"/>
  <c r="L3" i="1"/>
  <c r="M2" i="1"/>
  <c r="L2" i="1"/>
  <c r="H51" i="7" l="1"/>
  <c r="I50" i="7"/>
  <c r="I49" i="7"/>
  <c r="J48" i="7"/>
  <c r="J47" i="7"/>
  <c r="K46" i="7"/>
  <c r="K45" i="7"/>
  <c r="H44" i="7"/>
  <c r="H43" i="7"/>
  <c r="I42" i="7"/>
  <c r="I41" i="7"/>
  <c r="J40" i="7"/>
  <c r="J39" i="7"/>
  <c r="K38" i="7"/>
  <c r="K37" i="7"/>
  <c r="H36" i="7"/>
  <c r="H35" i="7"/>
  <c r="I34" i="7"/>
  <c r="I33" i="7"/>
  <c r="J32" i="7"/>
  <c r="J31" i="7"/>
  <c r="K30" i="7"/>
  <c r="K29" i="7"/>
  <c r="K28" i="7"/>
  <c r="K27" i="7"/>
  <c r="K26" i="7"/>
  <c r="K25" i="7"/>
  <c r="H24" i="7"/>
  <c r="H23" i="7"/>
  <c r="H22" i="7"/>
  <c r="H21" i="7"/>
  <c r="I20" i="7"/>
  <c r="I19" i="7"/>
  <c r="I18" i="7"/>
  <c r="I17" i="7"/>
  <c r="J16" i="7"/>
  <c r="J15" i="7"/>
  <c r="J14" i="7"/>
  <c r="J13" i="7"/>
  <c r="K12" i="7"/>
  <c r="K11" i="7"/>
  <c r="K10" i="7"/>
  <c r="K9" i="7"/>
  <c r="H8" i="7"/>
  <c r="H7" i="7"/>
  <c r="H6" i="7"/>
  <c r="H5" i="7"/>
  <c r="I4" i="7"/>
  <c r="K51" i="7"/>
  <c r="H50" i="7"/>
  <c r="H49" i="7"/>
  <c r="I48" i="7"/>
  <c r="I47" i="7"/>
  <c r="J46" i="7"/>
  <c r="J45" i="7"/>
  <c r="K44" i="7"/>
  <c r="K43" i="7"/>
  <c r="H42" i="7"/>
  <c r="H41" i="7"/>
  <c r="I40" i="7"/>
  <c r="I39" i="7"/>
  <c r="J38" i="7"/>
  <c r="J37" i="7"/>
  <c r="K36" i="7"/>
  <c r="K35" i="7"/>
  <c r="H34" i="7"/>
  <c r="H33" i="7"/>
  <c r="I32" i="7"/>
  <c r="I31" i="7"/>
  <c r="J30" i="7"/>
  <c r="J29" i="7"/>
  <c r="J28" i="7"/>
  <c r="J27" i="7"/>
  <c r="J26" i="7"/>
  <c r="J25" i="7"/>
  <c r="K24" i="7"/>
  <c r="K23" i="7"/>
  <c r="K22" i="7"/>
  <c r="I51" i="7"/>
  <c r="J49" i="7"/>
  <c r="K47" i="7"/>
  <c r="M47" i="7" s="1"/>
  <c r="H46" i="7"/>
  <c r="I44" i="7"/>
  <c r="J42" i="7"/>
  <c r="K40" i="7"/>
  <c r="H37" i="7"/>
  <c r="I35" i="7"/>
  <c r="J33" i="7"/>
  <c r="K31" i="7"/>
  <c r="M31" i="7" s="1"/>
  <c r="H30" i="7"/>
  <c r="H28" i="7"/>
  <c r="H26" i="7"/>
  <c r="I24" i="7"/>
  <c r="I22" i="7"/>
  <c r="K19" i="7"/>
  <c r="J18" i="7"/>
  <c r="H17" i="7"/>
  <c r="H16" i="7"/>
  <c r="K14" i="7"/>
  <c r="I13" i="7"/>
  <c r="I12" i="7"/>
  <c r="H11" i="7"/>
  <c r="J9" i="7"/>
  <c r="J8" i="7"/>
  <c r="L8" i="7" s="1"/>
  <c r="I7" i="7"/>
  <c r="K5" i="7"/>
  <c r="K4" i="7"/>
  <c r="K50" i="7"/>
  <c r="H47" i="7"/>
  <c r="I45" i="7"/>
  <c r="J43" i="7"/>
  <c r="K41" i="7"/>
  <c r="H40" i="7"/>
  <c r="I38" i="7"/>
  <c r="J36" i="7"/>
  <c r="K34" i="7"/>
  <c r="H31" i="7"/>
  <c r="I29" i="7"/>
  <c r="I27" i="7"/>
  <c r="I25" i="7"/>
  <c r="J23" i="7"/>
  <c r="L23" i="7" s="1"/>
  <c r="K21" i="7"/>
  <c r="K20" i="7"/>
  <c r="J19" i="7"/>
  <c r="H18" i="7"/>
  <c r="K15" i="7"/>
  <c r="I14" i="7"/>
  <c r="H13" i="7"/>
  <c r="H12" i="7"/>
  <c r="J10" i="7"/>
  <c r="I9" i="7"/>
  <c r="I8" i="7"/>
  <c r="K6" i="7"/>
  <c r="J5" i="7"/>
  <c r="J4" i="7"/>
  <c r="J50" i="7"/>
  <c r="K48" i="7"/>
  <c r="H45" i="7"/>
  <c r="I43" i="7"/>
  <c r="J41" i="7"/>
  <c r="K39" i="7"/>
  <c r="M39" i="7" s="1"/>
  <c r="H38" i="7"/>
  <c r="I36" i="7"/>
  <c r="J34" i="7"/>
  <c r="K32" i="7"/>
  <c r="H29" i="7"/>
  <c r="H27" i="7"/>
  <c r="H25" i="7"/>
  <c r="I23" i="7"/>
  <c r="J21" i="7"/>
  <c r="J20" i="7"/>
  <c r="H19" i="7"/>
  <c r="K17" i="7"/>
  <c r="K16" i="7"/>
  <c r="I15" i="7"/>
  <c r="H14" i="7"/>
  <c r="J11" i="7"/>
  <c r="I10" i="7"/>
  <c r="H9" i="7"/>
  <c r="K7" i="7"/>
  <c r="J6" i="7"/>
  <c r="I5" i="7"/>
  <c r="H4" i="7"/>
  <c r="J51" i="7"/>
  <c r="K49" i="7"/>
  <c r="H48" i="7"/>
  <c r="I46" i="7"/>
  <c r="J44" i="7"/>
  <c r="L44" i="7" s="1"/>
  <c r="K42" i="7"/>
  <c r="H39" i="7"/>
  <c r="I37" i="7"/>
  <c r="J35" i="7"/>
  <c r="K33" i="7"/>
  <c r="H32" i="7"/>
  <c r="I30" i="7"/>
  <c r="I28" i="7"/>
  <c r="I26" i="7"/>
  <c r="J24" i="7"/>
  <c r="J22" i="7"/>
  <c r="I21" i="7"/>
  <c r="H20" i="7"/>
  <c r="K18" i="7"/>
  <c r="M18" i="7" s="1"/>
  <c r="J17" i="7"/>
  <c r="I16" i="7"/>
  <c r="H15" i="7"/>
  <c r="K13" i="7"/>
  <c r="J12" i="7"/>
  <c r="I11" i="7"/>
  <c r="H10" i="7"/>
  <c r="K8" i="7"/>
  <c r="J7" i="7"/>
  <c r="I6" i="7"/>
  <c r="D40" i="7"/>
  <c r="C41" i="7"/>
  <c r="B42" i="7" s="1"/>
  <c r="E40" i="7"/>
  <c r="AK53" i="3"/>
  <c r="AQ55" i="3"/>
  <c r="AJ55" i="3"/>
  <c r="AL55" i="3"/>
  <c r="AK54" i="3"/>
  <c r="AT52" i="3"/>
  <c r="AT51" i="3"/>
  <c r="AT50" i="3"/>
  <c r="AT49" i="3"/>
  <c r="AS48" i="3"/>
  <c r="AP47" i="3"/>
  <c r="AP46" i="3"/>
  <c r="AP45" i="3"/>
  <c r="AP44" i="3"/>
  <c r="AP43" i="3"/>
  <c r="AS42" i="3"/>
  <c r="AK42" i="3"/>
  <c r="AT40" i="3"/>
  <c r="AK40" i="3"/>
  <c r="AT38" i="3"/>
  <c r="AK38" i="3"/>
  <c r="AT36" i="3"/>
  <c r="AK36" i="3"/>
  <c r="AL35" i="3"/>
  <c r="AP34" i="3"/>
  <c r="AP33" i="3"/>
  <c r="AP32" i="3"/>
  <c r="AP31" i="3"/>
  <c r="AP30" i="3"/>
  <c r="AT29" i="3"/>
  <c r="AL29" i="3"/>
  <c r="AO28" i="3"/>
  <c r="AL27" i="3"/>
  <c r="AO26" i="3"/>
  <c r="AP25" i="3"/>
  <c r="AT24" i="3"/>
  <c r="AL24" i="3"/>
  <c r="AP23" i="3"/>
  <c r="AP22" i="3"/>
  <c r="AT21" i="3"/>
  <c r="AK21" i="3"/>
  <c r="AO20" i="3"/>
  <c r="AQ19" i="3"/>
  <c r="AT18" i="3"/>
  <c r="AK18" i="3"/>
  <c r="AL17" i="3"/>
  <c r="AP16" i="3"/>
  <c r="AT15" i="3"/>
  <c r="AK15" i="3"/>
  <c r="AL14" i="3"/>
  <c r="AP13" i="3"/>
  <c r="AK13" i="3"/>
  <c r="AO12" i="3"/>
  <c r="AT11" i="3"/>
  <c r="AM11" i="3"/>
  <c r="AS10" i="3"/>
  <c r="AK10" i="3"/>
  <c r="AO9" i="3"/>
  <c r="AT8" i="3"/>
  <c r="AL8" i="3"/>
  <c r="AQ7" i="3"/>
  <c r="AT6" i="3"/>
  <c r="AK6" i="3"/>
  <c r="AQ15" i="3"/>
  <c r="AU13" i="3"/>
  <c r="AT12" i="3"/>
  <c r="AM12" i="3"/>
  <c r="AP10" i="3"/>
  <c r="AT9" i="3"/>
  <c r="AK8" i="3"/>
  <c r="AP7" i="3"/>
  <c r="AK44" i="3"/>
  <c r="AP39" i="3"/>
  <c r="AP36" i="3"/>
  <c r="AK32" i="3"/>
  <c r="AR29" i="3"/>
  <c r="AK26" i="3"/>
  <c r="AT23" i="3"/>
  <c r="AS20" i="3"/>
  <c r="AP17" i="3"/>
  <c r="AP14" i="3"/>
  <c r="AS12" i="3"/>
  <c r="AO10" i="3"/>
  <c r="AQ8" i="3"/>
  <c r="AP6" i="3"/>
  <c r="AM54" i="3"/>
  <c r="AR11" i="3"/>
  <c r="AT55" i="3"/>
  <c r="AT54" i="3"/>
  <c r="AT53" i="3"/>
  <c r="AP52" i="3"/>
  <c r="AP51" i="3"/>
  <c r="AQ50" i="3"/>
  <c r="AP49" i="3"/>
  <c r="AP48" i="3"/>
  <c r="AL47" i="3"/>
  <c r="AL46" i="3"/>
  <c r="AL45" i="3"/>
  <c r="AL44" i="3"/>
  <c r="AM43" i="3"/>
  <c r="AQ42" i="3"/>
  <c r="AT41" i="3"/>
  <c r="AS40" i="3"/>
  <c r="AT39" i="3"/>
  <c r="AS38" i="3"/>
  <c r="AT37" i="3"/>
  <c r="AS36" i="3"/>
  <c r="AT35" i="3"/>
  <c r="AT34" i="3"/>
  <c r="AL34" i="3"/>
  <c r="AL33" i="3"/>
  <c r="AL32" i="3"/>
  <c r="AL31" i="3"/>
  <c r="AM30" i="3"/>
  <c r="AS29" i="3"/>
  <c r="AK29" i="3"/>
  <c r="AL28" i="3"/>
  <c r="AU26" i="3"/>
  <c r="AL26" i="3"/>
  <c r="AO25" i="3"/>
  <c r="AS24" i="3"/>
  <c r="AK24" i="3"/>
  <c r="AL23" i="3"/>
  <c r="AO22" i="3"/>
  <c r="AP21" i="3"/>
  <c r="AT20" i="3"/>
  <c r="AL20" i="3"/>
  <c r="AP19" i="3"/>
  <c r="AP18" i="3"/>
  <c r="AT17" i="3"/>
  <c r="AK17" i="3"/>
  <c r="AP24" i="3"/>
  <c r="AO21" i="3"/>
  <c r="AL19" i="3"/>
  <c r="AL16" i="3"/>
  <c r="AM13" i="3"/>
  <c r="AP11" i="3"/>
  <c r="AK9" i="3"/>
  <c r="AN55" i="3"/>
  <c r="AS53" i="3"/>
  <c r="AP55" i="3"/>
  <c r="AP54" i="3"/>
  <c r="AP53" i="3"/>
  <c r="AL52" i="3"/>
  <c r="AM51" i="3"/>
  <c r="AP50" i="3"/>
  <c r="AL49" i="3"/>
  <c r="AL48" i="3"/>
  <c r="AT46" i="3"/>
  <c r="AK46" i="3"/>
  <c r="AT44" i="3"/>
  <c r="AP42" i="3"/>
  <c r="AP41" i="3"/>
  <c r="AP38" i="3"/>
  <c r="AP37" i="3"/>
  <c r="AS34" i="3"/>
  <c r="AK34" i="3"/>
  <c r="AT30" i="3"/>
  <c r="AL30" i="3"/>
  <c r="AT27" i="3"/>
  <c r="AT26" i="3"/>
  <c r="AL25" i="3"/>
  <c r="AT22" i="3"/>
  <c r="AL22" i="3"/>
  <c r="AK20" i="3"/>
  <c r="AO18" i="3"/>
  <c r="AT16" i="3"/>
  <c r="AP15" i="3"/>
  <c r="AT13" i="3"/>
  <c r="AL12" i="3"/>
  <c r="AK11" i="3"/>
  <c r="AS9" i="3"/>
  <c r="AT7" i="3"/>
  <c r="AO7" i="3"/>
  <c r="AO54" i="3"/>
  <c r="AU23" i="3"/>
  <c r="AM55" i="3"/>
  <c r="AL54" i="3"/>
  <c r="AL53" i="3"/>
  <c r="AK52" i="3"/>
  <c r="AL51" i="3"/>
  <c r="AL50" i="3"/>
  <c r="AT48" i="3"/>
  <c r="AT47" i="3"/>
  <c r="AS46" i="3"/>
  <c r="AT45" i="3"/>
  <c r="AS44" i="3"/>
  <c r="AT43" i="3"/>
  <c r="AT42" i="3"/>
  <c r="AL42" i="3"/>
  <c r="AL41" i="3"/>
  <c r="AL40" i="3"/>
  <c r="AL39" i="3"/>
  <c r="AL38" i="3"/>
  <c r="AL37" i="3"/>
  <c r="AL36" i="3"/>
  <c r="AM35" i="3"/>
  <c r="AQ34" i="3"/>
  <c r="AT33" i="3"/>
  <c r="AS32" i="3"/>
  <c r="AT31" i="3"/>
  <c r="AS30" i="3"/>
  <c r="AK30" i="3"/>
  <c r="AP29" i="3"/>
  <c r="AP28" i="3"/>
  <c r="AP27" i="3"/>
  <c r="AP26" i="3"/>
  <c r="AT25" i="3"/>
  <c r="AK25" i="3"/>
  <c r="AO24" i="3"/>
  <c r="AQ23" i="3"/>
  <c r="AQ22" i="3"/>
  <c r="AK22" i="3"/>
  <c r="AL21" i="3"/>
  <c r="AP20" i="3"/>
  <c r="AT19" i="3"/>
  <c r="AU18" i="3"/>
  <c r="AL18" i="3"/>
  <c r="AO17" i="3"/>
  <c r="AS16" i="3"/>
  <c r="AK16" i="3"/>
  <c r="AL15" i="3"/>
  <c r="AO14" i="3"/>
  <c r="AS13" i="3"/>
  <c r="AL13" i="3"/>
  <c r="AP12" i="3"/>
  <c r="AU11" i="3"/>
  <c r="AO11" i="3"/>
  <c r="AT10" i="3"/>
  <c r="AL10" i="3"/>
  <c r="AP9" i="3"/>
  <c r="AU8" i="3"/>
  <c r="AP8" i="3"/>
  <c r="AS7" i="3"/>
  <c r="AL7" i="3"/>
  <c r="AL6" i="3"/>
  <c r="AO16" i="3"/>
  <c r="AT14" i="3"/>
  <c r="AO13" i="3"/>
  <c r="AS11" i="3"/>
  <c r="AL11" i="3"/>
  <c r="AL9" i="3"/>
  <c r="AS8" i="3"/>
  <c r="AS6" i="3"/>
  <c r="AL43" i="3"/>
  <c r="AP40" i="3"/>
  <c r="AP35" i="3"/>
  <c r="AT32" i="3"/>
  <c r="AT28" i="3"/>
  <c r="AM7" i="3"/>
  <c r="AQ13" i="3"/>
  <c r="AK48" i="3"/>
  <c r="AR9" i="3"/>
  <c r="AQ38" i="3"/>
  <c r="AR17" i="3"/>
  <c r="AR37" i="3"/>
  <c r="AS50" i="3"/>
  <c r="AK7" i="3"/>
  <c r="AQ9" i="3"/>
  <c r="AU12" i="3"/>
  <c r="AS14" i="3"/>
  <c r="AM18" i="3"/>
  <c r="AS21" i="3"/>
  <c r="AS25" i="3"/>
  <c r="AK28" i="3"/>
  <c r="AQ31" i="3"/>
  <c r="AM34" i="3"/>
  <c r="AS37" i="3"/>
  <c r="AK41" i="3"/>
  <c r="AO44" i="3"/>
  <c r="AQ47" i="3"/>
  <c r="AM50" i="3"/>
  <c r="AN17" i="3"/>
  <c r="AN25" i="3"/>
  <c r="AN33" i="3"/>
  <c r="AN41" i="3"/>
  <c r="AN49" i="3"/>
  <c r="AU53" i="3"/>
  <c r="AU37" i="3"/>
  <c r="AU21" i="3"/>
  <c r="AQ45" i="3"/>
  <c r="AQ29" i="3"/>
  <c r="AM8" i="3"/>
  <c r="AQ18" i="3"/>
  <c r="AK50" i="3"/>
  <c r="AQ27" i="3"/>
  <c r="AM39" i="3"/>
  <c r="AR21" i="3"/>
  <c r="AR41" i="3"/>
  <c r="AR53" i="3"/>
  <c r="AU7" i="3"/>
  <c r="AU9" i="3"/>
  <c r="AN13" i="3"/>
  <c r="AM15" i="3"/>
  <c r="AS18" i="3"/>
  <c r="AM22" i="3"/>
  <c r="AM26" i="3"/>
  <c r="AS28" i="3"/>
  <c r="AO32" i="3"/>
  <c r="AQ35" i="3"/>
  <c r="AM38" i="3"/>
  <c r="AS41" i="3"/>
  <c r="AK45" i="3"/>
  <c r="AO48" i="3"/>
  <c r="AQ51" i="3"/>
  <c r="AN12" i="3"/>
  <c r="AR19" i="3"/>
  <c r="AR27" i="3"/>
  <c r="AR35" i="3"/>
  <c r="AR43" i="3"/>
  <c r="AR51" i="3"/>
  <c r="AU49" i="3"/>
  <c r="AU33" i="3"/>
  <c r="AU17" i="3"/>
  <c r="AQ41" i="3"/>
  <c r="AQ25" i="3"/>
  <c r="AM49" i="3"/>
  <c r="AM33" i="3"/>
  <c r="AM17" i="3"/>
  <c r="AN7" i="3"/>
  <c r="AU10" i="3"/>
  <c r="AU14" i="3"/>
  <c r="AU16" i="3"/>
  <c r="AU20" i="3"/>
  <c r="AU24" i="3"/>
  <c r="AU28" i="3"/>
  <c r="AN9" i="3"/>
  <c r="AU22" i="3"/>
  <c r="AS52" i="3"/>
  <c r="AQ30" i="3"/>
  <c r="AQ46" i="3"/>
  <c r="AR25" i="3"/>
  <c r="AR45" i="3"/>
  <c r="AS54" i="3"/>
  <c r="AO8" i="3"/>
  <c r="AQ11" i="3"/>
  <c r="AR13" i="3"/>
  <c r="AU15" i="3"/>
  <c r="AM19" i="3"/>
  <c r="AS22" i="3"/>
  <c r="AS26" i="3"/>
  <c r="AO29" i="3"/>
  <c r="AK33" i="3"/>
  <c r="AO36" i="3"/>
  <c r="AQ39" i="3"/>
  <c r="AM42" i="3"/>
  <c r="AS45" i="3"/>
  <c r="AK49" i="3"/>
  <c r="AO52" i="3"/>
  <c r="AR12" i="3"/>
  <c r="AN21" i="3"/>
  <c r="AN29" i="3"/>
  <c r="AN37" i="3"/>
  <c r="AN45" i="3"/>
  <c r="AN53" i="3"/>
  <c r="AU45" i="3"/>
  <c r="AU29" i="3"/>
  <c r="AQ53" i="3"/>
  <c r="AQ37" i="3"/>
  <c r="AQ21" i="3"/>
  <c r="AM45" i="3"/>
  <c r="AM29" i="3"/>
  <c r="AM6" i="3"/>
  <c r="AR7" i="3"/>
  <c r="AN11" i="3"/>
  <c r="AN15" i="3"/>
  <c r="AN19" i="3"/>
  <c r="AN23" i="3"/>
  <c r="AN27" i="3"/>
  <c r="AN31" i="3"/>
  <c r="AO33" i="3"/>
  <c r="AQ36" i="3"/>
  <c r="AN39" i="3"/>
  <c r="AO41" i="3"/>
  <c r="AQ44" i="3"/>
  <c r="AN47" i="3"/>
  <c r="AO49" i="3"/>
  <c r="AQ52" i="3"/>
  <c r="AR50" i="3"/>
  <c r="AR34" i="3"/>
  <c r="AR18" i="3"/>
  <c r="AN42" i="3"/>
  <c r="AN26" i="3"/>
  <c r="AN8" i="3"/>
  <c r="AN10" i="3"/>
  <c r="AN16" i="3"/>
  <c r="AN24" i="3"/>
  <c r="AR28" i="3"/>
  <c r="AR32" i="3"/>
  <c r="AR36" i="3"/>
  <c r="AR40" i="3"/>
  <c r="AR44" i="3"/>
  <c r="AR48" i="3"/>
  <c r="AR52" i="3"/>
  <c r="AS51" i="3"/>
  <c r="AS35" i="3"/>
  <c r="AS19" i="3"/>
  <c r="AO47" i="3"/>
  <c r="AO31" i="3"/>
  <c r="AO15" i="3"/>
  <c r="AK43" i="3"/>
  <c r="AK27" i="3"/>
  <c r="AJ7" i="3"/>
  <c r="AJ11" i="3"/>
  <c r="AJ15" i="3"/>
  <c r="AJ19" i="3"/>
  <c r="AJ23" i="3"/>
  <c r="AJ27" i="3"/>
  <c r="AJ31" i="3"/>
  <c r="AJ35" i="3"/>
  <c r="AJ39" i="3"/>
  <c r="AQ12" i="3"/>
  <c r="AQ26" i="3"/>
  <c r="AQ54" i="3"/>
  <c r="AM31" i="3"/>
  <c r="AM47" i="3"/>
  <c r="AR33" i="3"/>
  <c r="AR49" i="3"/>
  <c r="AO6" i="3"/>
  <c r="AM9" i="3"/>
  <c r="AK12" i="3"/>
  <c r="AK14" i="3"/>
  <c r="AS17" i="3"/>
  <c r="AU19" i="3"/>
  <c r="AM23" i="3"/>
  <c r="AM27" i="3"/>
  <c r="AO30" i="3"/>
  <c r="AS33" i="3"/>
  <c r="AK37" i="3"/>
  <c r="AO40" i="3"/>
  <c r="AQ43" i="3"/>
  <c r="AM46" i="3"/>
  <c r="AS49" i="3"/>
  <c r="AR15" i="3"/>
  <c r="AR23" i="3"/>
  <c r="AR31" i="3"/>
  <c r="AR39" i="3"/>
  <c r="AR47" i="3"/>
  <c r="AR55" i="3"/>
  <c r="AU41" i="3"/>
  <c r="AU25" i="3"/>
  <c r="AQ49" i="3"/>
  <c r="AQ33" i="3"/>
  <c r="AQ17" i="3"/>
  <c r="AM53" i="3"/>
  <c r="AM21" i="3"/>
  <c r="AQ10" i="3"/>
  <c r="AQ16" i="3"/>
  <c r="AQ24" i="3"/>
  <c r="AQ32" i="3"/>
  <c r="AM36" i="3"/>
  <c r="AM40" i="3"/>
  <c r="AN43" i="3"/>
  <c r="AO46" i="3"/>
  <c r="AO50" i="3"/>
  <c r="AO53" i="3"/>
  <c r="AR38" i="3"/>
  <c r="AS39" i="3"/>
  <c r="AO19" i="3"/>
  <c r="AK19" i="3"/>
  <c r="AJ21" i="3"/>
  <c r="AJ32" i="3"/>
  <c r="AJ46" i="3"/>
  <c r="AM41" i="3"/>
  <c r="AQ6" i="3"/>
  <c r="AM14" i="3"/>
  <c r="AM20" i="3"/>
  <c r="AM28" i="3"/>
  <c r="AU32" i="3"/>
  <c r="AU36" i="3"/>
  <c r="AQ40" i="3"/>
  <c r="AM44" i="3"/>
  <c r="AM48" i="3"/>
  <c r="AN51" i="3"/>
  <c r="AR54" i="3"/>
  <c r="AR30" i="3"/>
  <c r="AN50" i="3"/>
  <c r="AN30" i="3"/>
  <c r="AR8" i="3"/>
  <c r="AN14" i="3"/>
  <c r="AR20" i="3"/>
  <c r="AU30" i="3"/>
  <c r="AU35" i="3"/>
  <c r="AN40" i="3"/>
  <c r="AU46" i="3"/>
  <c r="AU51" i="3"/>
  <c r="AS55" i="3"/>
  <c r="AS31" i="3"/>
  <c r="AO55" i="3"/>
  <c r="AO35" i="3"/>
  <c r="AK55" i="3"/>
  <c r="AK35" i="3"/>
  <c r="AJ6" i="3"/>
  <c r="AJ12" i="3"/>
  <c r="AJ17" i="3"/>
  <c r="AJ22" i="3"/>
  <c r="AJ28" i="3"/>
  <c r="AJ33" i="3"/>
  <c r="AJ38" i="3"/>
  <c r="AJ43" i="3"/>
  <c r="AJ47" i="3"/>
  <c r="AJ51" i="3"/>
  <c r="AJ50" i="3"/>
  <c r="AM37" i="3"/>
  <c r="AU6" i="3"/>
  <c r="AQ14" i="3"/>
  <c r="AQ20" i="3"/>
  <c r="AQ28" i="3"/>
  <c r="AO34" i="3"/>
  <c r="AO37" i="3"/>
  <c r="AU40" i="3"/>
  <c r="AU44" i="3"/>
  <c r="AQ48" i="3"/>
  <c r="AM52" i="3"/>
  <c r="AR46" i="3"/>
  <c r="AR26" i="3"/>
  <c r="AN46" i="3"/>
  <c r="AN22" i="3"/>
  <c r="AN6" i="3"/>
  <c r="AR14" i="3"/>
  <c r="AR24" i="3"/>
  <c r="AU31" i="3"/>
  <c r="AN36" i="3"/>
  <c r="AU42" i="3"/>
  <c r="AU47" i="3"/>
  <c r="AN52" i="3"/>
  <c r="AS47" i="3"/>
  <c r="AS27" i="3"/>
  <c r="AO51" i="3"/>
  <c r="AO27" i="3"/>
  <c r="AK51" i="3"/>
  <c r="AK31" i="3"/>
  <c r="AJ8" i="3"/>
  <c r="AJ13" i="3"/>
  <c r="AJ18" i="3"/>
  <c r="AJ24" i="3"/>
  <c r="AJ29" i="3"/>
  <c r="AJ34" i="3"/>
  <c r="AJ40" i="3"/>
  <c r="AJ44" i="3"/>
  <c r="AJ48" i="3"/>
  <c r="AJ52" i="3"/>
  <c r="AR42" i="3"/>
  <c r="AN38" i="3"/>
  <c r="AN18" i="3"/>
  <c r="AR16" i="3"/>
  <c r="AU27" i="3"/>
  <c r="AU38" i="3"/>
  <c r="AU43" i="3"/>
  <c r="AU54" i="3"/>
  <c r="AS43" i="3"/>
  <c r="AS23" i="3"/>
  <c r="AO43" i="3"/>
  <c r="AO23" i="3"/>
  <c r="AK47" i="3"/>
  <c r="AK23" i="3"/>
  <c r="AJ9" i="3"/>
  <c r="AJ14" i="3"/>
  <c r="AJ20" i="3"/>
  <c r="AJ25" i="3"/>
  <c r="AJ30" i="3"/>
  <c r="AJ36" i="3"/>
  <c r="AJ41" i="3"/>
  <c r="AJ45" i="3"/>
  <c r="AJ53" i="3"/>
  <c r="AN54" i="3"/>
  <c r="AR10" i="3"/>
  <c r="AN28" i="3"/>
  <c r="AU34" i="3"/>
  <c r="AN44" i="3"/>
  <c r="AU50" i="3"/>
  <c r="AU55" i="3"/>
  <c r="AS15" i="3"/>
  <c r="AO39" i="3"/>
  <c r="AK39" i="3"/>
  <c r="AJ10" i="3"/>
  <c r="AJ16" i="3"/>
  <c r="AJ26" i="3"/>
  <c r="AM25" i="3"/>
  <c r="AM10" i="3"/>
  <c r="AM16" i="3"/>
  <c r="AM24" i="3"/>
  <c r="AM32" i="3"/>
  <c r="AN35" i="3"/>
  <c r="AO38" i="3"/>
  <c r="AO42" i="3"/>
  <c r="AO45" i="3"/>
  <c r="AU48" i="3"/>
  <c r="AU52" i="3"/>
  <c r="AR22" i="3"/>
  <c r="AR6" i="3"/>
  <c r="AN32" i="3"/>
  <c r="AN48" i="3"/>
  <c r="AJ49" i="3"/>
  <c r="AN34" i="3"/>
  <c r="AN20" i="3"/>
  <c r="AU39" i="3"/>
  <c r="AJ37" i="3"/>
  <c r="AJ42" i="3"/>
  <c r="AJ54" i="3"/>
  <c r="AH55" i="3"/>
  <c r="AD55" i="3"/>
  <c r="Z55" i="3"/>
  <c r="AH54" i="3"/>
  <c r="AD54" i="3"/>
  <c r="Z54" i="3"/>
  <c r="AH53" i="3"/>
  <c r="AD53" i="3"/>
  <c r="Z53" i="3"/>
  <c r="AH52" i="3"/>
  <c r="AD52" i="3"/>
  <c r="Z52" i="3"/>
  <c r="AH51" i="3"/>
  <c r="AD51" i="3"/>
  <c r="Z51" i="3"/>
  <c r="AH50" i="3"/>
  <c r="AD50" i="3"/>
  <c r="Z50" i="3"/>
  <c r="AH49" i="3"/>
  <c r="AD49" i="3"/>
  <c r="Z49" i="3"/>
  <c r="AH48" i="3"/>
  <c r="AD48" i="3"/>
  <c r="Z48" i="3"/>
  <c r="AH47" i="3"/>
  <c r="AD47" i="3"/>
  <c r="Z47" i="3"/>
  <c r="AH46" i="3"/>
  <c r="AD46" i="3"/>
  <c r="Z46" i="3"/>
  <c r="AH45" i="3"/>
  <c r="AD45" i="3"/>
  <c r="Z45" i="3"/>
  <c r="AH44" i="3"/>
  <c r="AD44" i="3"/>
  <c r="Z44" i="3"/>
  <c r="AH43" i="3"/>
  <c r="AD43" i="3"/>
  <c r="Z43" i="3"/>
  <c r="AH42" i="3"/>
  <c r="AD42" i="3"/>
  <c r="Z42" i="3"/>
  <c r="AH41" i="3"/>
  <c r="AD41" i="3"/>
  <c r="Z41" i="3"/>
  <c r="AH40" i="3"/>
  <c r="AD40" i="3"/>
  <c r="Z40" i="3"/>
  <c r="AH39" i="3"/>
  <c r="AD39" i="3"/>
  <c r="Z39" i="3"/>
  <c r="AH38" i="3"/>
  <c r="AD38" i="3"/>
  <c r="Z38" i="3"/>
  <c r="AH37" i="3"/>
  <c r="AD37" i="3"/>
  <c r="Z37" i="3"/>
  <c r="AH36" i="3"/>
  <c r="AD36" i="3"/>
  <c r="Z36" i="3"/>
  <c r="AH35" i="3"/>
  <c r="AD35" i="3"/>
  <c r="Z35" i="3"/>
  <c r="AH34" i="3"/>
  <c r="AD34" i="3"/>
  <c r="Z34" i="3"/>
  <c r="AH33" i="3"/>
  <c r="AD33" i="3"/>
  <c r="Z33" i="3"/>
  <c r="AH32" i="3"/>
  <c r="AD32" i="3"/>
  <c r="Z32" i="3"/>
  <c r="AH31" i="3"/>
  <c r="AD31" i="3"/>
  <c r="Z31" i="3"/>
  <c r="AH30" i="3"/>
  <c r="AD30" i="3"/>
  <c r="Z30" i="3"/>
  <c r="AH29" i="3"/>
  <c r="AD29" i="3"/>
  <c r="Z29" i="3"/>
  <c r="AH28" i="3"/>
  <c r="AD28" i="3"/>
  <c r="AG55" i="3"/>
  <c r="AC55" i="3"/>
  <c r="Y55" i="3"/>
  <c r="AG54" i="3"/>
  <c r="AC54" i="3"/>
  <c r="Y54" i="3"/>
  <c r="AG53" i="3"/>
  <c r="AC53" i="3"/>
  <c r="Y53" i="3"/>
  <c r="AG52" i="3"/>
  <c r="AC52" i="3"/>
  <c r="Y52" i="3"/>
  <c r="AG51" i="3"/>
  <c r="AC51" i="3"/>
  <c r="Y51" i="3"/>
  <c r="AG50" i="3"/>
  <c r="AC50" i="3"/>
  <c r="Y50" i="3"/>
  <c r="AG49" i="3"/>
  <c r="AC49" i="3"/>
  <c r="Y49" i="3"/>
  <c r="AG48" i="3"/>
  <c r="AC48" i="3"/>
  <c r="Y48" i="3"/>
  <c r="AG47" i="3"/>
  <c r="AC47" i="3"/>
  <c r="Y47" i="3"/>
  <c r="AG46" i="3"/>
  <c r="AC46" i="3"/>
  <c r="Y46" i="3"/>
  <c r="AG45" i="3"/>
  <c r="AC45" i="3"/>
  <c r="Y45" i="3"/>
  <c r="AG44" i="3"/>
  <c r="AC44" i="3"/>
  <c r="Y44" i="3"/>
  <c r="AG43" i="3"/>
  <c r="AC43" i="3"/>
  <c r="Y43" i="3"/>
  <c r="AG42" i="3"/>
  <c r="AC42" i="3"/>
  <c r="Y42" i="3"/>
  <c r="AG41" i="3"/>
  <c r="AC41" i="3"/>
  <c r="Y41" i="3"/>
  <c r="AG40" i="3"/>
  <c r="AC40" i="3"/>
  <c r="Y40" i="3"/>
  <c r="AG39" i="3"/>
  <c r="AC39" i="3"/>
  <c r="Y39" i="3"/>
  <c r="AG38" i="3"/>
  <c r="AC38" i="3"/>
  <c r="Y38" i="3"/>
  <c r="AG37" i="3"/>
  <c r="AC37" i="3"/>
  <c r="Y37" i="3"/>
  <c r="AG36" i="3"/>
  <c r="AC36" i="3"/>
  <c r="Y36" i="3"/>
  <c r="AG35" i="3"/>
  <c r="AC35" i="3"/>
  <c r="Y35" i="3"/>
  <c r="AG34" i="3"/>
  <c r="AC34" i="3"/>
  <c r="Y34" i="3"/>
  <c r="AG33" i="3"/>
  <c r="AC33" i="3"/>
  <c r="Y33" i="3"/>
  <c r="AG32" i="3"/>
  <c r="AC32" i="3"/>
  <c r="Y32" i="3"/>
  <c r="AG31" i="3"/>
  <c r="AC31" i="3"/>
  <c r="Y31" i="3"/>
  <c r="AG30" i="3"/>
  <c r="AC30" i="3"/>
  <c r="Y30" i="3"/>
  <c r="AG29" i="3"/>
  <c r="AC29" i="3"/>
  <c r="Y29" i="3"/>
  <c r="AF55" i="3"/>
  <c r="AB55" i="3"/>
  <c r="X55" i="3"/>
  <c r="AF54" i="3"/>
  <c r="AB54" i="3"/>
  <c r="X54" i="3"/>
  <c r="AF53" i="3"/>
  <c r="AB53" i="3"/>
  <c r="X53" i="3"/>
  <c r="AF52" i="3"/>
  <c r="AB52" i="3"/>
  <c r="X52" i="3"/>
  <c r="AF51" i="3"/>
  <c r="AB51" i="3"/>
  <c r="X51" i="3"/>
  <c r="AF50" i="3"/>
  <c r="AB50" i="3"/>
  <c r="X50" i="3"/>
  <c r="AF49" i="3"/>
  <c r="AB49" i="3"/>
  <c r="X49" i="3"/>
  <c r="AF48" i="3"/>
  <c r="AB48" i="3"/>
  <c r="X48" i="3"/>
  <c r="AF47" i="3"/>
  <c r="AB47" i="3"/>
  <c r="X47" i="3"/>
  <c r="AF46" i="3"/>
  <c r="AB46" i="3"/>
  <c r="X46" i="3"/>
  <c r="AF45" i="3"/>
  <c r="AB45" i="3"/>
  <c r="X45" i="3"/>
  <c r="AF44" i="3"/>
  <c r="AB44" i="3"/>
  <c r="X44" i="3"/>
  <c r="AF43" i="3"/>
  <c r="AB43" i="3"/>
  <c r="X43" i="3"/>
  <c r="AF42" i="3"/>
  <c r="AB42" i="3"/>
  <c r="X42" i="3"/>
  <c r="AF41" i="3"/>
  <c r="AB41" i="3"/>
  <c r="X41" i="3"/>
  <c r="AF40" i="3"/>
  <c r="AB40" i="3"/>
  <c r="X40" i="3"/>
  <c r="AF39" i="3"/>
  <c r="AB39" i="3"/>
  <c r="X39" i="3"/>
  <c r="AF38" i="3"/>
  <c r="AB38" i="3"/>
  <c r="X38" i="3"/>
  <c r="AF37" i="3"/>
  <c r="AB37" i="3"/>
  <c r="X37" i="3"/>
  <c r="AF36" i="3"/>
  <c r="AB36" i="3"/>
  <c r="X36" i="3"/>
  <c r="AF35" i="3"/>
  <c r="AB35" i="3"/>
  <c r="X35" i="3"/>
  <c r="AF34" i="3"/>
  <c r="AB34" i="3"/>
  <c r="X34" i="3"/>
  <c r="AF33" i="3"/>
  <c r="AB33" i="3"/>
  <c r="X33" i="3"/>
  <c r="AF32" i="3"/>
  <c r="AB32" i="3"/>
  <c r="X32" i="3"/>
  <c r="AF31" i="3"/>
  <c r="AB31" i="3"/>
  <c r="X31" i="3"/>
  <c r="AF30" i="3"/>
  <c r="AB30" i="3"/>
  <c r="X30" i="3"/>
  <c r="AF29" i="3"/>
  <c r="AB29" i="3"/>
  <c r="X29" i="3"/>
  <c r="AF28" i="3"/>
  <c r="AB28" i="3"/>
  <c r="X28" i="3"/>
  <c r="AF27" i="3"/>
  <c r="AE55" i="3"/>
  <c r="AA54" i="3"/>
  <c r="W53" i="3"/>
  <c r="AE51" i="3"/>
  <c r="AA50" i="3"/>
  <c r="W49" i="3"/>
  <c r="AE47" i="3"/>
  <c r="AA46" i="3"/>
  <c r="W45" i="3"/>
  <c r="AE43" i="3"/>
  <c r="AA42" i="3"/>
  <c r="W41" i="3"/>
  <c r="AE39" i="3"/>
  <c r="AA38" i="3"/>
  <c r="W37" i="3"/>
  <c r="AE35" i="3"/>
  <c r="AA34" i="3"/>
  <c r="W33" i="3"/>
  <c r="AE31" i="3"/>
  <c r="AA30" i="3"/>
  <c r="W29" i="3"/>
  <c r="AA28" i="3"/>
  <c r="AH27" i="3"/>
  <c r="AC27" i="3"/>
  <c r="Y27" i="3"/>
  <c r="AG26" i="3"/>
  <c r="AC26" i="3"/>
  <c r="Y26" i="3"/>
  <c r="AG25" i="3"/>
  <c r="AC25" i="3"/>
  <c r="Y25" i="3"/>
  <c r="AG24" i="3"/>
  <c r="AC24" i="3"/>
  <c r="Y24" i="3"/>
  <c r="AG23" i="3"/>
  <c r="AC23" i="3"/>
  <c r="Y23" i="3"/>
  <c r="AG22" i="3"/>
  <c r="AC22" i="3"/>
  <c r="Y22" i="3"/>
  <c r="AG21" i="3"/>
  <c r="AC21" i="3"/>
  <c r="Y21" i="3"/>
  <c r="AG20" i="3"/>
  <c r="AC20" i="3"/>
  <c r="Y20" i="3"/>
  <c r="AG19" i="3"/>
  <c r="AC19" i="3"/>
  <c r="Y19" i="3"/>
  <c r="AG18" i="3"/>
  <c r="AC18" i="3"/>
  <c r="Y18" i="3"/>
  <c r="AG17" i="3"/>
  <c r="AC17" i="3"/>
  <c r="Y17" i="3"/>
  <c r="AG16" i="3"/>
  <c r="AC16" i="3"/>
  <c r="Y16" i="3"/>
  <c r="AG15" i="3"/>
  <c r="AC15" i="3"/>
  <c r="Y15" i="3"/>
  <c r="AG14" i="3"/>
  <c r="AC14" i="3"/>
  <c r="Y14" i="3"/>
  <c r="AG13" i="3"/>
  <c r="AC13" i="3"/>
  <c r="Y13" i="3"/>
  <c r="AG12" i="3"/>
  <c r="AC12" i="3"/>
  <c r="Y12" i="3"/>
  <c r="AG11" i="3"/>
  <c r="AC11" i="3"/>
  <c r="Y11" i="3"/>
  <c r="AG10" i="3"/>
  <c r="AC10" i="3"/>
  <c r="Y10" i="3"/>
  <c r="AG9" i="3"/>
  <c r="AC9" i="3"/>
  <c r="Y9" i="3"/>
  <c r="AA55" i="3"/>
  <c r="W54" i="3"/>
  <c r="AE52" i="3"/>
  <c r="AA51" i="3"/>
  <c r="W50" i="3"/>
  <c r="AE48" i="3"/>
  <c r="AA47" i="3"/>
  <c r="W46" i="3"/>
  <c r="AE44" i="3"/>
  <c r="AA43" i="3"/>
  <c r="W42" i="3"/>
  <c r="AE40" i="3"/>
  <c r="AA39" i="3"/>
  <c r="W38" i="3"/>
  <c r="AE36" i="3"/>
  <c r="AA35" i="3"/>
  <c r="W34" i="3"/>
  <c r="AE32" i="3"/>
  <c r="AA31" i="3"/>
  <c r="W30" i="3"/>
  <c r="AG28" i="3"/>
  <c r="Z28" i="3"/>
  <c r="AG27" i="3"/>
  <c r="AB27" i="3"/>
  <c r="X27" i="3"/>
  <c r="AF26" i="3"/>
  <c r="AB26" i="3"/>
  <c r="X26" i="3"/>
  <c r="AF25" i="3"/>
  <c r="AB25" i="3"/>
  <c r="X25" i="3"/>
  <c r="AF24" i="3"/>
  <c r="AB24" i="3"/>
  <c r="X24" i="3"/>
  <c r="AF23" i="3"/>
  <c r="AB23" i="3"/>
  <c r="X23" i="3"/>
  <c r="AF22" i="3"/>
  <c r="AB22" i="3"/>
  <c r="X22" i="3"/>
  <c r="AF21" i="3"/>
  <c r="AB21" i="3"/>
  <c r="X21" i="3"/>
  <c r="AF20" i="3"/>
  <c r="AB20" i="3"/>
  <c r="X20" i="3"/>
  <c r="AF19" i="3"/>
  <c r="AB19" i="3"/>
  <c r="X19" i="3"/>
  <c r="AF18" i="3"/>
  <c r="AB18" i="3"/>
  <c r="X18" i="3"/>
  <c r="AF17" i="3"/>
  <c r="AB17" i="3"/>
  <c r="X17" i="3"/>
  <c r="AF16" i="3"/>
  <c r="AB16" i="3"/>
  <c r="X16" i="3"/>
  <c r="AF15" i="3"/>
  <c r="AB15" i="3"/>
  <c r="X15" i="3"/>
  <c r="AF14" i="3"/>
  <c r="AB14" i="3"/>
  <c r="X14" i="3"/>
  <c r="AF13" i="3"/>
  <c r="AB13" i="3"/>
  <c r="X13" i="3"/>
  <c r="AF12" i="3"/>
  <c r="AB12" i="3"/>
  <c r="X12" i="3"/>
  <c r="AF11" i="3"/>
  <c r="AB11" i="3"/>
  <c r="X11" i="3"/>
  <c r="AF10" i="3"/>
  <c r="AB10" i="3"/>
  <c r="X10" i="3"/>
  <c r="AF9" i="3"/>
  <c r="AB9" i="3"/>
  <c r="X9" i="3"/>
  <c r="AF8" i="3"/>
  <c r="AB8" i="3"/>
  <c r="X8" i="3"/>
  <c r="AE54" i="3"/>
  <c r="AA53" i="3"/>
  <c r="W52" i="3"/>
  <c r="AE50" i="3"/>
  <c r="AA49" i="3"/>
  <c r="W48" i="3"/>
  <c r="AE46" i="3"/>
  <c r="AA45" i="3"/>
  <c r="W44" i="3"/>
  <c r="AE42" i="3"/>
  <c r="AA41" i="3"/>
  <c r="W40" i="3"/>
  <c r="AE38" i="3"/>
  <c r="AA37" i="3"/>
  <c r="W36" i="3"/>
  <c r="AE34" i="3"/>
  <c r="AA33" i="3"/>
  <c r="W32" i="3"/>
  <c r="AE30" i="3"/>
  <c r="AA29" i="3"/>
  <c r="AC28" i="3"/>
  <c r="W28" i="3"/>
  <c r="AD27" i="3"/>
  <c r="Z27" i="3"/>
  <c r="AH26" i="3"/>
  <c r="AD26" i="3"/>
  <c r="Z26" i="3"/>
  <c r="AH25" i="3"/>
  <c r="AD25" i="3"/>
  <c r="Z25" i="3"/>
  <c r="AH24" i="3"/>
  <c r="AD24" i="3"/>
  <c r="Z24" i="3"/>
  <c r="AH23" i="3"/>
  <c r="AD23" i="3"/>
  <c r="Z23" i="3"/>
  <c r="AH22" i="3"/>
  <c r="AD22" i="3"/>
  <c r="Z22" i="3"/>
  <c r="AH21" i="3"/>
  <c r="AD21" i="3"/>
  <c r="Z21" i="3"/>
  <c r="AH20" i="3"/>
  <c r="AD20" i="3"/>
  <c r="Z20" i="3"/>
  <c r="AH19" i="3"/>
  <c r="AD19" i="3"/>
  <c r="Z19" i="3"/>
  <c r="AH18" i="3"/>
  <c r="AD18" i="3"/>
  <c r="Z18" i="3"/>
  <c r="AH17" i="3"/>
  <c r="AD17" i="3"/>
  <c r="Z17" i="3"/>
  <c r="AH16" i="3"/>
  <c r="AD16" i="3"/>
  <c r="Z16" i="3"/>
  <c r="AH15" i="3"/>
  <c r="AD15" i="3"/>
  <c r="Z15" i="3"/>
  <c r="AH14" i="3"/>
  <c r="AD14" i="3"/>
  <c r="Z14" i="3"/>
  <c r="AH13" i="3"/>
  <c r="AD13" i="3"/>
  <c r="Z13" i="3"/>
  <c r="AH12" i="3"/>
  <c r="AD12" i="3"/>
  <c r="Z12" i="3"/>
  <c r="AH11" i="3"/>
  <c r="AD11" i="3"/>
  <c r="Z11" i="3"/>
  <c r="AH10" i="3"/>
  <c r="AD10" i="3"/>
  <c r="Z10" i="3"/>
  <c r="AH9" i="3"/>
  <c r="AD9" i="3"/>
  <c r="Z9" i="3"/>
  <c r="AH8" i="3"/>
  <c r="AD8" i="3"/>
  <c r="Z8" i="3"/>
  <c r="AH7" i="3"/>
  <c r="AD7" i="3"/>
  <c r="Z7" i="3"/>
  <c r="AH6" i="3"/>
  <c r="W55" i="3"/>
  <c r="AE49" i="3"/>
  <c r="AA44" i="3"/>
  <c r="W39" i="3"/>
  <c r="AE33" i="3"/>
  <c r="AE28" i="3"/>
  <c r="W27" i="3"/>
  <c r="AE25" i="3"/>
  <c r="AA24" i="3"/>
  <c r="W23" i="3"/>
  <c r="AE21" i="3"/>
  <c r="AA20" i="3"/>
  <c r="W19" i="3"/>
  <c r="AE17" i="3"/>
  <c r="AA16" i="3"/>
  <c r="W15" i="3"/>
  <c r="AE13" i="3"/>
  <c r="AA12" i="3"/>
  <c r="W11" i="3"/>
  <c r="AE9" i="3"/>
  <c r="AE8" i="3"/>
  <c r="W8" i="3"/>
  <c r="AC7" i="3"/>
  <c r="X7" i="3"/>
  <c r="AE6" i="3"/>
  <c r="AA6" i="3"/>
  <c r="W6" i="3"/>
  <c r="R55" i="3"/>
  <c r="N55" i="3"/>
  <c r="J55" i="3"/>
  <c r="R54" i="3"/>
  <c r="N54" i="3"/>
  <c r="J54" i="3"/>
  <c r="R53" i="3"/>
  <c r="N53" i="3"/>
  <c r="J53" i="3"/>
  <c r="R52" i="3"/>
  <c r="N52" i="3"/>
  <c r="J52" i="3"/>
  <c r="R51" i="3"/>
  <c r="N51" i="3"/>
  <c r="J51" i="3"/>
  <c r="R50" i="3"/>
  <c r="N50" i="3"/>
  <c r="J50" i="3"/>
  <c r="R49" i="3"/>
  <c r="N49" i="3"/>
  <c r="J49" i="3"/>
  <c r="R48" i="3"/>
  <c r="N48" i="3"/>
  <c r="J48" i="3"/>
  <c r="R47" i="3"/>
  <c r="N47" i="3"/>
  <c r="J47" i="3"/>
  <c r="R46" i="3"/>
  <c r="N46" i="3"/>
  <c r="J46" i="3"/>
  <c r="R45" i="3"/>
  <c r="N45" i="3"/>
  <c r="J45" i="3"/>
  <c r="R44" i="3"/>
  <c r="N44" i="3"/>
  <c r="J44" i="3"/>
  <c r="R43" i="3"/>
  <c r="N43" i="3"/>
  <c r="J43" i="3"/>
  <c r="R42" i="3"/>
  <c r="N42" i="3"/>
  <c r="J42" i="3"/>
  <c r="R41" i="3"/>
  <c r="N41" i="3"/>
  <c r="J41" i="3"/>
  <c r="R40" i="3"/>
  <c r="N40" i="3"/>
  <c r="J40" i="3"/>
  <c r="R39" i="3"/>
  <c r="N39" i="3"/>
  <c r="J39" i="3"/>
  <c r="R38" i="3"/>
  <c r="N38" i="3"/>
  <c r="J38" i="3"/>
  <c r="R37" i="3"/>
  <c r="N37" i="3"/>
  <c r="J37" i="3"/>
  <c r="R36" i="3"/>
  <c r="AE53" i="3"/>
  <c r="AA48" i="3"/>
  <c r="W43" i="3"/>
  <c r="AE37" i="3"/>
  <c r="AA32" i="3"/>
  <c r="Y28" i="3"/>
  <c r="AE26" i="3"/>
  <c r="AA25" i="3"/>
  <c r="W24" i="3"/>
  <c r="AE22" i="3"/>
  <c r="AA21" i="3"/>
  <c r="W20" i="3"/>
  <c r="AE18" i="3"/>
  <c r="AA17" i="3"/>
  <c r="W16" i="3"/>
  <c r="AE14" i="3"/>
  <c r="AA13" i="3"/>
  <c r="W12" i="3"/>
  <c r="AE10" i="3"/>
  <c r="AA9" i="3"/>
  <c r="AC8" i="3"/>
  <c r="AG7" i="3"/>
  <c r="AB7" i="3"/>
  <c r="W7" i="3"/>
  <c r="AD6" i="3"/>
  <c r="Z6" i="3"/>
  <c r="U55" i="3"/>
  <c r="Q55" i="3"/>
  <c r="M55" i="3"/>
  <c r="U54" i="3"/>
  <c r="Q54" i="3"/>
  <c r="M54" i="3"/>
  <c r="U53" i="3"/>
  <c r="Q53" i="3"/>
  <c r="M53" i="3"/>
  <c r="U52" i="3"/>
  <c r="Q52" i="3"/>
  <c r="M52" i="3"/>
  <c r="U51" i="3"/>
  <c r="Q51" i="3"/>
  <c r="M51" i="3"/>
  <c r="U50" i="3"/>
  <c r="Q50" i="3"/>
  <c r="M50" i="3"/>
  <c r="U49" i="3"/>
  <c r="Q49" i="3"/>
  <c r="M49" i="3"/>
  <c r="U48" i="3"/>
  <c r="Q48" i="3"/>
  <c r="M48" i="3"/>
  <c r="U47" i="3"/>
  <c r="Q47" i="3"/>
  <c r="M47" i="3"/>
  <c r="U46" i="3"/>
  <c r="Q46" i="3"/>
  <c r="M46" i="3"/>
  <c r="U45" i="3"/>
  <c r="Q45" i="3"/>
  <c r="M45" i="3"/>
  <c r="U44" i="3"/>
  <c r="Q44" i="3"/>
  <c r="M44" i="3"/>
  <c r="U43" i="3"/>
  <c r="Q43" i="3"/>
  <c r="M43" i="3"/>
  <c r="U42" i="3"/>
  <c r="Q42" i="3"/>
  <c r="M42" i="3"/>
  <c r="U41" i="3"/>
  <c r="Q41" i="3"/>
  <c r="M41" i="3"/>
  <c r="U40" i="3"/>
  <c r="Q40" i="3"/>
  <c r="M40" i="3"/>
  <c r="U39" i="3"/>
  <c r="Q39" i="3"/>
  <c r="M39" i="3"/>
  <c r="U38" i="3"/>
  <c r="Q38" i="3"/>
  <c r="M38" i="3"/>
  <c r="U37" i="3"/>
  <c r="Q37" i="3"/>
  <c r="M37" i="3"/>
  <c r="U36" i="3"/>
  <c r="Q36" i="3"/>
  <c r="AA52" i="3"/>
  <c r="W47" i="3"/>
  <c r="AE41" i="3"/>
  <c r="AA36" i="3"/>
  <c r="W31" i="3"/>
  <c r="AE27" i="3"/>
  <c r="AA26" i="3"/>
  <c r="W25" i="3"/>
  <c r="AE23" i="3"/>
  <c r="AA22" i="3"/>
  <c r="W21" i="3"/>
  <c r="AE19" i="3"/>
  <c r="AA18" i="3"/>
  <c r="W17" i="3"/>
  <c r="AE15" i="3"/>
  <c r="AA14" i="3"/>
  <c r="W13" i="3"/>
  <c r="AE11" i="3"/>
  <c r="AA10" i="3"/>
  <c r="W9" i="3"/>
  <c r="AA8" i="3"/>
  <c r="AF7" i="3"/>
  <c r="AA7" i="3"/>
  <c r="AG6" i="3"/>
  <c r="AC6" i="3"/>
  <c r="Y6" i="3"/>
  <c r="T55" i="3"/>
  <c r="P55" i="3"/>
  <c r="L55" i="3"/>
  <c r="T54" i="3"/>
  <c r="P54" i="3"/>
  <c r="L54" i="3"/>
  <c r="T53" i="3"/>
  <c r="P53" i="3"/>
  <c r="L53" i="3"/>
  <c r="T52" i="3"/>
  <c r="P52" i="3"/>
  <c r="L52" i="3"/>
  <c r="T51" i="3"/>
  <c r="P51" i="3"/>
  <c r="L51" i="3"/>
  <c r="T50" i="3"/>
  <c r="P50" i="3"/>
  <c r="L50" i="3"/>
  <c r="T49" i="3"/>
  <c r="P49" i="3"/>
  <c r="L49" i="3"/>
  <c r="T48" i="3"/>
  <c r="P48" i="3"/>
  <c r="L48" i="3"/>
  <c r="T47" i="3"/>
  <c r="P47" i="3"/>
  <c r="L47" i="3"/>
  <c r="T46" i="3"/>
  <c r="P46" i="3"/>
  <c r="L46" i="3"/>
  <c r="T45" i="3"/>
  <c r="P45" i="3"/>
  <c r="L45" i="3"/>
  <c r="T44" i="3"/>
  <c r="P44" i="3"/>
  <c r="L44" i="3"/>
  <c r="T43" i="3"/>
  <c r="P43" i="3"/>
  <c r="L43" i="3"/>
  <c r="T42" i="3"/>
  <c r="P42" i="3"/>
  <c r="L42" i="3"/>
  <c r="T41" i="3"/>
  <c r="P41" i="3"/>
  <c r="L41" i="3"/>
  <c r="T40" i="3"/>
  <c r="P40" i="3"/>
  <c r="L40" i="3"/>
  <c r="T39" i="3"/>
  <c r="P39" i="3"/>
  <c r="L39" i="3"/>
  <c r="T38" i="3"/>
  <c r="P38" i="3"/>
  <c r="L38" i="3"/>
  <c r="T37" i="3"/>
  <c r="W51" i="3"/>
  <c r="AE45" i="3"/>
  <c r="AA40" i="3"/>
  <c r="W35" i="3"/>
  <c r="AE29" i="3"/>
  <c r="AA27" i="3"/>
  <c r="W26" i="3"/>
  <c r="AE24" i="3"/>
  <c r="AA23" i="3"/>
  <c r="W22" i="3"/>
  <c r="AE20" i="3"/>
  <c r="AA19" i="3"/>
  <c r="W18" i="3"/>
  <c r="AE16" i="3"/>
  <c r="AA15" i="3"/>
  <c r="W14" i="3"/>
  <c r="AE12" i="3"/>
  <c r="AA11" i="3"/>
  <c r="W10" i="3"/>
  <c r="AG8" i="3"/>
  <c r="Y8" i="3"/>
  <c r="AE7" i="3"/>
  <c r="Y7" i="3"/>
  <c r="AF6" i="3"/>
  <c r="AB6" i="3"/>
  <c r="X6" i="3"/>
  <c r="S55" i="3"/>
  <c r="O55" i="3"/>
  <c r="K55" i="3"/>
  <c r="S54" i="3"/>
  <c r="O54" i="3"/>
  <c r="K54" i="3"/>
  <c r="S53" i="3"/>
  <c r="O53" i="3"/>
  <c r="K53" i="3"/>
  <c r="S52" i="3"/>
  <c r="O52" i="3"/>
  <c r="K52" i="3"/>
  <c r="S51" i="3"/>
  <c r="O51" i="3"/>
  <c r="K51" i="3"/>
  <c r="S50" i="3"/>
  <c r="O50" i="3"/>
  <c r="K50" i="3"/>
  <c r="S49" i="3"/>
  <c r="O49" i="3"/>
  <c r="K49" i="3"/>
  <c r="S48" i="3"/>
  <c r="O48" i="3"/>
  <c r="K48" i="3"/>
  <c r="S47" i="3"/>
  <c r="O47" i="3"/>
  <c r="K47" i="3"/>
  <c r="S46" i="3"/>
  <c r="O46" i="3"/>
  <c r="K46" i="3"/>
  <c r="S45" i="3"/>
  <c r="O45" i="3"/>
  <c r="K45" i="3"/>
  <c r="S44" i="3"/>
  <c r="O44" i="3"/>
  <c r="K44" i="3"/>
  <c r="S43" i="3"/>
  <c r="O43" i="3"/>
  <c r="K43" i="3"/>
  <c r="S42" i="3"/>
  <c r="O42" i="3"/>
  <c r="K42" i="3"/>
  <c r="S41" i="3"/>
  <c r="O41" i="3"/>
  <c r="K41" i="3"/>
  <c r="S40" i="3"/>
  <c r="O40" i="3"/>
  <c r="K40" i="3"/>
  <c r="S39" i="3"/>
  <c r="O39" i="3"/>
  <c r="K39" i="3"/>
  <c r="S38" i="3"/>
  <c r="O38" i="3"/>
  <c r="K38" i="3"/>
  <c r="S37" i="3"/>
  <c r="O37" i="3"/>
  <c r="K37" i="3"/>
  <c r="S36" i="3"/>
  <c r="O36" i="3"/>
  <c r="K36" i="3"/>
  <c r="S35" i="3"/>
  <c r="O35" i="3"/>
  <c r="K35" i="3"/>
  <c r="S34" i="3"/>
  <c r="P37" i="3"/>
  <c r="N36" i="3"/>
  <c r="U35" i="3"/>
  <c r="P35" i="3"/>
  <c r="J35" i="3"/>
  <c r="Q34" i="3"/>
  <c r="M34" i="3"/>
  <c r="U33" i="3"/>
  <c r="Q33" i="3"/>
  <c r="M33" i="3"/>
  <c r="U32" i="3"/>
  <c r="Q32" i="3"/>
  <c r="M32" i="3"/>
  <c r="U31" i="3"/>
  <c r="Q31" i="3"/>
  <c r="M31" i="3"/>
  <c r="U30" i="3"/>
  <c r="Q30" i="3"/>
  <c r="M30" i="3"/>
  <c r="U29" i="3"/>
  <c r="Q29" i="3"/>
  <c r="M29" i="3"/>
  <c r="U28" i="3"/>
  <c r="Q28" i="3"/>
  <c r="M28" i="3"/>
  <c r="U27" i="3"/>
  <c r="Q27" i="3"/>
  <c r="M27" i="3"/>
  <c r="U26" i="3"/>
  <c r="Q26" i="3"/>
  <c r="M26" i="3"/>
  <c r="U25" i="3"/>
  <c r="Q25" i="3"/>
  <c r="M25" i="3"/>
  <c r="U24" i="3"/>
  <c r="Q24" i="3"/>
  <c r="M24" i="3"/>
  <c r="U23" i="3"/>
  <c r="Q23" i="3"/>
  <c r="M23" i="3"/>
  <c r="U22" i="3"/>
  <c r="Q22" i="3"/>
  <c r="M22" i="3"/>
  <c r="U21" i="3"/>
  <c r="Q21" i="3"/>
  <c r="M21" i="3"/>
  <c r="U20" i="3"/>
  <c r="Q20" i="3"/>
  <c r="M20" i="3"/>
  <c r="U19" i="3"/>
  <c r="Q19" i="3"/>
  <c r="M19" i="3"/>
  <c r="U18" i="3"/>
  <c r="Q18" i="3"/>
  <c r="M18" i="3"/>
  <c r="U17" i="3"/>
  <c r="Q17" i="3"/>
  <c r="M17" i="3"/>
  <c r="U16" i="3"/>
  <c r="Q16" i="3"/>
  <c r="M16" i="3"/>
  <c r="U15" i="3"/>
  <c r="Q15" i="3"/>
  <c r="M15" i="3"/>
  <c r="U14" i="3"/>
  <c r="Q14" i="3"/>
  <c r="M14" i="3"/>
  <c r="U13" i="3"/>
  <c r="Q13" i="3"/>
  <c r="M13" i="3"/>
  <c r="U12" i="3"/>
  <c r="Q12" i="3"/>
  <c r="M12" i="3"/>
  <c r="U11" i="3"/>
  <c r="Q11" i="3"/>
  <c r="M11" i="3"/>
  <c r="U10" i="3"/>
  <c r="Q10" i="3"/>
  <c r="M10" i="3"/>
  <c r="U9" i="3"/>
  <c r="Q9" i="3"/>
  <c r="M9" i="3"/>
  <c r="U8" i="3"/>
  <c r="Q8" i="3"/>
  <c r="U7" i="3"/>
  <c r="M7" i="3"/>
  <c r="Q6" i="3"/>
  <c r="T7" i="3"/>
  <c r="L37" i="3"/>
  <c r="M36" i="3"/>
  <c r="T35" i="3"/>
  <c r="N35" i="3"/>
  <c r="U34" i="3"/>
  <c r="P34" i="3"/>
  <c r="L34" i="3"/>
  <c r="T33" i="3"/>
  <c r="P33" i="3"/>
  <c r="L33" i="3"/>
  <c r="T32" i="3"/>
  <c r="P32" i="3"/>
  <c r="L32" i="3"/>
  <c r="T31" i="3"/>
  <c r="P31" i="3"/>
  <c r="L31" i="3"/>
  <c r="T30" i="3"/>
  <c r="P30" i="3"/>
  <c r="L30" i="3"/>
  <c r="T29" i="3"/>
  <c r="P29" i="3"/>
  <c r="L29" i="3"/>
  <c r="T28" i="3"/>
  <c r="P28" i="3"/>
  <c r="L28" i="3"/>
  <c r="T27" i="3"/>
  <c r="P27" i="3"/>
  <c r="L27" i="3"/>
  <c r="T26" i="3"/>
  <c r="P26" i="3"/>
  <c r="L26" i="3"/>
  <c r="T25" i="3"/>
  <c r="P25" i="3"/>
  <c r="L25" i="3"/>
  <c r="T24" i="3"/>
  <c r="P24" i="3"/>
  <c r="L24" i="3"/>
  <c r="T23" i="3"/>
  <c r="P23" i="3"/>
  <c r="L23" i="3"/>
  <c r="T22" i="3"/>
  <c r="P22" i="3"/>
  <c r="L22" i="3"/>
  <c r="T21" i="3"/>
  <c r="P21" i="3"/>
  <c r="L21" i="3"/>
  <c r="T20" i="3"/>
  <c r="P20" i="3"/>
  <c r="L20" i="3"/>
  <c r="T19" i="3"/>
  <c r="P19" i="3"/>
  <c r="L19" i="3"/>
  <c r="T18" i="3"/>
  <c r="P18" i="3"/>
  <c r="L18" i="3"/>
  <c r="T17" i="3"/>
  <c r="P17" i="3"/>
  <c r="L17" i="3"/>
  <c r="T16" i="3"/>
  <c r="P16" i="3"/>
  <c r="L16" i="3"/>
  <c r="T15" i="3"/>
  <c r="P15" i="3"/>
  <c r="L15" i="3"/>
  <c r="T14" i="3"/>
  <c r="P14" i="3"/>
  <c r="L14" i="3"/>
  <c r="T13" i="3"/>
  <c r="P13" i="3"/>
  <c r="L13" i="3"/>
  <c r="T12" i="3"/>
  <c r="P12" i="3"/>
  <c r="L12" i="3"/>
  <c r="T11" i="3"/>
  <c r="P11" i="3"/>
  <c r="L11" i="3"/>
  <c r="T10" i="3"/>
  <c r="P10" i="3"/>
  <c r="L10" i="3"/>
  <c r="T9" i="3"/>
  <c r="P9" i="3"/>
  <c r="L9" i="3"/>
  <c r="T8" i="3"/>
  <c r="P8" i="3"/>
  <c r="L8" i="3"/>
  <c r="T36" i="3"/>
  <c r="L36" i="3"/>
  <c r="R35" i="3"/>
  <c r="M35" i="3"/>
  <c r="T34" i="3"/>
  <c r="O34" i="3"/>
  <c r="K34" i="3"/>
  <c r="S33" i="3"/>
  <c r="O33" i="3"/>
  <c r="K33" i="3"/>
  <c r="S32" i="3"/>
  <c r="O32" i="3"/>
  <c r="K32" i="3"/>
  <c r="S31" i="3"/>
  <c r="O31" i="3"/>
  <c r="K31" i="3"/>
  <c r="S30" i="3"/>
  <c r="O30" i="3"/>
  <c r="K30" i="3"/>
  <c r="S29" i="3"/>
  <c r="O29" i="3"/>
  <c r="K29" i="3"/>
  <c r="S28" i="3"/>
  <c r="O28" i="3"/>
  <c r="K28" i="3"/>
  <c r="S27" i="3"/>
  <c r="O27" i="3"/>
  <c r="K27" i="3"/>
  <c r="S26" i="3"/>
  <c r="O26" i="3"/>
  <c r="K26" i="3"/>
  <c r="S25" i="3"/>
  <c r="O25" i="3"/>
  <c r="K25" i="3"/>
  <c r="S24" i="3"/>
  <c r="O24" i="3"/>
  <c r="K24" i="3"/>
  <c r="S23" i="3"/>
  <c r="O23" i="3"/>
  <c r="K23" i="3"/>
  <c r="S22" i="3"/>
  <c r="O22" i="3"/>
  <c r="K22" i="3"/>
  <c r="S21" i="3"/>
  <c r="O21" i="3"/>
  <c r="K21" i="3"/>
  <c r="S20" i="3"/>
  <c r="O20" i="3"/>
  <c r="K20" i="3"/>
  <c r="S19" i="3"/>
  <c r="O19" i="3"/>
  <c r="K19" i="3"/>
  <c r="S18" i="3"/>
  <c r="O18" i="3"/>
  <c r="K18" i="3"/>
  <c r="S17" i="3"/>
  <c r="O17" i="3"/>
  <c r="K17" i="3"/>
  <c r="S16" i="3"/>
  <c r="O16" i="3"/>
  <c r="K16" i="3"/>
  <c r="S15" i="3"/>
  <c r="O15" i="3"/>
  <c r="K15" i="3"/>
  <c r="S14" i="3"/>
  <c r="O14" i="3"/>
  <c r="K14" i="3"/>
  <c r="S13" i="3"/>
  <c r="O13" i="3"/>
  <c r="K13" i="3"/>
  <c r="S12" i="3"/>
  <c r="O12" i="3"/>
  <c r="K12" i="3"/>
  <c r="S11" i="3"/>
  <c r="O11" i="3"/>
  <c r="K11" i="3"/>
  <c r="S10" i="3"/>
  <c r="O10" i="3"/>
  <c r="K10" i="3"/>
  <c r="S9" i="3"/>
  <c r="O9" i="3"/>
  <c r="K9" i="3"/>
  <c r="S8" i="3"/>
  <c r="O8" i="3"/>
  <c r="K8" i="3"/>
  <c r="S7" i="3"/>
  <c r="O7" i="3"/>
  <c r="K7" i="3"/>
  <c r="P36" i="3"/>
  <c r="J36" i="3"/>
  <c r="Q35" i="3"/>
  <c r="L35" i="3"/>
  <c r="R34" i="3"/>
  <c r="N34" i="3"/>
  <c r="J34" i="3"/>
  <c r="R33" i="3"/>
  <c r="N33" i="3"/>
  <c r="J33" i="3"/>
  <c r="R32" i="3"/>
  <c r="N32" i="3"/>
  <c r="J32" i="3"/>
  <c r="R31" i="3"/>
  <c r="N31" i="3"/>
  <c r="J31" i="3"/>
  <c r="R30" i="3"/>
  <c r="N30" i="3"/>
  <c r="J30" i="3"/>
  <c r="R29" i="3"/>
  <c r="N29" i="3"/>
  <c r="J29" i="3"/>
  <c r="R28" i="3"/>
  <c r="N28" i="3"/>
  <c r="J28" i="3"/>
  <c r="R27" i="3"/>
  <c r="N27" i="3"/>
  <c r="J27" i="3"/>
  <c r="R26" i="3"/>
  <c r="N26" i="3"/>
  <c r="J26" i="3"/>
  <c r="R25" i="3"/>
  <c r="N25" i="3"/>
  <c r="J25" i="3"/>
  <c r="R24" i="3"/>
  <c r="N24" i="3"/>
  <c r="J24" i="3"/>
  <c r="R23" i="3"/>
  <c r="N23" i="3"/>
  <c r="J23" i="3"/>
  <c r="R22" i="3"/>
  <c r="N22" i="3"/>
  <c r="J22" i="3"/>
  <c r="R21" i="3"/>
  <c r="N21" i="3"/>
  <c r="J21" i="3"/>
  <c r="R20" i="3"/>
  <c r="N20" i="3"/>
  <c r="J20" i="3"/>
  <c r="R19" i="3"/>
  <c r="N19" i="3"/>
  <c r="J19" i="3"/>
  <c r="R18" i="3"/>
  <c r="N18" i="3"/>
  <c r="J18" i="3"/>
  <c r="R17" i="3"/>
  <c r="N17" i="3"/>
  <c r="J17" i="3"/>
  <c r="R16" i="3"/>
  <c r="N16" i="3"/>
  <c r="J16" i="3"/>
  <c r="R15" i="3"/>
  <c r="N15" i="3"/>
  <c r="J15" i="3"/>
  <c r="R14" i="3"/>
  <c r="N14" i="3"/>
  <c r="J14" i="3"/>
  <c r="R13" i="3"/>
  <c r="N13" i="3"/>
  <c r="J13" i="3"/>
  <c r="R12" i="3"/>
  <c r="N12" i="3"/>
  <c r="J12" i="3"/>
  <c r="R11" i="3"/>
  <c r="N11" i="3"/>
  <c r="J11" i="3"/>
  <c r="R10" i="3"/>
  <c r="N10" i="3"/>
  <c r="J10" i="3"/>
  <c r="R9" i="3"/>
  <c r="N9" i="3"/>
  <c r="J9" i="3"/>
  <c r="R8" i="3"/>
  <c r="N8" i="3"/>
  <c r="J8" i="3"/>
  <c r="R7" i="3"/>
  <c r="N7" i="3"/>
  <c r="J7" i="3"/>
  <c r="R6" i="3"/>
  <c r="N6" i="3"/>
  <c r="J6" i="3"/>
  <c r="M8" i="3"/>
  <c r="Q7" i="3"/>
  <c r="U6" i="3"/>
  <c r="M6" i="3"/>
  <c r="L7" i="3"/>
  <c r="T6" i="3"/>
  <c r="K6" i="3"/>
  <c r="S6" i="3"/>
  <c r="P6" i="3"/>
  <c r="P7" i="3"/>
  <c r="O6" i="3"/>
  <c r="L6" i="3"/>
  <c r="BR19" i="3"/>
  <c r="BR56" i="3" s="1"/>
  <c r="BD56" i="3"/>
  <c r="BS19" i="3"/>
  <c r="BS56" i="3" s="1"/>
  <c r="BE56" i="3"/>
  <c r="BV56" i="3"/>
  <c r="AW19" i="3"/>
  <c r="BK24" i="3"/>
  <c r="BK11" i="3"/>
  <c r="AW22" i="3"/>
  <c r="AZ56" i="3"/>
  <c r="AW44" i="3"/>
  <c r="BN17" i="3"/>
  <c r="BK17" i="3" s="1"/>
  <c r="AW17" i="3"/>
  <c r="BL32" i="3"/>
  <c r="BK32" i="3" s="1"/>
  <c r="AW32" i="3"/>
  <c r="BN28" i="3"/>
  <c r="BK28" i="3" s="1"/>
  <c r="AW28" i="3"/>
  <c r="BL45" i="3"/>
  <c r="BK45" i="3" s="1"/>
  <c r="AW45" i="3"/>
  <c r="BN54" i="3"/>
  <c r="BK54" i="3" s="1"/>
  <c r="AW54" i="3"/>
  <c r="BA56" i="3"/>
  <c r="BN19" i="3"/>
  <c r="AW24" i="3"/>
  <c r="BN26" i="3"/>
  <c r="BK26" i="3" s="1"/>
  <c r="AW26" i="3"/>
  <c r="BL49" i="3"/>
  <c r="BK49" i="3" s="1"/>
  <c r="AW49" i="3"/>
  <c r="BN48" i="3"/>
  <c r="BK48" i="3" s="1"/>
  <c r="AW48" i="3"/>
  <c r="BL29" i="3"/>
  <c r="BK29" i="3" s="1"/>
  <c r="AW29" i="3"/>
  <c r="BN42" i="3"/>
  <c r="BK42" i="3" s="1"/>
  <c r="AW42" i="3"/>
  <c r="BL7" i="3"/>
  <c r="BK7" i="3" s="1"/>
  <c r="AW7" i="3"/>
  <c r="BL55" i="3"/>
  <c r="BK55" i="3" s="1"/>
  <c r="AW55" i="3"/>
  <c r="AX56" i="3"/>
  <c r="BB56" i="3"/>
  <c r="BO56" i="3"/>
  <c r="AW25" i="3"/>
  <c r="BM22" i="3"/>
  <c r="BM56" i="3" s="1"/>
  <c r="BN18" i="3"/>
  <c r="BK18" i="3" s="1"/>
  <c r="AW18" i="3"/>
  <c r="BL16" i="3"/>
  <c r="BK16" i="3" s="1"/>
  <c r="AW16" i="3"/>
  <c r="BN21" i="3"/>
  <c r="BK21" i="3" s="1"/>
  <c r="AW21" i="3"/>
  <c r="BL36" i="3"/>
  <c r="BK36" i="3" s="1"/>
  <c r="AW36" i="3"/>
  <c r="BN31" i="3"/>
  <c r="BK31" i="3" s="1"/>
  <c r="AW31" i="3"/>
  <c r="BL10" i="3"/>
  <c r="BK10" i="3" s="1"/>
  <c r="AW10" i="3"/>
  <c r="BN39" i="3"/>
  <c r="BK39" i="3" s="1"/>
  <c r="AW39" i="3"/>
  <c r="BL46" i="3"/>
  <c r="BK46" i="3" s="1"/>
  <c r="AW46" i="3"/>
  <c r="AY56" i="3"/>
  <c r="BC56" i="3"/>
  <c r="BQ19" i="3"/>
  <c r="BQ56" i="3" s="1"/>
  <c r="BL19" i="3"/>
  <c r="BP19" i="3"/>
  <c r="BP56" i="3" s="1"/>
  <c r="BK25" i="3"/>
  <c r="AW11" i="3"/>
  <c r="BK44" i="3"/>
  <c r="BL33" i="3"/>
  <c r="BK33" i="3" s="1"/>
  <c r="AW33" i="3"/>
  <c r="BN40" i="3"/>
  <c r="BK40" i="3" s="1"/>
  <c r="AW40" i="3"/>
  <c r="BL37" i="3"/>
  <c r="BK37" i="3" s="1"/>
  <c r="AW37" i="3"/>
  <c r="BN30" i="3"/>
  <c r="BK30" i="3" s="1"/>
  <c r="AW30" i="3"/>
  <c r="BL23" i="3"/>
  <c r="BK23" i="3" s="1"/>
  <c r="AW23" i="3"/>
  <c r="BN34" i="3"/>
  <c r="BK34" i="3" s="1"/>
  <c r="AW34" i="3"/>
  <c r="BL53" i="3"/>
  <c r="BK53" i="3" s="1"/>
  <c r="AW53" i="3"/>
  <c r="L51" i="7" l="1"/>
  <c r="L43" i="7"/>
  <c r="L35" i="7"/>
  <c r="L7" i="7"/>
  <c r="L41" i="7"/>
  <c r="M41" i="7"/>
  <c r="L33" i="7"/>
  <c r="L49" i="7"/>
  <c r="M7" i="7"/>
  <c r="M19" i="7"/>
  <c r="L34" i="7"/>
  <c r="L50" i="7"/>
  <c r="M34" i="7"/>
  <c r="M50" i="7"/>
  <c r="L42" i="7"/>
  <c r="L22" i="7"/>
  <c r="M42" i="7"/>
  <c r="L6" i="7"/>
  <c r="L12" i="7"/>
  <c r="L17" i="7"/>
  <c r="L21" i="7"/>
  <c r="L5" i="7"/>
  <c r="M33" i="7"/>
  <c r="M49" i="7"/>
  <c r="M17" i="7"/>
  <c r="M20" i="7"/>
  <c r="L36" i="7"/>
  <c r="M8" i="7"/>
  <c r="M13" i="7"/>
  <c r="L24" i="7"/>
  <c r="L11" i="7"/>
  <c r="M32" i="7"/>
  <c r="M48" i="7"/>
  <c r="M40" i="7"/>
  <c r="I6" i="3"/>
  <c r="L19" i="7"/>
  <c r="L18" i="7"/>
  <c r="M24" i="7"/>
  <c r="L28" i="7"/>
  <c r="M36" i="7"/>
  <c r="M44" i="7"/>
  <c r="M12" i="7"/>
  <c r="L16" i="7"/>
  <c r="M28" i="7"/>
  <c r="L32" i="7"/>
  <c r="L40" i="7"/>
  <c r="L48" i="7"/>
  <c r="L20" i="7"/>
  <c r="L9" i="7"/>
  <c r="M14" i="7"/>
  <c r="L25" i="7"/>
  <c r="L29" i="7"/>
  <c r="L37" i="7"/>
  <c r="L45" i="7"/>
  <c r="M9" i="7"/>
  <c r="L13" i="7"/>
  <c r="M25" i="7"/>
  <c r="M29" i="7"/>
  <c r="M37" i="7"/>
  <c r="M45" i="7"/>
  <c r="M16" i="7"/>
  <c r="L10" i="7"/>
  <c r="M15" i="7"/>
  <c r="M21" i="7"/>
  <c r="M5" i="7"/>
  <c r="M22" i="7"/>
  <c r="L26" i="7"/>
  <c r="L30" i="7"/>
  <c r="L38" i="7"/>
  <c r="L46" i="7"/>
  <c r="M10" i="7"/>
  <c r="L14" i="7"/>
  <c r="M26" i="7"/>
  <c r="M30" i="7"/>
  <c r="M38" i="7"/>
  <c r="M46" i="7"/>
  <c r="M6" i="7"/>
  <c r="M23" i="7"/>
  <c r="L27" i="7"/>
  <c r="M35" i="7"/>
  <c r="M43" i="7"/>
  <c r="M51" i="7"/>
  <c r="M11" i="7"/>
  <c r="L15" i="7"/>
  <c r="M27" i="7"/>
  <c r="L31" i="7"/>
  <c r="L39" i="7"/>
  <c r="L47" i="7"/>
  <c r="L4" i="7"/>
  <c r="I54" i="3"/>
  <c r="I11" i="3"/>
  <c r="I45" i="3"/>
  <c r="I25" i="3"/>
  <c r="I44" i="3"/>
  <c r="I24" i="3"/>
  <c r="I43" i="3"/>
  <c r="I22" i="3"/>
  <c r="I16" i="3"/>
  <c r="I53" i="3"/>
  <c r="I30" i="3"/>
  <c r="I9" i="3"/>
  <c r="I48" i="3"/>
  <c r="I29" i="3"/>
  <c r="I8" i="3"/>
  <c r="I47" i="3"/>
  <c r="I28" i="3"/>
  <c r="I21" i="3"/>
  <c r="I31" i="3"/>
  <c r="I15" i="3"/>
  <c r="I10" i="3"/>
  <c r="I27" i="3"/>
  <c r="I42" i="3"/>
  <c r="I41" i="3"/>
  <c r="I20" i="3"/>
  <c r="I40" i="3"/>
  <c r="I18" i="3"/>
  <c r="I50" i="3"/>
  <c r="I38" i="3"/>
  <c r="I17" i="3"/>
  <c r="I46" i="3"/>
  <c r="I39" i="3"/>
  <c r="I23" i="3"/>
  <c r="I7" i="3"/>
  <c r="I55" i="3"/>
  <c r="I37" i="3"/>
  <c r="I49" i="3"/>
  <c r="I26" i="3"/>
  <c r="I36" i="3"/>
  <c r="I14" i="3"/>
  <c r="I52" i="3"/>
  <c r="I34" i="3"/>
  <c r="I13" i="3"/>
  <c r="I51" i="3"/>
  <c r="I33" i="3"/>
  <c r="I12" i="3"/>
  <c r="I32" i="3"/>
  <c r="I35" i="3"/>
  <c r="I19" i="3"/>
  <c r="M4" i="7"/>
  <c r="D41" i="7"/>
  <c r="C42" i="7"/>
  <c r="B43" i="7" s="1"/>
  <c r="E41" i="7"/>
  <c r="AS56" i="3"/>
  <c r="AL56" i="3"/>
  <c r="AR56" i="3"/>
  <c r="AN56" i="3"/>
  <c r="AO56" i="3"/>
  <c r="AM56" i="3"/>
  <c r="AK56" i="3"/>
  <c r="AT56" i="3"/>
  <c r="AU56" i="3"/>
  <c r="AJ56" i="3"/>
  <c r="AQ56" i="3"/>
  <c r="AP56" i="3"/>
  <c r="BK22" i="3"/>
  <c r="BK19" i="3"/>
  <c r="AW56" i="3"/>
  <c r="BL56" i="3"/>
  <c r="BN56" i="3"/>
  <c r="I56" i="3" l="1"/>
  <c r="I5" i="3" s="1"/>
  <c r="D42" i="7"/>
  <c r="E42" i="7"/>
  <c r="C43" i="7"/>
  <c r="B44" i="7" s="1"/>
  <c r="BK56" i="3"/>
  <c r="D43" i="7" l="1"/>
  <c r="C44" i="7"/>
  <c r="B45" i="7" s="1"/>
  <c r="E43" i="7"/>
  <c r="H51" i="3"/>
  <c r="AF56" i="3"/>
  <c r="H54" i="3"/>
  <c r="H11" i="3"/>
  <c r="H20" i="3"/>
  <c r="H48" i="3"/>
  <c r="AH56" i="3"/>
  <c r="H35" i="3"/>
  <c r="H52" i="3"/>
  <c r="H50" i="3"/>
  <c r="H14" i="3"/>
  <c r="H46" i="3"/>
  <c r="H17" i="3"/>
  <c r="E44" i="7" l="1"/>
  <c r="D44" i="7"/>
  <c r="C45" i="7"/>
  <c r="B46" i="7" s="1"/>
  <c r="D45" i="7"/>
  <c r="H15" i="3"/>
  <c r="H12" i="3"/>
  <c r="H19" i="3"/>
  <c r="H55" i="3"/>
  <c r="H40" i="3"/>
  <c r="H53" i="3"/>
  <c r="AE56" i="3"/>
  <c r="AG56" i="3"/>
  <c r="H21" i="3"/>
  <c r="H6" i="3"/>
  <c r="H43" i="3"/>
  <c r="H16" i="3"/>
  <c r="H44" i="3"/>
  <c r="H45" i="3"/>
  <c r="H36" i="3"/>
  <c r="H24" i="3"/>
  <c r="H42" i="3"/>
  <c r="H30" i="3"/>
  <c r="H47" i="3"/>
  <c r="H9" i="3"/>
  <c r="H8" i="3"/>
  <c r="H39" i="3"/>
  <c r="Z56" i="3"/>
  <c r="H34" i="3"/>
  <c r="AC56" i="3"/>
  <c r="H7" i="3"/>
  <c r="H13" i="3"/>
  <c r="H27" i="3"/>
  <c r="H26" i="3"/>
  <c r="H37" i="3"/>
  <c r="H25" i="3"/>
  <c r="H28" i="3"/>
  <c r="H32" i="3"/>
  <c r="H31" i="3"/>
  <c r="AB56" i="3"/>
  <c r="H23" i="3"/>
  <c r="H10" i="3"/>
  <c r="H41" i="3"/>
  <c r="H49" i="3"/>
  <c r="H29" i="3"/>
  <c r="X56" i="3"/>
  <c r="H22" i="3"/>
  <c r="AA56" i="3"/>
  <c r="H33" i="3"/>
  <c r="H18" i="3"/>
  <c r="H38" i="3"/>
  <c r="Y56" i="3"/>
  <c r="W56" i="3"/>
  <c r="AD56" i="3"/>
  <c r="G45" i="3"/>
  <c r="G38" i="3"/>
  <c r="G51" i="3"/>
  <c r="G32" i="3"/>
  <c r="G35" i="3"/>
  <c r="G47" i="3"/>
  <c r="G33" i="3"/>
  <c r="G26" i="3"/>
  <c r="G21" i="3"/>
  <c r="G28" i="3"/>
  <c r="G8" i="3"/>
  <c r="O56" i="3"/>
  <c r="G44" i="3"/>
  <c r="G42" i="3"/>
  <c r="G30" i="3"/>
  <c r="H56" i="3" l="1"/>
  <c r="H5" i="3" s="1"/>
  <c r="C46" i="7"/>
  <c r="B47" i="7" s="1"/>
  <c r="E45" i="7"/>
  <c r="G19" i="3"/>
  <c r="G36" i="3"/>
  <c r="G17" i="3"/>
  <c r="G31" i="3"/>
  <c r="G50" i="3"/>
  <c r="G27" i="3"/>
  <c r="G43" i="3"/>
  <c r="G10" i="3"/>
  <c r="G29" i="3"/>
  <c r="L56" i="3"/>
  <c r="G55" i="3"/>
  <c r="G39" i="3"/>
  <c r="G16" i="3"/>
  <c r="G54" i="3"/>
  <c r="G12" i="3"/>
  <c r="G14" i="3"/>
  <c r="G20" i="3"/>
  <c r="G23" i="3"/>
  <c r="T56" i="3"/>
  <c r="Q56" i="3"/>
  <c r="G13" i="3"/>
  <c r="S56" i="3"/>
  <c r="G46" i="3"/>
  <c r="G41" i="3"/>
  <c r="G11" i="3"/>
  <c r="G22" i="3"/>
  <c r="G18" i="3"/>
  <c r="G25" i="3"/>
  <c r="G52" i="3"/>
  <c r="G34" i="3"/>
  <c r="G49" i="3"/>
  <c r="G40" i="3"/>
  <c r="R56" i="3"/>
  <c r="U56" i="3"/>
  <c r="P56" i="3"/>
  <c r="M56" i="3"/>
  <c r="G37" i="3"/>
  <c r="G53" i="3"/>
  <c r="G48" i="3"/>
  <c r="K56" i="3"/>
  <c r="G7" i="3"/>
  <c r="G6" i="3"/>
  <c r="G9" i="3"/>
  <c r="G24" i="3"/>
  <c r="G15" i="3"/>
  <c r="N56" i="3"/>
  <c r="J56" i="3"/>
  <c r="G56" i="3" l="1"/>
  <c r="G5" i="3" s="1"/>
  <c r="D46" i="7"/>
  <c r="C47" i="7"/>
  <c r="B48" i="7" s="1"/>
  <c r="E46" i="7"/>
  <c r="D47" i="7" l="1"/>
  <c r="C48" i="7"/>
  <c r="B49" i="7" s="1"/>
  <c r="E47" i="7"/>
  <c r="C49" i="7" l="1"/>
  <c r="B50" i="7" s="1"/>
  <c r="D48" i="7"/>
  <c r="E48" i="7"/>
  <c r="D49" i="7" l="1"/>
  <c r="C50" i="7"/>
  <c r="B51" i="7" s="1"/>
  <c r="D50" i="7"/>
  <c r="E49" i="7"/>
  <c r="E50" i="7" l="1"/>
  <c r="C51" i="7"/>
  <c r="E51" i="7" s="1"/>
  <c r="D51" i="7" l="1"/>
</calcChain>
</file>

<file path=xl/comments1.xml><?xml version="1.0" encoding="utf-8"?>
<comments xmlns="http://schemas.openxmlformats.org/spreadsheetml/2006/main">
  <authors>
    <author>Author</author>
  </authors>
  <commentList>
    <comment ref="J826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27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28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29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30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62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63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64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  <comment ref="J865" authorId="0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Manually Input</t>
        </r>
      </text>
    </comment>
  </commentList>
</comments>
</file>

<file path=xl/sharedStrings.xml><?xml version="1.0" encoding="utf-8"?>
<sst xmlns="http://schemas.openxmlformats.org/spreadsheetml/2006/main" count="16603" uniqueCount="934">
  <si>
    <t>Employment Type</t>
  </si>
  <si>
    <t>Employee Name</t>
  </si>
  <si>
    <t>OT date</t>
  </si>
  <si>
    <t>OT Day</t>
  </si>
  <si>
    <t>Time From</t>
  </si>
  <si>
    <t>Time To</t>
  </si>
  <si>
    <t>Regular Work Hours</t>
  </si>
  <si>
    <t>Total OT Hours FXV</t>
  </si>
  <si>
    <t>MLV-Billable Total OT Hours</t>
  </si>
  <si>
    <t>Rate Type</t>
  </si>
  <si>
    <t>Purpose</t>
  </si>
  <si>
    <t>Perm staff onsite</t>
  </si>
  <si>
    <t>Nguyen Thanh My</t>
  </si>
  <si>
    <t>Sun</t>
  </si>
  <si>
    <t>Tue</t>
  </si>
  <si>
    <t>Wed</t>
  </si>
  <si>
    <t>Mon</t>
  </si>
  <si>
    <t>Fri</t>
  </si>
  <si>
    <t>Truong Van Thai</t>
  </si>
  <si>
    <t>Dang Minh Phuc</t>
  </si>
  <si>
    <t>Ma Hong Phuc</t>
  </si>
  <si>
    <t>Truong Thi Minh Trang</t>
  </si>
  <si>
    <t>Part timer onsite</t>
  </si>
  <si>
    <t>Tran Thai Thuan</t>
  </si>
  <si>
    <t>Sat</t>
  </si>
  <si>
    <t>Thu</t>
  </si>
  <si>
    <t>Le Thanh Vi</t>
  </si>
  <si>
    <t>Nguyen Trung Tin</t>
  </si>
  <si>
    <t>Huynh Thi Linh Trang</t>
  </si>
  <si>
    <t>Bui Thi Hoai Thuong</t>
  </si>
  <si>
    <t>Normal Working Days before 10pm</t>
  </si>
  <si>
    <t>745 Policies</t>
  </si>
  <si>
    <t>2752 Policies</t>
  </si>
  <si>
    <t>1593 Policies</t>
  </si>
  <si>
    <t>933 Policies</t>
  </si>
  <si>
    <t>917 Policies</t>
  </si>
  <si>
    <t>765 Policies</t>
  </si>
  <si>
    <t>540 Policies</t>
  </si>
  <si>
    <t>927 Policies</t>
  </si>
  <si>
    <t>1633 Policies</t>
  </si>
  <si>
    <t>1378 Policies</t>
  </si>
  <si>
    <t>942 Policies</t>
  </si>
  <si>
    <t>53 Policies and Backlog 255 Policies of Batch 665</t>
  </si>
  <si>
    <t>476 Policies</t>
  </si>
  <si>
    <t>320 Policies</t>
  </si>
  <si>
    <t>475 Policies</t>
  </si>
  <si>
    <t>479 Policies</t>
  </si>
  <si>
    <t>689 Policies</t>
  </si>
  <si>
    <t>391 Policies</t>
  </si>
  <si>
    <t>659 Policies</t>
  </si>
  <si>
    <t>1063 Policies</t>
  </si>
  <si>
    <t>Total: 1619 Policies (Batch 20170125_0102: 1357 Policies, Batch 20170202_2151: 19 Policies, Batch 20170203_1149: 130 Policies, Batch 20170203_1452: 113 Policies)</t>
  </si>
  <si>
    <t>Saturday/Sunday (Weekends) before 10pm</t>
  </si>
  <si>
    <t>Total: 522 Policies (Batch 20170214_1455: 160 Policies, Batch 20170214_2142: 113 Policies, Batch 20170215_1205: 249 Policies,UL Cert Printing (650 Cert.))</t>
  </si>
  <si>
    <t>Total: 519 Policies (Batch 20170216_1549: 144 Policies, Batch 20170216_2216: 113 Policies, Batch 20170217_1403: 262 Policies, Ant Stm testing)</t>
  </si>
  <si>
    <t>Total: 335 Policies (Batch 20170217_1514: 21 Policies, Batch 20170217_2112: 202 Policies, Batch 20170220_1149: 90 Policies, Batch 20170220_1453: 22 Policies, Endorsement Testing)</t>
  </si>
  <si>
    <t>Normal Working Days after 10pm</t>
  </si>
  <si>
    <t>Total: 743 Policies (Batch 20170220_2219: 494 Policies, Batch 20170221_1202: 155 Policies, Batch 20170221_1442: 94 Policies, Anl Stm go live)</t>
  </si>
  <si>
    <t>Total: 712 Policies (Batch 20170224_1146: 212 Policies, Batch 20170224_1501: 237 Policies, Batch 20170224_2239: 263 Policies)</t>
  </si>
  <si>
    <t>Total: 862 Policies (Batch 20170225_1211:282 Policies, Batch 20170225_1533: 189 Policies, Batch 20170225_2110: 293 Policies, Batch 20170226_1156: 98 Policies)</t>
  </si>
  <si>
    <t>Total: 630 Policies (Batch 20170226_1506: 188 Policies, Batch 20170226_2141: 263 Policies, Batch 20170227_1149: 179 Policies, Anl Stm )</t>
  </si>
  <si>
    <t>Total: 1181 Policies (Batch 20170227_1519: 134 Policies, Batch 20170227_2330: 592 Policies, Batch 20170228_1153: 299 Policies, Batch 20170228_1508: 156 Policies)</t>
  </si>
  <si>
    <t>Total: 569 Policies (Batch 20170125_0102: 569 Policies)</t>
  </si>
  <si>
    <t>Total: 819 Policies (Batch 20170206_1152: 7 Policies, Batch 20170206_1509: 76 Policies, Batch 20170206_2255: 458 Policies, Batch 20170207_1208: 278 Policies)</t>
  </si>
  <si>
    <t>Total: 613 Policies (Batch 20170207_2115: 613 Policies)</t>
  </si>
  <si>
    <t>Total: 549 Policies (Batch 20170208_1201: 243 Policies, Batch 20170208_1510: 164 Policies ,Batch 20170208_2111: 142 Policies)</t>
  </si>
  <si>
    <t>Total: 604 Policies (Batch 20170209_1147: 152 Policies, Batch 20170209_1505: 84 Policies, Batch 20170209_2247: 289 Policies, Batch 20170210_1149: 79 Policies)</t>
  </si>
  <si>
    <t>Total: 588 Policies (Batch 20170210_1505: 166 Policies, Batch 20170210_2320: 257 Policies, Batch 20170213_1201: 165 Policies)</t>
  </si>
  <si>
    <t>Total: 406 Policies (Batch 20170213_1503: 16 Policies, Batch 20170213_2201: 293 Policies, Batch 20170214_1155: 97 Policies)</t>
  </si>
  <si>
    <t>Total: 522 Policies (Batch 20170214_1455: 160 Policies, Batch 20170214_2142: 113 Policies, Batch 20170215_1205: 249 Policies)</t>
  </si>
  <si>
    <t>Total: 504 Policies (Batch 20170215_1501: 206 Policies, Batch 20170215_2157: 181 Policies, Batch 20170216_1155: 117 Policies)</t>
  </si>
  <si>
    <t>Total: 519 Policies (Batch 20170216_1549: 144 Policies, Batch 20170216_2216: 113 Policies, Batch 20170217_1403: 262 Policies)</t>
  </si>
  <si>
    <t>Total: 587 Policies (Batch 20170221_2155: 472 Policies, Batch 20170222_1151: 115 Policies)</t>
  </si>
  <si>
    <t>Total: 475 Policies (Batch 20170222_2207: 243 Policies, Batch 20170223_1108: 232 Policies)</t>
  </si>
  <si>
    <t>Total: 495 Policies (Batch 20170222_1454: 198 Policies, Batch 20170223_2124: 297 Policies)</t>
  </si>
  <si>
    <t>Total: 504 Policies (Batch 20170215_1501: 206 Policies, Batch 20170215_2157: 181 Policies, Batch 20170216_1155: 117 Policies, Backfill for fulltime)</t>
  </si>
  <si>
    <t>Tran Ro Pi</t>
  </si>
  <si>
    <t>Nguyen Kim Hoa</t>
  </si>
  <si>
    <t>Le Hoang Ngoc</t>
  </si>
  <si>
    <t>Nguyen An Tu</t>
  </si>
  <si>
    <t>Bui Thi Thu Ngan</t>
  </si>
  <si>
    <t>Total: 1380 Policies (Batch 20170228_0119: 1380 Policies)</t>
  </si>
  <si>
    <t>Total: 1272 Policies (Batch 20170301_1147: 129 Policies, Batch 20170301_1508: 66 Policies, Batch 20170301_0115: 1077 Policies)</t>
  </si>
  <si>
    <t>Total: 1004 Policies (Batch 20170302_1205: 284 Policies, Batch 20170302_1455: 22 Policies, Batch 20170302_2117: 267 Policies, Batch 20170303_1202: 240 Policies, Batch 20170303_1517: 91 Policies)</t>
  </si>
  <si>
    <t>Anl Stmt: Printing And Enveloping</t>
  </si>
  <si>
    <t>Total: 721 Policies (Batch 20170309_1142: 289 Policies, Batch 20170309_1446: 67 Policies, Batch 20170309_2139: 148 Policies, Batch 20170310_1157: 203 Policies, Batch 20170310_1503: 14 Policies)</t>
  </si>
  <si>
    <t>Total: 961 Policies (Batch 20170315_1538: 87 Policies, Batch 20170315_2207: 421 Policies, Batch 20170316_2207: 199 Policies, Batch 20170316_2207: 254 Policies)</t>
  </si>
  <si>
    <t>Total: 522 Policies (Batch 20170317_1502: 92 Policies, Batch 20170320_0947: 430 Policies, Anl Stmt Insertion)</t>
  </si>
  <si>
    <t>Total: 964 Policies (Batch 20170320_1154: 109 Policies, Batch 20170320_1504: 90 Policies, Batch 20170320_2111: 451 Policies, Batch 20170321_1207: 314 Policies)</t>
  </si>
  <si>
    <t>Total: 1031 Policies (Batch 20170321_1514: 220 Policies, Batch 20170321_2112: 467 Policies, Batch 20170322_1152: 204 Policies, Batch 20170322_1518: 140 Policies)</t>
  </si>
  <si>
    <t>Total: 742 Policies (Batch 20170322_2213: 352 Policies, Batch 20170323_1153: 301 Policies, Batch 20170323_1515: 89 Policies)</t>
  </si>
  <si>
    <t>Total: 778 Policies (Batch 20170324_1202: 144 Policies, Batch 20170324_1526: 160 Policies, Batch 20170324_2214: 311 Policies, Batch 20170325_1150: 163 Policies)</t>
  </si>
  <si>
    <t>Total: 1004 Policies (Batch 20170325_1504: 261 Policies, Batch 20170325_2128: 294 Policies, Batch 20170327_1202: 374 Policies, Batch 20170327_1513: 76 Policies)</t>
  </si>
  <si>
    <t>Total: 713 Policies (Batch 20170328_2318: 259 Policies, Batch 20170328_1158: 320 Policies, Batch 20170328_1506: 134 Policies)</t>
  </si>
  <si>
    <t>Total: 1472 Policies (Batch 20170329_1536: 377 Policies, Batch 20170329_2242: 467 Policies, Batch 20170330_1210: 628 Policies)</t>
  </si>
  <si>
    <t>Anl Stmt Printing &amp; Enveloping</t>
  </si>
  <si>
    <t>Total: 1224 Policies (Batch 20170329_2251: 750 Policies, Batch 20170329_1205: 494 Policies)</t>
  </si>
  <si>
    <t>Total: 1078 Policies (Batch 20170330_1514: 310 Policies, Batch 20170330_0000: 768 Policies)</t>
  </si>
  <si>
    <t>Total: 496 Policies (Batch 20170303_2107: 294 Policies, Batch 20170306_1202: 119 Policies, Batch 20170306_1524: 83 Policies)</t>
  </si>
  <si>
    <t>Total: 263 Policies (Batch 20170306_2247: 263 Policies)</t>
  </si>
  <si>
    <t>Total: 416 Policies (Batch 20170308_1135: 112 Policies, Batch 20170308_1519: 126 Policies, Batch 20170308_2112: 187 Policies)</t>
  </si>
  <si>
    <t>Total: 425 Policies (Batch 20170308_1135: 112 Policies, Batch 20170308_1519: 126 Policies, Batch 20170308_2112: 187 Policies)</t>
  </si>
  <si>
    <t>Total: 414 Policies (Batch 20170310_2156: 237 Policies, Batch 20170313_1203: 177 Policies)</t>
  </si>
  <si>
    <t>Total: 560 Policies (Batch 20170313_1512: 88 Policies, Batch 20170313_2204: 218 Policies, Batch 20170314_1201: 254 Policies)</t>
  </si>
  <si>
    <t>Total: 680 Policies (Batch 20170314_1505: 128 Policies, Batch 20170314_2245: 368 Policies, Batch 20170315_1157: 184 Policies)</t>
  </si>
  <si>
    <t>Total: 349 Policies (Batch 20170316_2208: 107 Policies, Batch 20170317_1205: 242 Policies)</t>
  </si>
  <si>
    <t>Total: 714 Policies (Batch 20170323_2154: 410 Policies, Batch 20170324_1202: 144 Policies, Batch 20170324_1526: 160 Policies)</t>
  </si>
  <si>
    <t>Anl Stmt Insertion</t>
  </si>
  <si>
    <t>Total: 1004 Policies (Batch 20170325_1504: 261 Policies, Batch 20170325_2128: 294 Policies, Batch 20170327_1202: 374 Policies, Batch 20170327_1513: 76 PoliciesT(rain for peak cycle))</t>
  </si>
  <si>
    <t>Total: 713 Policies (Batch 20170328_2318: 259 Policies, Batch 20170328_1158: 320 Policies, Batch 20170328_1506: 134 Policies (Train for peak cycle))</t>
  </si>
  <si>
    <t>Total: 1224 Policies (Train for peak cycle)</t>
  </si>
  <si>
    <t>Total: 1374 Policies (Batch 20170331_1152: 812 Policies, Batch 20170331_1509: 562 Policies)</t>
  </si>
  <si>
    <t>Total: 1777 Policies (Batch 20170331_0831: 805 Policies, Batch 20170331_1248: 972 Policies)</t>
  </si>
  <si>
    <t>Total: 1467 Policies (Batch 20170331_1002: 1467 Policies, Batch 20170403_1901: 171 Policies)</t>
  </si>
  <si>
    <t>Total: 1467 Policies (Batch 20170331_1002: 1468 Policies, Batch 20170403_1901: 171 Policies)</t>
  </si>
  <si>
    <t>Total: 1362 Policies (Batch 20170403_1901: 171 Policies, Batch 20170403_1202: 261 Policies, Batch 20170403_1516: 78 Policies, Batch 20170403_2253: 653 Policies, Batch 20170404_1211: 112 Policies,  Batch 20170404_1515: 87 Policies)</t>
  </si>
  <si>
    <t>Total: 498 Policies (Batch 20170404_2204: 298 Policies, Batch 20170405_1204: 200 Policies,)</t>
  </si>
  <si>
    <t>Total: 442 Policies (Batch 20170405_1821: 338 Policies, Batch 20170407_1156: 104 Policies)</t>
  </si>
  <si>
    <t>Total: 296 Policies (Batch 20170407_1625: 74 Policies, Batch 20170407_2352: 97 Policies, Batch 20170410_1203: 125 Policies)</t>
  </si>
  <si>
    <t>Total: 903 Policies (Batch 20170410_1501: 124 Policies, Batch 20170410_0202: 366 Policies, Batch 20170411_1203: 165 Policies, Batch 20170411_1501: 248 Policies)</t>
  </si>
  <si>
    <t>Total: 639 Policies (Batch 20170411_2149: 458 Policies, Batch 20170412_1158: 181 Policies)</t>
  </si>
  <si>
    <t>Total: 480 Policies (Batch 20170412_1512: 66 Policies, Batch 20170412_2124: 231 Policies, Batch 20170413_1155: 35 Policies, Batch 20170413_1450: 148 Policies)</t>
  </si>
  <si>
    <t>Total: 551 Policies (Batch 20170413_0136: 250 Policies, Batch 20170414_1153: 234 Policies,  Batch 20170414_1504: 66 Policies)</t>
  </si>
  <si>
    <t>Total: 302 Policies (Batch 20170414_2309: 187 Policies, Batch 20170417_1156: 115 Policies)</t>
  </si>
  <si>
    <t>Total: 593 Policies (Batch 20170417_1457: 99 Policies, Batch 20170417_2259: 348 Policies, Batch 20170418_1157: 147 Policies)</t>
  </si>
  <si>
    <t>Total: 999 Policies (Batch 20170418_1454: 169 Policies, Batch 20170418_2248: 457 Policies, Batch 20170419_1126: 228 Policies, Batch 20170419_1519: 145 Policies)</t>
  </si>
  <si>
    <t>Total: 636 Policies (Batch 20170419_0228: 435 Policies, Batch 20170420_1156: 101 Policies, Batch 20170420_1449: 100 Policies)</t>
  </si>
  <si>
    <t>Total: 490 Policies (Batch 20170420_2207: 292 Policies,  Batch 20170421_1207: 198 Policies)</t>
  </si>
  <si>
    <t>Total: 952 Policies (Batch 20170421_1537: 199 Policies, Batch 20170421_2118: 413 Policies, Batch 20170424_1201: 272 Policies, Batch 20170424_1502: 68 Policies)</t>
  </si>
  <si>
    <t>Total: 952 Policies (Batch 20170421_1537: 199 Policies, Batch 20170421_2118: 413 Policies, Batch 20170424_1201: 272 Policies)</t>
  </si>
  <si>
    <t>Total: 723 Policies (Batch 20170424_2301: 447 Policies, Batch 20170425_1208: 276 Policies)</t>
  </si>
  <si>
    <t>Total: 1312 Policies (Batch 20170424_2301: 447 Policies, Batch 20170426_1214: 416 Policies, Batch 20170426_1457: 172 Policies)</t>
  </si>
  <si>
    <t>Total: 1099 Policies (Batch 20170426_2303: 91 Policies, Batch 20170427_0921: 833 Policies, Batch 20170427_1330: 175 Policies)</t>
  </si>
  <si>
    <t>Total: 1327 Policies (Batch 20170427_0044: 1025 Policies, Batch 20170428_1206: 267 Policies, Batch 20170428_1513: 35 Policies)</t>
  </si>
  <si>
    <t>Total: 1631 Policies (Batch 20170428_0044: 1071 Policies, Batch 20170429_1200: 560 Policies)</t>
  </si>
  <si>
    <t>Public Holiday before 10pm</t>
  </si>
  <si>
    <t>Total: 1938 Policies (Batch 20170429_1817: 676 Policies, Batch 20170429_2234: 1262 Policies)</t>
  </si>
  <si>
    <t>Total: 1925 Policies (Batch 20170430_1100: 308 Policies, Batch 20170430_1755: 593 Policies,  Batch 20170430_2152: 1024 Policies)</t>
  </si>
  <si>
    <t>Total: 213 Policies (800/1024 Policies, Batch 20170430_1218: 213 Policies)</t>
  </si>
  <si>
    <t>Total: 545 Policies (Batch 20170503_1204: 93 Policies, Batch 20170503_1508: 177 Policies, Batch 20170504_2253: 230 Policies, Batch 20170504_1159: 45 Policies)</t>
  </si>
  <si>
    <t>Total: 602 Policies (Batch 20170504_1520: 107 Policies, Batch 20170504_2254: 250 Policies, Batch 20170504_0304: 56 Policies, Batch 20170505_1159: 189 Policies)</t>
  </si>
  <si>
    <t>Total: 422 Policies (Batch 20170505_1501: 49 Policies, Batch 20170505_2214: 247 Policies, Batch 20170508_1156: 75 Policies)</t>
  </si>
  <si>
    <t>Total: 312 Policies (Batch 20170508_2253: 248 Policies, Batch 20170509_1205: 64 Policies)</t>
  </si>
  <si>
    <t>Total: 818 Policies (Batch 20170509_1534: 249 Policies, Batch 20170509_1534: 193 Policies,  Batch 20170510_1534: 302 Policies, Batch 20170510_1455: 74 Policies)</t>
  </si>
  <si>
    <t>Total: 373 Policies (Batch 20170510_2245: 236 Policies, Batch 20170511_1157: 59 Policies, Batch 20170511_1503: 78 Policies)</t>
  </si>
  <si>
    <t>Total: 420 Policies (Batch 20170511_2353: 213 Policies, Batch 20170512_1202: 179 Policies, Batch 20170512_1515: 28 Policies)</t>
  </si>
  <si>
    <t>Total: 630 Policies (Batch 20170512_2238: 364 Policies, Batch 20170515_1203: 159 Policies, Batch 20170515_1508: 107 Policies)</t>
  </si>
  <si>
    <t>Total: 592 Policies (Batch 20170515_0124: 431 Policies, Batch 20170516_1211: 161 Policies)</t>
  </si>
  <si>
    <t>Total: 1065 Policies (Batch 20170516_1510: 165 Policies, Batch 20170516_0053: 215 Policies, Batch 20170517_1136: 544 Policies, Batch 20170517_1455: 141 Policies)</t>
  </si>
  <si>
    <t>Nguyen Nhu Y Vi</t>
  </si>
  <si>
    <t>Total: 541 Policies (Batch 20170517_2208: 180 Policies, Batch 20170517_2342: 53 Policies, Batch 20170518_1153: 213 Policies,  Batch 20170518_1451: 95 Policies)</t>
  </si>
  <si>
    <t>Total: 393 Policies (Batch 20170518_2334: 328 Policies, Batch 20170519_1209: 65 Policies, Batch 20170519_1532: 169 Policies)</t>
  </si>
  <si>
    <t>Total: 541 Policies (Batch 20170519_1532: 169 Policies, Batch 20170519_0425: 256 Policies, Batch 20170522_1233: 116 Policies)</t>
  </si>
  <si>
    <t>Total: 689 Policies (Batch 20170522_2157: 472 Policies, Batch 20170523_1202: 217 Policies)</t>
  </si>
  <si>
    <t>Total: 777 Policies (Batch 20170523_1501: 99 Policies, Batch 20170523_2308: 638 Policies, Batch 20170524_1206: 40 Policies)</t>
  </si>
  <si>
    <t>Total: 1141 Policies (Batch 20170524_1516: 99 Policies, Batch 20170524_2200: 652 Policies, Batch 20170525_1153: 88 Policies, Batch 20170525_1508: 198 Policies)</t>
  </si>
  <si>
    <t>Total: 592 Policies (Batch 20170525_2210: 472 Policies, Batch 20170526_1213: 120 Policies)</t>
  </si>
  <si>
    <t>Total: 1034 Policies (Batch 20170527_2322: 658 Policies, Batch 20170529_1206: 275 Policies, Batch 20170529_1505: 101 Policies)</t>
  </si>
  <si>
    <t>Total: 1571 Policies (Batch 20170529_2253: 1003 Policies, Batch 20170530_1207: 348 Policies)</t>
  </si>
  <si>
    <t>Total: 1301 Policies (Batch 20170530_0052: 1301 Policies)</t>
  </si>
  <si>
    <t>Total: 1277 Policies (Batch 20170531_1241: 631 Policies, Batch 20170531_1953: 646 Policies)</t>
  </si>
  <si>
    <t>Nguyen Minh Tuan</t>
  </si>
  <si>
    <t>Total: 2218 Policies (Batch 20170531_0304: 1303 Policies, Batch 20170531_0916: 915 Policies,)</t>
  </si>
  <si>
    <t>Total: 785 Policies (Backlog of Batch 20170531_0916: 665/915 Policies, Batch 20170602_1206: 356 Policies, Batch 20170602_2047: 429 Policies)</t>
  </si>
  <si>
    <t>Total: 256 Policies (Batch 20170605_1156: 256 Policies)</t>
  </si>
  <si>
    <t>Total: 486 Policies (Batch 20170606_2207: 289 Policies, Batch 20170607_1334: 118 Policies, Batch 20170607_1519: 79 Policies)</t>
  </si>
  <si>
    <t>Total: 413 Policies (Batch 20170607_2232: 196 Policies, Batch 20170608_1157: 108 Policies, Batch 20170608_1505: 109 Policies)</t>
  </si>
  <si>
    <t>Total: 432 Policies (Batch 20170608_1556: 59 Policies, Batch 20170608_2147: 181 Policies, Batch 20170609_1158: 186 Policies, Batch 20170609_1624: 6 Policies)</t>
  </si>
  <si>
    <t>Total: 362 Policies (Batch 20170609_0057: 212 Policies, Batch 20170612_1145: 62 Policies, Batch 20170612_1551: 88 Policies)</t>
  </si>
  <si>
    <t>Total: 733 Policies (Batch 20170612_2219: 340 Policies, Batch 20170613_1159: 260 Policies, Batch 20170613_1508: 133 Policies)</t>
  </si>
  <si>
    <t>Total: 754 Policies (Batch 20170613_2205: 511 Policies, Batch 20170614_1200: 243 Policies)</t>
  </si>
  <si>
    <t>Total: 907 Policies (Batch 20170614_1545: 250 Policies, Batch 20170614_2251: 320 Policies,  Batch 20170615_1203: 242 Policies)</t>
  </si>
  <si>
    <t>Total: 1004 Policies (Batch 20170615_2328: 795 Policies, Batch 20170616_1300: 45 Policies, Batch 20170616_1459: 164 Policies)</t>
  </si>
  <si>
    <t>Total: 496 Policies (Batch 20170616_2054: 295 Policies, Batch 20170619_1202: 148 Policies, Batch 20170619_1459: 53 Policies)</t>
  </si>
  <si>
    <t>Total: 519 Policies (Batch 20170619_2359: 226 Policies, Batch 20170620_1158: 293 Policies)</t>
  </si>
  <si>
    <t>Total: 873 Policies (Batch 20170620_1507: 171 Policies, Batch 20170620_2305: 457 Policies, Batch 20170621_1148: 149 Policies)</t>
  </si>
  <si>
    <t>Total: 690 Policies (Batch 20170621_2203: 389 Policies, Batch 20170622_1148: 123 Policies, Batch 20170622_1521: 178 Policies)</t>
  </si>
  <si>
    <t>Total: 415 Policies (Batch 20170622_2144: 289 Policies; Batch 20170623_1457: 126 Policies)</t>
  </si>
  <si>
    <t>Total: 461 Policies (Batch 20170623_2223: 192 Policies, Batch 20170624_1244: 269 Policies)</t>
  </si>
  <si>
    <t>Total: 787 Policies (Batch 20170624_1643: 164 Policies, Batch 20170624_2115: 488 Policies,  Batch 20170626_1206: 135 Policies)</t>
  </si>
  <si>
    <t>Total: 1115 Policies (Batch 20170626_1808: 237 Policies, Batch 20170626_2246: 438 Policies, Batch 20170627_1201: 225 Policies, Batch 20170627_216: 216 Policies)</t>
  </si>
  <si>
    <t>Total: 1219 Policies (Batch 20170627_2214: 871 Policies, Batch 20170628_1158: 258 Policies, Batch 20170628_1158: 91 Policies)</t>
  </si>
  <si>
    <t>Total: 1296 Policies (Batch 20170628_2257: 903 Policies, Batch 20170629_1158: 305 Policies, Batch 20170629_1519: 88 Policies)</t>
  </si>
  <si>
    <t>Total: 1318 Policies (Batch 20170629_0001: 1318 Policies)</t>
  </si>
  <si>
    <t>Total: 723 Policies (Batch 20170630_1203: 376 Policies, Batch 20170630_1603: 347 Policies)</t>
  </si>
  <si>
    <t>Total: 723 Policies (Batch 20170630_1203: 376 Policies, Batch 20170630_1603: 347 Policies, Batch 20170630_2303: 1369 Policies)</t>
  </si>
  <si>
    <t>Total: 1369 Policies (Batch 20170630_2303: 1369 Policies,)</t>
  </si>
  <si>
    <t>Cao Xuan Khoa</t>
  </si>
  <si>
    <t>Total: 959 Policies (Batch 20170630_1250: 487 Policies, Batch 20170630_1637: 473 Policies)</t>
  </si>
  <si>
    <t>Total: 1522 Policies (Batch 20170630_0023: 1522 Policies)</t>
  </si>
  <si>
    <t>Nguyen Van Han</t>
  </si>
  <si>
    <t>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</t>
  </si>
  <si>
    <t>Total: 267 Policies (Batch 20170705_1458: 7 Policies, Batch 20170705_2139: 173 Policies, Batch 20170706_1155: 40 Policies, Batch 20170706_1505: 47 Policies)</t>
  </si>
  <si>
    <t>Total: 445 Policies (Batch 20170706_2248: 349Policies, Batch 20170707_1212: 41 Policies, Batch 20170707_1507: 55 Policies)</t>
  </si>
  <si>
    <t>Total: 255 Policies (Batch 20170707_2139: 255 Policies)</t>
  </si>
  <si>
    <t>Total: 394 Policies (Batch 20170710_1505: 131 Policies, Batch 20170710_2224: 263 Policies)</t>
  </si>
  <si>
    <t>Total: 459 Policies (Batch 20170711_1540: 141 Policies, Batch 20170711_2148: 181 Policies, Batch 20170712_1158: 137 Policies)</t>
  </si>
  <si>
    <t>Total: 535 Policies (Batch 20170712_1503: 49 Policies, Batch 20170712_2241: 260 Policies, Batch 20170713_1209: 214 Policies,  Batch 20170713_1507: 12 Policies)</t>
  </si>
  <si>
    <t>Total: 257 Policies (Batch 20170713_2212: 247 Policies, Batch 20170714_1154: 10 Policies)</t>
  </si>
  <si>
    <t>Total: 865 Policies (Batch 20170714_1537: 209 Policies, Batch 20170714_2241: 269 Policies, Batch 20170717_1202: 239 Policies,  Batch 20170717_1518: 148 Policies)</t>
  </si>
  <si>
    <t>Total: 492 Policies (Batch 20170717_2317: 319 Policies, Batch 20170718_1202: 173 Policies, Batch 20170718_1459: 118 Policies)</t>
  </si>
  <si>
    <t>Total: 486 Policies (Batch 20170718_1459: 103 Policies, Batch 20170718_2223: 295 Policies, Batch 20170719_1211: 88 Policies)</t>
  </si>
  <si>
    <t>Total: 493 Policies (Batch 20170719_1510: 164 Policies; Batch 20170719_2232: 326 Policies; Batch 20170720_1157: 73 Policies)</t>
  </si>
  <si>
    <t>Total: 677 Policies (Batch 20170720_1445: 204 Policies; Batch 20170720_1445: 402 Policies; Batch 20170721_1148: 71 Policies)</t>
  </si>
  <si>
    <t>Total: 598 Policies (Batch 20170721_1457: 204 Policies; Batch 20170721_2229: 224 Policies; Batch 20170724_1203: 170 Policies)</t>
  </si>
  <si>
    <t>Total: 1365 Policies (Batch 20170724_1519: 138 Policies; Batch 20170724_0029: 547 Policies, Batch 20170725_1156: 554 Policies, Batch 20170725_1501: 126 Policies)</t>
  </si>
  <si>
    <t>Total: 1015 Policies (Batch 20170725_2200: 687 Policies, Batch 20170726_1106: 133 Policies,  Batch 20170726_1417: 195 Policies)</t>
  </si>
  <si>
    <t>Total: 1264 Policies (Batch 20170726_1417: 195 Policies, Batch 20170727_1108: 144 Policies, Batch 20170727_1424: 410 Policies)</t>
  </si>
  <si>
    <t>Total: 1486 Policies (Batch 20170727_0324: 611 Policies, Batch 20170728_1140: 546 Policies, Batch 20170728_1415: 242 Policies)</t>
  </si>
  <si>
    <t>Total: 784 Policies (Batch 20170728_2239: 736 Policies, Batch 20170729_1105: 33 Policies,  Batch 20170729_1455: 15 Policies)</t>
  </si>
  <si>
    <t>Total: 1125 Policies (Batch 20170729_1455: 1125 Policies)</t>
  </si>
  <si>
    <t>Total: 1125 Policies (Batch 20170729_1455: 1125 Policies, Batch 20170730_1117: 168 Policies)</t>
  </si>
  <si>
    <t>Total: 1469 Policies (Batch 20170730_1117: 168 Policies, Batch 20170730_1458: 329 Policies, Batch 20170730_2235: 842 Policies, Batch 20170731_1105: 130 Policies)</t>
  </si>
  <si>
    <t>Meal Allowance</t>
  </si>
  <si>
    <t>WORKING HOUR REPORT 2017</t>
  </si>
  <si>
    <t>Current Status</t>
  </si>
  <si>
    <t>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</si>
  <si>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</si>
  <si>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</si>
  <si>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</si>
  <si>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</si>
  <si>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</si>
  <si>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</si>
  <si>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</si>
  <si>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</si>
  <si>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</si>
  <si>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</si>
  <si>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</si>
  <si>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</si>
  <si>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Working</t>
  </si>
  <si>
    <t>N/A</t>
  </si>
  <si>
    <t>Jan_2017</t>
  </si>
  <si>
    <t>Feb_2017</t>
  </si>
  <si>
    <t>Mar_2017</t>
  </si>
  <si>
    <t>Apr_2017</t>
  </si>
  <si>
    <t>May_2017</t>
  </si>
  <si>
    <t>Jun_2017</t>
  </si>
  <si>
    <t>Jul_2017</t>
  </si>
  <si>
    <t>Aug_2017</t>
  </si>
  <si>
    <t>Sep_2017</t>
  </si>
  <si>
    <t>Oct_2017</t>
  </si>
  <si>
    <t>Nov_2017</t>
  </si>
  <si>
    <t>Dec_2017</t>
  </si>
  <si>
    <t>Month</t>
  </si>
  <si>
    <t>Row Labels</t>
  </si>
  <si>
    <t>Grand Total</t>
  </si>
  <si>
    <t>Sum of Total OT Hours FXV</t>
  </si>
  <si>
    <t>Sum of MLV-Billable Total OT Hours</t>
  </si>
  <si>
    <t>Reportsheet1</t>
  </si>
  <si>
    <t>Reportsheet2</t>
  </si>
  <si>
    <t>Temp</t>
  </si>
  <si>
    <t>2017OT</t>
  </si>
  <si>
    <t>ReportSheet3</t>
  </si>
  <si>
    <t>PivotReport</t>
  </si>
  <si>
    <t>Nguyen Tran Ha Mai</t>
  </si>
  <si>
    <t>Dong Tran Hai Son</t>
  </si>
  <si>
    <t>Total: 898 Policies (Batch 20170731_1429: 178 Policies, Batch 20170731_2216: 720 Policies)</t>
  </si>
  <si>
    <t>Total: 1658 Policies (Batch 20170731_1100: 1656 Policies)</t>
  </si>
  <si>
    <t>Total: 790 Policies (Batch 20170801_0512: 77 Policies, Batch 20170802_1128: 91 Policies, Batch 20170802_1431: 74 Policies, Batch 20170802_2158: 505 Policies, Batch 20170803_1127: 43 Policies)</t>
  </si>
  <si>
    <t>Total: 400 Policies (Batch 20170803_1442: 179 Policies, Batch 20170803_2141: 168 Policies, Batch 20170804_1105: 53 Policies)</t>
  </si>
  <si>
    <t>Total: 396 Policies (Batch 20170804_1448: 80 Policies, Batch 20170804_2254: 316 Policies)</t>
  </si>
  <si>
    <t>Total: 371 Policies (Batch 20170807_2125: 267 Policies, Batch 20170808_1113: 104 Policies)</t>
  </si>
  <si>
    <t>Total: 420 Policies (Batch 20170808_1423: 139 Policies, Batch 20170808_0002: 267 Policies)</t>
  </si>
  <si>
    <t>Total: 787 Policies (Batch 20170809_1146: 197 Policies, Batch 20170809_0007: 286 Policies, Batch 20170810_1344: 260 Policies, Batch 20170810_1451: 44 Policies)</t>
  </si>
  <si>
    <t>Total: 277 Policies (Batch 20170810_2204: 173 Policies, Batch 20170811_1112: 51 Policies, Batch 20170811_1414: 53 Policies)</t>
  </si>
  <si>
    <t>Total: 549 Policies (Batch 20170811_2214: 294 Policies; 01708214_1141: 179 Policies; 21708214_1413: 76 Policies)</t>
  </si>
  <si>
    <t>Total: 262 Policies (Batch 20170814_2340: 262 Policies)</t>
  </si>
  <si>
    <t>Total: 947 Policies (Batch 20170815_2222: 782 Policies, Batch 20170816_1135: 86 Policies, Batch 20170816_1435: 79 Policies)</t>
  </si>
  <si>
    <t>Total: 581 Policies (Batch 20170816_2213: 346 Policies; 20170817_1105: 100 Policies; 20170817_1425: 135 Policies)</t>
  </si>
  <si>
    <t>Total: 426 Policies (Batch 20170817_2341: 256 Policies; 20170818_1117: 151 Policies, 20170818_1425: 19 Policies)</t>
  </si>
  <si>
    <t>Total: 399 Policies (Batch 20170818_2228: 12 Policies; 20170821_1138: 388 Policies)</t>
  </si>
  <si>
    <t>Total: 1601 Policies (Batch 20170821_1431: 280 Policies; 20170821_2254: 871 Policies, 20170821_1118: 450 Policies)</t>
  </si>
  <si>
    <t>Total: 1199 Policies (Batch 20170822_1431: 186 Policies, Batch 20170822_2304: 1013 Policies)</t>
  </si>
  <si>
    <t>Total: 1065 Policies (Batch 20170823_1121: 193 Policies, Batch 20170823_1452: 188 Policies, Batch 20170823_2218: 179 Policies, Batch 20170824_1151: 439 Policies, Batch 20170824_1515: 66 Policies)</t>
  </si>
  <si>
    <t>Total: 469 Policies (Batch 20170825_2128: 325 Policies; 20170826_1110: 74 Policies; 20170826_1433: 70 Policies)</t>
  </si>
  <si>
    <t>Total: 469 Policies (Batch 20170825_2128: 325 Policies; 20170826_1110: 74 Policies)</t>
  </si>
  <si>
    <t>Total: 1087 Policies (Batch 20170827_0949: 355 Policies; 20170827_2146: 299 Policies, 20170828_1121: 256 Policies, 20170828_1451: 177 Policies)</t>
  </si>
  <si>
    <t>Total: 1297 Policies (Batch 20170828_2232: 638 Policies, Batch 20170829_1113: 349 Policies, Batch 20170829_1436: 309 Policies)</t>
  </si>
  <si>
    <t>Total: 1410 Policies (Batch 20170829_2124: 979 Policies, Batch 20170830_1107: 431 Policies)</t>
  </si>
  <si>
    <t>Total: 1849 Policies (Batch 20170830_1434: 267 Policies, Batch 20170830_2044: 659 Policies, Batch 20170831_1144: 923 Policies)</t>
  </si>
  <si>
    <t>Planet Press Support</t>
  </si>
  <si>
    <t/>
  </si>
  <si>
    <t>Backlog 600/923 Policies (Batch 20170831_1144) and Total: 1693 Policies (Batch 20170831_1641: 402 Policies, Batch 20170831_2322: 1293 Policies)</t>
  </si>
  <si>
    <t>Backlog 700/1293 Policies (Batch 20170831_2322) and Total: 674 Policies (Batch 20170831_1024: 674 Policies)</t>
  </si>
  <si>
    <t>Backlog 700/1293 Policies (Batch 20170831_2322) and Total: 674 Policies (Batch 20170831_1024: 674 Policies, Batch 20170831_1908: 378 Policies)</t>
  </si>
  <si>
    <t>Total: 1330 Policies (Batch 20170901_1908: 377 Policies, Batch 20170905_1101: 59 Policies, Batch 20170905_1429: 59 Policies, Batch 20170905_2334: 586 Policies, Batch 20170906_1113: 113 Policies, Batch 20170906_1448: 136 Policies)</t>
  </si>
  <si>
    <t>Total: 466 Policies (Batch 20170906_2141: 186 Policies, Batch 20170907_1120: 97 Policies, Batch 20170907_1442: 183 Policies)</t>
  </si>
  <si>
    <t>Total: 372 Policies (Batch 20170907_2243: 238 Policies, Batch 20170908_1143: 88 Policies, Batch 20170908_1441: 46 Policies)</t>
  </si>
  <si>
    <t>Total: 422 Policies (Batch 20170908_2212: 214 Policies, Batch 20170911_1103: 58 Policies, Batch 20170911_1438: 150 Policies)</t>
  </si>
  <si>
    <t>Total: 356 Policies (Batch 201709011_2042: 253 Policies, Batch 20170912_1114: 103 Policies)</t>
  </si>
  <si>
    <t>Total: 867 Policies (Batch 201709012_1425: 234 Policies, Batch 201709012_2230: 410 Policies, Batch 201709013_1108: 101 Policies, Batch 201709013_1501: 122 Policies)</t>
  </si>
  <si>
    <t>Total: 450 Policies (Batch 201709013_2209: 147 Policies, Batch 201709014_1124: 163 Policies, Batch 201709014_1447: 140 Policies)</t>
  </si>
  <si>
    <t>Total: 698 Policies (Batch 201709014_2252: 318 Policies, Batch 201709015_1132: 202 Policies, Batch 201709015_1451: 178 Policies)</t>
  </si>
  <si>
    <t>Total: 1135 Policies (Batch 201709015_1451: 178 Policies, Batch 201709015_2223: 449 Policies, Batch 201709016_1209: 264 Policies, Batch 201709016_1518: 244 Policies)</t>
  </si>
  <si>
    <t>Total: 1040 Policies (Batch 201709018_2308: 379 Policies, Batch 201709019_1112: 448 Policies, Batch 201709019_1112: 213 Policies)</t>
  </si>
  <si>
    <t>Total: 1031 Policies (Batch 201709019_0005: 709 Policies, Batch 201709020_1100: 169 Policies, Batch 201709020_1416: 153 Policies)</t>
  </si>
  <si>
    <t>Total: 686 Policies (Batch 201709020_2147: 394 Policies, Batch 201709021_1122: 145 Policies, Batch 201709021_1442: 147 Policies)</t>
  </si>
  <si>
    <t>Total: 582 Policies (Batch 20170921_2220: 225 Policies, Batch 20170922_1132: 201 Policies, Batch 20170922_1454: 156 Policies)</t>
  </si>
  <si>
    <t>Total: 445 Policies (Batch 20170922_2118: 445 Policies)</t>
  </si>
  <si>
    <t>Total: 129 Policies (Batch 20170925_1111: 129 Policies)</t>
  </si>
  <si>
    <t>Total: 1421 Policies (Batch 20170925_1430: 279 Policies, Batch 20170925_0039: 646 Policies, Batch 20170926_1112: 146 Policies, Batch 20170926_1429: 350 Policies)</t>
  </si>
  <si>
    <t>Total: 1268 Policies (Batch 20170926_2325: 836 Policies, Batch 20170927_1059: 85 Policies, Batch 20170927_1437: 347 Policies)</t>
  </si>
  <si>
    <t>Total: 1268 Policies (Batch 20170926_2325: 836 Policies, Batch 20170927_1059: 85 Policies)</t>
  </si>
  <si>
    <t>Total: 1316 Policies (Batch 20170927_2227: 803 Policies, Batch 20170928_1124: 222 Policies, Batch 20170928_1440: 291 Policies)</t>
  </si>
  <si>
    <t>Total: 1637 Policies (Batch 20170928_0040: 1165 Policies, Batch 20170929_1130: 307 Policies, Batch 20170929_1434: 165 Policies)</t>
  </si>
  <si>
    <t>Total: 1324 Policies (Batch 20170929_2151: 1324 Policies)</t>
  </si>
  <si>
    <t>Total: 2437 Policies (Batch 20170930_1104: 559 Policies, Batch 20170930_1451: 640 Policies, Batch 20170930_2208: 1238 Policies)</t>
  </si>
  <si>
    <t>Backlog 650 Policies of batch 20170930_2208: 1238 PoliciesTotal: 1264 Policies (Batch 20170930_1155: 1264 Policies, Batch 20170930_1658: 480 Policies)</t>
  </si>
  <si>
    <t>Total: 1575 Policies (Batch 20170930_1658: 480 Policies, Batch 20170930_2037: 656 Policies; Batch 20170930_1134: 438 Policies; Batch 20171002_1120: 1 Policies)</t>
  </si>
  <si>
    <t>Total: 379 Policies (Batch 20171003_1439: 49 Policies, Batch 20171003_2224: 224 Policies, Batch 20171004_1121: 106 Policies)</t>
  </si>
  <si>
    <t>Total: 284 Policies (Batch 20171004_1545: 122 Policies, Batch 20171004_2216: 146 Policies, Batch 20171005_1125: 16 Policies)</t>
  </si>
  <si>
    <t>Total: 351 Policies (Batch 20171005_1445: 111 Policies, Batch 20171005_2217: 225 Policies, Batch 20171006_1113: 15 Policies)</t>
  </si>
  <si>
    <t>Total: 513 Policies (Batch 20171006_1441: 218 Policies, Batch 20171006_2225: 190 Policies, Batch 20171009_1051: 105 Policies)</t>
  </si>
  <si>
    <t>Total: 414 Policies (Batch 20171009_2156: 185 Policies, Batch 20171010_1121: 80 Policies, Batch 20171010_1422: 149 Policies)</t>
  </si>
  <si>
    <t>Total: 561 Policies (Batch 20171010_2317: 441 Policies, Batch 20171011_1119: 120 Policies)</t>
  </si>
  <si>
    <t>Total: 504 Policies (Batch 20171011_1507: 160 Policies, Batch 20171011_0019: 242 Policies, Batch 20171012_1128: 103 Policies)</t>
  </si>
  <si>
    <t>Total: 598 Policies (Batch 20171012_1455: 149 Policies, Batch 20171012_2359: 232 Policies, Batch 20171013_1140: 148 Policies, Batch 20171013_1446: 69 Policies)</t>
  </si>
  <si>
    <t>Total: 395 Policies (Batch 20171013_2348: 262 Policies, Batch 20171016_1057: 133 Policies)</t>
  </si>
  <si>
    <t>Total: 666 Policies (Batch 20171016_1424: 196 Policies, Batch 20171016_2252: 246 Policies, Batch 20171017_1141: 228 Policies)</t>
  </si>
  <si>
    <t>Total: 761 Policies (Batch 20171017_1502: 196 Policies, Batch 20171017_2258: 381 Policies, Batch 20171018_1121: 184 Policies, Batch 20171018_1437: 249 Policies)</t>
  </si>
  <si>
    <t>Total: 729 Policies (Batch 20171018_1437: 249 Policies, Batch 20171018_2214: 330 Policies, Batch 20171019_1121: 150 Policies)</t>
  </si>
  <si>
    <t>Total: 491 Policies (Batch 20171019_1440: 112 Policies, Batch 20171019_0033: 379 Policies)</t>
  </si>
  <si>
    <t>Total: 885 Policies (Batch 20171020_1433: 129 Policies, Batch 20171020_0017: 357 Policies, Batch 20171023_1111: 177 Policies, Batch 20171023_1440: 222 Policies)</t>
  </si>
  <si>
    <t>Total: 1269 Policies (Batch 20171023_2331: 590 Policies, Batch 20171024_1101: 399 Policies, Batch 20171024_1420: 280 Policies)</t>
  </si>
  <si>
    <t>Total: 1140 Policies (Batch 20171024_2316: 894 Policies, Batch 20171025_1106: 246 Policies)</t>
  </si>
  <si>
    <t>Total: 1265 Policies (Batch 20171025_1430: 253 Policies, Batch 20171025_2142: 557 Policies, Batch 20171026_1112: 142 Policies, Batch 20171026_1426: 313 Policies)</t>
  </si>
  <si>
    <t>Total: 934 Policies (Batch 20171026_2245: 551 Policies, Batch 20171027_1146: 193 Policies, Batch 20171027_1440: 190 Policies)</t>
  </si>
  <si>
    <t>Total: 1023 Policies (Batch 20171027_2234: 658 Policies, Batch 20171028_1100: 148 Policies, Batch 20171028_1430: 217 Policies)</t>
  </si>
  <si>
    <t>Total: 1305 Policies (Batch 20171028_2337: 1060 Policies, Batch 20171030_1054: 245 Policies)</t>
  </si>
  <si>
    <t>Total: 1624 Policies (Batch 20171030_1442: 247 Policies,Batch 20171030_2331: 1377 Policies)</t>
  </si>
  <si>
    <t>Total: 2124 Policies (Batch 20171031_1144: 535 Policies, Batch 20171031_1559: 356 Policies, Batch 20171031_2241: 1233 Policies)</t>
  </si>
  <si>
    <t>Total: 1868 Policies (Batch 20171031_1047: 1868 Policies)</t>
  </si>
  <si>
    <t>Backlog 300/1868 &amp;Total: 927 Policies (Batch 20171101_0351: 164 Policies, Batch 20171102_1146: 229 Policies, Batch 20171102_1712: 163 Policies, Batch 20171102_2158: 198 Policies, Batch 20171103_1131: 144 Policies, Batch 20171103_1445: 29 Policies)</t>
  </si>
  <si>
    <t>Total: 211 Policies (Batch 20171103_2235: 211 Policies)</t>
  </si>
  <si>
    <t>7599 Dividend &amp; Total: 550 Policies (Batch 20171106_1047: 159 Policies, Batch 20171106_2127: 190 Policies, Batch 20171107_1139: 101 Policies)</t>
  </si>
  <si>
    <t>Total: 550 Policies (Batch 20171106_1047: 159 Policies, Batch 20171106_2127: 190 Policies, Batch 20171107_1139: 101 Policies)</t>
  </si>
  <si>
    <t>10000 Dividend &amp; Total: 593 Policies (Batch 20171107_1457: 173 Policies, Batch 20171107_2054: 139 Policies, Batch 20171108_1112: 96 Policies, Batch 20171108_1420: 185 Policies)</t>
  </si>
  <si>
    <t>Total: 593 Policies (Batch 20171107_1457: 173 Policies, Batch 20171107_2054: 139 Policies, Batch 20171108_1112: 96 Policies, Batch 20171108_1420: 185 Policies)</t>
  </si>
  <si>
    <t>Total: 490 Policies (Batch 20171108_2312: 285 Policies, Batch 20171109_1126: 150 Policies, Batch 20171109_1444: 55 Policies)</t>
  </si>
  <si>
    <t>Total: 230 Policies (Batch 20171109_0007: 54 Policies, Batch 20171109_2323: 118 Policies, Batch 20171110_1137: 58 Policies)</t>
  </si>
  <si>
    <t>Total: 876 Policies (Batch 20171110_1518: 149 Policies, Batch 20171110_2206: 311 Policies, Batch 20171113_1103: 209 Policies, Batch 20171113_1458: 207 Policies)</t>
  </si>
  <si>
    <t>Total: 1005 Policies (Batch 20171113_2214: 554 Policies, Batch 20171114_1128: 289 Policies, Batch 20171114_1459: 162 Policies)</t>
  </si>
  <si>
    <t>Total: 960 Policies (Batch 20171114_0329: 542 Policies, Batch 20171115_1113: 201 Policies, Batch 20171115_1422: 217 Policies)</t>
  </si>
  <si>
    <t>Total: 688 Policies (Batch 20171115_2123: 440 Policies, Batch 20171116_1118: 248 Policies)</t>
  </si>
  <si>
    <t>Total: 627 Policies (Batch 20171116_1434: 195 Policies, Batch 20171116_2210: 303 Policies, Batch 20171117_1118: 129 Policies)</t>
  </si>
  <si>
    <t>Total: 650 Policies (Batch 20171117_1440: 177 Policies, Batch 20171117_2331: 255 Policies, Batch 20171120_1104: 78 Policies, Batch 20171120_1441: 141 Policies)</t>
  </si>
  <si>
    <t>Pham Nguyen Dang Khoa</t>
  </si>
  <si>
    <t>Le Phuoc Trung</t>
  </si>
  <si>
    <t>Train with FXV billable &amp; Total: 650 Policies (Batch 20171117_1440: 177 Policies, Batch 20171117_2331: 255 Policies, Batch 20171120_1104: 78 Policies, Batch 20171120_1441: 141 Policies)</t>
  </si>
  <si>
    <t>Total: 1024 Policies (Batch 20171120_2141: 510 Policies, Batch 20171121_1057: 287 Policies, Batch 20171121_1436: 227 Policies)</t>
  </si>
  <si>
    <t>Train with FXV billable &amp; Total: 1024 Policies (Batch 20171120_2141: 510 Policies, Batch 20171121_1057: 287 Policies, Batch 20171121_1436: 227 Policies)</t>
  </si>
  <si>
    <t>Total: 777 Policies (Batch 20171121_2244: 504 Policies, Batch 20171122_1057: 127 Policies, Batch 20171122_1451: 146 Policies)</t>
  </si>
  <si>
    <t>Train with FXV billable &amp; Total: 777 Policies (Batch 20171121_2244: 504 Policies, Batch 20171122_1057: 127 Policies, Batch 20171122_1451: 146 Policies)</t>
  </si>
  <si>
    <t>Total: 678 Policies (Batch 20171122_2126: 365 Policies, Batch 20171123_1101: 115 Policies, Batch 20171123_1446: 198 Policies)</t>
  </si>
  <si>
    <t>Total: 437 Policies (Batch 20171123_2318: 362 Policies, Batch 20171124_1112: 75 Policies,)</t>
  </si>
  <si>
    <t>Total: 988 Policies (Batch 20171124_1453: 242 Policies, Batch 20171124_2147: 369 Policies, Batch 20171127_1103: 197 Policies, Batch 20171127_1430: 180 Policies,)</t>
  </si>
  <si>
    <t>Total: 1306 Policies (Batch 20171127_2210: 916 Policies, Batch 20171128_1130: 390 Policies,)</t>
  </si>
  <si>
    <t>Total: 1634 Policies (Batch 20171128_1447: 283 Policies, Batch 20171128_2131: 937 Policies, Batch 20171129_1121: 414 Policies,)</t>
  </si>
  <si>
    <t>Total: 1107 Policies (Batch 20171129_1428: 339 Policies,Batch 20171129_2230: 768 Policies,)</t>
  </si>
  <si>
    <t>Total: 1372 Policies (Batch 20171130_1434: 290 Policies, Batch 20171130_2143: 1082 Policies,)</t>
  </si>
  <si>
    <t>Total: 2080 Policies (Batch 20171130_0751: 2080 Policies,)</t>
  </si>
  <si>
    <t>Total: 353 Policies (Batch 20171201_2021: 168 Policies, Batch 20171204_1105: 93 Policies, Batch 20171204_1441: 92 Policies)</t>
  </si>
  <si>
    <t>Total: 700 Policies (Batch 20171204_2210: 649 Policies)</t>
  </si>
  <si>
    <t>Duong Quoc Huy</t>
  </si>
  <si>
    <t>Total: 503 Policies (Batch 20171205_1447: 174 Policies, Batch 20171205_2251: 243 Policies, Batch 20171206_1106: 86 Policies)</t>
  </si>
  <si>
    <t>Total: 573 Policies (Batch 20171206_1430: 156 Policies, Batch 20171206_2212: 290 Policies, Batch 20171207_1143: 75 Policies, Batch 20171207_1426: 52 Policies)</t>
  </si>
  <si>
    <t>Total: 481 Policies (Batch 20171207_2254: 296 Policies, Batch 20171208_1104: 112 Policies, Batch 20171208_1420: 73 Policies)</t>
  </si>
  <si>
    <t>Total: 400 Policies (Batch 20171208_2322: 197 Policies, Batch 20171211_1122: 203 Policies, Batch 20171211_1430: 163 Policies)</t>
  </si>
  <si>
    <t>Nguyen Thi My Hang</t>
  </si>
  <si>
    <t>Nguyen Duong Thao Nhi</t>
  </si>
  <si>
    <t>Train for Peak December &amp; Total: 400 Policies (Batch 20171208_2322: 197 Policies, Batch 20171211_1122: 203 Policies, Batch 20171211_1430: 163 Policies)</t>
  </si>
  <si>
    <t>Total: 701 Policies (Batch 20171211_1430: 163 Policies, Batch 20171211_2250: 254 Policies, Batch 20171212_1117: 284 Policies)</t>
  </si>
  <si>
    <t>Train for Peak December &amp; Total: 701 Policies (Batch 20171211_1430: 163 Policies, Batch 20171211_2250: 254 Policies, Batch 20171212_1117: 284 Policies)</t>
  </si>
  <si>
    <t>Total: 1096 Policies (Batch 20171212_1424: 200 Policies, Batch 20171212_2222: 570 Policies, Batch 20171213_1127: 138 Policies, Batch 20171213_1439: 188 Policies)</t>
  </si>
  <si>
    <t>Train for Peak December &amp; Total: 1096 Policies (Batch 20171212_1424: 200 Policies, Batch 20171212_2222: 570 Policies, Batch 20171213_1127: 138 Policies, Batch 20171213_1439: 188 Policies)</t>
  </si>
  <si>
    <t>Total: 563 Policies (Batch 20171213_2252: 347 Policies, Batch 20171214_1107: 114 Policies, Batch 20171214_1443: 102 Policies)</t>
  </si>
  <si>
    <t>Train for Peak December &amp; Total: 563 Policies (Batch 20171213_2252: 347 Policies, Batch 20171214_1107: 114 Policies, Batch 20171214_1443: 102 Policies)</t>
  </si>
  <si>
    <t>Total: 639 Policies (Batch 20171214_2143: 389 Policies, Batch 20171215_1131: 122 Policies, Batch 20171215_1436: 128 Policies)</t>
  </si>
  <si>
    <t>Train for Peak December &amp; Total: 639 Policies (Batch 20171214_2143: 389 Policies, Batch 20171215_1131: 122 Policies, Batch 20171215_1436: 128 Policies)</t>
  </si>
  <si>
    <t>Total: 488 Policies (Batch 20171215_2322: 490 Policies)</t>
  </si>
  <si>
    <t>Train for Peak December &amp; Total: 488 Policies (Batch 20171215_2322: 490 Policies)</t>
  </si>
  <si>
    <t>Phan Truc My</t>
  </si>
  <si>
    <t>Total: 1441 Policies (Batch 20171218_1508: 288 Policies, Batch 20171218_2256: 752 Policies, Batch 20171219_1247: 401 Policies)</t>
  </si>
  <si>
    <t>Train for Peak December &amp; Total: 1441 Policies (Batch 20171218_1508: 288 Policies, Batch 20171218_2256: 752 Policies, Batch 20171219_1247: 401 Policies)</t>
  </si>
  <si>
    <t>Total: 1214 Policies (Batch 20171219_1431: 201 Policies, Batch 20171219_2110: 570 Policies, Batch 20171220_1045: 221 Policies, Batch 20171220_1427: 221 Policies)</t>
  </si>
  <si>
    <t>Train for Peak December &amp; Total: 1214 Policies (Batch 20171219_1431: 201 Policies, Batch 20171219_2110: 570 Policies, Batch 20171220_1045: 221 Policies, Batch 20171220_1427: 221 Policies)</t>
  </si>
  <si>
    <t>Total: 1092 Policies (Batch 20171220_2259: 643 Policies, Batch 20171221_1117: 189 Policies, Batch 20171221_1438: 260 Policies)</t>
  </si>
  <si>
    <t>Train for Peak December &amp; Total: 1092 Policies (Batch 20171220_2259: 643 Policies, Batch 20171221_1117: 189 Policies, Batch 20171221_1438: 260 Policies)</t>
  </si>
  <si>
    <t>Total: 619 Policies (Batch 20171221_2242: 509 Policies, Batch 20171222_1134: 110 Policies)</t>
  </si>
  <si>
    <t>Train for Peak December &amp; Total: 619 Policies (Batch 20171221_2242: 509 Policies, Batch 20171222_1134: 110 Policies)</t>
  </si>
  <si>
    <t>Total: 268 Policies (Batch 20171222_1452: 268 Policies)</t>
  </si>
  <si>
    <t>Total: 1616 Policies (Batch 20171222_0018: 680 Policies, Batch 20171223_1045: 436 Policies, Batch 20171223_1441: 503 Policies)</t>
  </si>
  <si>
    <t>Total: 1671 Policies (Batch 20171223_2318: 988 Policies, Batch 20171224_2241: 28 Policies, Batch 20171225_1111: 8 Policies, Batch 20171226_1055: 144 Policies, Batch 20171226_2335: 56 Policies, Batch 20171226_1435: 447 Policies  )</t>
  </si>
  <si>
    <t>Total: 1682 Policies (Batch 20171226_0056: 1026 Policies, Batch 20171227_1046: 242 Policies, Batch 20171227_1427: 414 Policies    )</t>
  </si>
  <si>
    <t>Total: 1915 Policies (Batch 20171227_2233: 960 Policies, Batch 20171228_1107: 419 Policies ;Batch 20171228_1438: 536 Policies)</t>
  </si>
  <si>
    <t>Total: 1769 Policies (Batch 20171228_0003: 871 Policies; Batch 20171229_1145: 898 Policies)</t>
  </si>
  <si>
    <t>Saturday/Sunday (Weekends) after 10pm</t>
  </si>
  <si>
    <t>Total: 1635 Policies (Batch 20171229_1808: 891 Policies; Batch 20171229_2202: 744 Policies;)</t>
  </si>
  <si>
    <t>Total: 1635 Policies (Batch 20171229_1808: 891 Policies; Batch 20171229_2202: 744 Policies; Batch 20171230_0940: 526 Policies)</t>
  </si>
  <si>
    <t>Nguyen Ngoc Duc Huy</t>
  </si>
  <si>
    <t>Total: 1998 Policies ( Batch 20171230_0940: 526 Policies; Batch 20171230_1429: 891 Policies; Batch 20171230_2025: 581 Policies)</t>
  </si>
  <si>
    <t>Total: 1817 Policies ( Batch 20171231_1033: 1817 Policies)</t>
  </si>
  <si>
    <t>Total: 2626 Policies ( Batch 20171231_0723: 2626 Policies)</t>
  </si>
  <si>
    <t>Total: 2392 Policies ( Batch 20180102_0902: 1156 Policies, Batch 20180102_1723: 342 Policies, Batch 20180102_2337: 85 Policies, Batch 20180103_1109: 285 Policies, Batch 20180103_1450: 74 Policies, Batch 20180103_2224: 450 Policies)</t>
  </si>
  <si>
    <t>Jan_2018</t>
  </si>
  <si>
    <t>Feb_2018</t>
  </si>
  <si>
    <t>Mar_2018</t>
  </si>
  <si>
    <t>Apr_2018</t>
  </si>
  <si>
    <t>May_2018</t>
  </si>
  <si>
    <t>Jun_2018</t>
  </si>
  <si>
    <t>Jul_2018</t>
  </si>
  <si>
    <t>Aug_2018</t>
  </si>
  <si>
    <t>Sep_2018</t>
  </si>
  <si>
    <t>Oct_2018</t>
  </si>
  <si>
    <t>Nov_2018</t>
  </si>
  <si>
    <t>Dec_2018</t>
  </si>
  <si>
    <t>Total: 625 Policies (Batch 20180104_1100: 154 Policies, Batch 20180104_1420: 111 Policies, Batch 20180104_2300: 360 Policies)</t>
  </si>
  <si>
    <t>Total: 447 Policies (Batch 20180105_1102: 60 Policies, Batch 20180106_1422: 91 Policies, Batch 20180108_1058: 20 Policies, Batch 20180108_1059: 22 Policies, Batch 20180108_1100: 23 Policies)</t>
  </si>
  <si>
    <t>Total: 458 Policies (Batch 20180108_1431: 146 Policies, Batch 20180108_2354: 233 Policies, Batch 20180109_1052: 79 Policies)</t>
  </si>
  <si>
    <t>Total: 490 Policies (Batch 20180109_1440: 177 Policies,Batch 20180109_0012: 237 Policies, Batch 20180110_1117: 76 Policies)</t>
  </si>
  <si>
    <t>Payment Period</t>
  </si>
  <si>
    <t>From (&gt;=)</t>
  </si>
  <si>
    <t>To &lt;</t>
  </si>
  <si>
    <t>FXV OT Billable payment as dynamic period of time</t>
  </si>
  <si>
    <t>MLV OT Billable payment as montly</t>
  </si>
  <si>
    <t>FXV OT Billable</t>
  </si>
  <si>
    <t>MLV OT Billable</t>
  </si>
  <si>
    <t>Total: 328 Policies (Batch 20180110_1431: 78 Policies, Batch 20180110_2238: 166 Policies, Batch 20180111_1051: 84 Policies)</t>
  </si>
  <si>
    <t>Total: 451 Policies (Batch 20180111_1434: 107 Policies, Batch 20180111_2310: 241 Policies, Batch 20180112_1053: 103 Policies)</t>
  </si>
  <si>
    <t>Total: 308 Policies (Batch 20180112_1433: 116 Policies,Batch 20180112_2339: 27 Policies, Batch 20180115_1045: 90 Policies, Batch 20180115_1433: 75 Policies)</t>
  </si>
  <si>
    <t>Total: 572 Policies (Batch 20180115_2329: 290 Policies; Batch 20180116_1117: 282 Policies)</t>
  </si>
  <si>
    <t>Total: 732 Policies (Batch 20180116_1439: 103 Policies; Batch 20180116_2321 : 357 Policies; Batch 20180117_1100 :107 Policies; Batch 20180117_1420: 165 Policies)</t>
  </si>
  <si>
    <t>Total: 535 Policies (Batch 20180117_2359 : 342Policies, Batch 20180118_1128 : 141 Policies; 20180118_1429: 52 Policies)</t>
  </si>
  <si>
    <t>Total: 486 Policies (Batch 20180118_0052: 159 Policies, Batch 20180118_0005: 124 Policies, Batch 20180119_1113: 85 Policies, Batch 20180119_1434: 118 Policies)</t>
  </si>
  <si>
    <t>Total: 413 Policies (Batch 20180119_2355: 356 Policies, Batch 20180122_1108: 57 Policies)</t>
  </si>
  <si>
    <t>Total: 635 Policies (Batch 20180122_1537: 201 Policies, Batch 20180122_2322: 314 Policies, Batch 20180123_1104: 120 Policies)</t>
  </si>
  <si>
    <t>Total: 1112 Policies (Batch 20180123_1427: 264 Policies, Batch 20180123_2250: 450 Policies, Batch 20180124_1130: 192 Policies)</t>
  </si>
  <si>
    <t>Total: 550 Policies (Batch 20180124_2339: 411 Policies, Batch 20180125_1143: 139 Policies)</t>
  </si>
  <si>
    <t>Total: 889 Policies (Batch 20180125_1429: 152 Policies, Batch 20180125_2308: 453 Policies, Batch 20180126_1113: 152 Policies, Batch 20180126_1426: 132 Policies)</t>
  </si>
  <si>
    <t>Total: 1367 Policies (Batch 20180126_2139: 257 Policies, Batch 20180127_1031: 459 Policies, Batch 20180127_1417: 314 Policies, Batch 20180127_2151: 133 Policies, Batch 20180128_2127: 32 Policies)</t>
  </si>
  <si>
    <t>Total: 1026 Policies (Batch 20180129_2352: 623 Policies, Batch 20180130_1053: 131 Policies, Batch 20180130_1435: 272 Policies)</t>
  </si>
  <si>
    <t>Total: 1204 Policies (Batch 20180130_2216: 1204 Policies, Batch 20180131_1114: 256 Policies)</t>
  </si>
  <si>
    <t>Total: 1599 Policies (Batch 20180131_1429: 390 Policies, Batch 20180131_2105: 1209 Policies)</t>
  </si>
  <si>
    <t>Total: 1442 Policies (Batch 20180131_0443: 1156 Policies, Batch 2018201_1434: 14 Policies, Batch 2018201_2230: 148 Policies, Batch 2018202_1111: 40 Policies, Batch 2018202_1427: 84 Policies)</t>
  </si>
  <si>
    <t>Total: 639 Policies (Batch 20180202_2220: 454 Policies, Batch 20180205_1108: 101 Policies, Batch 20180205_1423: 84 Policies)</t>
  </si>
  <si>
    <t>Total: 424 Policies (Batch 20180205_2155: 244 Policies, Batch 20180206_1105: 59 Policies, Batch 20170206_1439: 121 Policies)</t>
  </si>
  <si>
    <t>Total: 404 Policies (Batch 20180206_0040: 216 Policies, Batch 20180207_1102: 52 Policies, Batch 20180207_1428: 136 Policies)</t>
  </si>
  <si>
    <t>Total: 433 Policies (Batch 20180207_2340: 239 Policies, Batch 20180208_1052: 51 Policies, Batch 20180208_1433: 143 Policies)</t>
  </si>
  <si>
    <t>Total: 418 Policies (Batch 20180208_2313: 253 Policies, Batch 20180209_1100: 55 Policies, Batch 20180209_1426: 110 Policies)</t>
  </si>
  <si>
    <t>Total: 467 Policies (Batch 20180209_0025: 259 Policies, Batch 20180212_1120: 83 Policies, Batch 20180212_1433: 125 Policies)</t>
  </si>
  <si>
    <t>Total: 489 Policies (Batch 20180212_2311: 361 Policies, Batch 20180213_11: 128 Policies)</t>
  </si>
  <si>
    <t>Total: 578 Policies (Batch 20180213_2211: 338 Policies, Batch 20180221_1133: 97 Policies, Batch 20180221_1450: 143 Policies)</t>
  </si>
  <si>
    <t>Total: 849 Policies (Batch 20180221_2155: 411 Policies, Batch 20180222_1132: 320 Policies, Batch 20180222_1432: 136 Policies)</t>
  </si>
  <si>
    <t>Total: 497 Policies (Batch 20180222_2305: 351 Policies, Batch 20180223_1136: 146 Policies, Batch 20180223_1514: 97 Policies)</t>
  </si>
  <si>
    <t>Total: 1416 Policies (Batch 20180223_2229: 393 Policies, Batch 20180224_2133: 101 Policies, Batch 20180225_2120: 508 Policies, Batch 20180226_1049: 165 Policies, Batch 20180226_1412: 249 Policies)</t>
  </si>
  <si>
    <t>Total: 1275 Policies (Batch 20180226_2232: 862 Policies, Batch 20180227_1112: 99 Policies, Batch 20180227_1440: 314 Policies)</t>
  </si>
  <si>
    <t>Total: 1263 Policies (Batch 20180227_0138: 862 Policies)</t>
  </si>
  <si>
    <t>Total: 1263 Policies (Batch 20180227_0138: 862 Policies, Batch 20180228_1128: 363 Policies)</t>
  </si>
  <si>
    <t>Total: 1873 Policies (Batch 20180228_1128: 363 Policies, Batch 20180228_1446: 259 Policies, Batch 20180228_2237: 1251 Policies)</t>
  </si>
  <si>
    <t>Total: 809 Policies (Batch 20180228_0435: 630 Policies, Batch 20180301_0253: 178 Policies, Batch 20180301_1128: 1 Policies)</t>
  </si>
  <si>
    <t>Total: 650 Policies (Batch 20180302_1433: 169 Policies, Batch 20180302_2110: 440 Policies, Batch 20180305_1106: 41 Policies)</t>
  </si>
  <si>
    <t>Total: 562 Policies (Batch 20180305_1443: 144 Policies, Batch 20180305_2325: 367 policies, Batch 20180306_1123: 51 Policies)</t>
  </si>
  <si>
    <t>Total: 608 Policies (Batch 20180306_1421: 136 Policies)</t>
  </si>
  <si>
    <t>Total 2018</t>
  </si>
  <si>
    <t>Total 2017</t>
  </si>
  <si>
    <t>Annual Statement &amp; Total: 422 Policies (Batch 20180307_1432: 82 Policies, Batch 20180307_2215: 295 Policies, Batch 20180308_1106 : 45 Policies)</t>
  </si>
  <si>
    <t>Total: 422 Policies (Batch 20180307_1432: 82 Policies, Batch 20180307_2215: 295 Policies, Batch 20180308_1106 : 45 Policies)</t>
  </si>
  <si>
    <t>Total: 514 Policies (Batch 20180308_1454: 149 Policies , Batch 20180308_2309: 266 Policies; Batch 20180309_1103: 99 Policies)</t>
  </si>
  <si>
    <t>Annual Statement &amp; Total: 582 Policies (Batch 20180309_1455: 132 Policies , Batch 20180309_2327: 370 Policies, Batch 20180312_1059: 80 Policies, Batch 20180312_1427: 105 Policies)</t>
  </si>
  <si>
    <t>Total: 582 Policies (Batch 20180309_1455: 132 Policies , Batch 20180309_2327: 370 Policies, Batch 20180312_1059: 80 Policies, Batch 20180312_1427: 105 Policies)</t>
  </si>
  <si>
    <t>Annual Statement &amp; Total: 1115 Policies ( Batch 20180312_1427: 105 Policies,  Batch 20180312_2252: 545 Policies, Batch 20180313_1100: 240 Policies, Batch 20180313_1432: 225 Policies,)</t>
  </si>
  <si>
    <t>Total: 1115 Policies ( Batch 20180312_1427: 105 Policies,  Batch 20180312_2252: 545 Policies, Batch 20180313_1100: 240 Policies, Batch 20180313_1432: 225 Policies,)</t>
  </si>
  <si>
    <t>Annual Statement &amp; Total: 687 Policies ( Batch 20180313_2328: 594 Policies,  Batch 20180314_1105: 93 Policies)</t>
  </si>
  <si>
    <t>Total: 687 Policies ( Batch 20180313_2328: 594 Policies,  Batch 20180314_1105: 93 Policies)</t>
  </si>
  <si>
    <t>Total: 1393 Policies ( Batch 20180314_1442: 258 Policies,  Batch 20180314_2307: 614 Policies, Batch 20180315_1130: 229 Policies, Batch 20180315_1510: 292 Policies)</t>
  </si>
  <si>
    <t>Annual Statement &amp; Total: 1393 Policies ( Batch 20180314_1442: 258 Policies,  Batch 20180314_2307: 614 Policies, Batch 20180315_1130: 229 Policies, Batch 20180315_1510: 292 Policies)</t>
  </si>
  <si>
    <t>Total: 950 Policies (Batch 20180315_2309: 624 Policies, Batch 20180316_1053: 101 Policies, Batch 20180316_1429: 225 Policies)</t>
  </si>
  <si>
    <t>Annual Statement &amp; Total: 950 Policies (Batch 20180315_2309: 624 Policies, Batch 20180316_1053: 101 Policies, Batch 20180316_1429: 225 Policies)</t>
  </si>
  <si>
    <t>Dinh Thi Ngoc Van</t>
  </si>
  <si>
    <t>Le Minh Dinh Vy</t>
  </si>
  <si>
    <t>Le Chau Sy Dat</t>
  </si>
  <si>
    <t>Ngo Thi Dieu Truc</t>
  </si>
  <si>
    <t>Nguyen Huynh Thanh Hieu</t>
  </si>
  <si>
    <t>Le Dinh Hau</t>
  </si>
  <si>
    <t>Nguyen Thi Phuong Nhi</t>
  </si>
  <si>
    <t>Tran Ha Thuong Silivia</t>
  </si>
  <si>
    <t>Lam Yen Nhi</t>
  </si>
  <si>
    <t>Nguyen Thi Thao</t>
  </si>
  <si>
    <t>Ho Thi Phuong Khanh</t>
  </si>
  <si>
    <t>Annual Statement 2018 (Phrase 2: Brochure Manual Insertion)</t>
  </si>
  <si>
    <t>Total: 1054 Policies (Batch 20180316_2331: 334 Policies, Batch 20180319_1122: 472 Policies, Batch 20180319_1428: 248 Policies)</t>
  </si>
  <si>
    <t>Total: 1054 Policies (Batch 20180316_2331: 334 Policies)</t>
  </si>
  <si>
    <t>Tran Huy Hoang</t>
  </si>
  <si>
    <t>Total: 1166 Policies (Batch 20180319_2109: 690 Policies, Batch 20180320_1114: 205 Policies, Batch 20180320_1422: 271 Policies)</t>
  </si>
  <si>
    <t>Annual Statement 2018 (Phrase 2: Brochure Manual Insertion) Total: 1166 Policies (Batch 20180319_2109: 690 Policies, Batch 20180320_1114: 205 Policies, Batch 20180320_1422: 271 Policies)</t>
  </si>
  <si>
    <t>Annual Statement 2018 (Phrase 2: Brochure Manual Insertion) Total: 655 Policies (Batch 20180320_2206: 545 Policies, Batch 20180321_9999: 2 Policies, Batch 20180321_1112: 108 Policies)</t>
  </si>
  <si>
    <t>Total: 655 Policies (Batch 20180320_2206: 545 Policies, Batch 20180321_9999: 2 Policies, Batch 20180321_1112: 108 Policies)</t>
  </si>
  <si>
    <t>Total: 1160 Policies (Batch 20180321_1434: 220 Policies, Batch 20180321_2306: 590 Policies, Batch 20180322_1046: 115 Policies, Batch 20180322_1427: 235 Policies)</t>
  </si>
  <si>
    <t>Total: 897 Policies (Batch 20180322_2316: 559 Policies, Batch 20180323_1045: 68 Policies, Batch 20180323_1423: 270 Policies)</t>
  </si>
  <si>
    <t>Total: 897 Policies</t>
  </si>
  <si>
    <t>Total: 625 Policies (Batch 20180323_2128: 625 Policies)</t>
  </si>
  <si>
    <t>Total: 1166 Policies (Annual Statement 2018 (Phrase 2: Brochure Manual Insertion))</t>
  </si>
  <si>
    <t>Total: 1520 Policies (Batch 20180326_1500: 400 Policies, Batch 20180326_2340: 681 Policies, Batch 20180327_1112: 150 Policies, Batch 20180324_2215: 272 Policies, Batch 20180325_2152: 17 Policies)</t>
  </si>
  <si>
    <t>Total: 1520 Policies (Batch 20180326_1500: 400 Policies, Batch 20180326_2340: 681 Policies, Batch 20180327_1112: 197 Policies)</t>
  </si>
  <si>
    <t>Start date</t>
  </si>
  <si>
    <t>Total: 1164 Policies (Batch 20180327_1444: 432 Policies, Batch 20180327_2310: 732 Policies)</t>
  </si>
  <si>
    <t>Backlog Batch 732 &amp; Total: 740 Policies (Batch 20180328_1038: 321 Policies, Batch 20180328_1443: 419 Policies)</t>
  </si>
  <si>
    <t>Total: 1550 Policies (Batch 20180328_0151: 983 Policies, Batch 20180329_1120: 152 Policies, Batch 20180329_1425: 415 Policies)</t>
  </si>
  <si>
    <t>Diff (Perm staff)</t>
  </si>
  <si>
    <t>Total: 1278 Policies (Batch 20180329_0352: 1278 Policies, Batch 20180330_1443: 689 Policies)</t>
  </si>
  <si>
    <t>Total: 1888 Policies (Batch 20180330_1443: 689 Policies, Batch 20180330_2240: 1199 Policies)</t>
  </si>
  <si>
    <t>Backlog 771/1199 Policies &amp; Total: 2001 Policies (Batch 20180331_0814: 99 Policies, Batch 20180331_1334: 509 Policies, Batch 20180331_2024: 1393 Policies)</t>
  </si>
  <si>
    <t>Total: 2001 Policies</t>
  </si>
  <si>
    <t>Backlog 1000/1393 Policies &amp; Total: 927 Policies (Batch 20180331_1144: 927 Policies, Batch 20180331_1729: 675 Policies)</t>
  </si>
  <si>
    <t>Backlog 507/1144 Policies &amp; Total: 1655 Policies (Batch 20180331_1144: 927 Policies, Batch 20180331_1729: 675 Policies)</t>
  </si>
  <si>
    <t>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</t>
  </si>
  <si>
    <t>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</t>
  </si>
  <si>
    <t>Total: 236 Policies (Batch 20180406_2146: 236 Policies)</t>
  </si>
  <si>
    <t>Total: 497 Policies (Batch 20180409_1541: 223 Policies, Batch 20180409_1803: 161 Policies, Batch 20180409_2116: 113 Policies)</t>
  </si>
  <si>
    <t>Nr</t>
  </si>
  <si>
    <t>Total: 614 Policies (Batch 20180410_1110: 73 Policies, Batch 20180410_1439: 116 Policies, Batch 20180410_2054: 326 Policies, Batch 20180411_1107: 99 Policies)</t>
  </si>
  <si>
    <t>Total: 529 Policies (Batch 20180411_1419: 116 Policies, Batch 20180411_2320: 341 Policies, Batch 20180412_1100: 74 Policies)</t>
  </si>
  <si>
    <t>Total: 530 Policies (Batch 20180412_1434: 153 Policies, Batch 20180413_0854: 333 Policies, Batch 20180413_1145: 44 Policies)</t>
  </si>
  <si>
    <t>Total: 324 Policies (Batch 20180413_1504: 103 Policies, Batch 20180413_2247: 79 Policies, Batch 20180416_1129: 142 Policies)</t>
  </si>
  <si>
    <t>Total: 1213 Policies (Batch 20180416_1448: 269 Policies, Batch 20180416_2307: 598 Policies, Batch 20180417_11112: 171 Policies, Batch 20180417_1438: 235 Policies)</t>
  </si>
  <si>
    <t>Total: 508 Policies (Batch 20180417_2147: 436 Policies, Batch 20180418_1100: 72 Policies)</t>
  </si>
  <si>
    <t>Total: 809 Policies (Batch 20180418_1432: 201 Policies, Batch 20180418_2102: 363 Policies, Batch 20180419_1059: 102 Policies, Batch 20180419_1456: 143 Policies)</t>
  </si>
  <si>
    <t>Total: 568 Policies (Batch 20180419_1456: 143 Policies;Batch 20180419_2101: 330 Policies; Batch 20180419_1114: 95 Policies)</t>
  </si>
  <si>
    <t>Total: 801 Policies (Batch 20180420_1523: 200 Policies; Batch 20180420_2211: 467 Policies; Batch 20180421_2115: 86 Policies; Batch 20180423_1111: 12 Policies; Batch 20180423_1121: 20 Policies; Batch 20180423_1131: 16 Policies)</t>
  </si>
  <si>
    <t>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</t>
  </si>
  <si>
    <t>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</t>
  </si>
  <si>
    <t>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Policies)129/598</t>
  </si>
  <si>
    <t>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</t>
  </si>
  <si>
    <t>Total: 1983 Policies (Batch 20180427_1143: 598 Policies, Batch 20180427_1911: 503 Policies, Batch 20180427_1921: 284 Policies, Batch 20180427_1931: 164 Policies, Batch 20180427_2303: 434 Policies)</t>
  </si>
  <si>
    <t>Huynh Minh Nhu</t>
  </si>
  <si>
    <t>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</t>
  </si>
  <si>
    <t>Total: 1315 Policies</t>
  </si>
  <si>
    <t>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</t>
  </si>
  <si>
    <t>Le Ngoc Quynh Nhu</t>
  </si>
  <si>
    <t>Total: 1667 Policies (Batch 20180429_0755: 782 Policies, Batch 20180430_2124: 885 Policies)</t>
  </si>
  <si>
    <t>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</t>
  </si>
  <si>
    <t>Total: 550 Policies (Batch 20180503_1134: 7 Policies, Batch 20180503_1145: 90 Policies, Batch 20180503_1154: 17 Policies, Batch 20180503_1512: 17 Policies,Batch 20180503_1522: 24 Policies,Batch 20180503_1532: 7 Policies,Batch 20180503_2208: 261 Policies)</t>
  </si>
  <si>
    <t>Nguyen Thanh Loc</t>
  </si>
  <si>
    <t>Trinh Thi Hue</t>
  </si>
  <si>
    <t>Total: 390 Policies (Batch 20180504_1143: 12 Policies, Batch 20180504_1153: 11 Policies, Batch 20180504_1452: 178 Policies, Batch 20180504_1502: 25 Policies, Batch 20180504_1512: 30 Policies, Batch 20180504_2149: 74 Policies,Batch 20180504_2159: 8 Policies,Batch 20180504_2209: 16 Policies,Batch 20180507_1058: 8 Policies,Batch 20180507_1108: 2 Policies,Batch 20180507_1118: 1 Policies,Batch 20180507_1502: 7 Policies,Batch 20180507_1512: 9 Policies,Batch 20180507_1522: 9 Policies)</t>
  </si>
  <si>
    <t>Total: 217 Policies (Batch 20180508_1225: 47 Policies, Batch 20180508_1235: 112 Policies, Batch 20180508_1245: 32 Policies, Batch 20180508_1445: 2 Policies, Batch 20180508_1455: 2 Policies, Batch 20180508_1505: 3 Policies, Batch 20180508_2314: 4 Policies, Batch 20180508_2324: 13 Policies Batch 20180508_2334: 2 Policies,)</t>
  </si>
  <si>
    <t>Total: 35 Policies (Batch 20180509_1112: 2 Policies, Batch 20180509_1122: 1 Policies, Batch 20180509_1442: 10 Policies, Batch 20180509_1452: 2 Policies, Batch 20180509_1502: 6 Policies, Batch 20180509_2234: 10 Policies, Batch 20180509_2244: 4 Policies)</t>
  </si>
  <si>
    <t>Tran Thi Kim Thoa</t>
  </si>
  <si>
    <t>Tra Thi Phuong Thao</t>
  </si>
  <si>
    <t>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</t>
  </si>
  <si>
    <t>Total: 1169 Policies (Batch: 20180508_232N: 104 Policies, Batch: 20180508_233N : 40 Policies, Batch: 20180509_111N : 22 Policies)</t>
  </si>
  <si>
    <t>Total: 1278 Policies (Batch: 20180511_2127: 141 Policies, Batch: 20180511_2137: 77 Policies, Batch: 20180511_2147: 58 Policies)</t>
  </si>
  <si>
    <t>Total: 571 Policies (Batch: 20180515_2122: 125 Policies; Batch: 20180515_2132: 140 Policies; Batch: 20180515_2142: 65 Policies;)</t>
  </si>
  <si>
    <t>Transmail Billing BL05 Big Volume</t>
  </si>
  <si>
    <t>Total: 400 Policies (Batch: 20180516_2144: 145 Policies; Batch: 20180516_2154: 96 Policies; Batch: 20180515_2204: 61 Policies;)</t>
  </si>
  <si>
    <t>Total: 559 Policies (Batch: 20180517_1510: 106 Policies; Batch: 20180517_1520: 50 Policies; Batch: 20180517_1530: 32 Policies; Batch: 20180517_2116: 121 Policies; Batch: 20180517_2126: 89 Policies; Batch: 20180517_2136: 39 Policies)</t>
  </si>
  <si>
    <t>Total: 823 Policies (Batch: 20180518_1451: 67 Policies, Batch: 20180518_1501: 27 Policies,Batch: 20180518_1501: 19 Policies, Batch: 20180518_2121: 219 Policies,Batch: 20180518_2131: 144 Policies, Batch: 20180518_2141: 77 Policies)</t>
  </si>
  <si>
    <t>Total: 740 Policies (Batch: 20180521_2206: 367 Policies,Batch: 20180521_2216: 184 PoliciesBatch: 20180521_2226: 105Policies, Batch: 20180522_1115: 44 Policies,Batch: 20180522_1125: 18 PoliciesBatch: 20180522_1135: 22Policies)</t>
  </si>
  <si>
    <t>Total: 710 Policies (Batch: 20180522_1440: 127 Policies,Batch: 20180522_1450: 57 Policies, Batch: 20180522_1500: 27PoliciesBatch: 20180522_2126: 205 Policies,Batch: 20180522_2136: 131 Policies, Batch: 20180522_2146: 89 Policies)</t>
  </si>
  <si>
    <t>Total: 677 Policies (Batch: 20180523_1459: 71 Policies, Batch: 20180523_1509: 48 Policies,Batch: 20180523_1519: 26 Policies, Batch: 20180523_2303: 220 Policies,Batch: 20180523_2313: 105 Policies,Batch: 20180522_2323: 68 Policies)</t>
  </si>
  <si>
    <t>Total: 736 Policies (Annual Leave)</t>
  </si>
  <si>
    <t>Total: 736 Policies (Batch 20150524_1449: 104 Policies,Batch 20150524_1459: 46 Policies,Batch 20150524_1509: 24 Policies,Batch 20150524_2137: 238 Policies,Batch 20150524_2147: 163 Policies,Batch 20150524_2157: 104 Policies,Batch 20150525_1124: 26 Policies,Batch 20150525_1134: 16 Policies,Batch 20150525_1144: 15 Policies,)</t>
  </si>
  <si>
    <t>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</t>
  </si>
  <si>
    <t>Total: 387 Policies (Batch 20180526_1525: 16 Policies,Batch 20180526_1535: 41 Policies,Batch 20180526_1545: 16 Policies,Batch 20180526_2143: 65 Policies,Batch 20180526_2153: 23 Policies,Batch 20180526_2203: 19 Policies,Batch 20180527_2203: 24 Policies,Batch 20180527_2213: 17 Policies,Batch 20180527_2223: 5 Policies,Batch 20180528_1153: 53 Policies,Batch 20180528_1203: 65 Policies,Batch 20180528_1213: 43 Policies,)</t>
  </si>
  <si>
    <t>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</t>
  </si>
  <si>
    <t>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</t>
  </si>
  <si>
    <t>Total: 1195 Policies (Batch 20180530_1453: 82 Policies,Batch 20180530_1503: 66 Policies,Batch 20180530_2119: 538 Policies,Batch 20180530_2129: 323 Policies,Batch 20180530_2139: 186 Policies,)</t>
  </si>
  <si>
    <t>Total: 1875 Policies ( 20180531_1131: 458 Policies, 20180531_1141: 130 Policies, 20180531_1151: 91 Policies, 20180531_2002: 655 Policies, 20180531_2012: 378 Policies, 20180531_2022: 163 Policies, :  Policies,)</t>
  </si>
  <si>
    <t>Total: 2073 Policies ( 20180531_0231: 1174 Policies, 20180531_0241: 354 Policies, 20180531_0251: 202 Policies, 20180531_1405: 262 Policies, 20180531_1415: 22 Policies, 20180531_1425: 59 Policies,)</t>
  </si>
  <si>
    <t>Total: 108 Policies ( 20180601_2201: 36 Policies, 20180601_2211: 32 Policies, 20180601_2221: 10 Policies, 20180604_1136: 18 Policies, 20180604_1146: 6 Policies, 20180604_1156: 6 Policies, :  Policies,)</t>
  </si>
  <si>
    <t>Total: 836 Policies ( 20180604_1529: 109 Policies, 20180604_1539: 139 Policies, 20180604_1549: 38 Policies, 20180604_2208: 243 Policies, 20180604_2218: 140 Policies, 20180604_2228: 97 Policies, 20180605_1111: 39 Policies, 20180605_1121: 20 Policies, 20180605_1131: 11 Policies,)</t>
  </si>
  <si>
    <t>Total: 630 Policies ( 20180605_1436: 98 Policies, 20180605_1446: 58 Policies, 20180605_1456: 31 Policies, 20180605_2127: 180 Policies, 20180605_2137: 127 Policies, 20180605_2147: 61 Policies, 20180606_ 113: 34 Policies, 20180606_ 114: 27 Policies, 20180606_ 115: 14 Policies,)</t>
  </si>
  <si>
    <t>Total: 478 Policies ( 20180606_ 151: 28 Policies, 20180606_ 152: 67 Policies, 20180606_ 153: 21 Policies, 20180606_ 212: 84 Policies, 20180606_ 213: 110 Policies, 20180606_ 214: 105 Policies, 20180607_1117: 7 Policies, 20180607_1127: 38 Policies, 20180607_1137: 18 Policies,)</t>
  </si>
  <si>
    <t>Total: 847 Policies ( 20180607_1438: 39 Policies, 20180607_1448: 33 Policies, 20180607_1458: 55 Policies, 20180607_2111: 103 Policies, 20180607_2121: 138 Policies, 20180607_2131: 82 Policies, 20180608_1213: 397 Policies, :  Policies, :  Policies,)</t>
  </si>
  <si>
    <t>Le Thi Hong Diem</t>
  </si>
  <si>
    <t>Total: 1450 Policies ( 20180608_1223: 143 Policies, 20180608_1233: 52 Policies, 20180608_1517: 415 Policies, 20180608_1527: 115 Policies, 20180608_1537: 61 Policies, 20180608_1919: 478 Policies, 20180608_1929: 120 Policies, 20180608_1939: 66 Policies, :  Policies,)</t>
  </si>
  <si>
    <t>Total: 1373 Policies ( 20180608_0225: 430 Policies, 20180608_0235: 130 Policies, 20180608_0245: 74 Policies, 20180608_0703: 557 Policies, 20180608_0713: 135 Policies, 20180608_0723: 47 Policies,)</t>
  </si>
  <si>
    <t>Total: 88 Policies ( 20180611_1118: 12 Policies, 20180611_1128: 22 Policies, 20180611_1138: 54 Policies,)</t>
  </si>
  <si>
    <t>Total: 746 Policies ( 20180611_1451: 97 Policies, 20180611_1501: 61 Policies, 20180611_1511: 64 Policies, 20180611_2124: 297 Policies, 20180611_2134: 118 Policies, 20180611_2144: 109 Policies,)</t>
  </si>
  <si>
    <t>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</t>
  </si>
  <si>
    <t>Total: 553 Policies ( 20180613_2253: 224 Policies, 20180613_2303: 113 Policies, 20180613_2313: 127 Policies, 20180614_1108: 26 Policies, 20180614_1118: 28 Policies, 20180614_1128: 35 Policies, :  Policies, :  Policies, :  Policies, :  Policies, :  Policies, :  Policies,)</t>
  </si>
  <si>
    <t>Total: 537 Policies ( 20180614_1453: 78 Policies, 20180614_1503: 45 Policies, 20180614_1513: 46 Policies, 20180614_2113: 139 Policies, 20180614_2113: 127 Policies, 20180614_2113: 71 Policies, 20180615_1127: 11 Policies, 20180615_1137: 12 Policies, 20180615_1147: 8 Policies,)</t>
  </si>
  <si>
    <t>Total: 701 Policies ( 20180615_1506: 36 Policies, 20180615_1516: 60 Policies, 20180615_1456: 90 Policies, 20180615_2159: 66 Policies, 20180615_2209: 76 Policies, 20180615_2219: 133 Policies, 20180618_1106: 106 Policies, 20180618_1116: 78 Policies, 20180618_1126: 56 Policies,)</t>
  </si>
  <si>
    <t>Total: 1220 Policies ( 20180618_1455: 94 Policies, 20180618_1505: 91 Policies, 20180618_1515: 70 Policies, 20180618_2308: 406 Policies, 20180618_2318: 180 Policies, 20180618_2328: 106 Policies, 20180619_1113: 47 Policies, 20180619_1123: 26 Policies, 20180619_1133: 22 Policies,)</t>
  </si>
  <si>
    <t>Total: 740 Policies ( 20180619_2131: 371 Policies, 20180619_2141: 192 Policies, 20180619_2151: 125 Policies, 20180620_1118: 31 Policies, 20180620_1128: 13 Policies, 20180620_1138: 8 Policies,)</t>
  </si>
  <si>
    <t>Total: 725 Policies ( 20180620_1435: 102 Policies, 20180620_1445: 41 Policies, 20180620_1455: 30 Policies, 20180620_2120: 226 Policies, 20180620_2130: 125 Policies, 20180620_2140: 75 Policies, 20180621_1135: 52 Policies, 20180621_1145: 45 Policies, 20180621_1155: 29 Policies,)</t>
  </si>
  <si>
    <t>Total: 829 Policies ( 20180621_1443: 109 Policies, 20180621_1453: 59 Policies, 20180621_1503: 34 Policies, 20180621_2152: 216 Policies, 20180621_2202: 161 Policies, 20180621_2212: 95 Policies, 20180622_1110: 50 Policies, 20180622_1120: 57 Policies, 20180622_1130: 48 Policies,)</t>
  </si>
  <si>
    <t>Total: 1364 Policies ( 20180622_1538: 130 Policies, 20180622_1548: 75 Policies, 20180622_1558: 64 Policies, 20180622_2348: 217 Policies, 20180622_2358: 149 Policies, 20180622_0008: 82 Policies, 20180623_1312: 24 Policies, 20180623_1322: 40 Policies, 20180623_1332: 18 Policies,)</t>
  </si>
  <si>
    <t>Total: 1111 Policies ( 20180625_1111: 41 Policies, 20180625_1121: 7 Policies, 20180625_1131: 6 Policies, 20180625_1442: 160 Policies, 20180625_1452: 79 Policies, 20180625_1502: 49 Policies, 20180625_2119: 394 Policies, 20180625_2129: 226 Policies, 20180625_2139: 149 Policies,)</t>
  </si>
  <si>
    <t>Total: 1310 Policies ( 20180626_1212: 253 Policies, 20180626_1222: 67 Policies, 20180626_1232: 56 Policies, 20180626_0130: 477 Policies, 20180626_0140: 294 Policies, 20180626_0150: 163 Policies, :  Policies, :  Policies, :  Policies,)</t>
  </si>
  <si>
    <t>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</t>
  </si>
  <si>
    <t>Total: 1420 Policies ( 20180629_1149: 416 Policies, 20180629_1159: 143 Policies, 20180629_1209: 71 Policies, 20180629_1716: 412 Policies, 20180629_1726: 257 Policies, 20180629_1736: 121 Policies, :  Policies, :  Policies, :  Policies,)</t>
  </si>
  <si>
    <t>Total: 1769 Policies ( 20180629_2225: 577 Policies, 20180629_2235: 359 Policies, 20180629_2245: 179 Policies, 20180630_0933: 206 Policies, 20180630_0943: 67 Policies, 20180630_0953: 41 Policies, 20180630_1324: 340 Policies,)</t>
  </si>
  <si>
    <t>Total: 1685 Policies ( 20180630_1335: 111 Policies, 20180630_1345: 55 Policies, 20180630_1831: 198 Policies, 20180630_1841: 114 Policies, 20180630_2234: 1207 Policies, :  Policies, :  Policies,)</t>
  </si>
  <si>
    <t>Birthday</t>
  </si>
  <si>
    <t>Total: 1926 Policies ( 20180630_2244: 249 Policies, 20180630_2254: 119 Policies, 20180630_1119: 614 Policies, 20180630_1129: 242 Policies, 20180630_1139: 114 Policies, 20180630_1616: 588 Policies, :  Policies,)</t>
  </si>
  <si>
    <t>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</t>
  </si>
  <si>
    <t>Total: 1117 Policies ( 20180703_1527: 209 Policies, 20180703_1537: 54 Policies, 20180703_2120: 65 Policies, 20180703_2130: 65 Policies, 20180703_2140: 18 Policies, 20180704_1122: 18 Policies, 20180704_1132: 8 Policies,)</t>
  </si>
  <si>
    <t>Total: 1180 Policies ( 20180705_1113: 131 Policies, 20180705_1123: 19 Policies, 20180705_1133: 13 Policies, 20180705_1428: 125 Policies, 20180705_1438: 56 Policies, 20180705_1448: 24 Policies, 20180705_2120: 160 Policies,)</t>
  </si>
  <si>
    <t>Total: 424 Policies ( 20180709_1423: 73 Policies, 20180709_1433: 19 Policies, 20180709_1443: 23 Policies, 20180709_2310: 164 Policies, 20180709_2320: 77 Policies, 20180709_2330: 35 Policies, 20180710_1130: 27 Policies,)</t>
  </si>
  <si>
    <t>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</t>
  </si>
  <si>
    <t>Total: 433 Policies ( 20180710_1446: 37 Policies, 20180710_1456: 32 Policies, 20180710_1506: 22 Policies, 20180710_2212: 137 Policies, 20180710_2222: 107 Policies, 20180710_2232: 63 Policies, 20180711_1111: 18 Policies,)</t>
  </si>
  <si>
    <t>Total: 526 Policies ( 20180711_1427: 27 Policies, 20180711_1437: 48 Policies, 20180711_1447: 17 Policies, 20180711_2302: 110 Policies, 20180711_2312: 115 Policies, 20180711_2322: 78 Policies, 20180712_1121: 79 Policies,)</t>
  </si>
  <si>
    <t>Relocate THIEN SON Total: 312 Policies ( 20180712_1438: 14 Policies, 20180712_1448: 15 Policies, 20180712_1458: 8 Policies, 20180712_2144: 105 Policies, 20180712_2154: 111 Policies, 20180712_2204: 59 Policies, :  Policies,)</t>
  </si>
  <si>
    <t>Relocate THIEN SON Total: 0 Policies ( :  Policies, :  Policies, :  Policies, :  Policies, :  Policies, :  Policies, :  Policies,)</t>
  </si>
  <si>
    <t>Relocate THIEN SON Total: 209 Policies ( 20180713_1137: 53 Policies, 20180713_1147: 41 Policies, 20180713_1157: 29 Policies, 20180713_1444: 43 Policies, 20180713_1454: 19 Policies, 20180713_1504: 24 Policies, :  Policies,)</t>
  </si>
  <si>
    <t>Total: 909 Policies ( 20180716_1441: 80 Policies, 20180716_1451: 16 Policies, 20180716_1501: 29 Policies, 20180716_2252: 452 Policies, 20180716_2302: 215 Policies, 20180716_2312: 117 Policies, :  Policies,)</t>
  </si>
  <si>
    <t>Total: 824 Policies ( 20180717_1129: 105 Policies, 20180717_1139: 47 Policies, 20180717_1149: 28 Policies, 20180717_1648: 222 Policies, 20180717_1658: 60 Policies, 20180717_1708: 43 Policies, 20180717_2312: 134 Policies,)</t>
  </si>
  <si>
    <t>Total: 692 Policies ( 20180718_1107: 15 Policies, 20180718_1117: 49 Policies, 20180718_1127: 14 Policies, 20180718_1429: 110 Policies, 20180718_1439: 55 Policies, 20180718_1449: 44 Policies, 20180718_2309: 175 Policies,)</t>
  </si>
  <si>
    <t>Total: 580 Policies ( 20180719_1442: 79 Policies, 20180719_1452: 43 Policies, 20180719_1502: 34 Policies, 20180719_1107: 135 Policies, 20180719_1117: 161 Policies, 20180719_1127: 128 Policies, :  Policies,)</t>
  </si>
  <si>
    <t>Total: 696 Policies ( 20180720_1426: 139 Policies, 20180720_1446: 44 Policies, 20180720_2308: 124 Policies, 20180720_2318: 154 Policies, 20180720_2328: 76 Policies, 20180723_1132: 90 Policies, 20180723_1142: 44 Policies,)</t>
  </si>
  <si>
    <t>Total: 815 Policies ( 20180723_1447: 77 Policies, 20180723_1457: 22 Policies, 20180723_1507: 18 Policies, 20180723_2304: 440 Policies, 20180723_2314: 147 Policies, 20180723_2324: 111 Policies, :  Policies,)</t>
  </si>
  <si>
    <t>Pham Phu Phong</t>
  </si>
  <si>
    <t>Total: 1176 Policies ( 20180724_1116: 154 Policies, 20180724_1126: 17 Policies, 20180724_1136: 18 Policies, 20180724_1446: 72 Policies, 20180724_1456: 17 Policies, 20180724_1506: 11 Policies, 20180724_2212: 362 Policies,)</t>
  </si>
  <si>
    <t>Total: 510 Policies ( 20180725_1501: 137 Policies, 20180725_1511: 42 Policies, 20180725_1521: 28 Policies, 20180725_2138: 187 Policies, 20180725_2148: 116 Policies, :  Policies, :  Policies,)</t>
  </si>
  <si>
    <t>Total: 1546 Policies ( 20180801_0257: 1 Policies, 20180801_2015: 517 Policies, 20180801_2025: 506 Policies, 20180802_1426: 237 Policies, 20180802_1436: 179 Policies, 20180802_1446: 71 Policies, 20180802_2343: 35 Policies,)</t>
  </si>
  <si>
    <t>Total: 1874 Policies ( 20180802_2323: 236 Policies, 20180802_2333: 205 Policies, 20180803_1217: 1433 Policies, :  Policies, :  Policies, :  Policies, :  Policies,)</t>
  </si>
  <si>
    <t>Total: 1275 Policies ( 20180803_1227: 125 Policies, 20180803_1237: 35 Policies, 20180806_0956: 93 Policies, 20180806_0100: 132 Policies, 20180806_016: 79 Policies, 20180806_1131: 227 Policies, 20180806_1141: 40 Policies,)</t>
  </si>
  <si>
    <t>Total: 1675 Policies ( 20180807_1142: 136 Policies, 20180807_1152: 41 Policies, 20180807_1202: 44 Policies, 20180731_2016: 721 Policies, 20180731_2026: 258 Policies, 20180731_2036: 172 Policies, 20180807_1451: 49 Policies,)</t>
  </si>
  <si>
    <t>Total: 1361 Policies ( 20180808_1121: 104 Policies, 20180808_1131: 76 Policies, 20180808_1141: 54 Policies, 20180808_1429: 147 Policies, 20180808_1439: 49 Policies, 20180808_1449: 22 Policies, 20180808_0052: 545 Policies,)</t>
  </si>
  <si>
    <t>Total: 1341 Policies ( 20180726_0935: 352 Policies, 20180726_0945: 34 Policies, 20180726_0955: 35 Policies, 20180726_1525: 47 Policies, 20180726_2215: 333 Policies, 20180726_2225: 298 Policies, 20180726_2235: 106 Policies,)</t>
  </si>
  <si>
    <t>Total: 1479 Policies ( 20180727_1455: 142 Policies, 20180727_1505: 64 Policies, 20180727_1515: 47 Policies, 20180727_2314: 523 Policies, 20180727_2324: 258 Policies, 20180727_2334: 158 Policies, 20180728_1136: 2 Policies,)</t>
  </si>
  <si>
    <t>Total: 1688 Policies ( 20180728_2209: 516 Policies, 20180728_2219: 151 Policies, 20180728_2229: 105 Policies, 20180729_2210: 587 Policies, 20180729_2220: 209 Policies, 20180729_2230: 120 Policies, :  Policies,)</t>
  </si>
  <si>
    <t>Total: 1206 Policies ( 20180730_1132: 116 Policies, 20180730_1142: 22 Policies, 20180730_1152: 24 Policies, 20180730_1456: 196 Policies, 20180730_1506: 128 Policies, 20180730_1516: 49 Policies, 20180730_2340: 671 Policies,)</t>
  </si>
  <si>
    <t>Total: 1642 Policies ( 20180730_2350: 410 Policies, 20180730_0000: 185 Policies, 20180731_1127: 383 Policies, 20180731_1137: 60 Policies, 20180731_1147: 52 Policies, 20180731_0658: 512 Policies, 20180801_2035: 40 Policies,)</t>
  </si>
  <si>
    <t>Total: 931 Policies ( 20180808_1119: 190 Policies, 20180808_1129: 50 Policies, 20180808_1139: 48 Policies, 20180808_1435: 89 Policies, 20180808_1445: 35 Policies, 20180808_1455: 36 Policies, 20180808_2142: 263 Policies,)</t>
  </si>
  <si>
    <t>Total: 498 Policies ( 20180713_2154: 233 Policies, 20180713_2204: 115 Policies, 20180713_2214: 99 Policies, 20180716_2154: 28 Policies, 20180716_2204: 6 Policies, 20180716_2214: 17 Policies, :  Policies,)</t>
  </si>
  <si>
    <t>Total: 554 Policies ( 20180810_1238: 75 Policies, 20180810_1248: 54 Policies, 20180810_1258: 44 Policies, 20180810_1500: 39 Policies, 20180810_1510: 37 Policies, 20180810_1520: 33 Policies, 20180810_2151: 179 Policies,)</t>
  </si>
  <si>
    <t>Total: 1223 Policies ( 20180813_1139: 226 Policies, 20180813_1149: 9 Policies, 20180813_1159: 28 Policies, 20180813_1451: 31 Policies, 20180813_1501: 20 Policies, 20180813_1511: 32 Policies, 20180813_2301: 329 Policies,)</t>
  </si>
  <si>
    <t>Total: 718 Policies ( 20180814_1452: 70 Policies, 20180814_1502: 24 Policies, 20180814_1512: 29 Policies, 20180814_2312: 161 Policies, 20180814_2322: 127 Policies, 20180814_2332: 86 Policies, 20180815_1117: 114 Policies,)</t>
  </si>
  <si>
    <t>Total: 828 Policies ( 20180815_1459: 39 Policies, 20180815_1509: 83 Policies, 20180815_1519: 41 Policies, 20180815_2302: 213 Policies, 20180815_2312: 161 Policies, 20180815_2322: 97 Policies, 20180816_1106: 83 Policies,)</t>
  </si>
  <si>
    <t>Total: 614 Policies ( 20180816_1436: 113 Policies, 20180816_1446: 51 Policies, 20180816_1456: 39 Policies, 20180816_2139: 95 Policies, 20180816_2149: 90 Policies, 20180816_2159: 71 Policies, 20180817_1107: 61 Policies,)</t>
  </si>
  <si>
    <t>Total: 641 Policies ( 20180817_1454: 94 Policies, 20180817_1504: 27 Policies, 20180817_1514: 43 Policies, 20180817_2306: 63 Policies, 20180817_2316: 76 Policies, 20180817_2326: 66 Policies, 20180818_1108: 1 Policies,)</t>
  </si>
  <si>
    <t>Total: 1323 Policies ( 20180820_1142: 107 Policies, 20180820_1152: 60 Policies, 20180820_1440: 71 Policies, 20180820_1450: 30 Policies, 20180820_1500: 28 Policies, 20180820_2017: 328 Policies, 20180820_2027: 156 Policies,)</t>
  </si>
  <si>
    <t>Total: 1212 Policies ( 20180821_1521: 495 Policies, 20180821_1531: 59 Policies, 20180821_1541: 36 Policies, 20180821_2301: 368 Policies, 20180821_2311: 100 Policies, 20180821_2321: 67 Policies, 20180822_1115: 70 Policies,)</t>
  </si>
  <si>
    <t>Total: 777 Policies ( 20180822_1452: 114 Policies, 20180822_1502: 80 Policies, 20180822_1512: 43 Policies, 20180822_0029: 246 Policies, 20180822_039: 188 Policies, 20180822_049: 106 Policies, :  Policies,)</t>
  </si>
  <si>
    <t>Total: 757 Policies ( 20180823_1444: 41 Policies, 20180823_1454: 25 Policies, 20180823_1504: 33 Policies, 20180823_2156: 174 Policies, 20180823_2206: 174 Policies, 20180823_2216: 129 Policies, 20180824_1007: 92 Policies,)</t>
  </si>
  <si>
    <t>Total: 1054 Policies ( 20180824_1424: 52 Policies, 20180824_1434: 31 Policies, 20180824_1444: 46 Policies, 20180824_2242: 275 Policies, 20180824_2252: 215 Policies, 20180824_2302: 151 Policies, 20180825_1303: 2 Policies,)</t>
  </si>
  <si>
    <t>Total: 1359 Policies ( 20180827_1436: 118 Policies, 20180827_1446: 90 Policies, 20180827_1456: 40 Policies, 20180827_2229: 472 Policies, 20180827_2239: 348 Policies, 20180827_2249: 160 Policies, 20180828_1114: 95 Policies,)</t>
  </si>
  <si>
    <t>Total: 1320 Policies ( 20180828_1455: 196 Policies, 20180828_1505: 98 Policies, 20180828_1515: 74 Policies, 20180828_0204: 490 Policies, 20180828_0214: 326 Policies, 20180828_0224: 136 Policies, :  Policies,)</t>
  </si>
  <si>
    <t>Total: 1581 Policies ( 20180829_1111: 134 Policies, 20180829_1121: 61 Policies, 20180829_1131: 43 Policies, 20180829_1453: 233 Policies, 20180829_1503: 75 Policies, 20180829_1513: 58 Policies, 20180829_2250: 410 Policies,)</t>
  </si>
  <si>
    <t>Total: 1746 Policies ( 20180830_1453: 507 Policies, 20180830_1503: 188 Policies, 20180830_1513: 69 Policies, 20180830_0031: 214 Policies, 20180830_0011: 369 Policies, 20180830_0021: 399 Policies, :  Policies,)</t>
  </si>
  <si>
    <t>Total: 1894 Policies ( 20180831_1054: 59 Policies, 20180831_1104: 11 Policies, 20180831_1317: 1002 Policies, 20180831_1327: 93 Policies, 20180831_1337: 41 Policies, 20180831_0933: 688 Policies, :  Policies,)</t>
  </si>
  <si>
    <t>Total: 2085 Policies ( 20180831_0933: 600 Policies, 20180831_0943: 555 Policies, 20180831_0953: 247 Policies, 20180831_0545: 683 Policies, :  Policies, :  Policies, :  Policies,)</t>
  </si>
  <si>
    <t>Le Thi Thu Thanh</t>
  </si>
  <si>
    <t>Total: 1254 Policies ( 20180831_0555: 258 Policies, 20180831_0605: 147 Policies, 20180904_1144: 52 Policies, 20180904_1154: 108 Policies, 20180904_1204: 54 Policies, 20180904_1514: 51 Policies, 20180904_1524: 65 Policies,)</t>
  </si>
  <si>
    <t>Total: 698 Policies ( 20180905_2116: 99 Policies, 20180905_2126: 85 Policies, 20180905_2136: 43 Policies, 20180906_1124: 30 Policies, 20180906_1134: 15 Policies, 20180906_1144: 10 Policies, 20180906_1443: 20 Policies,)</t>
  </si>
  <si>
    <t>Total: 951 Policies ( 20180907_1445: 14 Policies, 20180907_1455: 56 Policies, 20180907_1505: 14 Policies, 20180907_2149: 105 Policies, 20180907_2159: 51 Policies, 20180909_1423: 102 Policies, 20180909_2214: 302 Policies,)</t>
  </si>
  <si>
    <t>Total: 987 Policies ( 20180910_1425: 104 Policies, 20180910_1435: 27 Policies, 20180910_1445: 11 Policies, 20180910_2210: 437 Policies, 20180910_2220: 199 Policies, 20180910_2230: 94 Policies, 20180911_1057: 71 Policies,)</t>
  </si>
  <si>
    <t>Total: 593 Policies ( 20180911_1446: 85 Policies, 20180911_1456: 27 Policies, 20180911_1506: 20 Policies, 20180911_2229: 118 Policies, 20180911_2239: 117 Policies, 20180911_2249: 71 Policies, 20180912_1109: 88 Policies,)</t>
  </si>
  <si>
    <t>Total: 524 Policies ( 20180912_1442: 26 Policies, 20180912_1452: 34 Policies, 20180912_1502: 19 Policies, 20180912_2229: 92 Policies, 20180912_2239: 87 Policies, 20180912_2249: 68 Policies, 20180913_1145: 136 Policies,)</t>
  </si>
  <si>
    <t>Total: 494 Policies ( 20180913_1443: 54 Policies, 20180913_1453: 54 Policies, 20180913_1503: 28 Policies, 20180913_2214: 104 Policies, 20180913_2224: 104 Policies, 20180913_2234: 52 Policies, 20180914_1124: 75 Policies,)</t>
  </si>
  <si>
    <t>Total: 393 Policies ( 20180914_1444: 29 Policies, 20180914_1454: 76 Policies, 20180914_1504: 32 Policies, 20180914_2143: 94 Policies, 20180914_2153: 114 Policies, 20180914_2203: 36 Policies, 20180917_1118: 2 Policies,)</t>
  </si>
  <si>
    <t>Total: 1339 Policies ( 20180917_1438: 115 Policies, 20180917_1448: 188 Policies, 20180917_1458: 54 Policies, 20180917_2257: 540 Policies, 20180917_2307: 283 Policies, 20180917_2317: 159 Policies, :  Policies,)</t>
  </si>
  <si>
    <t>Total: 1049 Policies ( 20180918_1126: 83 Policies, 20180918_1136: 40 Policies, 20180918_1146: 28 Policies, 20180918_1453: 74 Policies, 20180918_1503: 40 Policies, 20180918_1513: 16 Policies, 20180918_2133: 314 Policies,)</t>
  </si>
  <si>
    <t>Total: 671 Policies ( 20180919_1437: 50 Policies, 20180919_1447: 40 Policies, 20180919_1457: 28 Policies, 20180919_2244: 252 Policies, 20180919_2254: 143 Policies, 20180919_2304: 77 Policies, 20180920_1113: 12 Policies,)</t>
  </si>
  <si>
    <t>Total: 652 Policies ( 20180920_1428: 40 Policies, 20180920_1438: 31 Policies, 20180920_1448: 17 Policies, 20180920_2144: 212 Policies, 20180920_2154: 196 Policies, 20180920_2204: 75 Policies, 20180921_1141: 37 Policies,)</t>
  </si>
  <si>
    <t>Total: 1006 Policies ( 20180921_1452: 51 Policies, 20180921_1502: 79 Policies, 20180921_1512: 38 Policies, 20180921_2246: 160 Policies, 20180921_2256: 199 Policies, 20180921_2306: 98 Policies, 20180922_1113: 27 Policies,)</t>
  </si>
  <si>
    <t>Total: 1193 Policies ( 20180924_1857: 261 Policies, 20180924_1907: 297 Policies, 20180924_1917: 103 Policies, 20180924_0226: 148 Policies, 20180924_0236: 147 Policies, 20180924_0246: 46 Policies, 20180925_1111: 118 Policies,)</t>
  </si>
  <si>
    <t>Total: 1256 Policies ( 20180925_1502: 123 Policies, 20180925_1512: 102 Policies, 20180925_1522: 43 Policies, 20180925_2323: 271 Policies, 20180925_2333: 382 Policies, 20180925_2343: 135 Policies, 20180926_1134: 104 Policies,)</t>
  </si>
  <si>
    <t>Total: 1390 Policies ( 20180926_1438: 186 Policies, 20180926_1458: 36 Policies, 20180926_2127: 401 Policies, 20180926_2137: 402 Policies, 20180926_2147: 180 Policies, 20180927_0856: 82 Policies, 20180927_0906: 102 Policies,)</t>
  </si>
  <si>
    <t>Total: 1650 Policies ( 20180927_1758: 384 Policies, 20180927_1808: 271 Policies, 20180927_1818: 104 Policies, 20180927_2344: 307 Policies, 20180927_2354: 141 Policies, 20180927_2334: 443 Policies, :  Policies,)</t>
  </si>
  <si>
    <t>Nguyen Ngoc Truong Loc</t>
  </si>
  <si>
    <t>Total: 1552 Policies ( 20180928_1131: 303 Policies, 20180928_1141: 60 Policies, 20180928_1151: 11 Policies, 20180928_1551: 410 Policies, 20180928_0135: 220 Policies, 20180928_0145: 212 Policies, 20180928_0155: 336 Policies,)</t>
  </si>
  <si>
    <t>Total: 1575 Policies ( 20180929_1023: 424 Policies, 20180929_1033: 374 Policies, 20180929_1043: 35 Policies, 20180929_0019: 171 Policies, 20180929_0029: 173 Policies, 20180929_0039: 173 Policies, 20180930_1002: 225 Policies,)</t>
  </si>
  <si>
    <t>Total: 2558 Policies ( 20180930_0942: 636 Policies, 20180930_0952: 668 Policies, 20180930_0731: 621 Policies, 20180930_0741: 633 Policies, :  Policies, :  Policies, :  Policies,)</t>
  </si>
  <si>
    <t>Total: 1759 Policies ( 20180930_0751: 376 Policies, 20180930_0006: 188 Policies, 20180930_0016: 259 Policies, 20180930_0026: 202 Policies, 20181001_1642: 734 Policies, :  Policies, :  Policies,)</t>
  </si>
  <si>
    <t>Total: 1663 Policies ( 20181001_1652: 445 Policies, 20181001_1702: 9 Policies, 20181002_1056: 1066 Policies, 20181002_1106: 117 Policies, 20181002_1116: 26 Policies, :  Policies, :  Policies,)</t>
  </si>
  <si>
    <t>Total: 1710 Policies ( 20181003_2312: 1600 Policies, 20181003_2322: 80 Policies, 20181003_2332: 30 Policies, :  Policies, :  Policies, :  Policies, :  Policies,)</t>
  </si>
  <si>
    <t>Total: 1773 Policies ( 20181004_0411: 230 Policies, 20181004_0421: 366 Policies, 20181004_0431: 213 Policies, 20181005_1222: 527 Policies, 20181005_1232: 89 Policies, 20181005_1242: 24 Policies, 20181005_1728: 119 Policies,)</t>
  </si>
  <si>
    <t>Total: 1631 Policies ( 20181005_1738: 150 Policies, 20181005_1748: 55 Policies, 20181005_2120: 21 Policies, 20181005_2130: 13 Policies, 20181005_2140: 20 Policies, 20181008_1103: 21 Policies, 20181008_1113: 13 Policies,)</t>
  </si>
  <si>
    <t>Total: 883 Policies ( 20181010_1108: 89 Policies, 20181010_1118: 45 Policies, 20181010_1128: 32 Policies, 20181010_1444: 76 Policies, 20181010_1454: 54 Policies, 20181010_1504: 31 Policies, 20181010_2311: 285 Policies,)</t>
  </si>
  <si>
    <t>Total: 692 Policies ( 20181012_1429: 75 Policies, 20181012_1439: 44 Policies, 20181012_1449: 19 Policies, 20181012_2152: 194 Policies, 20181012_2202: 193 Policies, 20181012_2212: 61 Policies, 20181015_1133: 81 Policies,)</t>
  </si>
  <si>
    <t>Total: 631 Policies ( 20181017_1515: 69 Policies, 20181017_1525: 65 Policies, 20181017_1535: 25 Policies, 20181017_2137: 150 Policies, 20181017_2147: 133 Policies, 20181017_2157: 68 Policies, 20181017_1137: 76 Policies,)</t>
  </si>
  <si>
    <t>Total: 659 Policies ( 20181018_1444: 46 Policies, 20181018_1454: 66 Policies, 20181018_1504: 20 Policies, 20181018_2148: 122 Policies, 20181018_2158: 182 Policies, 20181018_2208: 50 Policies, 20181018_1124: 135 Policies,)</t>
  </si>
  <si>
    <t>Total: 619 Policies ( 20181019_1457: 40 Policies, 20181019_1507: 61 Policies, 20181019_1517: 19 Policies, 20181019_2145: 158 Policies, 20181019_2155: 134 Policies, 20181019_2205: 65 Policies, 20181020_2137: 128 Policies,)</t>
  </si>
  <si>
    <t>Total: 1074 Policies ( 20181022_1341: 104 Policies, 20181022_1351: 50 Policies, 20181022_1401: 15 Policies, 20181022_1530: 70 Policies, 20181022_1540: 53 Policies, 20181022_1550: 27 Policies, 20181022_0044: 362 Policies,)</t>
  </si>
  <si>
    <t>Total: 840 Policies ( 20181024_1500: 92 Policies, 20181024_1510: 77 Policies, 20181024_1520: 35 Policies, 20181024_2242: 284 Policies, 20181024_2252: 195 Policies, 20181024_2302: 104 Policies, 20181025_1130: 39 Policies,)</t>
  </si>
  <si>
    <t>Total: 1013 Policies ( 20181025_1454: 90 Policies, 20181025_1504: 77 Policies, 20181025_1514: 43 Policies, 20181025_2248: 342 Policies, 20181025_2258: 199 Policies, 20181025_2308: 117 Policies, 20181026_1210: 82 Policies,)</t>
  </si>
  <si>
    <t>Do Thi Hue</t>
  </si>
  <si>
    <t>Total: 1652 Policies ( 20181026_1428: 29 Policies, 20181026_1438: 64 Policies, 20181026_1448: 32 Policies, 20181026_2152: 423 Policies, 20181026_2202: 263 Policies, 20181026_2212: 139 Policies, 20181027_1133: 66 Policies,)</t>
  </si>
  <si>
    <t>Total: 1053 Policies ( 20181027_2155: 139 Policies, 20181027_2205: 91 Policies, 20181028_1419: 5 Policies, 20181028_1429: 1 Policies, 20181028_2148: 181 Policies, 20181028_2158: 53 Policies, 20181028_2208: 36 Policies,)</t>
  </si>
  <si>
    <t>Julkifli Osmanl</t>
  </si>
  <si>
    <t>Tran Ngoc Hieu</t>
  </si>
  <si>
    <t>Tran Thi Kim Oanh</t>
  </si>
  <si>
    <t>Total: 2534 Policies ( 20181029_0626: 361 Policies, 20181029_0636: 243 Policies, 20181030_1434: 614 Policies, 20181030_1444: 332 Policies, 20181030_1454: 107 Policies, 20181030_2345: 877 Policies, :  Policies,)</t>
  </si>
  <si>
    <t>Dec_2019</t>
  </si>
  <si>
    <t>Dec_2020</t>
  </si>
  <si>
    <t>Jan_2019</t>
  </si>
  <si>
    <t>Feb_2019</t>
  </si>
  <si>
    <t>Mar_2019</t>
  </si>
  <si>
    <t>Apr_2019</t>
  </si>
  <si>
    <t>May_2019</t>
  </si>
  <si>
    <t>Jun_2019</t>
  </si>
  <si>
    <t>Jul_2019</t>
  </si>
  <si>
    <t>Aug_2019</t>
  </si>
  <si>
    <t>Sep_2019</t>
  </si>
  <si>
    <t>Oct_2019</t>
  </si>
  <si>
    <t>Nov_2019</t>
  </si>
  <si>
    <t>Jan_2020</t>
  </si>
  <si>
    <t>Feb_2020</t>
  </si>
  <si>
    <t>Mar_2020</t>
  </si>
  <si>
    <t>Apr_2020</t>
  </si>
  <si>
    <t>May_2020</t>
  </si>
  <si>
    <t>Jun_2020</t>
  </si>
  <si>
    <t>Jul_2020</t>
  </si>
  <si>
    <t>Aug_2020</t>
  </si>
  <si>
    <t>Sep_2020</t>
  </si>
  <si>
    <t>Oct_2020</t>
  </si>
  <si>
    <t>Nov_2020</t>
  </si>
  <si>
    <t>Trinh Hoang Oanh</t>
  </si>
  <si>
    <t>Total: 1634 Policies ( 20181030_2355: 413 Policies, 20181030_0005: 204 Policies, 20181031_0258: 387 Policies, 20181031_0308: 630 Policies, :  Policies, :  Policies, :  Policies,)</t>
  </si>
  <si>
    <t>Total: 1479 Policies ( 20181031_0318: 424 Policies, 20181031_1105: 528 Policies, 20181031_1115: 300 Policies, 20181031_1125: 7 Policies, 20181101_1916: 139 Policies, 20181101_1926: 81 Policies, :  Policies,)</t>
  </si>
  <si>
    <t>Total: 1850 Policies ( 20181101_1906: 1722 Policies, 20181102_0015: 128 Policies, :  Policies, :  Policies, :  Policies, :  Policies, :  Policies,)</t>
  </si>
  <si>
    <t>Total: 1815 Policies ( 20181102_1508: 876 Policies, 20181102_1518: 226 Policies, 20181102_1528: 125 Policies, 20181102_0005: 183 Policies, 20181102_2355: 209 Policies, 20181105_1017: 104 Policies, 20181105_1027: 92 Policies,)</t>
  </si>
  <si>
    <t>Total: 1457 Policies ( 20181106_1618: 252 Policies, 20181106_1559: 737 Policies, 20181106_1609: 468 Policies, :  Policies, :  Policies, :  Policies, :  Policies,)</t>
  </si>
  <si>
    <t>Total: 1055 Policies ( 20181107_1001: 174 Policies, 20181107_1011: 193 Policies, 20181107_1021: 82 Policies, 20181107_1536: 131 Policies, 20181107_1546: 97 Policies, 20181107_1556: 53 Policies, 20181107_2259: 104 Policies,)</t>
  </si>
  <si>
    <t>Total: 459 Policies ( 20181108_1425: 23 Policies, 20181108_1435: 11 Policies, 20181108_1445: 7 Policies, 20181108_2212: 151 Policies, 20181108_2222: 117 Policies, 20181108_2232: 78 Policies, 20181109_1205: 17 Policies,)</t>
  </si>
  <si>
    <t>Total: 997 Policies ( 20181109_1525: 105 Policies, 20181109_1535: 41 Policies, 20181109_1545: 18 Policies, 20181109_2310: 397 Policies, 20181109_2320: 198 Policies, 20181109_2330: 111 Policies, 20181112_1117: 79 Policies,)</t>
  </si>
  <si>
    <t>Total: 711 Policies ( 20181114_1457: 81 Policies, 20181114_1507: 37 Policies, 20181114_1517: 29 Policies, 20181114_2307: 179 Policies, 20181114_2317: 87 Policies, 20181115_0915: 209 Policies, 20181115_1152: 32 Policies,)</t>
  </si>
  <si>
    <t>Total: 693 Policies ( 20181115_1436: 57 Policies, 20181115_1446: 45 Policies, 20181115_1456: 25 Policies, 20181115_2314: 231 Policies, 20181115_2324: 163 Policies, 20181115_2334: 121 Policies, 20181116_1141: 18 Policies,)</t>
  </si>
  <si>
    <t>Total: 648 Policies ( :  Policies, 20181116_1501: 95 Policies, 20181116_1511: 52 Policies, 20181116_1521: 38 Policies, 20181116_2302: 140 Policies, 20181116_2312: 164 Policies, 20181116_2322: 92 Policies,)</t>
  </si>
  <si>
    <t>Total: 1333 Policies ( 20181119_1445: 116 Policies, 20181119_1455: 91 Policies, 20181119_1505: 47 Policies, 20181119_2245: 439 Policies, 20181119_2255: 199 Policies, 20181119_2305: 105 Policies, 20181120_1138: 336 Policies,)</t>
  </si>
  <si>
    <t>Total: 952 Policies ( 20181120_1148: 52 Policies, 20181120_1158: 34 Policies, 20181120_1439: 113 Policies, 20181120_1449: 50 Policies, 20181120_1459: 17 Policies, 20181120_2255: 292 Policies, 20181120_2305: 213 Policies,)</t>
  </si>
  <si>
    <t>Total: 694 Policies ( 20181121_1512: 75 Policies, 20181121_1522: 29 Policies, 20181121_1532: 25 Policies, 20181121_2301: 147 Policies, 20181121_2311: 161 Policies, 20181121_2321: 82 Policies, 20181122_1116: 114 Policies,)</t>
  </si>
  <si>
    <t>Total: 922 Policies ( 20181122_1439: 63 Policies, 20181122_1449: 36 Policies, 20181122_1459: 23 Policies, 20181122_2309: 275 Policies, 20181122_2319: 255 Policies, 20181122_2329: 107 Policies, 20181123_1137: 36 Policies,)</t>
  </si>
  <si>
    <t>Total: 1043 Policies ( 20181123_2144: 330 Policies, 20181123_2154: 239 Policies, 20181123_2204: 123 Policies, 20181124_2111: 182 Policies, 20181124_2121: 30 Policies, 20181124_2131: 19 Policies, 20181125_2104: 1 Policies,)</t>
  </si>
  <si>
    <t>Total: 1425 Policies ( 20181126_1440: 110 Policies, 20181126_1450: 63 Policies, 20181126_1500: 32 Policies, 20181126_2256: 507 Policies, 20181126_2306: 380 Policies, 20181126_2316: 177 Policies, 20181127_1130: 111 Policies,)</t>
  </si>
  <si>
    <t>Total: 1577 Policies ( 20181127_1432: 111 Policies, 20181127_1442: 95 Policies, 20181127_1452: 48 Policies, 20181127_2206: 339 Policies, 20181127_2216: 181 Policies, 20181127_2156: 541 Policies, 20181128_1125: 234 Policies,)</t>
  </si>
  <si>
    <t>Total: 1694 Policies ( 20181128_1452: 87 Policies, 20181128_1502: 167 Policies, 20181128_1512: 57 Policies, 20181128_2159: 777 Policies, 20181128_2209: 435 Policies, 20181128_2219: 171 Policies, :  Policies,)</t>
  </si>
  <si>
    <t>Total: 580 Policies ( 20181129_1139: 188 Policies, 20181129_1149: 38 Policies, 20181129_1159: 22 Policies, 20181129_1453: 191 Policies, 20181129_1503: 93 Policies, 20181129_1513: 48 Policies, :  Policies,)</t>
  </si>
  <si>
    <t>Total: 2104 Policies ( 20181129_2343: 1238 Policies, 20181129_2353: 566 Policies, 20181129_0003: 300 Policies, :  Policies, :  Policies, :  Policies, :  Policies,)</t>
  </si>
  <si>
    <t>Total: 2199 Policies ( 20181130_1449: 647 Policies, 20181130_1459: 144 Policies, 20181130_1509: 119 Policies, 20181130_2300: 1289 Policies, :  Policies, :  Policies, :  Policies,)</t>
  </si>
  <si>
    <t>Total: 1673 Policies ( 20181130_2310: 751 Policies, 20181130_2320: 333 Policies, 20181130_2248: 59 Policies, 20181130_2258: 98 Policies, 20181130_2308: 38 Policies, 20181130_1552: 11 Policies, 20181130_1602: 9 Policies,)</t>
  </si>
  <si>
    <t>Total: 1718 Policies ( 20181204_1121: 189 Policies, 20181204_1131: 43 Policies, 20181204_1437: 41 Policies, 20181204_1447: 8 Policies, 20181204_1457: 5 Policies, 20181204_2304: 316 Policies, 20181204_2314: 174 Policies,)</t>
  </si>
  <si>
    <t>Total: 812 Policies ( 20181206_1501: 73 Policies, 20181206_1511: 86 Policies, 20181206_1521: 36 Policies, 20181206_2135: 176 Policies, 20181206_2145: 146 Policies, 20181206_2155: 59 Policies, 20181207_1138: 100 Policies,)</t>
  </si>
  <si>
    <t>Total: 1278 Policies ( 20181230_1653: 515 Policies, 20181230_1703: 234 Policies, 20181230_1713: 127 Policies, 20181207_2145: 207 Policies, 20181207_2155: 195 Policies, :  Policies, :  Policies,)</t>
  </si>
  <si>
    <t>Total: 1123 Policies ( 20181207_2205: 95 Policies, 20181210_1135: 43 Policies, 20181210_1145: 36 Policies, 20181210_1155: 24 Policies, 20181210_1535: 133 Policies, 20181210_1545: 47 Policies, 20181210_1555: 44 Policies,)</t>
  </si>
  <si>
    <t>Total: 774 Policies ( 20181211_1444: 106 Policies, 20181211_1454: 32 Policies, 20181211_1504: 20 Policies, 20181211_2221: 289 Policies, 20181211_2231: 192 Policies, 20181211_2241: 107 Policies, 20181212_1102: 1 Policies,)</t>
  </si>
  <si>
    <t>Total: 895 Policies ( 20181212_1441: 13 Policies, 20181212_1451: 105 Policies, 20181212_1501: 30 Policies, 20181212_2225: 376 Policies, 20181212_2235: 197 Policies, 20181212_2245: 103 Policies, 20181213_1129: 35 Policies,)</t>
  </si>
  <si>
    <t>Total: 186 Policies ( 20181213_1515: 82 Policies, 20181213_1525: 76 Policies, 20181213_1535: 28 Policies, :  Policies, :  Policies, :  Policies, :  Policies,)</t>
  </si>
  <si>
    <t>Total: 1313 Policies ( 20181213_2231: 214 Policies, 20181213_2241: 177 Policies, 20181213_2251: 98 Policies, 20181214_1123: 33 Policies, 20181214_1133: 20 Policies, 20181214_1143: 16 Policies, 20181214_1450: 39 Policies,)</t>
  </si>
  <si>
    <t>Total: 1381 Policies ( 20181217_1119: 60 Policies, 20181217_1129: 20 Policies, 20181217_1139: 12 Policies, 20181217_1446: 114 Policies, 20181217_1456: 46 Policies, 20181217_1506: 38 Policies, 20181217_2134: 433 Policies,)</t>
  </si>
  <si>
    <t>Total: 1182 Policies ( 20181218_1502: 160 Policies, 20181218_1512: 109 Policies, 20181218_1522: 47 Policies, 20181218_2201: 242 Policies, 20181218_2211: 182 Policies, 20181218_2221: 111 Policies, 20181219_2201: 255 Policies,)</t>
  </si>
  <si>
    <t>Total: 956 Policies ( 20181219_1503: 141 Policies, 20181219_1513: 99 Policies, 20181219_1523: 40 Policies, 20181218_2136: 110 Policies, 20181219_2116: 205 Policies, 20181219_2126: 199 Policies, 20181220_1134: 84 Policies,)</t>
  </si>
  <si>
    <t>Total: 1060 Policies ( 20181220_1438: 171 Policies, 20181220_1448: 101 Policies, 20181220_1458: 52 Policies, 20181220_2143: 319 Policies, 20181220_2153: 222 Policies, 20181220_2203: 109 Policies, 20181221_1111: 49 Policies,)</t>
  </si>
  <si>
    <t>Total: 1335 Policies ( : 58 Policies, : 108 Policies, : 32 Policies, : 423 Policies, : 261 Policies, : 170 Policies, : 43 Policies,)</t>
  </si>
  <si>
    <t>Total: 1470 Policies ( 20181223_2139: 473 Policies, 20181223_2149: 19 Policies, 20181223_2159: 75 Policies, 20181224_1142: 59 Policies, 20181224_1152: 42 Policies, 20181224_1202: 34 Policies, 20181224_1440: 138 Policies,)</t>
  </si>
  <si>
    <t>Total: 1846 Policies ( 20181224_2314: 436 Policies, 20181224_2324: 173 Policies, 20181225_1206: 318 Policies, 20181225_1216: 55 Policies, 20181225_1226: 38 Policies, 20181225_1458: 74 Policies, 20181225_1508: 14 Policies,)</t>
  </si>
  <si>
    <t>Total: 1719 Policies ( 20181226_1225: 188 Policies, 20181226_1235: 52 Policies, 20181226_1245: 45 Policies, 20181226_1546: 210 Policies, 20181226_1556: 98 Policies, 20181226_1606: 58 Policies, 20181226_0013: 610 Policies,)</t>
  </si>
  <si>
    <t>Total: 1858 Policies ( 20181226_0033: 200 Policies, 20181227_1123: 604 Policies, 20181227_1133: 131 Policies, 20181227_1143: 110 Policies, 20181227_1912: 813 Policies, :  Policies, :  Policies,)</t>
  </si>
  <si>
    <t>Total: 1901 Policies ( 20181227_1922: 372 Policies, 20181227_1932: 187 Policies, 20181227_0340: 408 Policies, 20181227_0350: 296 Policies, 20181227_0400: 155 Policies, 20181228_1009: 11 Policies, 20181228_1019: 5 Policies,)</t>
  </si>
  <si>
    <t>Total: 2907 Policies ( 20181228_2253: 1178 Policies, 20181228_2303: 431 Policies, 20181228_2313: 320 Policies, 20181229_1453: 557 Policies, 20181229_1503: 306 Policies, 20181229_1513: 115 Policies, :  Policies,)</t>
  </si>
  <si>
    <t>Total: 2772 Policies ( 20181229_2326: 967 Policies, 20181229_2336: 635 Policies, 20181229_2346: 315 Policies, 20181230_1104: 103 Policies, 20181230_1114: 50 Policies, 20181230_1124: 24 Policies, 20181230_1516: 472 Policies,)</t>
  </si>
  <si>
    <t>Total: 3679 Policies ( 20181230_2100: 945 Policies, 20181230_2110: 371 Policies, 20181230_2120: 193 Policies, 20181231_0930: 955 Policies, 20181231_0940: 521 Policies, 20181231_0950: 181 Policies, 20181231_1058: 513 Policies,)</t>
  </si>
  <si>
    <t>Total: 2853 Policies ( 20181231_1058: 513 Policies, 20181231_1108: 84 Policies, 20181231_1118: 72 Policies, 20181231_1748: 741 Policies, 20181231_1758: 309 Policies, 20181231_1808: 164 Policies, 20181231_2113: 476 Policies,)</t>
  </si>
  <si>
    <t>Tong Nguyen Kim Thao</t>
  </si>
  <si>
    <t>Total: 1967 Policies ( 20190103_1140: 33 Policies, 20190103_1200: 2 Policies, 20190103_1516: 59 Policies, 20190103_1526: 7 Policies, 20190103_1536: 11 Policies, 20190103_2212: 322 Policies, 20190103_2222: 51 Policies,)</t>
  </si>
  <si>
    <t>Total: 1172 Policies</t>
  </si>
  <si>
    <t>Total: 1387 Policies</t>
  </si>
  <si>
    <t>Total: 519 Policies</t>
  </si>
  <si>
    <t>Total: 698 Policies</t>
  </si>
  <si>
    <t>Total: 419 Policies</t>
  </si>
  <si>
    <t>Total: 815 Policies</t>
  </si>
  <si>
    <t>Total: 57 Policies</t>
  </si>
  <si>
    <t>Total: 1374 Policies</t>
  </si>
  <si>
    <t>Total: 1255 Policies</t>
  </si>
  <si>
    <t>Total: 933 Policies</t>
  </si>
  <si>
    <t>Total: 1380 Policies</t>
  </si>
  <si>
    <t>Total: 1692 Policies</t>
  </si>
  <si>
    <t>Total: 1448 Policies</t>
  </si>
  <si>
    <t>Total: 1630 Policies</t>
  </si>
  <si>
    <t>Vuong Quoc Trieu</t>
  </si>
  <si>
    <t>Total: 1261 Policies</t>
  </si>
  <si>
    <t>Total: 1482 Policies</t>
  </si>
  <si>
    <t>Total: 0 Policies</t>
  </si>
  <si>
    <t>Total: 112 Policies</t>
  </si>
  <si>
    <t>Total: 2461 Policies</t>
  </si>
  <si>
    <t>Total: 1808 Policies</t>
  </si>
  <si>
    <t>Nguyen Thi Hai Yen</t>
  </si>
  <si>
    <t>Total: 55 Policies</t>
  </si>
  <si>
    <t>Total: 976 Policies</t>
  </si>
  <si>
    <t>Total: 1053 Policies</t>
  </si>
  <si>
    <t>Total: 675 Policies</t>
  </si>
  <si>
    <t>Total: 638 Policies</t>
  </si>
  <si>
    <t>Total: 948 Policies</t>
  </si>
  <si>
    <t>Total: 1327 Policies</t>
  </si>
  <si>
    <t>Total: 1438 Policies</t>
  </si>
  <si>
    <t>Total: 383 Policies</t>
  </si>
  <si>
    <t>Total: 2722 Policies</t>
  </si>
  <si>
    <t>Total: 1917 Policies</t>
  </si>
  <si>
    <t>Nguyen Thi Thuy Nga</t>
  </si>
  <si>
    <t>Total: 1299 Policies</t>
  </si>
  <si>
    <t>Total: 757 Policies</t>
  </si>
  <si>
    <t>Total: 650 Policies</t>
  </si>
  <si>
    <t>Total: 704 Policies</t>
  </si>
  <si>
    <t>Total 2019</t>
  </si>
  <si>
    <t>Total: 834 Policies</t>
  </si>
  <si>
    <t>Total: 1244 Policies (Backfill for Trieu)</t>
  </si>
  <si>
    <t>Total: 868 Policies</t>
  </si>
  <si>
    <t>Total: 778 Policies</t>
  </si>
  <si>
    <t>Ly Le Mai</t>
  </si>
  <si>
    <t>Total: 778 Policies (Backfill for Quoc Trieu)</t>
  </si>
  <si>
    <t>Total: 847 Policies</t>
  </si>
  <si>
    <t>Total: 847 Policies (Backfill for Quoc Trieu)</t>
  </si>
  <si>
    <t>Total: 1265 Policies</t>
  </si>
  <si>
    <t>Total: 1145 Policies</t>
  </si>
  <si>
    <t>Total: 1145 Policies (Backfill for My)</t>
  </si>
  <si>
    <t>Annual Statement 2019: Printing</t>
  </si>
  <si>
    <t>Annual Statement 2019: Auto insert</t>
  </si>
  <si>
    <t>Diff (Partimef)</t>
  </si>
  <si>
    <t>Tran Kim Thuong</t>
  </si>
  <si>
    <t>OVERTIME REPORT BY YEAR</t>
  </si>
  <si>
    <t>2017 OVERTIME</t>
  </si>
  <si>
    <t>2019 OVERTIME</t>
  </si>
  <si>
    <t>2018 OVERTIME</t>
  </si>
  <si>
    <t>2020 OVERTIME</t>
  </si>
  <si>
    <t>Total: 1000 Policies (Backfill for Y Vi)</t>
  </si>
  <si>
    <t>Total: 1504 Policies</t>
  </si>
  <si>
    <t>Total: 1504 Policies (Backfill for Loc)</t>
  </si>
  <si>
    <t>Total: 1504 Policies (Backfill for Yen (0.5 day))</t>
  </si>
  <si>
    <t>Total: 1571 Policies</t>
  </si>
  <si>
    <t>Total: 1571 Policies (Backfill for My)</t>
  </si>
  <si>
    <t>Total: 1931 Policies</t>
  </si>
  <si>
    <t>Total: 1931 Policies (High Volume)</t>
  </si>
  <si>
    <t>Total: 1931 Policies (Backfill for My)</t>
  </si>
  <si>
    <t>Total: 1902 Policies</t>
  </si>
  <si>
    <t>Total: 1902 Policies (Backfill for My)</t>
  </si>
  <si>
    <t>Total: 832 Policies</t>
  </si>
  <si>
    <t>Total: 1954 Policies</t>
  </si>
  <si>
    <t>Total: 1954 Policies (Fullfill for My)</t>
  </si>
  <si>
    <t>Total: 2895 Policies</t>
  </si>
  <si>
    <t>Total: 3376 Policies</t>
  </si>
  <si>
    <t>Total: 2826 Policies</t>
  </si>
  <si>
    <t>Total: 1004 Policies</t>
  </si>
  <si>
    <t>Total: 1004 Policies (Backfill for Oanh)</t>
  </si>
  <si>
    <t>Total: 1004 Policies (Backfill for Yen)</t>
  </si>
  <si>
    <t>Total: 1004 Policies (Backfill for Phuc)</t>
  </si>
  <si>
    <t>Total: 1303 Policies</t>
  </si>
  <si>
    <t>Total: 454 Policies</t>
  </si>
  <si>
    <t>Total: 973 Policies</t>
  </si>
  <si>
    <t>Total: 679 Policies</t>
  </si>
  <si>
    <t>Total: 697 Policies</t>
  </si>
  <si>
    <t>Total: 845 Policies</t>
  </si>
  <si>
    <t>Total: 792 Policies</t>
  </si>
  <si>
    <t>Total: 792 Policies (Backfill for Yen, Thuong to participate in Company Induction)</t>
  </si>
  <si>
    <t>Total: 1269 Policies</t>
  </si>
  <si>
    <t>Total: 1212 Policies</t>
  </si>
  <si>
    <t>Total: 1467 Policies</t>
  </si>
  <si>
    <t>Total: 1694 Policies</t>
  </si>
  <si>
    <t>Total: 1509 Policies</t>
  </si>
  <si>
    <t>Total: 1509 Policies (Backfill for Y Vi)</t>
  </si>
  <si>
    <t>Total: 1509 Policies (Backfill for Oanh)</t>
  </si>
  <si>
    <t>Total: 1873 Policies</t>
  </si>
  <si>
    <t>Total: 1873 Policies (Backfill for Oanh)</t>
  </si>
  <si>
    <t>Total: 1873 Policies (Backfill for My)</t>
  </si>
  <si>
    <t>Total: 3129 Policies</t>
  </si>
  <si>
    <t>Total: 2901 Policies</t>
  </si>
  <si>
    <t>Total: 3586 Policies</t>
  </si>
  <si>
    <t>Total: 1765 Policies (Backfill for Truong Loc)</t>
  </si>
  <si>
    <t>Total: 1043 Policies (Backfill for Truong Loc)</t>
  </si>
  <si>
    <t>Total: 928 Policies (Backfill for Truong Loc)</t>
  </si>
  <si>
    <t>Total: 783 Policies</t>
  </si>
  <si>
    <t>Total: 783 Policies (Backfill for Oanh)</t>
  </si>
  <si>
    <t>Total: 724 Policies</t>
  </si>
  <si>
    <t>Total: 724 Policies (Backfill for Oanh)</t>
  </si>
  <si>
    <t>Total: 808 Policies</t>
  </si>
  <si>
    <t>Total: 808 Policies (Backfill for Minh Tuan)</t>
  </si>
  <si>
    <t>Total: 1295 Policies</t>
  </si>
  <si>
    <t>Total: 1295 Policies (Backfill for Minh Tuan)</t>
  </si>
  <si>
    <t>Total: 1085 Policies</t>
  </si>
  <si>
    <t>Total: 800 Policies (Backfill for Thanh Loc)</t>
  </si>
  <si>
    <t>Total: 992 Policies</t>
  </si>
  <si>
    <t>Total: 1149 Policies (Backfill for Truong Loc)</t>
  </si>
  <si>
    <t>Total: 1362 Policies</t>
  </si>
  <si>
    <t>Total: 846 Policies</t>
  </si>
  <si>
    <t>Total: 846 Policies (Backfill for Phuc)</t>
  </si>
  <si>
    <t>Total: 1005 Policies</t>
  </si>
  <si>
    <t>Total: 1005 Policies (Backfill for Phuc)</t>
  </si>
  <si>
    <t>Total: 1922 Policies</t>
  </si>
  <si>
    <t>Total: 1901 Policies</t>
  </si>
  <si>
    <t>Total: 1983 Policies</t>
  </si>
  <si>
    <t>Total: 1983 Policies (Backfill for Loc)</t>
  </si>
  <si>
    <t>Total: 1915 Policies</t>
  </si>
  <si>
    <t>Total: 3260 Policies</t>
  </si>
  <si>
    <t>Total: 2946 Policies</t>
  </si>
  <si>
    <t>Total: 1404 Policies</t>
  </si>
  <si>
    <t>Total: 1280 Policies</t>
  </si>
  <si>
    <t>Total: 1061 Policies</t>
  </si>
  <si>
    <t>Total: 835 Policies</t>
  </si>
  <si>
    <t>Total: 647 Policies</t>
  </si>
  <si>
    <t>Total: 991 Policies</t>
  </si>
  <si>
    <t>Total: 1350 Policies</t>
  </si>
  <si>
    <t>Total: 1350 Policies (Backfill for Y Vi)</t>
  </si>
  <si>
    <t>Total: 1350 Policies (Backfill for Tuan)</t>
  </si>
  <si>
    <t>Total: 1088 Policies</t>
  </si>
  <si>
    <t>Total: 1088 Policies (Backfill for Y Vi)</t>
  </si>
  <si>
    <t>Nguyen Thi Anh Thi</t>
  </si>
  <si>
    <t>Total: 1088 Policies (Backfill for Tuan)</t>
  </si>
  <si>
    <t>Total: 1321 Policies</t>
  </si>
  <si>
    <t>Total: 1166 Policies</t>
  </si>
  <si>
    <t>Total: 1273 Policies</t>
  </si>
  <si>
    <t>Total: 1821 Policies</t>
  </si>
  <si>
    <t>Total: 1929 Policies</t>
  </si>
  <si>
    <t>Total: 1831 Policies</t>
  </si>
  <si>
    <t>Total: 1618 Policies</t>
  </si>
  <si>
    <t>Total: 1618 Policies (Backfill for 2 half day off of fulltime due to Company Annual Health Check)</t>
  </si>
  <si>
    <t>Total: 2937 Policies</t>
  </si>
  <si>
    <t>Total: 2937 Policies (Backfill for 2 half day off of fulltime due to Company Annual Health Check)</t>
  </si>
  <si>
    <t>Total: 2937 Policies (Backfill for fulltime staffs and partime who was unable to work Overtime)</t>
  </si>
  <si>
    <t>Trinh Kim Toan</t>
  </si>
  <si>
    <t>Mai Thi Quynh Huong</t>
  </si>
  <si>
    <t>Tran Tan Thinh</t>
  </si>
  <si>
    <t>Total: 2696 Policies</t>
  </si>
  <si>
    <t>Total: 2778 Policies</t>
  </si>
  <si>
    <t>Total: 2713 Policies</t>
  </si>
  <si>
    <t>Total: 2666 Policies</t>
  </si>
  <si>
    <t>Total: 2915 Policies ( 20190704_1437: Total Pol Policies,)</t>
  </si>
  <si>
    <t>Total: 1049 Policies</t>
  </si>
  <si>
    <t>Total: 867 Policies</t>
  </si>
  <si>
    <t>Total: 668 Policies</t>
  </si>
  <si>
    <t>Total: 781 Policies</t>
  </si>
  <si>
    <t>Total: 724 Policies (Back fill for Vi)</t>
  </si>
  <si>
    <t>Total: 1034 Policies</t>
  </si>
  <si>
    <t>Total: 1034 Policies (Back fill for Vi)</t>
  </si>
  <si>
    <t>Total: 957 Policies</t>
  </si>
  <si>
    <t>Total: 890 Policies</t>
  </si>
  <si>
    <t>Total: 381 Policies</t>
  </si>
  <si>
    <t>Total: 1762 Policies</t>
  </si>
  <si>
    <t>Total: 1473 Policies</t>
  </si>
  <si>
    <t>Total: 1409 Policies</t>
  </si>
  <si>
    <t>Total: 2617 Policies</t>
  </si>
  <si>
    <t>Total: 2284 Policies</t>
  </si>
  <si>
    <t>Total: 2640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</si>
</sst>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[$-409]d\-mmm\-yy;@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sz val="25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2"/>
      <name val="新細明體"/>
      <charset val="136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2"/>
      <color theme="0"/>
      <name val="Times New Roman"/>
      <family val="1"/>
    </font>
    <font>
      <sz val="12"/>
      <color theme="1"/>
      <name val="Times New Roman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0" borderId="0"/>
  </cellStyleXfs>
  <cellXfs count="121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1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/>
    <xf numFmtId="164" fontId="3" fillId="0" borderId="1" xfId="0" applyNumberFormat="1" applyFont="1" applyFill="1" applyBorder="1" applyAlignment="1">
      <alignment vertical="center"/>
    </xf>
    <xf numFmtId="164" fontId="3" fillId="3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39" fontId="2" fillId="0" borderId="1" xfId="2" applyNumberFormat="1" applyFont="1" applyFill="1" applyBorder="1" applyAlignment="1">
      <alignment horizontal="center" vertical="center"/>
    </xf>
    <xf numFmtId="1" fontId="3" fillId="0" borderId="1" xfId="0" applyNumberFormat="1" applyFont="1" applyFill="1" applyBorder="1" applyAlignment="1">
      <alignment horizontal="left" vertical="center" wrapText="1"/>
    </xf>
    <xf numFmtId="1" fontId="3" fillId="0" borderId="1" xfId="0" applyNumberFormat="1" applyFont="1" applyFill="1" applyBorder="1" applyAlignment="1">
      <alignment horizontal="left"/>
    </xf>
    <xf numFmtId="39" fontId="2" fillId="0" borderId="1" xfId="1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left"/>
    </xf>
    <xf numFmtId="164" fontId="3" fillId="0" borderId="1" xfId="0" applyNumberFormat="1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/>
    <xf numFmtId="0" fontId="3" fillId="0" borderId="1" xfId="0" applyFont="1" applyBorder="1"/>
    <xf numFmtId="0" fontId="3" fillId="3" borderId="1" xfId="0" applyFont="1" applyFill="1" applyBorder="1"/>
    <xf numFmtId="14" fontId="3" fillId="3" borderId="1" xfId="0" applyNumberFormat="1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0" borderId="0" xfId="0" applyFont="1"/>
    <xf numFmtId="0" fontId="3" fillId="6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6" borderId="3" xfId="0" applyFont="1" applyFill="1" applyBorder="1" applyAlignment="1">
      <alignment horizontal="center" vertical="center" wrapText="1"/>
    </xf>
    <xf numFmtId="2" fontId="3" fillId="0" borderId="1" xfId="0" applyNumberFormat="1" applyFont="1" applyBorder="1"/>
    <xf numFmtId="0" fontId="3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39" fontId="2" fillId="0" borderId="1" xfId="2" applyNumberFormat="1" applyFont="1" applyFill="1" applyBorder="1" applyAlignment="1">
      <alignment horizontal="center"/>
    </xf>
    <xf numFmtId="165" fontId="2" fillId="0" borderId="1" xfId="2" applyNumberFormat="1" applyFont="1" applyFill="1" applyBorder="1" applyAlignment="1">
      <alignment horizontal="left" vertical="center"/>
    </xf>
    <xf numFmtId="165" fontId="2" fillId="0" borderId="1" xfId="2" applyNumberFormat="1" applyFont="1" applyFill="1" applyBorder="1" applyAlignment="1">
      <alignment horizontal="left"/>
    </xf>
    <xf numFmtId="165" fontId="2" fillId="0" borderId="1" xfId="1" applyNumberFormat="1" applyFont="1" applyFill="1" applyBorder="1" applyAlignment="1">
      <alignment horizontal="left"/>
    </xf>
    <xf numFmtId="2" fontId="3" fillId="3" borderId="1" xfId="0" applyNumberFormat="1" applyFont="1" applyFill="1" applyBorder="1" applyAlignment="1">
      <alignment horizontal="left"/>
    </xf>
    <xf numFmtId="164" fontId="3" fillId="3" borderId="1" xfId="0" applyNumberFormat="1" applyFont="1" applyFill="1" applyBorder="1" applyAlignment="1">
      <alignment horizontal="left" vertical="top"/>
    </xf>
    <xf numFmtId="164" fontId="3" fillId="5" borderId="1" xfId="0" applyNumberFormat="1" applyFont="1" applyFill="1" applyBorder="1" applyAlignment="1">
      <alignment horizontal="left" vertical="top"/>
    </xf>
    <xf numFmtId="164" fontId="3" fillId="5" borderId="1" xfId="0" applyNumberFormat="1" applyFont="1" applyFill="1" applyBorder="1" applyAlignment="1">
      <alignment horizontal="left" vertical="center"/>
    </xf>
    <xf numFmtId="0" fontId="2" fillId="0" borderId="1" xfId="0" applyFont="1" applyFill="1" applyBorder="1"/>
    <xf numFmtId="14" fontId="6" fillId="7" borderId="1" xfId="0" applyNumberFormat="1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vertical="center"/>
    </xf>
    <xf numFmtId="164" fontId="6" fillId="7" borderId="1" xfId="0" applyNumberFormat="1" applyFont="1" applyFill="1" applyBorder="1" applyAlignment="1">
      <alignment horizontal="left" vertical="center"/>
    </xf>
    <xf numFmtId="0" fontId="6" fillId="0" borderId="1" xfId="0" applyFont="1" applyFill="1" applyBorder="1"/>
    <xf numFmtId="164" fontId="6" fillId="7" borderId="1" xfId="0" applyNumberFormat="1" applyFont="1" applyFill="1" applyBorder="1" applyAlignment="1">
      <alignment vertical="top"/>
    </xf>
    <xf numFmtId="14" fontId="6" fillId="8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3" fillId="0" borderId="1" xfId="0" applyFont="1" applyBorder="1" applyAlignment="1"/>
    <xf numFmtId="0" fontId="7" fillId="0" borderId="0" xfId="0" applyFont="1" applyAlignment="1">
      <alignment horizontal="center"/>
    </xf>
    <xf numFmtId="2" fontId="2" fillId="0" borderId="1" xfId="2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/>
    </xf>
    <xf numFmtId="0" fontId="2" fillId="0" borderId="1" xfId="0" applyFont="1" applyBorder="1" applyAlignment="1"/>
    <xf numFmtId="0" fontId="3" fillId="3" borderId="1" xfId="0" applyFont="1" applyFill="1" applyBorder="1" applyAlignment="1"/>
    <xf numFmtId="0" fontId="6" fillId="0" borderId="1" xfId="0" applyFont="1" applyFill="1" applyBorder="1" applyAlignment="1"/>
    <xf numFmtId="0" fontId="2" fillId="2" borderId="1" xfId="0" applyFont="1" applyFill="1" applyBorder="1" applyAlignment="1">
      <alignment horizontal="center" vertical="center" wrapText="1"/>
    </xf>
    <xf numFmtId="1" fontId="3" fillId="0" borderId="1" xfId="0" applyNumberFormat="1" applyFont="1" applyFill="1" applyBorder="1" applyAlignment="1">
      <alignment horizontal="center" vertical="center" wrapText="1"/>
    </xf>
    <xf numFmtId="1" fontId="3" fillId="0" borderId="1" xfId="0" applyNumberFormat="1" applyFont="1" applyFill="1" applyBorder="1" applyAlignment="1">
      <alignment horizontal="center" vertical="center"/>
    </xf>
    <xf numFmtId="164" fontId="6" fillId="8" borderId="1" xfId="0" applyNumberFormat="1" applyFont="1" applyFill="1" applyBorder="1" applyAlignment="1">
      <alignment vertical="center"/>
    </xf>
    <xf numFmtId="0" fontId="6" fillId="7" borderId="1" xfId="0" applyFont="1" applyFill="1" applyBorder="1"/>
    <xf numFmtId="0" fontId="4" fillId="0" borderId="1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6" fontId="4" fillId="3" borderId="4" xfId="0" applyNumberFormat="1" applyFont="1" applyFill="1" applyBorder="1" applyAlignment="1">
      <alignment horizontal="center"/>
    </xf>
    <xf numFmtId="2" fontId="3" fillId="0" borderId="1" xfId="0" quotePrefix="1" applyNumberFormat="1" applyFont="1" applyBorder="1" applyAlignment="1">
      <alignment horizontal="center"/>
    </xf>
    <xf numFmtId="166" fontId="3" fillId="0" borderId="1" xfId="0" applyNumberFormat="1" applyFont="1" applyBorder="1"/>
    <xf numFmtId="0" fontId="5" fillId="0" borderId="2" xfId="0" applyFont="1" applyBorder="1" applyAlignment="1">
      <alignment horizontal="center"/>
    </xf>
    <xf numFmtId="0" fontId="3" fillId="0" borderId="0" xfId="0" applyFont="1" applyBorder="1"/>
    <xf numFmtId="166" fontId="5" fillId="0" borderId="2" xfId="0" applyNumberFormat="1" applyFont="1" applyBorder="1" applyAlignment="1">
      <alignment horizontal="center"/>
    </xf>
    <xf numFmtId="166" fontId="2" fillId="2" borderId="1" xfId="0" applyNumberFormat="1" applyFont="1" applyFill="1" applyBorder="1" applyAlignment="1">
      <alignment vertical="center" wrapText="1"/>
    </xf>
    <xf numFmtId="166" fontId="6" fillId="0" borderId="1" xfId="0" applyNumberFormat="1" applyFont="1" applyBorder="1" applyAlignment="1">
      <alignment vertical="center"/>
    </xf>
    <xf numFmtId="166" fontId="4" fillId="0" borderId="0" xfId="0" applyNumberFormat="1" applyFont="1"/>
    <xf numFmtId="0" fontId="5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166" fontId="4" fillId="3" borderId="1" xfId="0" applyNumberFormat="1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11" fillId="10" borderId="7" xfId="0" applyFont="1" applyFill="1" applyBorder="1"/>
    <xf numFmtId="0" fontId="11" fillId="10" borderId="1" xfId="0" applyFont="1" applyFill="1" applyBorder="1"/>
    <xf numFmtId="2" fontId="11" fillId="10" borderId="7" xfId="0" quotePrefix="1" applyNumberFormat="1" applyFont="1" applyFill="1" applyBorder="1" applyAlignment="1">
      <alignment horizontal="center"/>
    </xf>
    <xf numFmtId="2" fontId="11" fillId="10" borderId="1" xfId="0" quotePrefix="1" applyNumberFormat="1" applyFont="1" applyFill="1" applyBorder="1" applyAlignment="1">
      <alignment horizontal="center"/>
    </xf>
    <xf numFmtId="0" fontId="11" fillId="11" borderId="12" xfId="0" applyFont="1" applyFill="1" applyBorder="1"/>
    <xf numFmtId="0" fontId="11" fillId="11" borderId="13" xfId="0" applyFont="1" applyFill="1" applyBorder="1"/>
    <xf numFmtId="2" fontId="11" fillId="11" borderId="12" xfId="0" quotePrefix="1" applyNumberFormat="1" applyFont="1" applyFill="1" applyBorder="1" applyAlignment="1">
      <alignment horizontal="center"/>
    </xf>
    <xf numFmtId="2" fontId="11" fillId="11" borderId="13" xfId="0" quotePrefix="1" applyNumberFormat="1" applyFont="1" applyFill="1" applyBorder="1" applyAlignment="1">
      <alignment horizontal="center"/>
    </xf>
    <xf numFmtId="2" fontId="11" fillId="11" borderId="14" xfId="0" quotePrefix="1" applyNumberFormat="1" applyFont="1" applyFill="1" applyBorder="1" applyAlignment="1">
      <alignment horizontal="center"/>
    </xf>
    <xf numFmtId="2" fontId="11" fillId="11" borderId="15" xfId="0" quotePrefix="1" applyNumberFormat="1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 vertical="center" wrapText="1"/>
    </xf>
    <xf numFmtId="2" fontId="3" fillId="6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indent="1"/>
    </xf>
    <xf numFmtId="0" fontId="12" fillId="0" borderId="0" xfId="0" applyFont="1" applyAlignment="1">
      <alignment wrapText="1"/>
    </xf>
    <xf numFmtId="2" fontId="12" fillId="0" borderId="0" xfId="0" applyNumberFormat="1" applyFont="1"/>
    <xf numFmtId="0" fontId="0" fillId="0" borderId="0" xfId="0" applyAlignment="1">
      <alignment horizontal="center"/>
    </xf>
    <xf numFmtId="0" fontId="3" fillId="9" borderId="1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1" borderId="10" xfId="0" applyFont="1" applyFill="1" applyBorder="1" applyAlignment="1">
      <alignment horizontal="center"/>
    </xf>
    <xf numFmtId="0" fontId="11" fillId="11" borderId="11" xfId="0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</cellXfs>
  <cellStyles count="4">
    <cellStyle name="Comma" xfId="1" builtinId="3"/>
    <cellStyle name="Comma 2" xfId="2"/>
    <cellStyle name="Normal" xfId="0" builtinId="0"/>
    <cellStyle name="Normal 2" xfId="3"/>
  </cellStyles>
  <dxfs count="4848">
    <dxf>
      <font>
        <name val="Times New Roman"/>
        <scheme val="none"/>
      </font>
    </dxf>
    <dxf>
      <font>
        <sz val="12"/>
      </font>
    </dxf>
    <dxf>
      <alignment wrapText="1" readingOrder="0"/>
    </dxf>
    <dxf>
      <numFmt numFmtId="2" formatCode="0.00"/>
    </dxf>
    <dxf>
      <numFmt numFmtId="2" formatCode="0.00"/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 tint="-0.14996795556505021"/>
      </font>
    </dxf>
    <dxf>
      <font>
        <color rgb="FFFFFFFF"/>
      </font>
    </dxf>
    <dxf>
      <font>
        <b val="0"/>
        <i val="0"/>
        <color theme="0" tint="-0.14996795556505021"/>
      </font>
    </dxf>
    <dxf>
      <font>
        <b/>
        <i val="0"/>
        <color theme="0" tint="-0.14996795556505021"/>
      </font>
    </dxf>
    <dxf>
      <font>
        <color rgb="FFFFFFFF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/>
        <i val="0"/>
        <color theme="0" tint="-0.14996795556505021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b val="0"/>
        <i val="0"/>
        <color theme="0" tint="-0.14996795556505021"/>
      </font>
    </dxf>
    <dxf>
      <font>
        <color rgb="FFFFFFFF"/>
      </font>
    </dxf>
    <dxf>
      <font>
        <color rgb="FFFFFFFF"/>
      </font>
    </dxf>
    <dxf>
      <numFmt numFmtId="2" formatCode="0.00"/>
    </dxf>
    <dxf>
      <numFmt numFmtId="2" formatCode="0.00"/>
    </dxf>
    <dxf>
      <alignment wrapText="1" readingOrder="0"/>
    </dxf>
    <dxf>
      <font>
        <sz val="12"/>
      </font>
    </dxf>
    <dxf>
      <font>
        <name val="Times New Roman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FFFF"/>
      </font>
    </dxf>
    <dxf>
      <font>
        <color rgb="FFFFFFFF"/>
      </font>
    </dxf>
    <dxf>
      <font>
        <color theme="0"/>
      </font>
    </dxf>
    <dxf>
      <font>
        <color rgb="FFFFFFFF"/>
      </font>
    </dxf>
    <dxf>
      <font>
        <color rgb="FFFFFFFF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5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 sz="2500" baseline="0">
                <a:latin typeface="Times New Roman" panose="02020603050405020304" pitchFamily="18" charset="0"/>
              </a:rPr>
              <a:t>FXV Overtime Billable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Summary!$I$3</c:f>
              <c:strCache>
                <c:ptCount val="1"/>
                <c:pt idx="0">
                  <c:v>Perm staff onsite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Summary!$G$4:$G$51</c:f>
              <c:strCache>
                <c:ptCount val="48"/>
                <c:pt idx="0">
                  <c:v>Jan_2017</c:v>
                </c:pt>
                <c:pt idx="1">
                  <c:v>Feb_2017</c:v>
                </c:pt>
                <c:pt idx="2">
                  <c:v>Mar_2017</c:v>
                </c:pt>
                <c:pt idx="3">
                  <c:v>Apr_2017</c:v>
                </c:pt>
                <c:pt idx="4">
                  <c:v>May_2017</c:v>
                </c:pt>
                <c:pt idx="5">
                  <c:v>Jun_2017</c:v>
                </c:pt>
                <c:pt idx="6">
                  <c:v>Jul_2017</c:v>
                </c:pt>
                <c:pt idx="7">
                  <c:v>Aug_2017</c:v>
                </c:pt>
                <c:pt idx="8">
                  <c:v>Sep_2017</c:v>
                </c:pt>
                <c:pt idx="9">
                  <c:v>Oct_2017</c:v>
                </c:pt>
                <c:pt idx="10">
                  <c:v>Nov_2017</c:v>
                </c:pt>
                <c:pt idx="11">
                  <c:v>Dec_2017</c:v>
                </c:pt>
                <c:pt idx="12">
                  <c:v>Jan_2018</c:v>
                </c:pt>
                <c:pt idx="13">
                  <c:v>Feb_2018</c:v>
                </c:pt>
                <c:pt idx="14">
                  <c:v>Mar_2018</c:v>
                </c:pt>
                <c:pt idx="15">
                  <c:v>Apr_2018</c:v>
                </c:pt>
                <c:pt idx="16">
                  <c:v>May_2018</c:v>
                </c:pt>
                <c:pt idx="17">
                  <c:v>Jun_2018</c:v>
                </c:pt>
                <c:pt idx="18">
                  <c:v>Jul_2018</c:v>
                </c:pt>
                <c:pt idx="19">
                  <c:v>Aug_2018</c:v>
                </c:pt>
                <c:pt idx="20">
                  <c:v>Sep_2018</c:v>
                </c:pt>
                <c:pt idx="21">
                  <c:v>Oct_2018</c:v>
                </c:pt>
                <c:pt idx="22">
                  <c:v>Nov_2018</c:v>
                </c:pt>
                <c:pt idx="23">
                  <c:v>Dec_2018</c:v>
                </c:pt>
                <c:pt idx="24">
                  <c:v>Jan_2019</c:v>
                </c:pt>
                <c:pt idx="25">
                  <c:v>Feb_2019</c:v>
                </c:pt>
                <c:pt idx="26">
                  <c:v>Mar_2019</c:v>
                </c:pt>
                <c:pt idx="27">
                  <c:v>Apr_2019</c:v>
                </c:pt>
                <c:pt idx="28">
                  <c:v>May_2019</c:v>
                </c:pt>
                <c:pt idx="29">
                  <c:v>Jun_2019</c:v>
                </c:pt>
                <c:pt idx="30">
                  <c:v>Jul_2019</c:v>
                </c:pt>
                <c:pt idx="31">
                  <c:v>Aug_2019</c:v>
                </c:pt>
                <c:pt idx="32">
                  <c:v>Sep_2019</c:v>
                </c:pt>
                <c:pt idx="33">
                  <c:v>Oct_2019</c:v>
                </c:pt>
                <c:pt idx="34">
                  <c:v>Nov_2019</c:v>
                </c:pt>
                <c:pt idx="35">
                  <c:v>Dec_2019</c:v>
                </c:pt>
                <c:pt idx="36">
                  <c:v>Jan_2020</c:v>
                </c:pt>
                <c:pt idx="37">
                  <c:v>Feb_2020</c:v>
                </c:pt>
                <c:pt idx="38">
                  <c:v>Mar_2020</c:v>
                </c:pt>
                <c:pt idx="39">
                  <c:v>Apr_2020</c:v>
                </c:pt>
                <c:pt idx="40">
                  <c:v>May_2020</c:v>
                </c:pt>
                <c:pt idx="41">
                  <c:v>Jun_2020</c:v>
                </c:pt>
                <c:pt idx="42">
                  <c:v>Jul_2020</c:v>
                </c:pt>
                <c:pt idx="43">
                  <c:v>Aug_2020</c:v>
                </c:pt>
                <c:pt idx="44">
                  <c:v>Sep_2020</c:v>
                </c:pt>
                <c:pt idx="45">
                  <c:v>Oct_2020</c:v>
                </c:pt>
                <c:pt idx="46">
                  <c:v>Nov_2020</c:v>
                </c:pt>
                <c:pt idx="47">
                  <c:v>Dec_2020</c:v>
                </c:pt>
              </c:strCache>
            </c:strRef>
          </c:cat>
          <c:val>
            <c:numRef>
              <c:f>Summary!$I$4:$I$51</c:f>
              <c:numCache>
                <c:formatCode>0.00</c:formatCode>
                <c:ptCount val="48"/>
                <c:pt idx="0">
                  <c:v>103.99999999999993</c:v>
                </c:pt>
                <c:pt idx="1">
                  <c:v>161.49999999999977</c:v>
                </c:pt>
                <c:pt idx="2">
                  <c:v>239.99999999999972</c:v>
                </c:pt>
                <c:pt idx="3">
                  <c:v>226.99999999999972</c:v>
                </c:pt>
                <c:pt idx="4">
                  <c:v>82.999999999999716</c:v>
                </c:pt>
                <c:pt idx="5">
                  <c:v>149.99999999999997</c:v>
                </c:pt>
                <c:pt idx="6">
                  <c:v>291.75000000000011</c:v>
                </c:pt>
                <c:pt idx="7">
                  <c:v>161.99999999999983</c:v>
                </c:pt>
                <c:pt idx="8">
                  <c:v>155.4999999999996</c:v>
                </c:pt>
                <c:pt idx="9">
                  <c:v>196.99999999999969</c:v>
                </c:pt>
                <c:pt idx="10">
                  <c:v>164.99999999999986</c:v>
                </c:pt>
                <c:pt idx="11">
                  <c:v>197.49999999999972</c:v>
                </c:pt>
                <c:pt idx="12">
                  <c:v>64</c:v>
                </c:pt>
                <c:pt idx="13">
                  <c:v>84.499999999999929</c:v>
                </c:pt>
                <c:pt idx="14">
                  <c:v>348</c:v>
                </c:pt>
                <c:pt idx="15">
                  <c:v>201.49999999999991</c:v>
                </c:pt>
                <c:pt idx="16">
                  <c:v>258.99999999999983</c:v>
                </c:pt>
                <c:pt idx="17">
                  <c:v>387.99999999999949</c:v>
                </c:pt>
                <c:pt idx="18">
                  <c:v>178</c:v>
                </c:pt>
                <c:pt idx="19">
                  <c:v>0</c:v>
                </c:pt>
                <c:pt idx="20">
                  <c:v>0</c:v>
                </c:pt>
                <c:pt idx="21">
                  <c:v>9.9999999999999822</c:v>
                </c:pt>
                <c:pt idx="22">
                  <c:v>0</c:v>
                </c:pt>
                <c:pt idx="23">
                  <c:v>0</c:v>
                </c:pt>
                <c:pt idx="24">
                  <c:v>142.99999999999997</c:v>
                </c:pt>
                <c:pt idx="25">
                  <c:v>38</c:v>
                </c:pt>
                <c:pt idx="26">
                  <c:v>224.49999999999997</c:v>
                </c:pt>
                <c:pt idx="27">
                  <c:v>129.99999999999997</c:v>
                </c:pt>
                <c:pt idx="28">
                  <c:v>102.49999999999999</c:v>
                </c:pt>
                <c:pt idx="29">
                  <c:v>68.499999999999972</c:v>
                </c:pt>
                <c:pt idx="30">
                  <c:v>304.49999999999994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4A0-4691-BC49-B25052251FAC}"/>
            </c:ext>
          </c:extLst>
        </c:ser>
        <c:ser>
          <c:idx val="0"/>
          <c:order val="0"/>
          <c:tx>
            <c:strRef>
              <c:f>Summary!$H$3</c:f>
              <c:strCache>
                <c:ptCount val="1"/>
                <c:pt idx="0">
                  <c:v>Part timer onsite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Summary!$G$4:$G$51</c:f>
              <c:strCache>
                <c:ptCount val="48"/>
                <c:pt idx="0">
                  <c:v>Jan_2017</c:v>
                </c:pt>
                <c:pt idx="1">
                  <c:v>Feb_2017</c:v>
                </c:pt>
                <c:pt idx="2">
                  <c:v>Mar_2017</c:v>
                </c:pt>
                <c:pt idx="3">
                  <c:v>Apr_2017</c:v>
                </c:pt>
                <c:pt idx="4">
                  <c:v>May_2017</c:v>
                </c:pt>
                <c:pt idx="5">
                  <c:v>Jun_2017</c:v>
                </c:pt>
                <c:pt idx="6">
                  <c:v>Jul_2017</c:v>
                </c:pt>
                <c:pt idx="7">
                  <c:v>Aug_2017</c:v>
                </c:pt>
                <c:pt idx="8">
                  <c:v>Sep_2017</c:v>
                </c:pt>
                <c:pt idx="9">
                  <c:v>Oct_2017</c:v>
                </c:pt>
                <c:pt idx="10">
                  <c:v>Nov_2017</c:v>
                </c:pt>
                <c:pt idx="11">
                  <c:v>Dec_2017</c:v>
                </c:pt>
                <c:pt idx="12">
                  <c:v>Jan_2018</c:v>
                </c:pt>
                <c:pt idx="13">
                  <c:v>Feb_2018</c:v>
                </c:pt>
                <c:pt idx="14">
                  <c:v>Mar_2018</c:v>
                </c:pt>
                <c:pt idx="15">
                  <c:v>Apr_2018</c:v>
                </c:pt>
                <c:pt idx="16">
                  <c:v>May_2018</c:v>
                </c:pt>
                <c:pt idx="17">
                  <c:v>Jun_2018</c:v>
                </c:pt>
                <c:pt idx="18">
                  <c:v>Jul_2018</c:v>
                </c:pt>
                <c:pt idx="19">
                  <c:v>Aug_2018</c:v>
                </c:pt>
                <c:pt idx="20">
                  <c:v>Sep_2018</c:v>
                </c:pt>
                <c:pt idx="21">
                  <c:v>Oct_2018</c:v>
                </c:pt>
                <c:pt idx="22">
                  <c:v>Nov_2018</c:v>
                </c:pt>
                <c:pt idx="23">
                  <c:v>Dec_2018</c:v>
                </c:pt>
                <c:pt idx="24">
                  <c:v>Jan_2019</c:v>
                </c:pt>
                <c:pt idx="25">
                  <c:v>Feb_2019</c:v>
                </c:pt>
                <c:pt idx="26">
                  <c:v>Mar_2019</c:v>
                </c:pt>
                <c:pt idx="27">
                  <c:v>Apr_2019</c:v>
                </c:pt>
                <c:pt idx="28">
                  <c:v>May_2019</c:v>
                </c:pt>
                <c:pt idx="29">
                  <c:v>Jun_2019</c:v>
                </c:pt>
                <c:pt idx="30">
                  <c:v>Jul_2019</c:v>
                </c:pt>
                <c:pt idx="31">
                  <c:v>Aug_2019</c:v>
                </c:pt>
                <c:pt idx="32">
                  <c:v>Sep_2019</c:v>
                </c:pt>
                <c:pt idx="33">
                  <c:v>Oct_2019</c:v>
                </c:pt>
                <c:pt idx="34">
                  <c:v>Nov_2019</c:v>
                </c:pt>
                <c:pt idx="35">
                  <c:v>Dec_2019</c:v>
                </c:pt>
                <c:pt idx="36">
                  <c:v>Jan_2020</c:v>
                </c:pt>
                <c:pt idx="37">
                  <c:v>Feb_2020</c:v>
                </c:pt>
                <c:pt idx="38">
                  <c:v>Mar_2020</c:v>
                </c:pt>
                <c:pt idx="39">
                  <c:v>Apr_2020</c:v>
                </c:pt>
                <c:pt idx="40">
                  <c:v>May_2020</c:v>
                </c:pt>
                <c:pt idx="41">
                  <c:v>Jun_2020</c:v>
                </c:pt>
                <c:pt idx="42">
                  <c:v>Jul_2020</c:v>
                </c:pt>
                <c:pt idx="43">
                  <c:v>Aug_2020</c:v>
                </c:pt>
                <c:pt idx="44">
                  <c:v>Sep_2020</c:v>
                </c:pt>
                <c:pt idx="45">
                  <c:v>Oct_2020</c:v>
                </c:pt>
                <c:pt idx="46">
                  <c:v>Nov_2020</c:v>
                </c:pt>
                <c:pt idx="47">
                  <c:v>Dec_2020</c:v>
                </c:pt>
              </c:strCache>
            </c:strRef>
          </c:cat>
          <c:val>
            <c:numRef>
              <c:f>Summary!$H$4:$H$51</c:f>
              <c:numCache>
                <c:formatCode>0.00</c:formatCode>
                <c:ptCount val="48"/>
                <c:pt idx="0">
                  <c:v>426</c:v>
                </c:pt>
                <c:pt idx="1">
                  <c:v>358.49999999999989</c:v>
                </c:pt>
                <c:pt idx="2">
                  <c:v>578.99999999999989</c:v>
                </c:pt>
                <c:pt idx="3">
                  <c:v>474.99999999999989</c:v>
                </c:pt>
                <c:pt idx="4">
                  <c:v>305.50000000000006</c:v>
                </c:pt>
                <c:pt idx="5">
                  <c:v>275.75</c:v>
                </c:pt>
                <c:pt idx="6">
                  <c:v>439.25</c:v>
                </c:pt>
                <c:pt idx="7">
                  <c:v>513.49999999999989</c:v>
                </c:pt>
                <c:pt idx="8">
                  <c:v>432</c:v>
                </c:pt>
                <c:pt idx="9">
                  <c:v>510</c:v>
                </c:pt>
                <c:pt idx="10">
                  <c:v>505.75</c:v>
                </c:pt>
                <c:pt idx="11">
                  <c:v>946.5</c:v>
                </c:pt>
                <c:pt idx="12">
                  <c:v>714.5</c:v>
                </c:pt>
                <c:pt idx="13">
                  <c:v>296.25</c:v>
                </c:pt>
                <c:pt idx="14">
                  <c:v>1656.25</c:v>
                </c:pt>
                <c:pt idx="15">
                  <c:v>834.75000000000011</c:v>
                </c:pt>
                <c:pt idx="16">
                  <c:v>385.33333333333348</c:v>
                </c:pt>
                <c:pt idx="17">
                  <c:v>333</c:v>
                </c:pt>
                <c:pt idx="18">
                  <c:v>239.24999999999997</c:v>
                </c:pt>
                <c:pt idx="19">
                  <c:v>255.99999999999997</c:v>
                </c:pt>
                <c:pt idx="20">
                  <c:v>167.99999999999997</c:v>
                </c:pt>
                <c:pt idx="21">
                  <c:v>234.99999999999997</c:v>
                </c:pt>
                <c:pt idx="22">
                  <c:v>224.49999999999997</c:v>
                </c:pt>
                <c:pt idx="23">
                  <c:v>272.49999999999994</c:v>
                </c:pt>
                <c:pt idx="24">
                  <c:v>355.5</c:v>
                </c:pt>
                <c:pt idx="25">
                  <c:v>246.99999999999997</c:v>
                </c:pt>
                <c:pt idx="26">
                  <c:v>388.5</c:v>
                </c:pt>
                <c:pt idx="27">
                  <c:v>314.5</c:v>
                </c:pt>
                <c:pt idx="28">
                  <c:v>303.5</c:v>
                </c:pt>
                <c:pt idx="29">
                  <c:v>250.5</c:v>
                </c:pt>
                <c:pt idx="30">
                  <c:v>263.5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4A0-4691-BC49-B25052251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492032"/>
        <c:axId val="120493568"/>
      </c:lineChart>
      <c:catAx>
        <c:axId val="12049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120493568"/>
        <c:crosses val="autoZero"/>
        <c:auto val="1"/>
        <c:lblAlgn val="ctr"/>
        <c:lblOffset val="100"/>
        <c:noMultiLvlLbl val="0"/>
      </c:catAx>
      <c:valAx>
        <c:axId val="12049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12049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647483365971126"/>
          <c:y val="4.420506668429508E-2"/>
          <c:w val="0.11363346565699951"/>
          <c:h val="0.189970042302583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2</xdr:row>
      <xdr:rowOff>57150</xdr:rowOff>
    </xdr:from>
    <xdr:to>
      <xdr:col>1</xdr:col>
      <xdr:colOff>371475</xdr:colOff>
      <xdr:row>4</xdr:row>
      <xdr:rowOff>0</xdr:rowOff>
    </xdr:to>
    <xdr:sp macro="[0]!UpdatePivot" textlink="">
      <xdr:nvSpPr>
        <xdr:cNvPr id="4" name="Rectangle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23824" y="457200"/>
          <a:ext cx="1685926" cy="34290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chemeClr val="tx1"/>
              </a:solidFill>
              <a:latin typeface="Times New Roman" panose="02020603050405020304" pitchFamily="18" charset="0"/>
            </a:rPr>
            <a:t>Refresh Pivot Table</a:t>
          </a:r>
        </a:p>
      </xdr:txBody>
    </xdr:sp>
    <xdr:clientData/>
  </xdr:twoCellAnchor>
  <xdr:twoCellAnchor>
    <xdr:from>
      <xdr:col>1</xdr:col>
      <xdr:colOff>904875</xdr:colOff>
      <xdr:row>2</xdr:row>
      <xdr:rowOff>85725</xdr:rowOff>
    </xdr:from>
    <xdr:to>
      <xdr:col>3</xdr:col>
      <xdr:colOff>400051</xdr:colOff>
      <xdr:row>4</xdr:row>
      <xdr:rowOff>28575</xdr:rowOff>
    </xdr:to>
    <xdr:sp macro="[0]!UpdateMonthlyOT" textlink="">
      <xdr:nvSpPr>
        <xdr:cNvPr id="3" name="Rectangle 2">
          <a:extLst>
            <a:ext uri="{FF2B5EF4-FFF2-40B4-BE49-F238E27FC236}">
              <a16:creationId xmlns:a16="http://schemas.microsoft.com/office/drawing/2014/main" xmlns="" id="{508CDF8A-4E9F-4CF9-9268-79CFB76446B1}"/>
            </a:ext>
          </a:extLst>
        </xdr:cNvPr>
        <xdr:cNvSpPr/>
      </xdr:nvSpPr>
      <xdr:spPr>
        <a:xfrm>
          <a:off x="2781300" y="485775"/>
          <a:ext cx="1590676" cy="34290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chemeClr val="tx1"/>
              </a:solidFill>
              <a:latin typeface="Times New Roman" panose="02020603050405020304" pitchFamily="18" charset="0"/>
            </a:rPr>
            <a:t>Update Monthly OT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80596</xdr:colOff>
      <xdr:row>0</xdr:row>
      <xdr:rowOff>51287</xdr:rowOff>
    </xdr:from>
    <xdr:to>
      <xdr:col>21</xdr:col>
      <xdr:colOff>85725</xdr:colOff>
      <xdr:row>28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6D4C8712-FAF0-46E2-9531-2A5509F1D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nprintroom/Desktop/Print%20Room%20Issues/FXV_Managerial%20Documents/Transactional%20Print%20Jobsheet%20(VER%20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kokkwang/Desktop/ML%20VN/ManuLife/ML%20Vietnam/Billing/Jun%202016%20Billing/FXV%20Manulife%202016-06%20Billing%20Summary_v2%20(160712%201600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A Report DPLX"/>
      <sheetName val="PP Check Nr"/>
      <sheetName val="QA Report SPLX"/>
      <sheetName val="MLV TransMail Print &amp; Env"/>
      <sheetName val="MLV TransMail Data Proc"/>
      <sheetName val="Envelope Log"/>
      <sheetName val="Printer 1 Log"/>
      <sheetName val="Printer 2 Log"/>
      <sheetName val="Staff Log"/>
      <sheetName val="MLV Transactional Job Sheet RC"/>
    </sheetNames>
    <sheetDataSet>
      <sheetData sheetId="0">
        <row r="14">
          <cell r="Q14" t="str">
            <v>100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-June Comparison"/>
      <sheetName val="May &amp; June Daily Volume"/>
      <sheetName val="COVER"/>
      <sheetName val="Summary"/>
      <sheetName val="Mono Click Charge (Policy)"/>
      <sheetName val="Mono Click Charge (TransMail)"/>
      <sheetName val="Mono Click Charge (CP&amp;A)"/>
      <sheetName val="Overtime"/>
      <sheetName val="Cost&amp;Volu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U3" t="str">
            <v>Dang Minh Phuc (FT)</v>
          </cell>
        </row>
        <row r="4">
          <cell r="U4" t="str">
            <v>Dang Minh Phuc (PT)</v>
          </cell>
        </row>
        <row r="5">
          <cell r="U5" t="str">
            <v>Ma Hong Phuc</v>
          </cell>
        </row>
        <row r="6">
          <cell r="U6" t="str">
            <v>MyLan</v>
          </cell>
        </row>
        <row r="7">
          <cell r="U7" t="str">
            <v>Nguyen Thanh My</v>
          </cell>
        </row>
        <row r="8">
          <cell r="U8" t="str">
            <v>Thao Nguyen</v>
          </cell>
        </row>
        <row r="9">
          <cell r="U9" t="str">
            <v>Tran Thai Thuan</v>
          </cell>
        </row>
        <row r="10">
          <cell r="U10" t="str">
            <v>Truong Thi Minh Trang</v>
          </cell>
        </row>
        <row r="11">
          <cell r="U11" t="str">
            <v>Truong Van Thai</v>
          </cell>
        </row>
        <row r="12">
          <cell r="U12" t="str">
            <v>Vo Thi Thu Hong</v>
          </cell>
        </row>
      </sheetData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XML PrintRoom (FXV HCM)" refreshedDate="43683.463249884262" createdVersion="5" refreshedVersion="6" minRefreshableVersion="3" recordCount="2841">
  <cacheSource type="worksheet">
    <worksheetSource ref="A1:M999902" sheet="2017OT"/>
  </cacheSource>
  <cacheFields count="13">
    <cacheField name="Employment Type" numFmtId="0">
      <sharedItems containsBlank="1" count="3">
        <s v="Perm staff onsite"/>
        <s v="Part timer onsite"/>
        <m/>
      </sharedItems>
    </cacheField>
    <cacheField name="Employee Name" numFmtId="0">
      <sharedItems containsBlank="1" count="71">
        <s v="Nguyen Thanh My"/>
        <s v="Truong Van Thai"/>
        <s v="Dang Minh Phuc"/>
        <s v="Ma Hong Phuc"/>
        <s v="Truong Thi Minh Trang"/>
        <s v="Tran Thai Thuan"/>
        <s v="Le Thanh Vi"/>
        <s v="Nguyen Trung Tin"/>
        <s v="Huynh Thi Linh Trang"/>
        <s v="Bui Thi Hoai Thuong"/>
        <s v="Tran Ro Pi"/>
        <s v="Nguyen Kim Hoa"/>
        <s v="Le Hoang Ngoc"/>
        <s v="Nguyen An Tu"/>
        <s v="Bui Thi Thu Ngan"/>
        <s v="Nguyen Nhu Y Vi"/>
        <s v="Nguyen Minh Tuan"/>
        <s v="Cao Xuan Khoa"/>
        <s v="Nguyen Van Han"/>
        <s v="Nguyen Tran Ha Mai"/>
        <s v="Dong Tran Hai Son"/>
        <s v="Pham Nguyen Dang Khoa"/>
        <s v="Le Phuoc Trung"/>
        <s v="Duong Quoc Huy"/>
        <s v="Nguyen Thi My Hang"/>
        <s v="Nguyen Duong Thao Nhi"/>
        <s v="Phan Truc My"/>
        <s v="Nguyen Ngoc Duc Huy"/>
        <s v="Dinh Thi Ngoc Van"/>
        <s v="Le Minh Dinh Vy"/>
        <s v="Le Chau Sy Dat"/>
        <s v="Ngo Thi Dieu Truc"/>
        <s v="Nguyen Huynh Thanh Hieu"/>
        <s v="Le Dinh Hau"/>
        <s v="Nguyen Thi Phuong Nhi"/>
        <s v="Tran Ha Thuong Silivia"/>
        <s v="Lam Yen Nhi"/>
        <s v="Nguyen Thi Thao"/>
        <s v="Ho Thi Phuong Khanh"/>
        <s v="Tran Huy Hoang"/>
        <s v="Tra Thi Phuong Thao"/>
        <s v="Huynh Minh Nhu"/>
        <s v="Le Ngoc Quynh Nhu"/>
        <s v="Nguyen Thanh Loc"/>
        <s v="Tran Thi Kim Thoa"/>
        <s v="Trinh Thi Hue"/>
        <s v="Le Thi Hong Diem"/>
        <s v="Pham Phu Phong"/>
        <s v="Le Thi Thu Thanh"/>
        <s v="Nguyen Ngoc Truong Loc"/>
        <s v="Do Thi Hue"/>
        <s v="Julkifli Osmanl"/>
        <s v="Tran Ngoc Hieu"/>
        <s v="Tran Thi Kim Oanh"/>
        <s v="Trinh Hoang Oanh"/>
        <s v="Tong Nguyen Kim Thao"/>
        <s v="Vuong Quoc Trieu"/>
        <s v="Nguyen Thi Hai Yen"/>
        <s v="Nguyen Thi Thuy Nga"/>
        <s v="Ly Le Mai"/>
        <s v="Tran Kim Thuong"/>
        <s v="Nguyen Thi Anh Thi"/>
        <s v="Trinh Kim Toan"/>
        <s v="Mai Thi Quynh Huong"/>
        <s v="Tran Tan Thinh"/>
        <m/>
        <s v="Tran Thi Phuong Thao" u="1"/>
        <s v="Nguyen Thi Kim Thoa" u="1"/>
        <s v="Cao Van Khoa" u="1"/>
        <s v="Duong Duc Hai" u="1"/>
        <s v=" " u="1"/>
      </sharedItems>
    </cacheField>
    <cacheField name="OT date" numFmtId="0">
      <sharedItems containsNonDate="0" containsDate="1" containsString="0" containsBlank="1" minDate="2017-01-01T00:00:00" maxDate="2019-08-01T00:00:00"/>
    </cacheField>
    <cacheField name="OT Day" numFmtId="0">
      <sharedItems containsBlank="1"/>
    </cacheField>
    <cacheField name="Time From" numFmtId="0">
      <sharedItems containsNonDate="0" containsDate="1" containsString="0" containsBlank="1" minDate="1899-12-30T05:30:00" maxDate="1899-12-30T22:00:00"/>
    </cacheField>
    <cacheField name="Time To" numFmtId="0">
      <sharedItems containsNonDate="0" containsDate="1" containsString="0" containsBlank="1" minDate="1899-12-30T10:00:00" maxDate="1899-12-30T23:30:00"/>
    </cacheField>
    <cacheField name="Regular Work Hours" numFmtId="0">
      <sharedItems containsBlank="1" containsMixedTypes="1" containsNumber="1" minValue="0" maxValue="8.0000000000000036"/>
    </cacheField>
    <cacheField name="Total OT Hours FXV" numFmtId="0">
      <sharedItems containsString="0" containsBlank="1" containsNumber="1" minValue="0" maxValue="15.5"/>
    </cacheField>
    <cacheField name="MLV-Billable Total OT Hours" numFmtId="0">
      <sharedItems containsString="0" containsBlank="1" containsNumber="1" minValue="0.25000000000000533" maxValue="15.5"/>
    </cacheField>
    <cacheField name="Rate Type" numFmtId="0">
      <sharedItems containsBlank="1"/>
    </cacheField>
    <cacheField name="Purpose" numFmtId="0">
      <sharedItems containsBlank="1" longText="1"/>
    </cacheField>
    <cacheField name="Meal Allowance" numFmtId="0">
      <sharedItems containsBlank="1" containsMixedTypes="1" containsNumber="1" containsInteger="1" minValue="1" maxValue="1"/>
    </cacheField>
    <cacheField name="Month" numFmtId="0">
      <sharedItems containsBlank="1" count="32">
        <s v="Jan_2017"/>
        <s v="Feb_2017"/>
        <s v="Mar_2017"/>
        <s v="Apr_2017"/>
        <s v="May_2017"/>
        <s v="Jun_2017"/>
        <s v="Jul_2017"/>
        <s v="Aug_2017"/>
        <s v="Sep_2017"/>
        <s v="Oct_2017"/>
        <s v="Nov_2017"/>
        <s v="Dec_2017"/>
        <s v="Jan_2018"/>
        <s v="Feb_2018"/>
        <s v="Mar_2018"/>
        <s v="Apr_2018"/>
        <s v="May_2018"/>
        <s v="Jun_2018"/>
        <s v="Jul_2018"/>
        <s v="Aug_2018"/>
        <s v="Sep_2018"/>
        <s v="Oct_2018"/>
        <s v="Nov_2018"/>
        <s v="Dec_2018"/>
        <s v="Jan_2019"/>
        <s v="Feb_2019"/>
        <s v="Mar_2019"/>
        <s v="Apr_2019"/>
        <s v="May_2019"/>
        <s v="Jun_2019"/>
        <s v="Jul_201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41">
  <r>
    <x v="0"/>
    <x v="0"/>
    <d v="2017-01-01T00:00:00"/>
    <s v="Sun"/>
    <d v="1899-12-30T17:30:00"/>
    <d v="1899-12-30T19:00:00"/>
    <n v="0"/>
    <n v="9.4999999999999982"/>
    <n v="9.4999999999999982"/>
    <s v="Normal Working Days before 10pm"/>
    <s v="745 Policies"/>
    <n v="1"/>
    <x v="0"/>
  </r>
  <r>
    <x v="0"/>
    <x v="0"/>
    <d v="2017-01-03T00:00:00"/>
    <s v="Tue"/>
    <d v="1899-12-30T15:30:00"/>
    <d v="1899-12-30T17:30:00"/>
    <n v="8"/>
    <n v="2"/>
    <n v="2"/>
    <s v="Normal Working Days before 10pm"/>
    <s v="2752 Policies"/>
    <n v="1"/>
    <x v="0"/>
  </r>
  <r>
    <x v="0"/>
    <x v="0"/>
    <d v="2017-01-04T00:00:00"/>
    <s v="Wed"/>
    <d v="1899-12-30T16:00:00"/>
    <d v="1899-12-30T17:30:00"/>
    <n v="8"/>
    <n v="1.4999999999999982"/>
    <n v="1.4999999999999982"/>
    <s v="Normal Working Days before 10pm"/>
    <s v="1593 Policies"/>
    <s v=""/>
    <x v="0"/>
  </r>
  <r>
    <x v="0"/>
    <x v="0"/>
    <d v="2017-01-09T00:00:00"/>
    <s v="Mon"/>
    <d v="1899-12-30T17:30:00"/>
    <d v="1899-12-30T20:00:00"/>
    <n v="8"/>
    <n v="2.5"/>
    <n v="2.5"/>
    <s v="Normal Working Days before 10pm"/>
    <s v="933 Policies"/>
    <n v="1"/>
    <x v="0"/>
  </r>
  <r>
    <x v="0"/>
    <x v="0"/>
    <d v="2017-01-10T00:00:00"/>
    <s v="Tue"/>
    <d v="1899-12-30T17:30:00"/>
    <d v="1899-12-30T20:30:00"/>
    <n v="8"/>
    <n v="2.9999999999999982"/>
    <n v="2.9999999999999982"/>
    <s v="Normal Working Days before 10pm"/>
    <s v="917 Policies"/>
    <n v="1"/>
    <x v="0"/>
  </r>
  <r>
    <x v="0"/>
    <x v="0"/>
    <d v="2017-01-11T00:00:00"/>
    <s v="Wed"/>
    <d v="1899-12-30T17:00:00"/>
    <d v="1899-12-30T18:00:00"/>
    <n v="8"/>
    <n v="1.0000000000000089"/>
    <n v="1.0000000000000089"/>
    <s v="Normal Working Days before 10pm"/>
    <s v="765 Policies"/>
    <s v=""/>
    <x v="0"/>
  </r>
  <r>
    <x v="0"/>
    <x v="0"/>
    <d v="2017-01-13T00:00:00"/>
    <s v="Fri"/>
    <d v="1899-12-30T17:30:00"/>
    <d v="1899-12-30T18:00:00"/>
    <n v="8"/>
    <n v="0.49999999999999112"/>
    <n v="0.49999999999999112"/>
    <s v="Normal Working Days before 10pm"/>
    <s v="540 Policies"/>
    <s v=""/>
    <x v="0"/>
  </r>
  <r>
    <x v="0"/>
    <x v="0"/>
    <d v="2017-01-23T00:00:00"/>
    <s v="Mon"/>
    <d v="1899-12-30T17:30:00"/>
    <d v="1899-12-30T21:00:00"/>
    <n v="8"/>
    <n v="3.4999999999999929"/>
    <n v="3.4999999999999929"/>
    <s v="Normal Working Days before 10pm"/>
    <s v="927 Policies"/>
    <n v="1"/>
    <x v="0"/>
  </r>
  <r>
    <x v="0"/>
    <x v="0"/>
    <d v="2017-01-24T00:00:00"/>
    <s v="Tue"/>
    <d v="1899-12-30T16:30:00"/>
    <d v="1899-12-30T22:00:00"/>
    <n v="8"/>
    <n v="5.5000000000000071"/>
    <n v="5.5000000000000071"/>
    <s v="Normal Working Days before 10pm"/>
    <s v="1633 Policies"/>
    <n v="1"/>
    <x v="0"/>
  </r>
  <r>
    <x v="0"/>
    <x v="0"/>
    <d v="2017-01-25T00:00:00"/>
    <s v="Wed"/>
    <d v="1899-12-30T16:00:00"/>
    <d v="1899-12-30T21:00:00"/>
    <n v="8"/>
    <n v="4.9999999999999929"/>
    <n v="4.9999999999999929"/>
    <s v="Normal Working Days before 10pm"/>
    <s v="1378 Policies"/>
    <n v="1"/>
    <x v="0"/>
  </r>
  <r>
    <x v="0"/>
    <x v="1"/>
    <d v="2017-01-01T00:00:00"/>
    <s v="Sun"/>
    <d v="1899-12-30T10:30:00"/>
    <d v="1899-12-30T13:00:00"/>
    <n v="0"/>
    <n v="2.5"/>
    <n v="2.5"/>
    <s v="Normal Working Days before 10pm"/>
    <s v="745 Policies"/>
    <n v="1"/>
    <x v="0"/>
  </r>
  <r>
    <x v="0"/>
    <x v="1"/>
    <d v="2017-01-11T00:00:00"/>
    <s v="Wed"/>
    <d v="1899-12-30T17:00:00"/>
    <d v="1899-12-30T17:30:00"/>
    <n v="8"/>
    <n v="0.50000000000001599"/>
    <n v="0.50000000000001599"/>
    <s v="Normal Working Days before 10pm"/>
    <s v="765 Policies"/>
    <s v=""/>
    <x v="0"/>
  </r>
  <r>
    <x v="0"/>
    <x v="2"/>
    <d v="2017-01-01T00:00:00"/>
    <s v="Sun"/>
    <d v="1899-12-30T16:00:00"/>
    <d v="1899-12-30T19:00:00"/>
    <n v="0"/>
    <n v="11"/>
    <n v="11"/>
    <s v="Normal Working Days before 10pm"/>
    <s v="745 Policies"/>
    <n v="1"/>
    <x v="0"/>
  </r>
  <r>
    <x v="0"/>
    <x v="2"/>
    <d v="2017-01-03T00:00:00"/>
    <s v="Tue"/>
    <d v="1899-12-30T15:30:00"/>
    <d v="1899-12-30T17:00:00"/>
    <n v="8"/>
    <n v="1.5000000000000018"/>
    <n v="1.5000000000000018"/>
    <s v="Normal Working Days before 10pm"/>
    <s v="2752 Policies"/>
    <s v=""/>
    <x v="0"/>
  </r>
  <r>
    <x v="0"/>
    <x v="2"/>
    <d v="2017-01-04T00:00:00"/>
    <s v="Wed"/>
    <d v="1899-12-30T16:00:00"/>
    <d v="1899-12-30T16:30:00"/>
    <n v="8"/>
    <n v="0.5"/>
    <n v="0.5"/>
    <s v="Normal Working Days before 10pm"/>
    <s v="1593 Policies"/>
    <s v=""/>
    <x v="0"/>
  </r>
  <r>
    <x v="0"/>
    <x v="2"/>
    <d v="2017-01-09T00:00:00"/>
    <s v="Mon"/>
    <d v="1899-12-30T17:30:00"/>
    <d v="1899-12-30T20:00:00"/>
    <n v="8"/>
    <n v="2.5"/>
    <n v="2.5"/>
    <s v="Normal Working Days before 10pm"/>
    <s v="933 Policies"/>
    <n v="1"/>
    <x v="0"/>
  </r>
  <r>
    <x v="0"/>
    <x v="2"/>
    <d v="2017-01-10T00:00:00"/>
    <s v="Tue"/>
    <d v="1899-12-30T17:30:00"/>
    <d v="1899-12-30T18:00:00"/>
    <n v="8"/>
    <n v="0.49999999999999112"/>
    <n v="0.49999999999999112"/>
    <s v="Normal Working Days before 10pm"/>
    <s v="917 Policies"/>
    <s v=""/>
    <x v="0"/>
  </r>
  <r>
    <x v="0"/>
    <x v="2"/>
    <d v="2017-01-11T00:00:00"/>
    <s v="Wed"/>
    <d v="1899-12-30T17:00:00"/>
    <d v="1899-12-30T18:00:00"/>
    <n v="8"/>
    <n v="1.0000000000000089"/>
    <n v="1.0000000000000089"/>
    <s v="Normal Working Days before 10pm"/>
    <s v="765 Policies"/>
    <s v=""/>
    <x v="0"/>
  </r>
  <r>
    <x v="0"/>
    <x v="2"/>
    <d v="2017-01-13T00:00:00"/>
    <s v="Fri"/>
    <d v="1899-12-30T17:30:00"/>
    <d v="1899-12-30T18:00:00"/>
    <n v="8"/>
    <n v="0.49999999999999112"/>
    <n v="0.49999999999999112"/>
    <s v="Normal Working Days before 10pm"/>
    <s v="540 Policies"/>
    <s v=""/>
    <x v="0"/>
  </r>
  <r>
    <x v="0"/>
    <x v="3"/>
    <d v="2017-01-01T00:00:00"/>
    <s v="Sun"/>
    <d v="1899-12-30T15:30:00"/>
    <d v="1899-12-30T19:00:00"/>
    <n v="0"/>
    <n v="11.5"/>
    <n v="11.5"/>
    <s v="Normal Working Days before 10pm"/>
    <s v="745 Policies"/>
    <n v="1"/>
    <x v="0"/>
  </r>
  <r>
    <x v="0"/>
    <x v="3"/>
    <d v="2017-01-09T00:00:00"/>
    <s v="Mon"/>
    <d v="1899-12-30T17:30:00"/>
    <d v="1899-12-30T20:00:00"/>
    <n v="8"/>
    <n v="2.5"/>
    <n v="2.5"/>
    <s v="Normal Working Days before 10pm"/>
    <s v="933 Policies"/>
    <n v="1"/>
    <x v="0"/>
  </r>
  <r>
    <x v="0"/>
    <x v="3"/>
    <d v="2017-01-10T00:00:00"/>
    <s v="Tue"/>
    <d v="1899-12-30T17:30:00"/>
    <d v="1899-12-30T18:30:00"/>
    <n v="8"/>
    <n v="0.99999999999998401"/>
    <n v="0.99999999999998401"/>
    <s v="Normal Working Days before 10pm"/>
    <s v="917 Policies"/>
    <s v=""/>
    <x v="0"/>
  </r>
  <r>
    <x v="0"/>
    <x v="3"/>
    <d v="2017-01-11T00:00:00"/>
    <s v="Wed"/>
    <d v="1899-12-30T17:00:00"/>
    <d v="1899-12-30T18:00:00"/>
    <n v="8"/>
    <n v="1.0000000000000089"/>
    <n v="1.0000000000000089"/>
    <s v="Normal Working Days before 10pm"/>
    <s v="765 Policies"/>
    <s v=""/>
    <x v="0"/>
  </r>
  <r>
    <x v="0"/>
    <x v="3"/>
    <d v="2017-01-13T00:00:00"/>
    <s v="Fri"/>
    <d v="1899-12-30T17:30:00"/>
    <d v="1899-12-30T18:00:00"/>
    <n v="8"/>
    <n v="0.49999999999999112"/>
    <n v="0.49999999999999112"/>
    <s v="Normal Working Days before 10pm"/>
    <s v="540 Policies"/>
    <s v=""/>
    <x v="0"/>
  </r>
  <r>
    <x v="0"/>
    <x v="3"/>
    <d v="2017-01-23T00:00:00"/>
    <s v="Mon"/>
    <d v="1899-12-30T17:30:00"/>
    <d v="1899-12-30T18:00:00"/>
    <n v="8"/>
    <n v="0.49999999999999112"/>
    <n v="0.49999999999999112"/>
    <s v="Normal Working Days before 10pm"/>
    <s v="927 Policies"/>
    <s v=""/>
    <x v="0"/>
  </r>
  <r>
    <x v="0"/>
    <x v="3"/>
    <d v="2017-01-24T00:00:00"/>
    <s v="Tue"/>
    <d v="1899-12-30T16:30:00"/>
    <d v="1899-12-30T21:00:00"/>
    <n v="8"/>
    <n v="4.5"/>
    <n v="4.5"/>
    <s v="Normal Working Days before 10pm"/>
    <s v="1633 Policies"/>
    <n v="1"/>
    <x v="0"/>
  </r>
  <r>
    <x v="0"/>
    <x v="3"/>
    <d v="2017-01-25T00:00:00"/>
    <s v="Wed"/>
    <d v="1899-12-30T16:00:00"/>
    <d v="1899-12-30T18:00:00"/>
    <n v="8"/>
    <n v="1.9999999999999911"/>
    <n v="1.9999999999999911"/>
    <s v="Normal Working Days before 10pm"/>
    <s v="1378 Policies"/>
    <s v=""/>
    <x v="0"/>
  </r>
  <r>
    <x v="0"/>
    <x v="4"/>
    <d v="2017-01-01T00:00:00"/>
    <s v="Sun"/>
    <d v="1899-12-30T16:00:00"/>
    <d v="1899-12-30T19:00:00"/>
    <n v="0"/>
    <n v="11"/>
    <n v="11"/>
    <s v="Normal Working Days before 10pm"/>
    <s v="745 Policies"/>
    <n v="1"/>
    <x v="0"/>
  </r>
  <r>
    <x v="0"/>
    <x v="4"/>
    <d v="2017-01-03T00:00:00"/>
    <s v="Tue"/>
    <d v="1899-12-30T16:00:00"/>
    <d v="1899-12-30T20:00:00"/>
    <n v="8"/>
    <n v="4.0000000000000018"/>
    <n v="4.0000000000000018"/>
    <s v="Normal Working Days before 10pm"/>
    <s v="2752 Policies"/>
    <n v="1"/>
    <x v="0"/>
  </r>
  <r>
    <x v="0"/>
    <x v="4"/>
    <d v="2017-01-04T00:00:00"/>
    <s v="Wed"/>
    <d v="1899-12-30T15:30:00"/>
    <d v="1899-12-30T20:00:00"/>
    <n v="8"/>
    <n v="4.5"/>
    <n v="4.5"/>
    <s v="Normal Working Days before 10pm"/>
    <s v="1593 Policies"/>
    <n v="1"/>
    <x v="0"/>
  </r>
  <r>
    <x v="0"/>
    <x v="4"/>
    <d v="2017-01-09T00:00:00"/>
    <s v="Mon"/>
    <d v="1899-12-30T17:30:00"/>
    <d v="1899-12-30T20:00:00"/>
    <n v="8"/>
    <n v="2.5"/>
    <n v="2.5"/>
    <s v="Normal Working Days before 10pm"/>
    <s v="933 Policies"/>
    <n v="1"/>
    <x v="0"/>
  </r>
  <r>
    <x v="0"/>
    <x v="4"/>
    <d v="2017-01-10T00:00:00"/>
    <s v="Tue"/>
    <d v="1899-12-30T17:30:00"/>
    <d v="1899-12-30T20:30:00"/>
    <n v="8"/>
    <n v="2.9999999999999982"/>
    <n v="2.9999999999999982"/>
    <s v="Normal Working Days before 10pm"/>
    <s v="917 Policies"/>
    <n v="1"/>
    <x v="0"/>
  </r>
  <r>
    <x v="0"/>
    <x v="4"/>
    <d v="2017-01-11T00:00:00"/>
    <s v="Wed"/>
    <d v="1899-12-30T17:30:00"/>
    <d v="1899-12-30T18:00:00"/>
    <n v="8"/>
    <n v="0.49999999999999112"/>
    <n v="0.49999999999999112"/>
    <s v="Normal Working Days before 10pm"/>
    <s v="765 Policies"/>
    <s v=""/>
    <x v="0"/>
  </r>
  <r>
    <x v="0"/>
    <x v="4"/>
    <d v="2017-01-13T00:00:00"/>
    <s v="Fri"/>
    <d v="1899-12-30T17:30:00"/>
    <d v="1899-12-30T18:00:00"/>
    <n v="8"/>
    <n v="0.49999999999999112"/>
    <n v="0.49999999999999112"/>
    <s v="Normal Working Days before 10pm"/>
    <s v="540 Policies"/>
    <s v=""/>
    <x v="0"/>
  </r>
  <r>
    <x v="1"/>
    <x v="5"/>
    <d v="2017-01-01T00:00:00"/>
    <s v="Sun"/>
    <d v="1899-12-30T07:00:00"/>
    <d v="1899-12-30T19:00:00"/>
    <n v="0"/>
    <n v="10.999999999999998"/>
    <n v="10.999999999999998"/>
    <s v="Normal Working Days before 10pm"/>
    <s v="745 Policies"/>
    <s v=""/>
    <x v="0"/>
  </r>
  <r>
    <x v="1"/>
    <x v="5"/>
    <d v="2017-01-03T00:00:00"/>
    <s v="Tue"/>
    <d v="1899-12-30T10:30:00"/>
    <d v="1899-12-30T22:00:00"/>
    <n v="0"/>
    <n v="10.5"/>
    <n v="10.5"/>
    <s v="Normal Working Days before 10pm"/>
    <s v="2752 Policies"/>
    <s v=""/>
    <x v="0"/>
  </r>
  <r>
    <x v="1"/>
    <x v="5"/>
    <d v="2017-01-04T00:00:00"/>
    <s v="Wed"/>
    <d v="1899-12-30T08:30:00"/>
    <d v="1899-12-30T22:30:00"/>
    <n v="0"/>
    <n v="12.999999999999998"/>
    <n v="12.999999999999998"/>
    <s v="Normal Working Days before 10pm"/>
    <s v="1593 Policies"/>
    <s v=""/>
    <x v="0"/>
  </r>
  <r>
    <x v="1"/>
    <x v="5"/>
    <d v="2017-01-06T00:00:00"/>
    <s v="Fri"/>
    <d v="1899-12-30T08:30:00"/>
    <d v="1899-12-30T17:30:00"/>
    <n v="0"/>
    <n v="7.9999999999999982"/>
    <n v="7.9999999999999982"/>
    <s v="Normal Working Days before 10pm"/>
    <s v="942 Policies"/>
    <s v=""/>
    <x v="0"/>
  </r>
  <r>
    <x v="1"/>
    <x v="5"/>
    <d v="2017-01-07T00:00:00"/>
    <s v="Sat"/>
    <d v="1899-12-30T08:30:00"/>
    <d v="1899-12-30T12:00:00"/>
    <n v="0"/>
    <n v="3.4999999999999996"/>
    <n v="3.4999999999999996"/>
    <s v="Normal Working Days before 10pm"/>
    <s v="53 Policies and Backlog 255 Policies of Batch 665"/>
    <s v=""/>
    <x v="0"/>
  </r>
  <r>
    <x v="1"/>
    <x v="5"/>
    <d v="2017-01-09T00:00:00"/>
    <s v="Mon"/>
    <d v="1899-12-30T08:30:00"/>
    <d v="1899-12-30T20:00:00"/>
    <n v="0"/>
    <n v="10.5"/>
    <n v="10.5"/>
    <s v="Normal Working Days before 10pm"/>
    <s v="933 Policies"/>
    <s v=""/>
    <x v="0"/>
  </r>
  <r>
    <x v="1"/>
    <x v="5"/>
    <d v="2017-01-10T00:00:00"/>
    <s v="Tue"/>
    <d v="1899-12-30T08:30:00"/>
    <d v="1899-12-30T17:30:00"/>
    <n v="0"/>
    <n v="7.9999999999999982"/>
    <n v="7.9999999999999982"/>
    <s v="Normal Working Days before 10pm"/>
    <s v="917 Policies"/>
    <s v=""/>
    <x v="0"/>
  </r>
  <r>
    <x v="1"/>
    <x v="5"/>
    <d v="2017-01-11T00:00:00"/>
    <s v="Wed"/>
    <d v="1899-12-30T08:00:00"/>
    <d v="1899-12-30T18:00:00"/>
    <n v="0"/>
    <n v="9.0000000000000089"/>
    <n v="9.0000000000000089"/>
    <s v="Normal Working Days before 10pm"/>
    <s v="765 Policies"/>
    <s v=""/>
    <x v="0"/>
  </r>
  <r>
    <x v="1"/>
    <x v="5"/>
    <d v="2017-01-12T00:00:00"/>
    <s v="Thu"/>
    <d v="1899-12-30T08:30:00"/>
    <d v="1899-12-30T17:30:00"/>
    <n v="0"/>
    <n v="7.9999999999999982"/>
    <n v="7.9999999999999982"/>
    <s v="Normal Working Days before 10pm"/>
    <s v="476 Policies"/>
    <s v=""/>
    <x v="0"/>
  </r>
  <r>
    <x v="1"/>
    <x v="5"/>
    <d v="2017-01-13T00:00:00"/>
    <s v="Fri"/>
    <d v="1899-12-30T08:30:00"/>
    <d v="1899-12-30T18:00:00"/>
    <n v="0"/>
    <n v="8.4999999999999911"/>
    <n v="8.4999999999999911"/>
    <s v="Normal Working Days before 10pm"/>
    <s v="540 Policies"/>
    <s v=""/>
    <x v="0"/>
  </r>
  <r>
    <x v="1"/>
    <x v="5"/>
    <d v="2017-01-16T00:00:00"/>
    <s v="Mon"/>
    <d v="1899-12-30T08:30:00"/>
    <d v="1899-12-30T17:30:00"/>
    <n v="0"/>
    <n v="7.9999999999999982"/>
    <n v="7.9999999999999982"/>
    <s v="Normal Working Days before 10pm"/>
    <s v="320 Policies"/>
    <s v=""/>
    <x v="0"/>
  </r>
  <r>
    <x v="1"/>
    <x v="5"/>
    <d v="2017-01-17T00:00:00"/>
    <s v="Tue"/>
    <d v="1899-12-30T08:30:00"/>
    <d v="1899-12-30T17:30:00"/>
    <n v="0"/>
    <n v="7.9999999999999982"/>
    <n v="7.9999999999999982"/>
    <s v="Normal Working Days before 10pm"/>
    <s v="475 Policies"/>
    <s v=""/>
    <x v="0"/>
  </r>
  <r>
    <x v="1"/>
    <x v="5"/>
    <d v="2017-01-18T00:00:00"/>
    <s v="Wed"/>
    <d v="1899-12-30T08:30:00"/>
    <d v="1899-12-30T16:00:00"/>
    <n v="0"/>
    <n v="6.4999999999999982"/>
    <n v="6.4999999999999982"/>
    <s v="Normal Working Days before 10pm"/>
    <s v="479 Policies"/>
    <s v=""/>
    <x v="0"/>
  </r>
  <r>
    <x v="1"/>
    <x v="5"/>
    <d v="2017-01-19T00:00:00"/>
    <s v="Thu"/>
    <d v="1899-12-30T08:30:00"/>
    <d v="1899-12-30T17:30:00"/>
    <n v="0"/>
    <n v="7.9999999999999982"/>
    <n v="7.9999999999999982"/>
    <s v="Normal Working Days before 10pm"/>
    <s v="689 Policies"/>
    <s v=""/>
    <x v="0"/>
  </r>
  <r>
    <x v="1"/>
    <x v="5"/>
    <d v="2017-01-20T00:00:00"/>
    <s v="Fri"/>
    <d v="1899-12-30T08:30:00"/>
    <d v="1899-12-30T17:30:00"/>
    <n v="0"/>
    <n v="7.9999999999999982"/>
    <n v="7.9999999999999982"/>
    <s v="Normal Working Days before 10pm"/>
    <s v="391 Policies"/>
    <s v=""/>
    <x v="0"/>
  </r>
  <r>
    <x v="1"/>
    <x v="5"/>
    <d v="2017-01-23T00:00:00"/>
    <s v="Mon"/>
    <d v="1899-12-30T08:30:00"/>
    <d v="1899-12-30T21:00:00"/>
    <n v="0"/>
    <n v="11.499999999999993"/>
    <n v="11.499999999999993"/>
    <s v="Normal Working Days before 10pm"/>
    <s v="927 Policies"/>
    <s v=""/>
    <x v="0"/>
  </r>
  <r>
    <x v="1"/>
    <x v="5"/>
    <d v="2017-01-24T00:00:00"/>
    <s v="Tue"/>
    <d v="1899-12-30T06:30:00"/>
    <d v="1899-12-30T23:00:00"/>
    <n v="0"/>
    <n v="15.5"/>
    <n v="15.5"/>
    <s v="Normal Working Days before 10pm"/>
    <s v="1633 Policies"/>
    <s v=""/>
    <x v="0"/>
  </r>
  <r>
    <x v="1"/>
    <x v="5"/>
    <d v="2017-01-25T00:00:00"/>
    <s v="Wed"/>
    <d v="1899-12-30T06:00:00"/>
    <d v="1899-12-30T22:00:00"/>
    <n v="0"/>
    <n v="15.000000000000007"/>
    <n v="15.000000000000007"/>
    <s v="Normal Working Days before 10pm"/>
    <s v="1378 Policies"/>
    <s v=""/>
    <x v="0"/>
  </r>
  <r>
    <x v="1"/>
    <x v="5"/>
    <d v="2017-01-26T00:00:00"/>
    <s v="Thu"/>
    <d v="1899-12-30T07:00:00"/>
    <d v="1899-12-30T19:00:00"/>
    <n v="0"/>
    <n v="10.999999999999998"/>
    <n v="10.999999999999998"/>
    <s v="Normal Working Days before 10pm"/>
    <s v="659 Policies"/>
    <s v=""/>
    <x v="0"/>
  </r>
  <r>
    <x v="1"/>
    <x v="6"/>
    <d v="2017-01-03T00:00:00"/>
    <s v="Tue"/>
    <d v="1899-12-30T06:30:00"/>
    <d v="1899-12-30T17:00:00"/>
    <n v="0"/>
    <n v="9.5000000000000018"/>
    <n v="9.5000000000000018"/>
    <s v="Normal Working Days before 10pm"/>
    <s v="2752 Policies"/>
    <s v=""/>
    <x v="0"/>
  </r>
  <r>
    <x v="1"/>
    <x v="6"/>
    <d v="2017-01-04T00:00:00"/>
    <s v="Wed"/>
    <d v="1899-12-30T07:00:00"/>
    <d v="1899-12-30T17:00:00"/>
    <n v="0"/>
    <n v="9"/>
    <n v="9"/>
    <s v="Normal Working Days before 10pm"/>
    <s v="1593 Policies"/>
    <s v=""/>
    <x v="0"/>
  </r>
  <r>
    <x v="1"/>
    <x v="6"/>
    <d v="2017-01-07T00:00:00"/>
    <s v="Sat"/>
    <d v="1899-12-30T08:30:00"/>
    <d v="1899-12-30T12:00:00"/>
    <n v="0"/>
    <n v="3.4999999999999996"/>
    <n v="3.4999999999999996"/>
    <s v="Normal Working Days before 10pm"/>
    <s v="53 Policies and Backlog 255 Policies of Batch 665"/>
    <s v=""/>
    <x v="0"/>
  </r>
  <r>
    <x v="1"/>
    <x v="6"/>
    <d v="2017-01-11T00:00:00"/>
    <s v="Wed"/>
    <d v="1899-12-30T08:00:00"/>
    <d v="1899-12-30T18:00:00"/>
    <n v="0"/>
    <n v="9.0000000000000089"/>
    <n v="9.0000000000000089"/>
    <s v="Normal Working Days before 10pm"/>
    <s v="765 Policies"/>
    <s v=""/>
    <x v="0"/>
  </r>
  <r>
    <x v="1"/>
    <x v="6"/>
    <d v="2017-01-12T00:00:00"/>
    <s v="Thu"/>
    <d v="1899-12-30T08:30:00"/>
    <d v="1899-12-30T12:00:00"/>
    <n v="0"/>
    <n v="2.4999999999999916"/>
    <n v="2.4999999999999916"/>
    <s v="Normal Working Days before 10pm"/>
    <s v="476 Policies"/>
    <s v=""/>
    <x v="0"/>
  </r>
  <r>
    <x v="1"/>
    <x v="6"/>
    <d v="2017-01-13T00:00:00"/>
    <s v="Fri"/>
    <d v="1899-12-30T08:30:00"/>
    <d v="1899-12-30T18:00:00"/>
    <n v="0"/>
    <n v="8.4999999999999911"/>
    <n v="8.4999999999999911"/>
    <s v="Normal Working Days before 10pm"/>
    <s v="540 Policies"/>
    <s v=""/>
    <x v="0"/>
  </r>
  <r>
    <x v="1"/>
    <x v="6"/>
    <d v="2017-01-16T00:00:00"/>
    <s v="Mon"/>
    <d v="1899-12-30T08:30:00"/>
    <d v="1899-12-30T17:30:00"/>
    <n v="0"/>
    <n v="7.9999999999999982"/>
    <n v="7.9999999999999982"/>
    <s v="Normal Working Days before 10pm"/>
    <s v="320 Policies"/>
    <s v=""/>
    <x v="0"/>
  </r>
  <r>
    <x v="1"/>
    <x v="6"/>
    <d v="2017-01-17T00:00:00"/>
    <s v="Tue"/>
    <d v="1899-12-30T08:30:00"/>
    <d v="1899-12-30T17:30:00"/>
    <n v="0"/>
    <n v="7.9999999999999982"/>
    <n v="7.9999999999999982"/>
    <s v="Normal Working Days before 10pm"/>
    <s v="475 Policies"/>
    <s v=""/>
    <x v="0"/>
  </r>
  <r>
    <x v="1"/>
    <x v="6"/>
    <d v="2017-01-18T00:00:00"/>
    <s v="Wed"/>
    <d v="1899-12-30T08:30:00"/>
    <d v="1899-12-30T17:30:00"/>
    <n v="0"/>
    <n v="7.9999999999999982"/>
    <n v="7.9999999999999982"/>
    <s v="Normal Working Days before 10pm"/>
    <s v="479 Policies"/>
    <s v=""/>
    <x v="0"/>
  </r>
  <r>
    <x v="1"/>
    <x v="6"/>
    <d v="2017-01-19T00:00:00"/>
    <s v="Thu"/>
    <d v="1899-12-30T08:30:00"/>
    <d v="1899-12-30T17:30:00"/>
    <n v="0"/>
    <n v="7.9999999999999982"/>
    <n v="7.9999999999999982"/>
    <s v="Normal Working Days before 10pm"/>
    <s v="689 Policies"/>
    <s v=""/>
    <x v="0"/>
  </r>
  <r>
    <x v="1"/>
    <x v="6"/>
    <d v="2017-01-20T00:00:00"/>
    <s v="Fri"/>
    <d v="1899-12-30T08:30:00"/>
    <d v="1899-12-30T17:30:00"/>
    <n v="0"/>
    <n v="7.9999999999999982"/>
    <n v="7.9999999999999982"/>
    <s v="Normal Working Days before 10pm"/>
    <s v="391 Policies"/>
    <s v=""/>
    <x v="0"/>
  </r>
  <r>
    <x v="1"/>
    <x v="7"/>
    <d v="2017-01-01T00:00:00"/>
    <s v="Sun"/>
    <d v="1899-12-30T14:30:00"/>
    <d v="1899-12-30T19:00:00"/>
    <n v="0"/>
    <n v="4.5"/>
    <n v="4.5"/>
    <s v="Normal Working Days before 10pm"/>
    <s v="745 Policies"/>
    <s v=""/>
    <x v="0"/>
  </r>
  <r>
    <x v="1"/>
    <x v="7"/>
    <d v="2017-01-05T00:00:00"/>
    <s v="Thu"/>
    <d v="1899-12-30T14:30:00"/>
    <d v="1899-12-30T20:30:00"/>
    <n v="0"/>
    <n v="6"/>
    <n v="6"/>
    <s v="Normal Working Days before 10pm"/>
    <s v="1063 Policies"/>
    <s v=""/>
    <x v="0"/>
  </r>
  <r>
    <x v="1"/>
    <x v="8"/>
    <d v="2017-01-01T00:00:00"/>
    <s v="Sun"/>
    <d v="1899-12-30T07:00:00"/>
    <d v="1899-12-30T15:00:00"/>
    <n v="0"/>
    <n v="7"/>
    <n v="7"/>
    <s v="Normal Working Days before 10pm"/>
    <s v="745 Policies"/>
    <s v=""/>
    <x v="0"/>
  </r>
  <r>
    <x v="1"/>
    <x v="8"/>
    <d v="2017-01-03T00:00:00"/>
    <s v="Tue"/>
    <d v="1899-12-30T07:00:00"/>
    <d v="1899-12-30T22:00:00"/>
    <n v="0"/>
    <n v="14"/>
    <n v="14"/>
    <s v="Normal Working Days before 10pm"/>
    <s v="2752 Policies"/>
    <s v=""/>
    <x v="0"/>
  </r>
  <r>
    <x v="1"/>
    <x v="8"/>
    <d v="2017-01-04T00:00:00"/>
    <s v="Wed"/>
    <d v="1899-12-30T07:00:00"/>
    <d v="1899-12-30T22:30:00"/>
    <n v="0"/>
    <n v="14.499999999999998"/>
    <n v="14.499999999999998"/>
    <s v="Normal Working Days before 10pm"/>
    <s v="1593 Policies"/>
    <s v=""/>
    <x v="0"/>
  </r>
  <r>
    <x v="1"/>
    <x v="8"/>
    <d v="2017-01-05T00:00:00"/>
    <s v="Thu"/>
    <d v="1899-12-30T09:00:00"/>
    <d v="1899-12-30T20:30:00"/>
    <n v="0"/>
    <n v="10.5"/>
    <n v="10.5"/>
    <s v="Normal Working Days before 10pm"/>
    <s v="1063 Policies"/>
    <s v=""/>
    <x v="0"/>
  </r>
  <r>
    <x v="1"/>
    <x v="8"/>
    <d v="2017-01-23T00:00:00"/>
    <s v="Mon"/>
    <d v="1899-12-30T08:30:00"/>
    <d v="1899-12-30T21:00:00"/>
    <n v="0"/>
    <n v="11.499999999999993"/>
    <n v="11.499999999999993"/>
    <s v="Normal Working Days before 10pm"/>
    <s v="927 Policies"/>
    <s v=""/>
    <x v="0"/>
  </r>
  <r>
    <x v="1"/>
    <x v="8"/>
    <d v="2017-01-24T00:00:00"/>
    <s v="Tue"/>
    <d v="1899-12-30T07:30:00"/>
    <d v="1899-12-30T16:30:00"/>
    <n v="0"/>
    <n v="8"/>
    <n v="8"/>
    <s v="Normal Working Days before 10pm"/>
    <s v="1633 Policies"/>
    <s v=""/>
    <x v="0"/>
  </r>
  <r>
    <x v="1"/>
    <x v="9"/>
    <d v="2017-01-01T00:00:00"/>
    <s v="Sun"/>
    <d v="1899-12-30T07:00:00"/>
    <d v="1899-12-30T19:00:00"/>
    <n v="0"/>
    <n v="10.999999999999998"/>
    <n v="10.999999999999998"/>
    <s v="Normal Working Days before 10pm"/>
    <s v="745 Policies"/>
    <s v=""/>
    <x v="0"/>
  </r>
  <r>
    <x v="1"/>
    <x v="9"/>
    <d v="2017-01-03T00:00:00"/>
    <s v="Tue"/>
    <d v="1899-12-30T14:30:00"/>
    <d v="1899-12-30T22:00:00"/>
    <n v="0"/>
    <n v="7.5"/>
    <n v="7.5"/>
    <s v="Normal Working Days before 10pm"/>
    <s v="2752 Policies"/>
    <s v=""/>
    <x v="0"/>
  </r>
  <r>
    <x v="1"/>
    <x v="9"/>
    <d v="2017-01-04T00:00:00"/>
    <s v="Wed"/>
    <d v="1899-12-30T07:00:00"/>
    <d v="1899-12-30T22:30:00"/>
    <n v="0"/>
    <n v="14.499999999999998"/>
    <n v="14.499999999999998"/>
    <s v="Normal Working Days before 10pm"/>
    <s v="1593 Policies"/>
    <s v=""/>
    <x v="0"/>
  </r>
  <r>
    <x v="1"/>
    <x v="9"/>
    <d v="2017-01-05T00:00:00"/>
    <s v="Thu"/>
    <d v="1899-12-30T07:00:00"/>
    <d v="1899-12-30T20:30:00"/>
    <n v="0"/>
    <n v="12.5"/>
    <n v="12.5"/>
    <s v="Normal Working Days before 10pm"/>
    <s v="1063 Policies"/>
    <s v=""/>
    <x v="0"/>
  </r>
  <r>
    <x v="1"/>
    <x v="9"/>
    <d v="2017-01-13T00:00:00"/>
    <s v="Fri"/>
    <d v="1899-12-30T13:30:00"/>
    <d v="1899-12-30T18:00:00"/>
    <n v="0"/>
    <n v="3.5"/>
    <n v="3.5"/>
    <s v="Normal Working Days before 10pm"/>
    <s v="540 Policies"/>
    <s v=""/>
    <x v="0"/>
  </r>
  <r>
    <x v="1"/>
    <x v="9"/>
    <d v="2017-01-23T00:00:00"/>
    <s v="Mon"/>
    <d v="1899-12-30T09:00:00"/>
    <d v="1899-12-30T21:00:00"/>
    <n v="0"/>
    <n v="11"/>
    <n v="11"/>
    <s v="Normal Working Days before 10pm"/>
    <s v="927 Policies"/>
    <s v=""/>
    <x v="0"/>
  </r>
  <r>
    <x v="1"/>
    <x v="9"/>
    <d v="2017-01-24T00:00:00"/>
    <s v="Tue"/>
    <d v="1899-12-30T07:30:00"/>
    <d v="1899-12-30T22:00:00"/>
    <n v="0"/>
    <n v="13.500000000000007"/>
    <n v="13.500000000000007"/>
    <s v="Normal Working Days before 10pm"/>
    <s v="1633 Policies"/>
    <s v=""/>
    <x v="0"/>
  </r>
  <r>
    <x v="1"/>
    <x v="9"/>
    <d v="2017-01-25T00:00:00"/>
    <s v="Wed"/>
    <d v="1899-12-30T07:00:00"/>
    <d v="1899-12-30T21:00:00"/>
    <n v="0"/>
    <n v="12.999999999999993"/>
    <n v="12.999999999999993"/>
    <s v="Normal Working Days before 10pm"/>
    <s v="1378 Policies"/>
    <s v=""/>
    <x v="0"/>
  </r>
  <r>
    <x v="0"/>
    <x v="0"/>
    <d v="2017-02-03T00:00:00"/>
    <s v="Fri"/>
    <d v="1899-12-30T17:00:00"/>
    <d v="1899-12-30T22:00:00"/>
    <n v="8"/>
    <n v="5.0000000000000107"/>
    <n v="5.0000000000000107"/>
    <s v="Normal Working Days before 10pm"/>
    <s v="Total: 1619 Policies (Batch 20170125_0102: 1357 Policies, Batch 20170202_2151: 19 Policies, Batch 20170203_1149: 130 Policies, Batch 20170203_1452: 113 Policies)"/>
    <n v="1"/>
    <x v="1"/>
  </r>
  <r>
    <x v="0"/>
    <x v="0"/>
    <d v="2017-02-04T00:00:00"/>
    <s v="Sat"/>
    <d v="1899-12-30T07:00:00"/>
    <d v="1899-12-30T17:00:00"/>
    <n v="8"/>
    <n v="0.99999999999998046"/>
    <n v="8.9999999999999805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0"/>
    <x v="0"/>
    <d v="2017-02-05T00:00:00"/>
    <s v="Sun"/>
    <d v="1899-12-30T07:00:00"/>
    <d v="1899-12-30T17:00:00"/>
    <n v="0"/>
    <n v="8.999999999999984"/>
    <n v="8.999999999999984"/>
    <s v="Saturday/Sunday (Weekends) before 10pm"/>
    <s v="Total: 1619 Policies (Batch 20170125_0102: 1357 Policies, Batch 20170202_2151: 19 Policies, Batch 20170203_1149: 130 Policies, Batch 20170203_1452: 113 Policies)"/>
    <n v="1"/>
    <x v="1"/>
  </r>
  <r>
    <x v="0"/>
    <x v="0"/>
    <d v="2017-02-15T00:00:00"/>
    <s v="Wed"/>
    <d v="1899-12-30T17:30:00"/>
    <d v="1899-12-30T20:30:00"/>
    <n v="8"/>
    <n v="2.9999999999999947"/>
    <n v="2.9999999999999947"/>
    <s v="Normal Working Days before 10pm"/>
    <s v="Total: 522 Policies (Batch 20170214_1455: 160 Policies, Batch 20170214_2142: 113 Policies, Batch 20170215_1205: 249 Policies,UL Cert Printing (650 Cert.))"/>
    <n v="1"/>
    <x v="1"/>
  </r>
  <r>
    <x v="0"/>
    <x v="0"/>
    <d v="2017-02-17T00:00:00"/>
    <s v="Fri"/>
    <d v="1899-12-30T17:30:00"/>
    <d v="1899-12-30T19:00:00"/>
    <n v="8"/>
    <n v="1.4999999999999947"/>
    <n v="1.4999999999999947"/>
    <s v="Normal Working Days before 10pm"/>
    <s v="Total: 519 Policies (Batch 20170216_1549: 144 Policies, Batch 20170216_2216: 113 Policies, Batch 20170217_1403: 262 Policies, Ant Stm testing)"/>
    <s v=""/>
    <x v="1"/>
  </r>
  <r>
    <x v="0"/>
    <x v="0"/>
    <d v="2017-02-20T00:00:00"/>
    <s v="Mon"/>
    <d v="1899-12-30T17:00:00"/>
    <d v="1899-12-30T18:30:00"/>
    <n v="8"/>
    <n v="1.4999999999999982"/>
    <n v="1.4999999999999982"/>
    <s v="Normal Working Days before 10pm"/>
    <s v="Total: 335 Policies (Batch 20170217_1514: 21 Policies, Batch 20170217_2112: 202 Policies, Batch 20170220_1149: 90 Policies, Batch 20170220_1453: 22 Policies, Endorsement Testing)"/>
    <s v=""/>
    <x v="1"/>
  </r>
  <r>
    <x v="0"/>
    <x v="0"/>
    <d v="2017-02-21T00:00:00"/>
    <s v="Tue"/>
    <d v="1899-12-30T17:00:00"/>
    <d v="1899-12-30T23:00:00"/>
    <n v="8"/>
    <n v="5.9999999999999964"/>
    <n v="5.9999999999999964"/>
    <s v="Normal Working Days after 10pm"/>
    <s v="Total: 743 Policies (Batch 20170220_2219: 494 Policies, Batch 20170221_1202: 155 Policies, Batch 20170221_1442: 94 Policies, Anl Stm go live)"/>
    <n v="1"/>
    <x v="1"/>
  </r>
  <r>
    <x v="0"/>
    <x v="0"/>
    <d v="2017-02-25T00:00:00"/>
    <s v="Sat"/>
    <d v="1899-12-30T08:30:00"/>
    <d v="1899-12-30T19:00:00"/>
    <n v="8"/>
    <n v="1.4999999999999947"/>
    <n v="9.4999999999999947"/>
    <s v="Saturday/Sunday (Weekends) before 10pm"/>
    <s v="Total: 712 Policies (Batch 20170224_1146: 212 Policies, Batch 20170224_1501: 237 Policies, Batch 20170224_2239: 263 Policies)"/>
    <s v=""/>
    <x v="1"/>
  </r>
  <r>
    <x v="0"/>
    <x v="0"/>
    <d v="2017-02-26T00:00:00"/>
    <s v="Sun"/>
    <d v="1899-12-30T08:30:00"/>
    <d v="1899-12-30T17:30:00"/>
    <n v="0"/>
    <n v="7.9999999999999982"/>
    <n v="7.9999999999999982"/>
    <s v="Saturday/Sunday (Weekends) before 10pm"/>
    <s v="Total: 862 Policies (Batch 20170225_1211:282 Policies, Batch 20170225_1533: 189 Policies, Batch 20170225_2110: 293 Policies, Batch 20170226_1156: 98 Policies)"/>
    <n v="1"/>
    <x v="1"/>
  </r>
  <r>
    <x v="0"/>
    <x v="0"/>
    <d v="2017-02-27T00:00:00"/>
    <s v="Mon"/>
    <d v="1899-12-30T17:30:00"/>
    <d v="1899-12-30T21:15:00"/>
    <n v="8"/>
    <n v="3.7499999999999858"/>
    <n v="3.7499999999999858"/>
    <s v="Normal Working Days before 10pm"/>
    <s v="Total: 630 Policies (Batch 20170226_1506: 188 Policies, Batch 20170226_2141: 263 Policies, Batch 20170227_1149: 179 Policies, Anl Stm )"/>
    <n v="1"/>
    <x v="1"/>
  </r>
  <r>
    <x v="0"/>
    <x v="0"/>
    <d v="2017-02-28T00:00:00"/>
    <s v="Tue"/>
    <d v="1899-12-30T17:30:00"/>
    <d v="1899-12-30T21:30:00"/>
    <n v="8"/>
    <n v="3.9999999999999822"/>
    <n v="3.9999999999999822"/>
    <s v="Normal Working Days before 10pm"/>
    <s v="Total: 1181 Policies (Batch 20170227_1519: 134 Policies, Batch 20170227_2330: 592 Policies, Batch 20170228_1153: 299 Policies, Batch 20170228_1508: 156 Policies)"/>
    <n v="1"/>
    <x v="1"/>
  </r>
  <r>
    <x v="0"/>
    <x v="2"/>
    <d v="2017-02-03T00:00:00"/>
    <s v="Fri"/>
    <d v="1899-12-30T17:00:00"/>
    <d v="1899-12-30T22:00:00"/>
    <n v="8"/>
    <n v="5.0000000000000107"/>
    <n v="5.0000000000000107"/>
    <s v="Normal Working Days before 10pm"/>
    <s v="Total: 1619 Policies (Batch 20170125_0102: 1357 Policies, Batch 20170202_2151: 19 Policies, Batch 20170203_1149: 130 Policies, Batch 20170203_1452: 113 Policies)"/>
    <n v="1"/>
    <x v="1"/>
  </r>
  <r>
    <x v="0"/>
    <x v="2"/>
    <d v="2017-02-04T00:00:00"/>
    <s v="Sat"/>
    <d v="1899-12-30T07:00:00"/>
    <d v="1899-12-30T17:00:00"/>
    <n v="8"/>
    <n v="0.99999999999998046"/>
    <n v="8.9999999999999805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0"/>
    <x v="2"/>
    <d v="2017-02-05T00:00:00"/>
    <s v="Sun"/>
    <d v="1899-12-30T07:00:00"/>
    <d v="1899-12-30T17:00:00"/>
    <n v="0"/>
    <n v="8.999999999999984"/>
    <n v="8.999999999999984"/>
    <s v="Saturday/Sunday (Weekends) before 10pm"/>
    <s v="Total: 1619 Policies (Batch 20170125_0102: 1357 Policies, Batch 20170202_2151: 19 Policies, Batch 20170203_1149: 130 Policies, Batch 20170203_1452: 113 Policies)"/>
    <n v="1"/>
    <x v="1"/>
  </r>
  <r>
    <x v="0"/>
    <x v="2"/>
    <d v="2017-02-06T00:00:00"/>
    <s v="Mon"/>
    <d v="1899-12-30T17:30:00"/>
    <d v="1899-12-30T18:00:00"/>
    <n v="8"/>
    <n v="0.49999999999998757"/>
    <n v="0.49999999999998757"/>
    <s v="Normal Working Days before 10pm"/>
    <s v="Total: 569 Policies (Batch 20170125_0102: 569 Policies)"/>
    <s v=""/>
    <x v="1"/>
  </r>
  <r>
    <x v="0"/>
    <x v="2"/>
    <d v="2017-02-07T00:00:00"/>
    <s v="Tue"/>
    <d v="1899-12-30T17:00:00"/>
    <d v="1899-12-30T19:00:00"/>
    <n v="8"/>
    <n v="2.0000000000000124"/>
    <n v="2.0000000000000124"/>
    <s v="Normal Working Days before 10pm"/>
    <s v="Total: 819 Policies (Batch 20170206_1152: 7 Policies, Batch 20170206_1509: 76 Policies, Batch 20170206_2255: 458 Policies, Batch 20170207_1208: 278 Policies)"/>
    <n v="1"/>
    <x v="1"/>
  </r>
  <r>
    <x v="0"/>
    <x v="2"/>
    <d v="2017-02-08T00:00:00"/>
    <s v="Wed"/>
    <d v="1899-12-30T17:00:00"/>
    <d v="1899-12-30T17:30:00"/>
    <n v="8"/>
    <n v="0.50000000000001243"/>
    <n v="0.50000000000001243"/>
    <s v="Normal Working Days before 10pm"/>
    <s v="Total: 613 Policies (Batch 20170207_2115: 613 Policies)"/>
    <s v=""/>
    <x v="1"/>
  </r>
  <r>
    <x v="0"/>
    <x v="2"/>
    <d v="2017-02-09T00:00:00"/>
    <s v="Thu"/>
    <d v="1899-12-30T17:00:00"/>
    <d v="1899-12-30T17:30:00"/>
    <n v="8"/>
    <n v="0.50000000000001243"/>
    <n v="0.50000000000001243"/>
    <s v="Normal Working Days before 10pm"/>
    <s v="Total: 549 Policies (Batch 20170208_1201: 243 Policies, Batch 20170208_1510: 164 Policies ,Batch 20170208_2111: 142 Policies)"/>
    <s v=""/>
    <x v="1"/>
  </r>
  <r>
    <x v="0"/>
    <x v="2"/>
    <d v="2017-02-10T00:00:00"/>
    <s v="Fri"/>
    <d v="1899-12-30T17:00:00"/>
    <d v="1899-12-30T17:30:00"/>
    <n v="8"/>
    <n v="0.50000000000001243"/>
    <n v="0.50000000000001243"/>
    <s v="Normal Working Days before 10pm"/>
    <s v="Total: 604 Policies (Batch 20170209_1147: 152 Policies, Batch 20170209_1505: 84 Policies, Batch 20170209_2247: 289 Policies, Batch 20170210_1149: 79 Policies)"/>
    <s v=""/>
    <x v="1"/>
  </r>
  <r>
    <x v="0"/>
    <x v="2"/>
    <d v="2017-02-17T00:00:00"/>
    <s v="Fri"/>
    <d v="1899-12-30T17:30:00"/>
    <d v="1899-12-30T19:00:00"/>
    <n v="8"/>
    <n v="1.4999999999999947"/>
    <n v="1.4999999999999947"/>
    <s v="Normal Working Days before 10pm"/>
    <s v="Total: 519 Policies (Batch 20170216_1549: 144 Policies, Batch 20170216_2216: 113 Policies, Batch 20170217_1403: 262 Policies, Ant Stm testing)"/>
    <s v=""/>
    <x v="1"/>
  </r>
  <r>
    <x v="0"/>
    <x v="2"/>
    <d v="2017-02-20T00:00:00"/>
    <s v="Mon"/>
    <d v="1899-12-30T17:30:00"/>
    <d v="1899-12-30T18:30:00"/>
    <n v="8"/>
    <n v="0.99999999999998046"/>
    <n v="0.99999999999998046"/>
    <s v="Normal Working Days before 10pm"/>
    <s v="Total: 335 Policies (Batch 20170217_1514: 21 Policies, Batch 20170217_2112: 202 Policies, Batch 20170220_1149: 90 Policies, Batch 20170220_1453: 22 Policies, Endorsement Testing)"/>
    <s v=""/>
    <x v="1"/>
  </r>
  <r>
    <x v="0"/>
    <x v="2"/>
    <d v="2017-02-21T00:00:00"/>
    <s v="Tue"/>
    <d v="1899-12-30T17:30:00"/>
    <d v="1899-12-30T23:00:00"/>
    <n v="8"/>
    <n v="5.4999999999999822"/>
    <n v="5.4999999999999822"/>
    <s v="Normal Working Days after 10pm"/>
    <s v="Total: 743 Policies (Batch 20170220_2219: 494 Policies, Batch 20170221_1202: 155 Policies, Batch 20170221_1442: 94 Policies, Anl Stm go live)"/>
    <n v="1"/>
    <x v="1"/>
  </r>
  <r>
    <x v="0"/>
    <x v="2"/>
    <d v="2017-02-25T00:00:00"/>
    <s v="Sat"/>
    <d v="1899-12-30T08:30:00"/>
    <d v="1899-12-30T19:00:00"/>
    <n v="8"/>
    <n v="1.4999999999999947"/>
    <n v="9.4999999999999947"/>
    <s v="Saturday/Sunday (Weekends) before 10pm"/>
    <s v="Total: 712 Policies (Batch 20170224_1146: 212 Policies, Batch 20170224_1501: 237 Policies, Batch 20170224_2239: 263 Policies)"/>
    <s v=""/>
    <x v="1"/>
  </r>
  <r>
    <x v="0"/>
    <x v="2"/>
    <d v="2017-02-26T00:00:00"/>
    <s v="Sun"/>
    <d v="1899-12-30T08:30:00"/>
    <d v="1899-12-30T17:30:00"/>
    <n v="0"/>
    <n v="7.9999999999999982"/>
    <n v="7.9999999999999982"/>
    <s v="Saturday/Sunday (Weekends) before 10pm"/>
    <s v="Total: 862 Policies (Batch 20170225_1211:282 Policies, Batch 20170225_1533: 189 Policies, Batch 20170225_2110: 293 Policies, Batch 20170226_1156: 98 Policies)"/>
    <n v="1"/>
    <x v="1"/>
  </r>
  <r>
    <x v="0"/>
    <x v="2"/>
    <d v="2017-02-27T00:00:00"/>
    <s v="Mon"/>
    <d v="1899-12-30T17:00:00"/>
    <d v="1899-12-30T21:15:00"/>
    <n v="8"/>
    <n v="4.2500000000000053"/>
    <n v="4.2500000000000053"/>
    <s v="Normal Working Days before 10pm"/>
    <s v="Total: 630 Policies (Batch 20170226_1506: 188 Policies, Batch 20170226_2141: 263 Policies, Batch 20170227_1149: 179 Policies, Anl Stm )"/>
    <n v="1"/>
    <x v="1"/>
  </r>
  <r>
    <x v="0"/>
    <x v="2"/>
    <d v="2017-02-28T00:00:00"/>
    <s v="Tue"/>
    <d v="1899-12-30T17:00:00"/>
    <d v="1899-12-30T21:30:00"/>
    <n v="8"/>
    <n v="4.4999999999999964"/>
    <n v="4.4999999999999964"/>
    <s v="Normal Working Days before 10pm"/>
    <s v="Total: 1181 Policies (Batch 20170227_1519: 134 Policies, Batch 20170227_2330: 592 Policies, Batch 20170228_1153: 299 Policies, Batch 20170228_1508: 156 Policies)"/>
    <n v="1"/>
    <x v="1"/>
  </r>
  <r>
    <x v="0"/>
    <x v="3"/>
    <d v="2017-02-03T00:00:00"/>
    <s v="Fri"/>
    <d v="1899-12-30T17:00:00"/>
    <d v="1899-12-30T21:00:00"/>
    <n v="8"/>
    <n v="4.0000000000000036"/>
    <n v="4.0000000000000036"/>
    <s v="Normal Working Days before 10pm"/>
    <s v="Total: 1619 Policies (Batch 20170125_0102: 1357 Policies, Batch 20170202_2151: 19 Policies, Batch 20170203_1149: 130 Policies, Batch 20170203_1452: 113 Policies)"/>
    <n v="1"/>
    <x v="1"/>
  </r>
  <r>
    <x v="0"/>
    <x v="3"/>
    <d v="2017-02-04T00:00:00"/>
    <s v="Sat"/>
    <d v="1899-12-30T07:00:00"/>
    <d v="1899-12-30T17:00:00"/>
    <n v="8"/>
    <n v="0.99999999999998046"/>
    <n v="8.9999999999999805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0"/>
    <x v="3"/>
    <d v="2017-02-06T00:00:00"/>
    <s v="Mon"/>
    <d v="1899-12-30T17:30:00"/>
    <d v="1899-12-30T18:00:00"/>
    <n v="8"/>
    <n v="0.49999999999998757"/>
    <n v="0.49999999999998757"/>
    <s v="Normal Working Days before 10pm"/>
    <s v="Total: 569 Policies (Batch 20170125_0102: 569 Policies)"/>
    <s v=""/>
    <x v="1"/>
  </r>
  <r>
    <x v="0"/>
    <x v="3"/>
    <d v="2017-02-07T00:00:00"/>
    <s v="Tue"/>
    <d v="1899-12-30T17:30:00"/>
    <d v="1899-12-30T19:00:00"/>
    <n v="8"/>
    <n v="1.4999999999999947"/>
    <n v="1.4999999999999947"/>
    <s v="Normal Working Days before 10pm"/>
    <s v="Total: 819 Policies (Batch 20170206_1152: 7 Policies, Batch 20170206_1509: 76 Policies, Batch 20170206_2255: 458 Policies, Batch 20170207_1208: 278 Policies)"/>
    <s v=""/>
    <x v="1"/>
  </r>
  <r>
    <x v="0"/>
    <x v="3"/>
    <d v="2017-02-21T00:00:00"/>
    <s v="Tue"/>
    <d v="1899-12-30T17:00:00"/>
    <d v="1899-12-30T21:15:00"/>
    <n v="8"/>
    <n v="4.2500000000000107"/>
    <n v="4.2500000000000107"/>
    <s v="Normal Working Days before 10pm"/>
    <s v="Total: 743 Policies (Batch 20170220_2219: 494 Policies, Batch 20170221_1202: 155 Policies, Batch 20170221_1442: 94 Policies, Anl Stm go live)"/>
    <n v="1"/>
    <x v="1"/>
  </r>
  <r>
    <x v="0"/>
    <x v="3"/>
    <d v="2017-02-28T00:00:00"/>
    <s v="Tue"/>
    <d v="1899-12-30T17:30:00"/>
    <d v="1899-12-30T19:30:00"/>
    <n v="8"/>
    <n v="1.9999999999999876"/>
    <n v="1.9999999999999876"/>
    <s v="Normal Working Days before 10pm"/>
    <s v="Total: 1181 Policies (Batch 20170227_1519: 134 Policies, Batch 20170227_2330: 592 Policies, Batch 20170228_1153: 299 Policies, Batch 20170228_1508: 156 Policies)"/>
    <s v=""/>
    <x v="1"/>
  </r>
  <r>
    <x v="0"/>
    <x v="4"/>
    <d v="2017-02-06T00:00:00"/>
    <s v="Mon"/>
    <d v="1899-12-30T17:30:00"/>
    <d v="1899-12-30T18:00:00"/>
    <n v="8"/>
    <n v="0.49999999999998757"/>
    <n v="0.49999999999998757"/>
    <s v="Normal Working Days before 10pm"/>
    <s v="Total: 569 Policies (Batch 20170125_0102: 569 Policies)"/>
    <s v=""/>
    <x v="1"/>
  </r>
  <r>
    <x v="0"/>
    <x v="4"/>
    <d v="2017-02-07T00:00:00"/>
    <s v="Tue"/>
    <d v="1899-12-30T17:30:00"/>
    <d v="1899-12-30T19:00:00"/>
    <n v="8"/>
    <n v="1.4999999999999947"/>
    <n v="1.4999999999999947"/>
    <s v="Normal Working Days before 10pm"/>
    <s v="Total: 819 Policies (Batch 20170206_1152: 7 Policies, Batch 20170206_1509: 76 Policies, Batch 20170206_2255: 458 Policies, Batch 20170207_1208: 278 Policies)"/>
    <s v=""/>
    <x v="1"/>
  </r>
  <r>
    <x v="0"/>
    <x v="4"/>
    <d v="2017-02-21T00:00:00"/>
    <s v="Tue"/>
    <d v="1899-12-30T17:30:00"/>
    <d v="1899-12-30T21:15:00"/>
    <n v="8"/>
    <n v="3.7499999999999964"/>
    <n v="3.7499999999999964"/>
    <s v="Normal Working Days before 10pm"/>
    <s v="Total: 743 Policies (Batch 20170220_2219: 494 Policies, Batch 20170221_1202: 155 Policies, Batch 20170221_1442: 94 Policies, Anl Stm go live)"/>
    <n v="1"/>
    <x v="1"/>
  </r>
  <r>
    <x v="0"/>
    <x v="4"/>
    <d v="2017-02-25T00:00:00"/>
    <s v="Sat"/>
    <d v="1899-12-30T08:30:00"/>
    <d v="1899-12-30T19:00:00"/>
    <n v="8"/>
    <n v="1.4999999999999947"/>
    <n v="9.4999999999999947"/>
    <s v="Saturday/Sunday (Weekends) before 10pm"/>
    <s v="Total: 712 Policies (Batch 20170224_1146: 212 Policies, Batch 20170224_1501: 237 Policies, Batch 20170224_2239: 263 Policies)"/>
    <s v=""/>
    <x v="1"/>
  </r>
  <r>
    <x v="0"/>
    <x v="4"/>
    <d v="2017-02-26T00:00:00"/>
    <s v="Sun"/>
    <d v="1899-12-30T08:30:00"/>
    <d v="1899-12-30T17:30:00"/>
    <n v="0"/>
    <n v="7.9999999999999982"/>
    <n v="7.9999999999999982"/>
    <s v="Saturday/Sunday (Weekends) before 10pm"/>
    <s v="Total: 862 Policies (Batch 20170225_1211:282 Policies, Batch 20170225_1533: 189 Policies, Batch 20170225_2110: 293 Policies, Batch 20170226_1156: 98 Policies)"/>
    <n v="1"/>
    <x v="1"/>
  </r>
  <r>
    <x v="0"/>
    <x v="4"/>
    <d v="2017-02-27T00:00:00"/>
    <s v="Mon"/>
    <d v="1899-12-30T17:30:00"/>
    <d v="1899-12-30T21:15:00"/>
    <n v="8"/>
    <n v="3.7499999999999858"/>
    <n v="3.7499999999999858"/>
    <s v="Normal Working Days before 10pm"/>
    <s v="Total: 630 Policies (Batch 20170226_1506: 188 Policies, Batch 20170226_2141: 263 Policies, Batch 20170227_1149: 179 Policies, Anl Stm )"/>
    <n v="1"/>
    <x v="1"/>
  </r>
  <r>
    <x v="0"/>
    <x v="4"/>
    <d v="2017-02-28T00:00:00"/>
    <s v="Tue"/>
    <d v="1899-12-30T17:30:00"/>
    <d v="1899-12-30T21:30:00"/>
    <n v="8"/>
    <n v="3.9999999999999822"/>
    <n v="3.9999999999999822"/>
    <s v="Normal Working Days before 10pm"/>
    <s v="Total: 1181 Policies (Batch 20170227_1519: 134 Policies, Batch 20170227_2330: 592 Policies, Batch 20170228_1153: 299 Policies, Batch 20170228_1508: 156 Policies)"/>
    <n v="1"/>
    <x v="1"/>
  </r>
  <r>
    <x v="1"/>
    <x v="5"/>
    <d v="2017-02-03T00:00:00"/>
    <s v="Fri"/>
    <d v="1899-12-30T08:00:00"/>
    <d v="1899-12-30T22:00:00"/>
    <n v="0"/>
    <n v="13.000000000000014"/>
    <n v="13.000000000000014"/>
    <s v="Normal Working Days before 10pm"/>
    <s v="Total: 1619 Policies (Batch 20170125_0102: 1357 Policies, Batch 20170202_2151: 19 Policies, Batch 20170203_1149: 130 Policies, Batch 20170203_1452: 113 Policies)"/>
    <s v=""/>
    <x v="1"/>
  </r>
  <r>
    <x v="1"/>
    <x v="5"/>
    <d v="2017-02-04T00:00:00"/>
    <s v="Sat"/>
    <d v="1899-12-30T07:00:00"/>
    <d v="1899-12-30T17:00:00"/>
    <n v="0"/>
    <n v="8.999999999999984"/>
    <n v="8.999999999999984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1"/>
    <x v="5"/>
    <d v="2017-02-05T00:00:00"/>
    <s v="Sun"/>
    <d v="1899-12-30T07:00:00"/>
    <d v="1899-12-30T17:00:00"/>
    <n v="0"/>
    <n v="8.999999999999984"/>
    <n v="8.999999999999984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1"/>
    <x v="5"/>
    <d v="2017-02-06T00:00:00"/>
    <s v="Mon"/>
    <d v="1899-12-30T08:30:00"/>
    <d v="1899-12-30T18:00:00"/>
    <n v="0"/>
    <n v="8.4999999999999911"/>
    <n v="8.4999999999999911"/>
    <s v="Normal Working Days before 10pm"/>
    <s v="Total: 569 Policies (Batch 20170125_0102: 569 Policies)"/>
    <s v=""/>
    <x v="1"/>
  </r>
  <r>
    <x v="1"/>
    <x v="5"/>
    <d v="2017-02-07T00:00:00"/>
    <s v="Tue"/>
    <d v="1899-12-30T08:30:00"/>
    <d v="1899-12-30T19:00:00"/>
    <n v="0"/>
    <n v="9.4999999999999982"/>
    <n v="9.4999999999999982"/>
    <s v="Normal Working Days before 10pm"/>
    <s v="Total: 819 Policies (Batch 20170206_1152: 7 Policies, Batch 20170206_1509: 76 Policies, Batch 20170206_2255: 458 Policies, Batch 20170207_1208: 278 Policies)"/>
    <s v=""/>
    <x v="1"/>
  </r>
  <r>
    <x v="1"/>
    <x v="5"/>
    <d v="2017-02-08T00:00:00"/>
    <s v="Wed"/>
    <d v="1899-12-30T08:30:00"/>
    <d v="1899-12-30T17:30:00"/>
    <n v="0"/>
    <n v="7.9999999999999982"/>
    <n v="7.9999999999999982"/>
    <s v="Normal Working Days before 10pm"/>
    <s v="Total: 613 Policies (Batch 20170207_2115: 613 Policies)"/>
    <s v=""/>
    <x v="1"/>
  </r>
  <r>
    <x v="1"/>
    <x v="5"/>
    <d v="2017-02-09T00:00:00"/>
    <s v="Thu"/>
    <d v="1899-12-30T08:30:00"/>
    <d v="1899-12-30T17:30:00"/>
    <n v="0"/>
    <n v="7.9999999999999982"/>
    <n v="7.9999999999999982"/>
    <s v="Normal Working Days before 10pm"/>
    <s v="Total: 549 Policies (Batch 20170208_1201: 243 Policies, Batch 20170208_1510: 164 Policies ,Batch 20170208_2111: 142 Policies)"/>
    <s v=""/>
    <x v="1"/>
  </r>
  <r>
    <x v="1"/>
    <x v="5"/>
    <d v="2017-02-10T00:00:00"/>
    <s v="Fri"/>
    <d v="1899-12-30T08:30:00"/>
    <d v="1899-12-30T17:30:00"/>
    <n v="0"/>
    <n v="7.9999999999999982"/>
    <n v="7.9999999999999982"/>
    <s v="Normal Working Days before 10pm"/>
    <s v="Total: 604 Policies (Batch 20170209_1147: 152 Policies, Batch 20170209_1505: 84 Policies, Batch 20170209_2247: 289 Policies, Batch 20170210_1149: 79 Policies)"/>
    <s v=""/>
    <x v="1"/>
  </r>
  <r>
    <x v="1"/>
    <x v="5"/>
    <d v="2017-02-13T00:00:00"/>
    <s v="Mon"/>
    <d v="1899-12-30T08:30:00"/>
    <d v="1899-12-30T17:00:00"/>
    <n v="0"/>
    <n v="7.499999999999984"/>
    <n v="7.499999999999984"/>
    <s v="Normal Working Days before 10pm"/>
    <s v="Total: 588 Policies (Batch 20170210_1505: 166 Policies, Batch 20170210_2320: 257 Policies, Batch 20170213_1201: 165 Policies)"/>
    <s v=""/>
    <x v="1"/>
  </r>
  <r>
    <x v="1"/>
    <x v="5"/>
    <d v="2017-02-14T00:00:00"/>
    <s v="Tue"/>
    <d v="1899-12-30T08:30:00"/>
    <d v="1899-12-30T17:30:00"/>
    <n v="0"/>
    <n v="7.9999999999999982"/>
    <n v="7.9999999999999982"/>
    <s v="Normal Working Days before 10pm"/>
    <s v="Total: 406 Policies (Batch 20170213_1503: 16 Policies, Batch 20170213_2201: 293 Policies, Batch 20170214_1155: 97 Policies)"/>
    <s v=""/>
    <x v="1"/>
  </r>
  <r>
    <x v="1"/>
    <x v="5"/>
    <d v="2017-02-15T00:00:00"/>
    <s v="Wed"/>
    <d v="1899-12-30T08:30:00"/>
    <d v="1899-12-30T17:30:00"/>
    <n v="0"/>
    <n v="7.9999999999999982"/>
    <n v="7.9999999999999982"/>
    <s v="Normal Working Days before 10pm"/>
    <s v="Total: 522 Policies (Batch 20170214_1455: 160 Policies, Batch 20170214_2142: 113 Policies, Batch 20170215_1205: 249 Policies)"/>
    <s v=""/>
    <x v="1"/>
  </r>
  <r>
    <x v="1"/>
    <x v="5"/>
    <d v="2017-02-16T00:00:00"/>
    <s v="Thu"/>
    <d v="1899-12-30T08:30:00"/>
    <d v="1899-12-30T17:30:00"/>
    <n v="0"/>
    <n v="7.9999999999999982"/>
    <n v="7.9999999999999982"/>
    <s v="Normal Working Days before 10pm"/>
    <s v="Total: 504 Policies (Batch 20170215_1501: 206 Policies, Batch 20170215_2157: 181 Policies, Batch 20170216_1155: 117 Policies)"/>
    <s v=""/>
    <x v="1"/>
  </r>
  <r>
    <x v="1"/>
    <x v="5"/>
    <d v="2017-02-17T00:00:00"/>
    <s v="Fri"/>
    <d v="1899-12-30T08:30:00"/>
    <d v="1899-12-30T17:30:00"/>
    <n v="0"/>
    <n v="7.9999999999999982"/>
    <n v="7.9999999999999982"/>
    <s v="Normal Working Days before 10pm"/>
    <s v="Total: 519 Policies (Batch 20170216_1549: 144 Policies, Batch 20170216_2216: 113 Policies, Batch 20170217_1403: 262 Policies)"/>
    <s v=""/>
    <x v="1"/>
  </r>
  <r>
    <x v="1"/>
    <x v="5"/>
    <d v="2017-02-20T00:00:00"/>
    <s v="Mon"/>
    <d v="1899-12-30T08:30:00"/>
    <d v="1899-12-30T17:30:00"/>
    <n v="0"/>
    <n v="7.9999999999999982"/>
    <n v="7.9999999999999982"/>
    <s v="Normal Working Days before 10pm"/>
    <s v="Total: 335 Policies (Batch 20170217_1514: 21 Policies, Batch 20170217_2112: 202 Policies, Batch 20170220_1149: 90 Policies, Batch 20170220_1453: 22 Policies, Endorsement Testing)"/>
    <s v=""/>
    <x v="1"/>
  </r>
  <r>
    <x v="1"/>
    <x v="5"/>
    <d v="2017-02-21T00:00:00"/>
    <s v="Tue"/>
    <d v="1899-12-30T08:30:00"/>
    <d v="1899-12-30T17:30:00"/>
    <n v="0"/>
    <n v="7.9999999999999982"/>
    <n v="7.9999999999999982"/>
    <s v="Normal Working Days before 10pm"/>
    <s v="Total: 743 Policies (Batch 20170220_2219: 494 Policies, Batch 20170221_1202: 155 Policies, Batch 20170221_1442: 94 Policies, Anl Stm go live)"/>
    <s v=""/>
    <x v="1"/>
  </r>
  <r>
    <x v="1"/>
    <x v="5"/>
    <d v="2017-02-22T00:00:00"/>
    <s v="Wed"/>
    <d v="1899-12-30T08:30:00"/>
    <d v="1899-12-30T17:30:00"/>
    <n v="0"/>
    <n v="7.9999999999999982"/>
    <n v="7.9999999999999982"/>
    <s v="Normal Working Days before 10pm"/>
    <s v="Total: 587 Policies (Batch 20170221_2155: 472 Policies, Batch 20170222_1151: 115 Policies)"/>
    <s v=""/>
    <x v="1"/>
  </r>
  <r>
    <x v="1"/>
    <x v="5"/>
    <d v="2017-02-23T00:00:00"/>
    <s v="Thu"/>
    <d v="1899-12-30T08:30:00"/>
    <d v="1899-12-30T17:30:00"/>
    <n v="0"/>
    <n v="7.9999999999999982"/>
    <n v="7.9999999999999982"/>
    <s v="Normal Working Days before 10pm"/>
    <s v="Total: 475 Policies (Batch 20170222_2207: 243 Policies, Batch 20170223_1108: 232 Policies)"/>
    <s v=""/>
    <x v="1"/>
  </r>
  <r>
    <x v="1"/>
    <x v="5"/>
    <d v="2017-02-24T00:00:00"/>
    <s v="Fri"/>
    <d v="1899-12-30T08:30:00"/>
    <d v="1899-12-30T16:30:00"/>
    <n v="0"/>
    <n v="6.9999999999999911"/>
    <n v="6.9999999999999911"/>
    <s v="Normal Working Days before 10pm"/>
    <s v="Total: 495 Policies (Batch 20170222_1454: 198 Policies, Batch 20170223_2124: 297 Policies)"/>
    <s v=""/>
    <x v="1"/>
  </r>
  <r>
    <x v="1"/>
    <x v="5"/>
    <d v="2017-02-27T00:00:00"/>
    <s v="Mon"/>
    <d v="1899-12-30T08:30:00"/>
    <d v="1899-12-30T17:30:00"/>
    <n v="0"/>
    <n v="7.9999999999999982"/>
    <n v="7.9999999999999982"/>
    <s v="Normal Working Days before 10pm"/>
    <s v="Total: 630 Policies (Batch 20170226_1506: 188 Policies, Batch 20170226_2141: 263 Policies, Batch 20170227_1149: 179 Policies, Anl Stm )"/>
    <s v=""/>
    <x v="1"/>
  </r>
  <r>
    <x v="1"/>
    <x v="5"/>
    <d v="2017-02-28T00:00:00"/>
    <s v="Tue"/>
    <d v="1899-12-30T08:30:00"/>
    <d v="1899-12-30T21:30:00"/>
    <n v="0"/>
    <n v="11.999999999999986"/>
    <n v="11.999999999999986"/>
    <s v="Normal Working Days before 10pm"/>
    <s v="Total: 1181 Policies (Batch 20170227_1519: 134 Policies, Batch 20170227_2330: 592 Policies, Batch 20170228_1153: 299 Policies, Batch 20170228_1508: 156 Policies)"/>
    <s v=""/>
    <x v="1"/>
  </r>
  <r>
    <x v="0"/>
    <x v="6"/>
    <d v="2017-02-03T00:00:00"/>
    <s v="Fri"/>
    <d v="1899-12-30T17:30:00"/>
    <d v="1899-12-30T22:00:00"/>
    <n v="8"/>
    <n v="4.4999999999999964"/>
    <n v="4.4999999999999964"/>
    <s v="Normal Working Days before 10pm"/>
    <s v="Total: 1619 Policies (Batch 20170125_0102: 1357 Policies, Batch 20170202_2151: 19 Policies, Batch 20170203_1149: 130 Policies, Batch 20170203_1452: 113 Policies)"/>
    <n v="1"/>
    <x v="1"/>
  </r>
  <r>
    <x v="0"/>
    <x v="6"/>
    <d v="2017-02-04T00:00:00"/>
    <s v="Sat"/>
    <d v="1899-12-30T07:00:00"/>
    <d v="1899-12-30T17:00:00"/>
    <n v="8"/>
    <n v="0.99999999999998046"/>
    <n v="8.9999999999999805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0"/>
    <x v="6"/>
    <d v="2017-02-05T00:00:00"/>
    <s v="Sun"/>
    <d v="1899-12-30T07:00:00"/>
    <d v="1899-12-30T17:00:00"/>
    <n v="0"/>
    <n v="8.999999999999984"/>
    <n v="8.999999999999984"/>
    <s v="Saturday/Sunday (Weekends) before 10pm"/>
    <s v="Total: 1619 Policies (Batch 20170125_0102: 1357 Policies, Batch 20170202_2151: 19 Policies, Batch 20170203_1149: 130 Policies, Batch 20170203_1452: 113 Policies)"/>
    <n v="1"/>
    <x v="1"/>
  </r>
  <r>
    <x v="0"/>
    <x v="6"/>
    <d v="2017-02-06T00:00:00"/>
    <s v="Mon"/>
    <d v="1899-12-30T17:30:00"/>
    <d v="1899-12-30T18:00:00"/>
    <n v="8"/>
    <n v="0.49999999999998757"/>
    <n v="0.49999999999998757"/>
    <s v="Normal Working Days before 10pm"/>
    <s v="Total: 569 Policies (Batch 20170125_0102: 569 Policies)"/>
    <s v=""/>
    <x v="1"/>
  </r>
  <r>
    <x v="0"/>
    <x v="6"/>
    <d v="2017-02-07T00:00:00"/>
    <s v="Tue"/>
    <d v="1899-12-30T17:00:00"/>
    <d v="1899-12-30T19:00:00"/>
    <n v="8"/>
    <n v="2.0000000000000124"/>
    <n v="2.0000000000000124"/>
    <s v="Normal Working Days before 10pm"/>
    <s v="Total: 819 Policies (Batch 20170206_1152: 7 Policies, Batch 20170206_1509: 76 Policies, Batch 20170206_2255: 458 Policies, Batch 20170207_1208: 278 Policies)"/>
    <n v="1"/>
    <x v="1"/>
  </r>
  <r>
    <x v="0"/>
    <x v="6"/>
    <d v="2017-02-09T00:00:00"/>
    <s v="Thu"/>
    <d v="1899-12-30T17:00:00"/>
    <d v="1899-12-30T17:30:00"/>
    <n v="8"/>
    <n v="0.50000000000001243"/>
    <n v="0.50000000000001243"/>
    <s v="Normal Working Days before 10pm"/>
    <s v="Total: 549 Policies (Batch 20170208_1201: 243 Policies, Batch 20170208_1510: 164 Policies ,Batch 20170208_2111: 142 Policies)"/>
    <s v=""/>
    <x v="1"/>
  </r>
  <r>
    <x v="0"/>
    <x v="6"/>
    <d v="2017-02-21T00:00:00"/>
    <s v="Tue"/>
    <d v="1899-12-30T17:30:00"/>
    <d v="1899-12-30T21:15:00"/>
    <n v="8"/>
    <n v="3.7499999999999964"/>
    <n v="3.7499999999999964"/>
    <s v="Normal Working Days before 10pm"/>
    <s v="Total: 743 Policies (Batch 20170220_2219: 494 Policies, Batch 20170221_1202: 155 Policies, Batch 20170221_1442: 94 Policies, Anl Stm go live)"/>
    <n v="1"/>
    <x v="1"/>
  </r>
  <r>
    <x v="0"/>
    <x v="6"/>
    <d v="2017-02-25T00:00:00"/>
    <s v="Sat"/>
    <d v="1899-12-30T08:30:00"/>
    <d v="1899-12-30T19:00:00"/>
    <n v="8"/>
    <n v="1.4999999999999947"/>
    <n v="9.4999999999999947"/>
    <s v="Saturday/Sunday (Weekends) before 10pm"/>
    <s v="Total: 712 Policies (Batch 20170224_1146: 212 Policies, Batch 20170224_1501: 237 Policies, Batch 20170224_2239: 263 Policies)"/>
    <s v=""/>
    <x v="1"/>
  </r>
  <r>
    <x v="0"/>
    <x v="6"/>
    <d v="2017-02-26T00:00:00"/>
    <s v="Sun"/>
    <d v="1899-12-30T08:30:00"/>
    <d v="1899-12-30T17:30:00"/>
    <n v="0"/>
    <n v="7.9999999999999982"/>
    <n v="7.9999999999999982"/>
    <s v="Saturday/Sunday (Weekends) before 10pm"/>
    <s v="Total: 862 Policies (Batch 20170225_1211:282 Policies, Batch 20170225_1533: 189 Policies, Batch 20170225_2110: 293 Policies, Batch 20170226_1156: 98 Policies)"/>
    <n v="1"/>
    <x v="1"/>
  </r>
  <r>
    <x v="0"/>
    <x v="6"/>
    <d v="2017-02-27T00:00:00"/>
    <s v="Mon"/>
    <d v="1899-12-30T17:00:00"/>
    <d v="1899-12-30T17:30:00"/>
    <n v="8"/>
    <n v="0.50000000000001243"/>
    <n v="0.50000000000001243"/>
    <s v="Normal Working Days before 10pm"/>
    <s v="Total: 630 Policies (Batch 20170226_1506: 188 Policies, Batch 20170226_2141: 263 Policies, Batch 20170227_1149: 179 Policies, Anl Stm )"/>
    <s v=""/>
    <x v="1"/>
  </r>
  <r>
    <x v="0"/>
    <x v="6"/>
    <d v="2017-02-28T00:00:00"/>
    <s v="Tue"/>
    <d v="1899-12-30T17:00:00"/>
    <d v="1899-12-30T21:30:00"/>
    <n v="8"/>
    <n v="4.4999999999999964"/>
    <n v="4.4999999999999964"/>
    <s v="Normal Working Days before 10pm"/>
    <s v="Total: 1181 Policies (Batch 20170227_1519: 134 Policies, Batch 20170227_2330: 592 Policies, Batch 20170228_1153: 299 Policies, Batch 20170228_1508: 156 Policies)"/>
    <n v="1"/>
    <x v="1"/>
  </r>
  <r>
    <x v="1"/>
    <x v="7"/>
    <d v="2017-02-04T00:00:00"/>
    <s v="Sat"/>
    <d v="1899-12-30T08:00:00"/>
    <d v="1899-12-30T17:00:00"/>
    <n v="0"/>
    <n v="8.0000000000000018"/>
    <n v="8.0000000000000018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1"/>
    <x v="7"/>
    <d v="2017-02-05T00:00:00"/>
    <s v="Sun"/>
    <d v="1899-12-30T07:00:00"/>
    <d v="1899-12-30T17:00:00"/>
    <n v="0"/>
    <n v="8.999999999999984"/>
    <n v="8.999999999999984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1"/>
    <x v="7"/>
    <d v="2017-02-08T00:00:00"/>
    <s v="Wed"/>
    <d v="1899-12-30T10:00:00"/>
    <d v="1899-12-30T17:30:00"/>
    <n v="0"/>
    <n v="6.4999999999999982"/>
    <n v="6.4999999999999982"/>
    <s v="Normal Working Days before 10pm"/>
    <s v="Total: 613 Policies (Batch 20170207_2115: 613 Policies)"/>
    <s v=""/>
    <x v="1"/>
  </r>
  <r>
    <x v="1"/>
    <x v="7"/>
    <d v="2017-02-26T00:00:00"/>
    <s v="Sun"/>
    <d v="1899-12-30T08:30:00"/>
    <d v="1899-12-30T17:30:00"/>
    <n v="0"/>
    <n v="7.9999999999999982"/>
    <n v="7.9999999999999982"/>
    <s v="Saturday/Sunday (Weekends) before 10pm"/>
    <s v="Total: 862 Policies (Batch 20170225_1211:282 Policies, Batch 20170225_1533: 189 Policies, Batch 20170225_2110: 293 Policies, Batch 20170226_1156: 98 Policies)"/>
    <s v=""/>
    <x v="1"/>
  </r>
  <r>
    <x v="1"/>
    <x v="8"/>
    <d v="2017-02-06T00:00:00"/>
    <s v="Mon"/>
    <d v="1899-12-30T08:30:00"/>
    <d v="1899-12-30T18:00:00"/>
    <n v="0"/>
    <n v="8.4999999999999911"/>
    <n v="8.4999999999999911"/>
    <s v="Normal Working Days before 10pm"/>
    <s v="Total: 569 Policies (Batch 20170125_0102: 569 Policies)"/>
    <s v=""/>
    <x v="1"/>
  </r>
  <r>
    <x v="1"/>
    <x v="8"/>
    <d v="2017-02-07T00:00:00"/>
    <s v="Tue"/>
    <d v="1899-12-30T08:30:00"/>
    <d v="1899-12-30T19:00:00"/>
    <n v="0"/>
    <n v="9.4999999999999982"/>
    <n v="9.4999999999999982"/>
    <s v="Normal Working Days before 10pm"/>
    <s v="Total: 819 Policies (Batch 20170206_1152: 7 Policies, Batch 20170206_1509: 76 Policies, Batch 20170206_2255: 458 Policies, Batch 20170207_1208: 278 Policies)"/>
    <s v=""/>
    <x v="1"/>
  </r>
  <r>
    <x v="1"/>
    <x v="8"/>
    <d v="2017-02-08T00:00:00"/>
    <s v="Wed"/>
    <d v="1899-12-30T08:30:00"/>
    <d v="1899-12-30T17:30:00"/>
    <n v="0"/>
    <n v="7.9999999999999982"/>
    <n v="7.9999999999999982"/>
    <s v="Normal Working Days before 10pm"/>
    <s v="Total: 613 Policies (Batch 20170207_2115: 613 Policies)"/>
    <s v=""/>
    <x v="1"/>
  </r>
  <r>
    <x v="1"/>
    <x v="8"/>
    <d v="2017-02-09T00:00:00"/>
    <s v="Thu"/>
    <d v="1899-12-30T08:30:00"/>
    <d v="1899-12-30T17:30:00"/>
    <n v="0"/>
    <n v="7.9999999999999982"/>
    <n v="7.9999999999999982"/>
    <s v="Normal Working Days before 10pm"/>
    <s v="Total: 549 Policies (Batch 20170208_1201: 243 Policies, Batch 20170208_1510: 164 Policies ,Batch 20170208_2111: 142 Policies)"/>
    <s v=""/>
    <x v="1"/>
  </r>
  <r>
    <x v="1"/>
    <x v="8"/>
    <d v="2017-02-10T00:00:00"/>
    <s v="Fri"/>
    <d v="1899-12-30T08:30:00"/>
    <d v="1899-12-30T16:30:00"/>
    <n v="0"/>
    <n v="6.9999999999999911"/>
    <n v="6.9999999999999911"/>
    <s v="Normal Working Days before 10pm"/>
    <s v="Total: 604 Policies (Batch 20170209_1147: 152 Policies, Batch 20170209_1505: 84 Policies, Batch 20170209_2247: 289 Policies, Batch 20170210_1149: 79 Policies)"/>
    <s v=""/>
    <x v="1"/>
  </r>
  <r>
    <x v="1"/>
    <x v="8"/>
    <d v="2017-02-16T00:00:00"/>
    <s v="Thu"/>
    <d v="1899-12-30T08:30:00"/>
    <d v="1899-12-30T17:30:00"/>
    <n v="0"/>
    <n v="7.9999999999999982"/>
    <n v="7.9999999999999982"/>
    <s v="Normal Working Days before 10pm"/>
    <s v="Total: 504 Policies (Batch 20170215_1501: 206 Policies, Batch 20170215_2157: 181 Policies, Batch 20170216_1155: 117 Policies, Backfill for fulltime)"/>
    <s v=""/>
    <x v="1"/>
  </r>
  <r>
    <x v="1"/>
    <x v="8"/>
    <d v="2017-02-20T00:00:00"/>
    <s v="Mon"/>
    <d v="1899-12-30T08:30:00"/>
    <d v="1899-12-30T17:30:00"/>
    <n v="0"/>
    <n v="7.9999999999999982"/>
    <n v="7.9999999999999982"/>
    <s v="Normal Working Days before 10pm"/>
    <s v="Total: 335 Policies (Batch 20170217_1514: 21 Policies, Batch 20170217_2112: 202 Policies, Batch 20170220_1149: 90 Policies, Batch 20170220_1453: 22 Policies, Endorsement Testing)"/>
    <s v=""/>
    <x v="1"/>
  </r>
  <r>
    <x v="1"/>
    <x v="8"/>
    <d v="2017-02-21T00:00:00"/>
    <s v="Tue"/>
    <d v="1899-12-30T08:30:00"/>
    <d v="1899-12-30T17:30:00"/>
    <n v="0"/>
    <n v="7.9999999999999982"/>
    <n v="7.9999999999999982"/>
    <s v="Normal Working Days before 10pm"/>
    <s v="Total: 743 Policies (Batch 20170220_2219: 494 Policies, Batch 20170221_1202: 155 Policies, Batch 20170221_1442: 94 Policies, Anl Stm go live)"/>
    <s v=""/>
    <x v="1"/>
  </r>
  <r>
    <x v="1"/>
    <x v="8"/>
    <d v="2017-02-22T00:00:00"/>
    <s v="Wed"/>
    <d v="1899-12-30T08:30:00"/>
    <d v="1899-12-30T17:30:00"/>
    <n v="0"/>
    <n v="7.9999999999999982"/>
    <n v="7.9999999999999982"/>
    <s v="Normal Working Days before 10pm"/>
    <s v="Total: 587 Policies (Batch 20170221_2155: 472 Policies, Batch 20170222_1151: 115 Policies)"/>
    <s v=""/>
    <x v="1"/>
  </r>
  <r>
    <x v="1"/>
    <x v="8"/>
    <d v="2017-02-23T00:00:00"/>
    <s v="Thu"/>
    <d v="1899-12-30T08:30:00"/>
    <d v="1899-12-30T17:30:00"/>
    <n v="0"/>
    <n v="7.9999999999999982"/>
    <n v="7.9999999999999982"/>
    <s v="Normal Working Days before 10pm"/>
    <s v="Total: 475 Policies (Batch 20170222_2207: 243 Policies, Batch 20170223_1108: 232 Policies)"/>
    <s v=""/>
    <x v="1"/>
  </r>
  <r>
    <x v="1"/>
    <x v="8"/>
    <d v="2017-02-24T00:00:00"/>
    <s v="Fri"/>
    <d v="1899-12-30T08:30:00"/>
    <d v="1899-12-30T17:30:00"/>
    <n v="0"/>
    <n v="7.9999999999999982"/>
    <n v="7.9999999999999982"/>
    <s v="Normal Working Days before 10pm"/>
    <s v="Total: 495 Policies (Batch 20170222_1454: 198 Policies, Batch 20170223_2124: 297 Policies)"/>
    <s v=""/>
    <x v="1"/>
  </r>
  <r>
    <x v="1"/>
    <x v="8"/>
    <d v="2017-02-25T00:00:00"/>
    <s v="Sat"/>
    <d v="1899-12-30T08:30:00"/>
    <d v="1899-12-30T17:30:00"/>
    <n v="0"/>
    <n v="7.9999999999999982"/>
    <n v="7.9999999999999982"/>
    <s v="Saturday/Sunday (Weekends) before 10pm"/>
    <s v="Total: 712 Policies (Batch 20170224_1146: 212 Policies, Batch 20170224_1501: 237 Policies, Batch 20170224_2239: 263 Policies)"/>
    <s v=""/>
    <x v="1"/>
  </r>
  <r>
    <x v="1"/>
    <x v="8"/>
    <d v="2017-02-26T00:00:00"/>
    <s v="Sun"/>
    <d v="1899-12-30T08:30:00"/>
    <d v="1899-12-30T17:30:00"/>
    <n v="0"/>
    <n v="7.9999999999999982"/>
    <n v="7.9999999999999982"/>
    <s v="Saturday/Sunday (Weekends) before 10pm"/>
    <s v="Total: 862 Policies (Batch 20170225_1211:282 Policies, Batch 20170225_1533: 189 Policies, Batch 20170225_2110: 293 Policies, Batch 20170226_1156: 98 Policies)"/>
    <s v=""/>
    <x v="1"/>
  </r>
  <r>
    <x v="1"/>
    <x v="8"/>
    <d v="2017-02-27T00:00:00"/>
    <s v="Mon"/>
    <d v="1899-12-30T08:30:00"/>
    <d v="1899-12-30T17:30:00"/>
    <n v="0"/>
    <n v="7.9999999999999982"/>
    <n v="7.9999999999999982"/>
    <s v="Normal Working Days before 10pm"/>
    <s v="Total: 630 Policies (Batch 20170226_1506: 188 Policies, Batch 20170226_2141: 263 Policies, Batch 20170227_1149: 179 Policies, Anl Stm )"/>
    <s v=""/>
    <x v="1"/>
  </r>
  <r>
    <x v="1"/>
    <x v="8"/>
    <d v="2017-02-28T00:00:00"/>
    <s v="Tue"/>
    <d v="1899-12-30T08:30:00"/>
    <d v="1899-12-30T21:30:00"/>
    <n v="0"/>
    <n v="11.999999999999986"/>
    <n v="11.999999999999986"/>
    <s v="Normal Working Days before 10pm"/>
    <s v="Total: 1181 Policies (Batch 20170227_1519: 134 Policies, Batch 20170227_2330: 592 Policies, Batch 20170228_1153: 299 Policies, Batch 20170228_1508: 156 Policies)"/>
    <s v=""/>
    <x v="1"/>
  </r>
  <r>
    <x v="1"/>
    <x v="9"/>
    <d v="2017-02-05T00:00:00"/>
    <s v="Sun"/>
    <d v="1899-12-30T08:00:00"/>
    <d v="1899-12-30T17:00:00"/>
    <n v="0"/>
    <n v="8.0000000000000018"/>
    <n v="8.0000000000000018"/>
    <s v="Saturday/Sunday (Weekends) before 10pm"/>
    <s v="Total: 1619 Policies (Batch 20170125_0102: 1357 Policies, Batch 20170202_2151: 19 Policies, Batch 20170203_1149: 130 Policies, Batch 20170203_1452: 113 Policies)"/>
    <s v=""/>
    <x v="1"/>
  </r>
  <r>
    <x v="1"/>
    <x v="9"/>
    <d v="2017-02-06T00:00:00"/>
    <s v="Mon"/>
    <d v="1899-12-30T08:30:00"/>
    <d v="1899-12-30T18:00:00"/>
    <n v="0"/>
    <n v="8.4999999999999911"/>
    <n v="8.4999999999999911"/>
    <s v="Normal Working Days before 10pm"/>
    <s v="Total: 569 Policies (Batch 20170125_0102: 569 Policies)"/>
    <s v=""/>
    <x v="1"/>
  </r>
  <r>
    <x v="1"/>
    <x v="9"/>
    <d v="2017-02-25T00:00:00"/>
    <s v="Sat"/>
    <d v="1899-12-30T13:00:00"/>
    <d v="1899-12-30T19:00:00"/>
    <n v="0"/>
    <n v="6"/>
    <n v="6"/>
    <s v="Saturday/Sunday (Weekends) before 10pm"/>
    <s v="Total: 712 Policies (Batch 20170224_1146: 212 Policies, Batch 20170224_1501: 237 Policies, Batch 20170224_2239: 263 Policies)"/>
    <s v=""/>
    <x v="1"/>
  </r>
  <r>
    <x v="1"/>
    <x v="9"/>
    <d v="2017-02-26T00:00:00"/>
    <s v="Sun"/>
    <d v="1899-12-30T08:30:00"/>
    <d v="1899-12-30T17:30:00"/>
    <n v="0"/>
    <n v="7.9999999999999982"/>
    <n v="7.9999999999999982"/>
    <s v="Saturday/Sunday (Weekends) before 10pm"/>
    <s v="Total: 862 Policies (Batch 20170225_1211:282 Policies, Batch 20170225_1533: 189 Policies, Batch 20170225_2110: 293 Policies, Batch 20170226_1156: 98 Policies)"/>
    <s v=""/>
    <x v="1"/>
  </r>
  <r>
    <x v="0"/>
    <x v="0"/>
    <d v="2017-03-01T00:00:00"/>
    <s v="Wed"/>
    <d v="1899-12-30T17:00:00"/>
    <d v="1899-12-30T22:00:00"/>
    <n v="8"/>
    <n v="5.0000000000000107"/>
    <n v="5.0000000000000107"/>
    <s v="Normal Working Days before 10pm"/>
    <s v="Total: 1380 Policies (Batch 20170228_0119: 1380 Policies)"/>
    <n v="1"/>
    <x v="2"/>
  </r>
  <r>
    <x v="0"/>
    <x v="0"/>
    <d v="2017-03-02T00:00:00"/>
    <s v="Thu"/>
    <d v="1899-12-30T17:30:00"/>
    <d v="1899-12-30T22:00:00"/>
    <n v="8"/>
    <n v="4.4999999999999964"/>
    <n v="4.4999999999999964"/>
    <s v="Normal Working Days before 10pm"/>
    <s v="Total: 1272 Policies (Batch 20170301_1147: 129 Policies, Batch 20170301_1508: 66 Policies, Batch 20170301_0115: 1077 Policies)"/>
    <n v="1"/>
    <x v="2"/>
  </r>
  <r>
    <x v="0"/>
    <x v="0"/>
    <d v="2017-03-03T00:00:00"/>
    <s v="Fri"/>
    <d v="1899-12-30T17:30:00"/>
    <d v="1899-12-30T20:30:00"/>
    <n v="8"/>
    <n v="2.9999999999999947"/>
    <n v="2.9999999999999947"/>
    <s v="Normal Working Days before 10pm"/>
    <s v="Total: 1004 Policies (Batch 20170302_1205: 284 Policies, Batch 20170302_1455: 22 Policies, Batch 20170302_2117: 267 Policies, Batch 20170303_1202: 240 Policies, Batch 20170303_1517: 91 Policies)"/>
    <n v="1"/>
    <x v="2"/>
  </r>
  <r>
    <x v="0"/>
    <x v="0"/>
    <d v="2017-03-04T00:00:00"/>
    <s v="Sat"/>
    <d v="1899-12-30T09:30:00"/>
    <d v="1899-12-30T17:30:00"/>
    <n v="8"/>
    <n v="8.000000000000016"/>
    <n v="8"/>
    <s v="Saturday/Sunday (Weekends) before 10pm"/>
    <s v="Anl Stmt: Printing And Enveloping"/>
    <n v="1"/>
    <x v="2"/>
  </r>
  <r>
    <x v="0"/>
    <x v="0"/>
    <d v="2017-03-10T00:00:00"/>
    <s v="Fri"/>
    <d v="1899-12-30T17:30:00"/>
    <d v="1899-12-30T19:00:00"/>
    <n v="8"/>
    <n v="1.4999999999999947"/>
    <n v="1.4999999999999947"/>
    <s v="Normal Working Days before 10pm"/>
    <s v="Total: 721 Policies (Batch 20170309_1142: 289 Policies, Batch 20170309_1446: 67 Policies, Batch 20170309_2139: 148 Policies, Batch 20170310_1157: 203 Policies, Batch 20170310_1503: 14 Policies)"/>
    <s v=""/>
    <x v="2"/>
  </r>
  <r>
    <x v="0"/>
    <x v="0"/>
    <d v="2017-03-16T00:00:00"/>
    <s v="Thu"/>
    <d v="1899-12-30T17:00:00"/>
    <d v="1899-12-30T22:00:00"/>
    <n v="8"/>
    <n v="5.0000000000000107"/>
    <n v="5.0000000000000107"/>
    <s v="Normal Working Days before 10pm"/>
    <s v="Total: 961 Policies (Batch 20170315_1538: 87 Policies, Batch 20170315_2207: 421 Policies, Batch 20170316_2207: 199 Policies, Batch 20170316_2207: 254 Policies)"/>
    <n v="1"/>
    <x v="2"/>
  </r>
  <r>
    <x v="0"/>
    <x v="0"/>
    <d v="2017-03-20T00:00:00"/>
    <s v="Mon"/>
    <d v="1899-12-30T17:00:00"/>
    <d v="1899-12-30T18:45:00"/>
    <n v="8"/>
    <n v="1.7500000000000053"/>
    <n v="1.7500000000000053"/>
    <s v="Normal Working Days before 10pm"/>
    <s v="Total: 522 Policies (Batch 20170317_1502: 92 Policies, Batch 20170320_0947: 430 Policies, Anl Stmt Insertion)"/>
    <s v=""/>
    <x v="2"/>
  </r>
  <r>
    <x v="0"/>
    <x v="0"/>
    <d v="2017-03-21T00:00:00"/>
    <s v="Tue"/>
    <d v="1899-12-30T17:00:00"/>
    <d v="1899-12-30T21:45:00"/>
    <n v="8"/>
    <n v="4.7500000000000036"/>
    <n v="4.7500000000000036"/>
    <s v="Normal Working Days before 10pm"/>
    <s v="Total: 964 Policies (Batch 20170320_1154: 109 Policies, Batch 20170320_1504: 90 Policies, Batch 20170320_2111: 451 Policies, Batch 20170321_1207: 314 Policies)"/>
    <n v="1"/>
    <x v="2"/>
  </r>
  <r>
    <x v="0"/>
    <x v="0"/>
    <d v="2017-03-22T00:00:00"/>
    <s v="Wed"/>
    <d v="1899-12-30T17:45:00"/>
    <d v="1899-12-30T19:30:00"/>
    <n v="8"/>
    <n v="1.7500000000000053"/>
    <n v="1.7500000000000053"/>
    <s v="Normal Working Days before 10pm"/>
    <s v="Total: 1031 Policies (Batch 20170321_1514: 220 Policies, Batch 20170321_2112: 467 Policies, Batch 20170322_1152: 204 Policies, Batch 20170322_1518: 140 Policies)"/>
    <s v=""/>
    <x v="2"/>
  </r>
  <r>
    <x v="0"/>
    <x v="0"/>
    <d v="2017-03-23T00:00:00"/>
    <s v="Thu"/>
    <d v="1899-12-30T17:30:00"/>
    <d v="1899-12-30T18:30:00"/>
    <n v="8"/>
    <n v="0.99999999999998046"/>
    <n v="0.99999999999998046"/>
    <s v="Normal Working Days before 10pm"/>
    <s v="Total: 742 Policies (Batch 20170322_2213: 352 Policies, Batch 20170323_1153: 301 Policies, Batch 20170323_1515: 89 Policies)"/>
    <s v=""/>
    <x v="2"/>
  </r>
  <r>
    <x v="0"/>
    <x v="0"/>
    <d v="2017-03-25T00:00:00"/>
    <s v="Sat"/>
    <d v="1899-12-30T08:30:00"/>
    <d v="1899-12-30T17:30:00"/>
    <n v="8"/>
    <n v="7.9999999999999982"/>
    <n v="8"/>
    <s v="Saturday/Sunday (Weekends) before 10pm"/>
    <s v="Total: 778 Policies (Batch 20170324_1202: 144 Policies, Batch 20170324_1526: 160 Policies, Batch 20170324_2214: 311 Policies, Batch 20170325_1150: 163 Policies)"/>
    <n v="1"/>
    <x v="2"/>
  </r>
  <r>
    <x v="0"/>
    <x v="0"/>
    <d v="2017-03-27T00:00:00"/>
    <s v="Mon"/>
    <d v="1899-12-30T17:00:00"/>
    <d v="1899-12-30T21:30:00"/>
    <n v="8"/>
    <n v="4.4999999999999964"/>
    <n v="4.4999999999999964"/>
    <s v="Normal Working Days before 10pm"/>
    <s v="Total: 1004 Policies (Batch 20170325_1504: 261 Policies, Batch 20170325_2128: 294 Policies, Batch 20170327_1202: 374 Policies, Batch 20170327_1513: 76 Policies)"/>
    <n v="1"/>
    <x v="2"/>
  </r>
  <r>
    <x v="0"/>
    <x v="0"/>
    <d v="2017-03-28T00:00:00"/>
    <s v="Tue"/>
    <d v="1899-12-30T17:30:00"/>
    <d v="1899-12-30T19:00:00"/>
    <n v="8"/>
    <n v="1.4999999999999947"/>
    <n v="1.4999999999999947"/>
    <s v="Normal Working Days before 10pm"/>
    <s v="Total: 713 Policies (Batch 20170328_2318: 259 Policies, Batch 20170328_1158: 320 Policies, Batch 20170328_1506: 134 Policies)"/>
    <s v=""/>
    <x v="2"/>
  </r>
  <r>
    <x v="0"/>
    <x v="0"/>
    <d v="2017-03-30T00:00:00"/>
    <s v="Thu"/>
    <d v="1899-12-30T17:30:00"/>
    <d v="1899-12-30T21:30:00"/>
    <n v="8"/>
    <n v="3.9999999999999822"/>
    <n v="3.9999999999999822"/>
    <s v="Normal Working Days before 10pm"/>
    <s v="Total: 1472 Policies (Batch 20170329_1536: 377 Policies, Batch 20170329_2242: 467 Policies, Batch 20170330_1210: 628 Policies)"/>
    <n v="1"/>
    <x v="2"/>
  </r>
  <r>
    <x v="0"/>
    <x v="2"/>
    <d v="2017-03-01T00:00:00"/>
    <s v="Wed"/>
    <d v="1899-12-30T17:00:00"/>
    <d v="1899-12-30T21:30:00"/>
    <n v="8"/>
    <n v="4.4999999999999964"/>
    <n v="4.4999999999999964"/>
    <s v="Normal Working Days before 10pm"/>
    <s v="Total: 1380 Policies (Batch 20170228_0119: 1380 Policies)"/>
    <n v="1"/>
    <x v="2"/>
  </r>
  <r>
    <x v="0"/>
    <x v="2"/>
    <d v="2017-03-02T00:00:00"/>
    <s v="Thu"/>
    <d v="1899-12-30T17:30:00"/>
    <d v="1899-12-30T21:30:00"/>
    <n v="8"/>
    <n v="3.9999999999999822"/>
    <n v="3.9999999999999822"/>
    <s v="Normal Working Days before 10pm"/>
    <s v="Total: 1272 Policies (Batch 20170301_1147: 129 Policies, Batch 20170301_1508: 66 Policies, Batch 20170301_0115: 1077 Policies)"/>
    <n v="1"/>
    <x v="2"/>
  </r>
  <r>
    <x v="0"/>
    <x v="2"/>
    <d v="2017-03-03T00:00:00"/>
    <s v="Fri"/>
    <d v="1899-12-30T17:00:00"/>
    <d v="1899-12-30T17:30:00"/>
    <n v="8"/>
    <n v="0.50000000000001243"/>
    <n v="0.50000000000001243"/>
    <s v="Normal Working Days before 10pm"/>
    <s v="Total: 1004 Policies (Batch 20170302_1205: 284 Policies, Batch 20170302_1455: 22 Policies, Batch 20170302_2117: 267 Policies, Batch 20170303_1202: 240 Policies, Batch 20170303_1517: 91 Policies)"/>
    <s v=""/>
    <x v="2"/>
  </r>
  <r>
    <x v="0"/>
    <x v="2"/>
    <d v="2017-03-04T00:00:00"/>
    <s v="Sat"/>
    <d v="1899-12-30T10:00:00"/>
    <d v="1899-12-30T17:30:00"/>
    <n v="8"/>
    <n v="7.4999999999999982"/>
    <n v="7.5"/>
    <s v="Saturday/Sunday (Weekends) before 10pm"/>
    <s v="Anl Stmt: Printing And Enveloping"/>
    <n v="1"/>
    <x v="2"/>
  </r>
  <r>
    <x v="0"/>
    <x v="2"/>
    <d v="2017-03-10T00:00:00"/>
    <s v="Fri"/>
    <d v="1899-12-30T17:30:00"/>
    <d v="1899-12-30T19:00:00"/>
    <n v="8"/>
    <n v="1.4999999999999947"/>
    <n v="1.4999999999999947"/>
    <s v="Normal Working Days before 10pm"/>
    <s v="Total: 721 Policies (Batch 20170309_1142: 289 Policies, Batch 20170309_1446: 67 Policies, Batch 20170309_2139: 148 Policies, Batch 20170310_1157: 203 Policies, Batch 20170310_1503: 14 Policies)"/>
    <s v=""/>
    <x v="2"/>
  </r>
  <r>
    <x v="0"/>
    <x v="2"/>
    <d v="2017-03-12T00:00:00"/>
    <s v="Sun"/>
    <d v="1899-12-30T10:00:00"/>
    <d v="1899-12-30T13:00:00"/>
    <n v="0"/>
    <n v="2.9999999999999987"/>
    <n v="2.9999999999999987"/>
    <s v="Saturday/Sunday (Weekends) before 10pm"/>
    <s v="Anl Stmt Printing &amp; Enveloping"/>
    <n v="1"/>
    <x v="2"/>
  </r>
  <r>
    <x v="0"/>
    <x v="2"/>
    <d v="2017-03-16T00:00:00"/>
    <s v="Thu"/>
    <d v="1899-12-30T17:30:00"/>
    <d v="1899-12-30T22:00:00"/>
    <n v="8"/>
    <n v="4.4999999999999964"/>
    <n v="4.4999999999999964"/>
    <s v="Normal Working Days before 10pm"/>
    <s v="Total: 961 Policies (Batch 20170315_1538: 87 Policies, Batch 20170315_2207: 421 Policies, Batch 20170316_2207: 199 Policies, Batch 20170316_2207: 254 Policies)"/>
    <n v="1"/>
    <x v="2"/>
  </r>
  <r>
    <x v="0"/>
    <x v="2"/>
    <d v="2017-03-20T00:00:00"/>
    <s v="Mon"/>
    <d v="1899-12-30T17:00:00"/>
    <d v="1899-12-30T18:45:00"/>
    <n v="8"/>
    <n v="1.7500000000000053"/>
    <n v="1.7500000000000053"/>
    <s v="Normal Working Days before 10pm"/>
    <s v="Total: 522 Policies (Batch 20170317_1502: 92 Policies, Batch 20170320_0947: 430 Policies, Anl Stmt Insertion)"/>
    <s v=""/>
    <x v="2"/>
  </r>
  <r>
    <x v="0"/>
    <x v="2"/>
    <d v="2017-03-21T00:00:00"/>
    <s v="Tue"/>
    <d v="1899-12-30T17:00:00"/>
    <d v="1899-12-30T21:30:00"/>
    <n v="8"/>
    <n v="4.4999999999999964"/>
    <n v="4.4999999999999964"/>
    <s v="Normal Working Days before 10pm"/>
    <s v="Total: 964 Policies (Batch 20170320_1154: 109 Policies, Batch 20170320_1504: 90 Policies, Batch 20170320_2111: 451 Policies, Batch 20170321_1207: 314 Policies)"/>
    <n v="1"/>
    <x v="2"/>
  </r>
  <r>
    <x v="0"/>
    <x v="2"/>
    <d v="2017-03-22T00:00:00"/>
    <s v="Wed"/>
    <d v="1899-12-30T17:00:00"/>
    <d v="1899-12-30T18:30:00"/>
    <n v="8"/>
    <n v="1.4999999999999982"/>
    <n v="1.4999999999999982"/>
    <s v="Normal Working Days before 10pm"/>
    <s v="Total: 1031 Policies (Batch 20170321_1514: 220 Policies, Batch 20170321_2112: 467 Policies, Batch 20170322_1152: 204 Policies, Batch 20170322_1518: 140 Policies)"/>
    <s v=""/>
    <x v="2"/>
  </r>
  <r>
    <x v="0"/>
    <x v="2"/>
    <d v="2017-03-23T00:00:00"/>
    <s v="Thu"/>
    <d v="1899-12-30T17:00:00"/>
    <d v="1899-12-30T18:30:00"/>
    <n v="8"/>
    <n v="1.4999999999999982"/>
    <n v="1.4999999999999982"/>
    <s v="Normal Working Days before 10pm"/>
    <s v="Total: 742 Policies (Batch 20170322_2213: 352 Policies, Batch 20170323_1153: 301 Policies, Batch 20170323_1515: 89 Policies)"/>
    <s v=""/>
    <x v="2"/>
  </r>
  <r>
    <x v="0"/>
    <x v="2"/>
    <d v="2017-03-25T00:00:00"/>
    <s v="Sat"/>
    <d v="1899-12-30T08:30:00"/>
    <d v="1899-12-30T17:30:00"/>
    <n v="8"/>
    <n v="7.9999999999999982"/>
    <n v="8"/>
    <s v="Saturday/Sunday (Weekends) before 10pm"/>
    <s v="Total: 778 Policies (Batch 20170324_1202: 144 Policies, Batch 20170324_1526: 160 Policies, Batch 20170324_2214: 311 Policies, Batch 20170325_1150: 163 Policies)"/>
    <n v="1"/>
    <x v="2"/>
  </r>
  <r>
    <x v="0"/>
    <x v="2"/>
    <d v="2017-03-27T00:00:00"/>
    <s v="Mon"/>
    <d v="1899-12-30T17:30:00"/>
    <d v="1899-12-30T21:30:00"/>
    <n v="8"/>
    <n v="3.9999999999999822"/>
    <n v="3.9999999999999822"/>
    <s v="Normal Working Days before 10pm"/>
    <s v="Total: 1004 Policies (Batch 20170325_1504: 261 Policies, Batch 20170325_2128: 294 Policies, Batch 20170327_1202: 374 Policies, Batch 20170327_1513: 76 Policies)"/>
    <n v="1"/>
    <x v="2"/>
  </r>
  <r>
    <x v="0"/>
    <x v="2"/>
    <d v="2017-03-29T00:00:00"/>
    <s v="Wed"/>
    <d v="1899-12-30T17:30:00"/>
    <d v="1899-12-30T21:30:00"/>
    <n v="8"/>
    <n v="3.9999999999999822"/>
    <n v="3.9999999999999822"/>
    <s v="Normal Working Days before 10pm"/>
    <s v="Total: 1224 Policies (Batch 20170329_2251: 750 Policies, Batch 20170329_1205: 494 Policies)"/>
    <n v="1"/>
    <x v="2"/>
  </r>
  <r>
    <x v="0"/>
    <x v="2"/>
    <d v="2017-03-30T00:00:00"/>
    <s v="Thu"/>
    <d v="1899-12-30T17:30:00"/>
    <d v="1899-12-30T21:30:00"/>
    <n v="8"/>
    <n v="3.9999999999999822"/>
    <n v="3.9999999999999822"/>
    <s v="Normal Working Days before 10pm"/>
    <s v="Total: 1472 Policies (Batch 20170329_1536: 377 Policies, Batch 20170329_2242: 467 Policies, Batch 20170330_1210: 628 Policies)"/>
    <n v="1"/>
    <x v="2"/>
  </r>
  <r>
    <x v="0"/>
    <x v="2"/>
    <d v="2017-03-31T00:00:00"/>
    <s v="Fri"/>
    <d v="1899-12-30T17:30:00"/>
    <d v="1899-12-30T21:30:00"/>
    <n v="8"/>
    <n v="3.9999999999999822"/>
    <n v="3.9999999999999822"/>
    <s v="Normal Working Days before 10pm"/>
    <s v="Total: 1078 Policies (Batch 20170330_1514: 310 Policies, Batch 20170330_0000: 768 Policies)"/>
    <n v="1"/>
    <x v="2"/>
  </r>
  <r>
    <x v="0"/>
    <x v="3"/>
    <d v="2017-03-01T00:00:00"/>
    <s v="Wed"/>
    <d v="1899-12-30T17:00:00"/>
    <d v="1899-12-30T20:30:00"/>
    <n v="8"/>
    <n v="3.5000000000000107"/>
    <n v="3.5000000000000107"/>
    <s v="Normal Working Days before 10pm"/>
    <s v="Total: 1380 Policies (Batch 20170228_0119: 1380 Policies)"/>
    <n v="1"/>
    <x v="2"/>
  </r>
  <r>
    <x v="0"/>
    <x v="3"/>
    <d v="2017-03-02T00:00:00"/>
    <s v="Thu"/>
    <d v="1899-12-30T17:30:00"/>
    <d v="1899-12-30T21:00:00"/>
    <n v="8"/>
    <n v="3.4999999999999893"/>
    <n v="3.4999999999999893"/>
    <s v="Normal Working Days before 10pm"/>
    <s v="Total: 1272 Policies (Batch 20170301_1147: 129 Policies, Batch 20170301_1508: 66 Policies, Batch 20170301_0115: 1077 Policies)"/>
    <n v="1"/>
    <x v="2"/>
  </r>
  <r>
    <x v="0"/>
    <x v="3"/>
    <d v="2017-03-03T00:00:00"/>
    <s v="Fri"/>
    <d v="1899-12-30T17:30:00"/>
    <d v="1899-12-30T20:30:00"/>
    <n v="8"/>
    <n v="2.9999999999999947"/>
    <n v="2.9999999999999947"/>
    <s v="Normal Working Days before 10pm"/>
    <s v="Total: 1004 Policies (Batch 20170302_1205: 284 Policies, Batch 20170302_1455: 22 Policies, Batch 20170302_2117: 267 Policies, Batch 20170303_1202: 240 Policies, Batch 20170303_1517: 91 Policies)"/>
    <n v="1"/>
    <x v="2"/>
  </r>
  <r>
    <x v="0"/>
    <x v="3"/>
    <d v="2017-03-10T00:00:00"/>
    <s v="Fri"/>
    <d v="1899-12-30T17:30:00"/>
    <d v="1899-12-30T19:00:00"/>
    <n v="8"/>
    <n v="1.4999999999999947"/>
    <n v="1.4999999999999947"/>
    <s v="Normal Working Days before 10pm"/>
    <s v="Total: 721 Policies (Batch 20170309_1142: 289 Policies, Batch 20170309_1446: 67 Policies, Batch 20170309_2139: 148 Policies, Batch 20170310_1157: 203 Policies, Batch 20170310_1503: 14 Policies)"/>
    <s v=""/>
    <x v="2"/>
  </r>
  <r>
    <x v="0"/>
    <x v="3"/>
    <d v="2017-03-16T00:00:00"/>
    <s v="Thu"/>
    <d v="1899-12-30T17:00:00"/>
    <d v="1899-12-30T22:00:00"/>
    <n v="8"/>
    <n v="5.0000000000000107"/>
    <n v="5.0000000000000107"/>
    <s v="Normal Working Days before 10pm"/>
    <s v="Total: 961 Policies (Batch 20170315_1538: 87 Policies, Batch 20170315_2207: 421 Policies, Batch 20170316_2207: 199 Policies, Batch 20170316_2207: 254 Policies)"/>
    <n v="1"/>
    <x v="2"/>
  </r>
  <r>
    <x v="0"/>
    <x v="3"/>
    <d v="2017-03-21T00:00:00"/>
    <s v="Tue"/>
    <d v="1899-12-30T17:30:00"/>
    <d v="1899-12-30T20:30:00"/>
    <n v="8"/>
    <n v="2.9999999999999947"/>
    <n v="2.9999999999999947"/>
    <s v="Normal Working Days before 10pm"/>
    <s v="Total: 964 Policies (Batch 20170320_1154: 109 Policies, Batch 20170320_1504: 90 Policies, Batch 20170320_2111: 451 Policies, Batch 20170321_1207: 314 Policies)"/>
    <n v="1"/>
    <x v="2"/>
  </r>
  <r>
    <x v="0"/>
    <x v="3"/>
    <d v="2017-03-22T00:00:00"/>
    <s v="Wed"/>
    <d v="1899-12-30T17:30:00"/>
    <d v="1899-12-30T18:00:00"/>
    <n v="8"/>
    <n v="0.49999999999998757"/>
    <n v="0.49999999999998757"/>
    <s v="Normal Working Days before 10pm"/>
    <s v="Total: 1031 Policies (Batch 20170321_1514: 220 Policies, Batch 20170321_2112: 467 Policies, Batch 20170322_1152: 204 Policies, Batch 20170322_1518: 140 Policies)"/>
    <s v=""/>
    <x v="2"/>
  </r>
  <r>
    <x v="0"/>
    <x v="3"/>
    <d v="2017-03-23T00:00:00"/>
    <s v="Thu"/>
    <d v="1899-12-30T17:30:00"/>
    <d v="1899-12-30T18:30:00"/>
    <n v="8"/>
    <n v="0.99999999999998046"/>
    <n v="0.99999999999998046"/>
    <s v="Normal Working Days before 10pm"/>
    <s v="Total: 742 Policies (Batch 20170322_2213: 352 Policies, Batch 20170323_1153: 301 Policies, Batch 20170323_1515: 89 Policies)"/>
    <s v=""/>
    <x v="2"/>
  </r>
  <r>
    <x v="0"/>
    <x v="3"/>
    <d v="2017-03-27T00:00:00"/>
    <s v="Mon"/>
    <d v="1899-12-30T17:30:00"/>
    <d v="1899-12-30T20:30:00"/>
    <n v="8"/>
    <n v="2.9999999999999947"/>
    <n v="2.9999999999999947"/>
    <s v="Normal Working Days before 10pm"/>
    <s v="Total: 1004 Policies (Batch 20170325_1504: 261 Policies, Batch 20170325_2128: 294 Policies, Batch 20170327_1202: 374 Policies, Batch 20170327_1513: 76 Policies)"/>
    <n v="1"/>
    <x v="2"/>
  </r>
  <r>
    <x v="0"/>
    <x v="3"/>
    <d v="2017-03-28T00:00:00"/>
    <s v="Tue"/>
    <d v="1899-12-30T17:30:00"/>
    <d v="1899-12-30T18:30:00"/>
    <n v="8"/>
    <n v="0.99999999999998046"/>
    <n v="0.99999999999998046"/>
    <s v="Normal Working Days before 10pm"/>
    <s v="Total: 713 Policies (Batch 20170328_2318: 259 Policies, Batch 20170328_1158: 320 Policies, Batch 20170328_1506: 134 Policies)"/>
    <s v=""/>
    <x v="2"/>
  </r>
  <r>
    <x v="0"/>
    <x v="3"/>
    <d v="2017-03-29T00:00:00"/>
    <s v="Wed"/>
    <d v="1899-12-30T17:30:00"/>
    <d v="1899-12-30T20:30:00"/>
    <n v="8"/>
    <n v="2.9999999999999947"/>
    <n v="2.9999999999999947"/>
    <s v="Normal Working Days before 10pm"/>
    <s v="Total: 1224 Policies (Batch 20170329_2251: 750 Policies, Batch 20170329_1205: 494 Policies)"/>
    <n v="1"/>
    <x v="2"/>
  </r>
  <r>
    <x v="0"/>
    <x v="3"/>
    <d v="2017-03-30T00:00:00"/>
    <s v="Thu"/>
    <d v="1899-12-30T17:30:00"/>
    <d v="1899-12-30T20:30:00"/>
    <n v="8"/>
    <n v="2.9999999999999947"/>
    <n v="2.9999999999999947"/>
    <s v="Normal Working Days before 10pm"/>
    <s v="Total: 1472 Policies (Batch 20170329_1536: 377 Policies, Batch 20170329_2242: 467 Policies, Batch 20170330_1210: 628 Policies)"/>
    <n v="1"/>
    <x v="2"/>
  </r>
  <r>
    <x v="0"/>
    <x v="4"/>
    <d v="2017-03-01T00:00:00"/>
    <s v="Wed"/>
    <d v="1899-12-30T17:00:00"/>
    <d v="1899-12-30T21:00:00"/>
    <n v="8"/>
    <n v="4.0000000000000036"/>
    <n v="4.0000000000000036"/>
    <s v="Normal Working Days before 10pm"/>
    <s v="Total: 1380 Policies (Batch 20170228_0119: 1380 Policies)"/>
    <n v="1"/>
    <x v="2"/>
  </r>
  <r>
    <x v="0"/>
    <x v="4"/>
    <d v="2017-03-02T00:00:00"/>
    <s v="Thu"/>
    <d v="1899-12-30T17:30:00"/>
    <d v="1899-12-30T21:30:00"/>
    <n v="8"/>
    <n v="3.9999999999999822"/>
    <n v="3.9999999999999822"/>
    <s v="Normal Working Days before 10pm"/>
    <s v="Total: 1272 Policies (Batch 20170301_1147: 129 Policies, Batch 20170301_1508: 66 Policies, Batch 20170301_0115: 1077 Policies)"/>
    <n v="1"/>
    <x v="2"/>
  </r>
  <r>
    <x v="0"/>
    <x v="4"/>
    <d v="2017-03-03T00:00:00"/>
    <s v="Fri"/>
    <d v="1899-12-30T17:30:00"/>
    <d v="1899-12-30T20:30:00"/>
    <n v="8"/>
    <n v="2.9999999999999947"/>
    <n v="2.9999999999999947"/>
    <s v="Normal Working Days before 10pm"/>
    <s v="Total: 1004 Policies (Batch 20170302_1205: 284 Policies, Batch 20170302_1455: 22 Policies, Batch 20170302_2117: 267 Policies, Batch 20170303_1202: 240 Policies, Batch 20170303_1517: 91 Policies)"/>
    <n v="1"/>
    <x v="2"/>
  </r>
  <r>
    <x v="0"/>
    <x v="4"/>
    <d v="2017-03-04T00:00:00"/>
    <s v="Sat"/>
    <d v="1899-12-30T10:00:00"/>
    <d v="1899-12-30T17:30:00"/>
    <n v="8"/>
    <n v="7.4999999999999982"/>
    <n v="7.5"/>
    <s v="Saturday/Sunday (Weekends) before 10pm"/>
    <s v="Anl Stmt: Printing And Enveloping"/>
    <n v="1"/>
    <x v="2"/>
  </r>
  <r>
    <x v="0"/>
    <x v="4"/>
    <d v="2017-03-16T00:00:00"/>
    <s v="Thu"/>
    <d v="1899-12-30T17:30:00"/>
    <d v="1899-12-30T22:00:00"/>
    <n v="8"/>
    <n v="4.4999999999999964"/>
    <n v="4.4999999999999964"/>
    <s v="Normal Working Days before 10pm"/>
    <s v="Total: 961 Policies (Batch 20170315_1538: 87 Policies, Batch 20170315_2207: 421 Policies, Batch 20170316_2207: 199 Policies, Batch 20170316_2207: 254 Policies)"/>
    <n v="1"/>
    <x v="2"/>
  </r>
  <r>
    <x v="0"/>
    <x v="4"/>
    <d v="2017-03-20T00:00:00"/>
    <s v="Mon"/>
    <d v="1899-12-30T17:30:00"/>
    <d v="1899-12-30T18:45:00"/>
    <n v="8"/>
    <n v="1.2499999999999876"/>
    <n v="1.2499999999999876"/>
    <s v="Normal Working Days before 10pm"/>
    <s v="Total: 522 Policies (Batch 20170317_1502: 92 Policies, Batch 20170320_0947: 430 Policies, Anl Stmt Insertion)"/>
    <s v=""/>
    <x v="2"/>
  </r>
  <r>
    <x v="0"/>
    <x v="4"/>
    <d v="2017-03-21T00:00:00"/>
    <s v="Tue"/>
    <d v="1899-12-30T17:30:00"/>
    <d v="1899-12-30T21:30:00"/>
    <n v="8"/>
    <n v="3.9999999999999822"/>
    <n v="3.9999999999999822"/>
    <s v="Normal Working Days before 10pm"/>
    <s v="Total: 964 Policies (Batch 20170320_1154: 109 Policies, Batch 20170320_1504: 90 Policies, Batch 20170320_2111: 451 Policies, Batch 20170321_1207: 314 Policies)"/>
    <n v="1"/>
    <x v="2"/>
  </r>
  <r>
    <x v="0"/>
    <x v="4"/>
    <d v="2017-03-22T00:00:00"/>
    <s v="Wed"/>
    <d v="1899-12-30T17:30:00"/>
    <d v="1899-12-30T19:30:00"/>
    <n v="8"/>
    <n v="1.9999999999999876"/>
    <n v="1.9999999999999876"/>
    <s v="Normal Working Days before 10pm"/>
    <s v="Total: 1031 Policies (Batch 20170321_1514: 220 Policies, Batch 20170321_2112: 467 Policies, Batch 20170322_1152: 204 Policies, Batch 20170322_1518: 140 Policies)"/>
    <s v=""/>
    <x v="2"/>
  </r>
  <r>
    <x v="0"/>
    <x v="4"/>
    <d v="2017-03-23T00:00:00"/>
    <s v="Thu"/>
    <d v="1899-12-30T17:30:00"/>
    <d v="1899-12-30T18:30:00"/>
    <n v="8"/>
    <n v="0.99999999999998046"/>
    <n v="0.99999999999998046"/>
    <s v="Normal Working Days before 10pm"/>
    <s v="Total: 742 Policies (Batch 20170322_2213: 352 Policies, Batch 20170323_1153: 301 Policies, Batch 20170323_1515: 89 Policies)"/>
    <s v=""/>
    <x v="2"/>
  </r>
  <r>
    <x v="0"/>
    <x v="4"/>
    <d v="2017-03-25T00:00:00"/>
    <s v="Sat"/>
    <d v="1899-12-30T09:00:00"/>
    <d v="1899-12-30T17:30:00"/>
    <n v="8"/>
    <n v="7.5000000000000071"/>
    <n v="7.5"/>
    <s v="Saturday/Sunday (Weekends) before 10pm"/>
    <s v="Total: 778 Policies (Batch 20170324_1202: 144 Policies, Batch 20170324_1526: 160 Policies, Batch 20170324_2214: 311 Policies, Batch 20170325_1150: 163 Policies)"/>
    <n v="1"/>
    <x v="2"/>
  </r>
  <r>
    <x v="0"/>
    <x v="4"/>
    <d v="2017-03-27T00:00:00"/>
    <s v="Mon"/>
    <d v="1899-12-30T17:00:00"/>
    <d v="1899-12-30T21:30:00"/>
    <n v="8"/>
    <n v="4.4999999999999964"/>
    <n v="4.4999999999999964"/>
    <s v="Normal Working Days before 10pm"/>
    <s v="Total: 1004 Policies (Batch 20170325_1504: 261 Policies, Batch 20170325_2128: 294 Policies, Batch 20170327_1202: 374 Policies, Batch 20170327_1513: 76 Policies)"/>
    <n v="1"/>
    <x v="2"/>
  </r>
  <r>
    <x v="0"/>
    <x v="4"/>
    <d v="2017-03-28T00:00:00"/>
    <s v="Tue"/>
    <d v="1899-12-30T17:30:00"/>
    <d v="1899-12-30T19:00:00"/>
    <n v="8"/>
    <n v="1.4999999999999947"/>
    <n v="1.4999999999999947"/>
    <s v="Normal Working Days before 10pm"/>
    <s v="Total: 713 Policies (Batch 20170328_2318: 259 Policies, Batch 20170328_1158: 320 Policies, Batch 20170328_1506: 134 Policies)"/>
    <s v=""/>
    <x v="2"/>
  </r>
  <r>
    <x v="0"/>
    <x v="4"/>
    <d v="2017-03-29T00:00:00"/>
    <s v="Wed"/>
    <d v="1899-12-30T17:30:00"/>
    <d v="1899-12-30T21:30:00"/>
    <n v="8"/>
    <n v="3.9999999999999822"/>
    <n v="3.9999999999999822"/>
    <s v="Normal Working Days before 10pm"/>
    <s v="Total: 1224 Policies (Batch 20170329_2251: 750 Policies, Batch 20170329_1205: 494 Policies)"/>
    <n v="1"/>
    <x v="2"/>
  </r>
  <r>
    <x v="0"/>
    <x v="4"/>
    <d v="2017-03-30T00:00:00"/>
    <s v="Thu"/>
    <d v="1899-12-30T17:30:00"/>
    <d v="1899-12-30T21:30:00"/>
    <n v="8"/>
    <n v="3.9999999999999822"/>
    <n v="3.9999999999999822"/>
    <s v="Normal Working Days before 10pm"/>
    <s v="Total: 1472 Policies (Batch 20170329_1536: 377 Policies, Batch 20170329_2242: 467 Policies, Batch 20170330_1210: 628 Policies)"/>
    <n v="1"/>
    <x v="2"/>
  </r>
  <r>
    <x v="0"/>
    <x v="4"/>
    <d v="2017-03-31T00:00:00"/>
    <s v="Fri"/>
    <d v="1899-12-30T17:30:00"/>
    <d v="1899-12-30T21:30:00"/>
    <n v="8"/>
    <n v="3.9999999999999822"/>
    <n v="3.9999999999999822"/>
    <s v="Normal Working Days before 10pm"/>
    <s v="Total: 1078 Policies (Batch 20170330_1514: 310 Policies, Batch 20170330_0000: 768 Policies)"/>
    <n v="1"/>
    <x v="2"/>
  </r>
  <r>
    <x v="1"/>
    <x v="5"/>
    <d v="2017-03-01T00:00:00"/>
    <s v="Wed"/>
    <d v="1899-12-30T08:00:00"/>
    <d v="1899-12-30T22:00:00"/>
    <n v="0"/>
    <n v="13.000000000000014"/>
    <n v="13.000000000000014"/>
    <s v="Normal Working Days before 10pm"/>
    <s v="Total: 1380 Policies (Batch 20170228_0119: 1380 Policies)"/>
    <s v=""/>
    <x v="2"/>
  </r>
  <r>
    <x v="1"/>
    <x v="5"/>
    <d v="2017-03-02T00:00:00"/>
    <s v="Thu"/>
    <d v="1899-12-30T08:30:00"/>
    <d v="1899-12-30T22:00:00"/>
    <n v="0"/>
    <n v="12.5"/>
    <n v="12.5"/>
    <s v="Normal Working Days before 10pm"/>
    <s v="Total: 1272 Policies (Batch 20170301_1147: 129 Policies, Batch 20170301_1508: 66 Policies, Batch 20170301_0115: 1077 Policies)"/>
    <s v=""/>
    <x v="2"/>
  </r>
  <r>
    <x v="1"/>
    <x v="5"/>
    <d v="2017-03-03T00:00:00"/>
    <s v="Fri"/>
    <d v="1899-12-30T08:30:00"/>
    <d v="1899-12-30T20:30:00"/>
    <n v="0"/>
    <n v="10.999999999999998"/>
    <n v="10.999999999999998"/>
    <s v="Normal Working Days before 10pm"/>
    <s v="Total: 1004 Policies (Batch 20170302_1205: 284 Policies, Batch 20170302_1455: 22 Policies, Batch 20170302_2117: 267 Policies, Batch 20170303_1202: 240 Policies, Batch 20170303_1517: 91 Policies)"/>
    <s v=""/>
    <x v="2"/>
  </r>
  <r>
    <x v="1"/>
    <x v="5"/>
    <d v="2017-03-06T00:00:00"/>
    <s v="Mon"/>
    <d v="1899-12-30T10:00:00"/>
    <d v="1899-12-30T17:30:00"/>
    <n v="0"/>
    <n v="6.4999999999999982"/>
    <n v="6.4999999999999982"/>
    <s v="Normal Working Days before 10pm"/>
    <s v="Total: 496 Policies (Batch 20170303_2107: 294 Policies, Batch 20170306_1202: 119 Policies, Batch 20170306_1524: 83 Policies)"/>
    <s v=""/>
    <x v="2"/>
  </r>
  <r>
    <x v="1"/>
    <x v="5"/>
    <d v="2017-03-07T00:00:00"/>
    <s v="Tue"/>
    <d v="1899-12-30T08:30:00"/>
    <d v="1899-12-30T17:30:00"/>
    <n v="0"/>
    <n v="7.9999999999999982"/>
    <n v="7.9999999999999982"/>
    <s v="Normal Working Days before 10pm"/>
    <s v="Total: 263 Policies (Batch 20170306_2247: 263 Policies)"/>
    <s v=""/>
    <x v="2"/>
  </r>
  <r>
    <x v="1"/>
    <x v="5"/>
    <d v="2017-03-08T00:00:00"/>
    <s v="Wed"/>
    <d v="1899-12-30T08:30:00"/>
    <d v="1899-12-30T17:30:00"/>
    <n v="0"/>
    <n v="7.9999999999999982"/>
    <n v="7.9999999999999982"/>
    <s v="Normal Working Days before 10pm"/>
    <s v="Total: 416 Policies (Batch 20170308_1135: 112 Policies, Batch 20170308_1519: 126 Policies, Batch 20170308_2112: 187 Policies)"/>
    <s v=""/>
    <x v="2"/>
  </r>
  <r>
    <x v="1"/>
    <x v="5"/>
    <d v="2017-03-09T00:00:00"/>
    <s v="Thu"/>
    <d v="1899-12-30T08:30:00"/>
    <d v="1899-12-30T17:30:00"/>
    <n v="0"/>
    <n v="7.9999999999999982"/>
    <n v="7.9999999999999982"/>
    <s v="Normal Working Days before 10pm"/>
    <s v="Total: 425 Policies (Batch 20170308_1135: 112 Policies, Batch 20170308_1519: 126 Policies, Batch 20170308_2112: 187 Policies)"/>
    <s v=""/>
    <x v="2"/>
  </r>
  <r>
    <x v="1"/>
    <x v="5"/>
    <d v="2017-03-10T00:00:00"/>
    <s v="Fri"/>
    <d v="1899-12-30T08:30:00"/>
    <d v="1899-12-30T19:00:00"/>
    <n v="0"/>
    <n v="9.4999999999999982"/>
    <n v="9.4999999999999982"/>
    <s v="Normal Working Days before 10pm"/>
    <s v="Total: 721 Policies (Batch 20170309_1142: 289 Policies, Batch 20170309_1446: 67 Policies, Batch 20170309_2139: 148 Policies, Batch 20170310_1157: 203 Policies, Batch 20170310_1503: 14 Policies)"/>
    <s v=""/>
    <x v="2"/>
  </r>
  <r>
    <x v="1"/>
    <x v="5"/>
    <d v="2017-03-13T00:00:00"/>
    <s v="Mon"/>
    <d v="1899-12-30T08:30:00"/>
    <d v="1899-12-30T17:30:00"/>
    <n v="0"/>
    <n v="7.9999999999999982"/>
    <n v="7.9999999999999982"/>
    <s v="Normal Working Days before 10pm"/>
    <s v="Total: 414 Policies (Batch 20170310_2156: 237 Policies, Batch 20170313_1203: 177 Policies)"/>
    <s v=""/>
    <x v="2"/>
  </r>
  <r>
    <x v="1"/>
    <x v="5"/>
    <d v="2017-03-14T00:00:00"/>
    <s v="Tue"/>
    <d v="1899-12-30T08:30:00"/>
    <d v="1899-12-30T17:30:00"/>
    <n v="0"/>
    <n v="7.9999999999999982"/>
    <n v="7.9999999999999982"/>
    <s v="Normal Working Days before 10pm"/>
    <s v="Total: 560 Policies (Batch 20170313_1512: 88 Policies, Batch 20170313_2204: 218 Policies, Batch 20170314_1201: 254 Policies)"/>
    <s v=""/>
    <x v="2"/>
  </r>
  <r>
    <x v="1"/>
    <x v="5"/>
    <d v="2017-03-15T00:00:00"/>
    <s v="Wed"/>
    <d v="1899-12-30T08:30:00"/>
    <d v="1899-12-30T17:30:00"/>
    <n v="0"/>
    <n v="7.9999999999999982"/>
    <n v="7.9999999999999982"/>
    <s v="Normal Working Days before 10pm"/>
    <s v="Total: 680 Policies (Batch 20170314_1505: 128 Policies, Batch 20170314_2245: 368 Policies, Batch 20170315_1157: 184 Policies)"/>
    <s v=""/>
    <x v="2"/>
  </r>
  <r>
    <x v="1"/>
    <x v="5"/>
    <d v="2017-03-16T00:00:00"/>
    <s v="Thu"/>
    <d v="1899-12-30T08:30:00"/>
    <d v="1899-12-30T22:00:00"/>
    <n v="0"/>
    <n v="12.5"/>
    <n v="12.5"/>
    <s v="Normal Working Days before 10pm"/>
    <s v="Total: 961 Policies (Batch 20170315_1538: 87 Policies, Batch 20170315_2207: 421 Policies, Batch 20170316_2207: 199 Policies, Batch 20170316_2207: 254 Policies)"/>
    <s v=""/>
    <x v="2"/>
  </r>
  <r>
    <x v="1"/>
    <x v="5"/>
    <d v="2017-03-17T00:00:00"/>
    <s v="Fri"/>
    <d v="1899-12-30T08:30:00"/>
    <d v="1899-12-30T17:30:00"/>
    <n v="0"/>
    <n v="7.9999999999999982"/>
    <n v="7.9999999999999982"/>
    <s v="Normal Working Days before 10pm"/>
    <s v="Total: 349 Policies (Batch 20170316_2208: 107 Policies, Batch 20170317_1205: 242 Policies)"/>
    <s v=""/>
    <x v="2"/>
  </r>
  <r>
    <x v="1"/>
    <x v="5"/>
    <d v="2017-03-20T00:00:00"/>
    <s v="Mon"/>
    <d v="1899-12-30T08:30:00"/>
    <d v="1899-12-30T17:30:00"/>
    <n v="0"/>
    <n v="7.9999999999999982"/>
    <n v="7.9999999999999982"/>
    <s v="Normal Working Days before 10pm"/>
    <s v="Total: 522 Policies (Batch 20170317_1502: 92 Policies, Batch 20170320_0947: 430 Policies, Anl Stmt Insertion)"/>
    <s v=""/>
    <x v="2"/>
  </r>
  <r>
    <x v="1"/>
    <x v="5"/>
    <d v="2017-03-21T00:00:00"/>
    <s v="Tue"/>
    <d v="1899-12-30T08:30:00"/>
    <d v="1899-12-30T21:30:00"/>
    <n v="0"/>
    <n v="11.999999999999986"/>
    <n v="11.999999999999986"/>
    <s v="Normal Working Days before 10pm"/>
    <s v="Total: 964 Policies (Batch 20170320_1154: 109 Policies, Batch 20170320_1504: 90 Policies, Batch 20170320_2111: 451 Policies, Batch 20170321_1207: 314 Policies)"/>
    <s v=""/>
    <x v="2"/>
  </r>
  <r>
    <x v="1"/>
    <x v="5"/>
    <d v="2017-03-22T00:00:00"/>
    <s v="Wed"/>
    <d v="1899-12-30T08:30:00"/>
    <d v="1899-12-30T19:30:00"/>
    <n v="0"/>
    <n v="9.9999999999999911"/>
    <n v="9.9999999999999911"/>
    <s v="Normal Working Days before 10pm"/>
    <s v="Total: 1031 Policies (Batch 20170321_1514: 220 Policies, Batch 20170321_2112: 467 Policies, Batch 20170322_1152: 204 Policies, Batch 20170322_1518: 140 Policies)"/>
    <s v=""/>
    <x v="2"/>
  </r>
  <r>
    <x v="1"/>
    <x v="5"/>
    <d v="2017-03-23T00:00:00"/>
    <s v="Thu"/>
    <d v="1899-12-30T08:30:00"/>
    <d v="1899-12-30T18:30:00"/>
    <n v="0"/>
    <n v="8.999999999999984"/>
    <n v="8.999999999999984"/>
    <s v="Normal Working Days before 10pm"/>
    <s v="Total: 742 Policies (Batch 20170322_2213: 352 Policies, Batch 20170323_1153: 301 Policies, Batch 20170323_1515: 89 Policies)"/>
    <s v=""/>
    <x v="2"/>
  </r>
  <r>
    <x v="1"/>
    <x v="5"/>
    <d v="2017-03-24T00:00:00"/>
    <s v="Fri"/>
    <d v="1899-12-30T08:30:00"/>
    <d v="1899-12-30T17:30:00"/>
    <n v="0"/>
    <n v="7.9999999999999982"/>
    <n v="7.9999999999999982"/>
    <s v="Normal Working Days before 10pm"/>
    <s v="Total: 714 Policies (Batch 20170323_2154: 410 Policies, Batch 20170324_1202: 144 Policies, Batch 20170324_1526: 160 Policies)"/>
    <s v=""/>
    <x v="2"/>
  </r>
  <r>
    <x v="1"/>
    <x v="5"/>
    <d v="2017-03-27T00:00:00"/>
    <s v="Mon"/>
    <d v="1899-12-30T08:30:00"/>
    <d v="1899-12-30T21:30:00"/>
    <n v="0"/>
    <n v="11.999999999999986"/>
    <n v="11.999999999999986"/>
    <s v="Normal Working Days before 10pm"/>
    <s v="Total: 1004 Policies (Batch 20170325_1504: 261 Policies, Batch 20170325_2128: 294 Policies, Batch 20170327_1202: 374 Policies, Batch 20170327_1513: 76 Policies)"/>
    <s v=""/>
    <x v="2"/>
  </r>
  <r>
    <x v="1"/>
    <x v="5"/>
    <d v="2017-03-28T00:00:00"/>
    <s v="Tue"/>
    <d v="1899-12-30T08:30:00"/>
    <d v="1899-12-30T19:00:00"/>
    <n v="0"/>
    <n v="9.4999999999999982"/>
    <n v="9.4999999999999982"/>
    <s v="Normal Working Days before 10pm"/>
    <s v="Total: 713 Policies (Batch 20170328_2318: 259 Policies, Batch 20170328_1158: 320 Policies, Batch 20170328_1506: 134 Policies)"/>
    <s v=""/>
    <x v="2"/>
  </r>
  <r>
    <x v="1"/>
    <x v="5"/>
    <d v="2017-03-29T00:00:00"/>
    <s v="Wed"/>
    <d v="1899-12-30T08:30:00"/>
    <d v="1899-12-30T21:30:00"/>
    <n v="0"/>
    <n v="11.999999999999986"/>
    <n v="11.999999999999986"/>
    <s v="Normal Working Days before 10pm"/>
    <s v="Total: 1224 Policies (Batch 20170329_2251: 750 Policies, Batch 20170329_1205: 494 Policies)"/>
    <s v=""/>
    <x v="2"/>
  </r>
  <r>
    <x v="1"/>
    <x v="5"/>
    <d v="2017-03-30T00:00:00"/>
    <s v="Thu"/>
    <d v="1899-12-30T08:30:00"/>
    <d v="1899-12-30T21:30:00"/>
    <n v="0"/>
    <n v="11.999999999999986"/>
    <n v="11.999999999999986"/>
    <s v="Normal Working Days before 10pm"/>
    <s v="Total: 1472 Policies (Batch 20170329_1536: 377 Policies, Batch 20170329_2242: 467 Policies, Batch 20170330_1210: 628 Policies)"/>
    <s v=""/>
    <x v="2"/>
  </r>
  <r>
    <x v="1"/>
    <x v="5"/>
    <d v="2017-03-31T00:00:00"/>
    <s v="Fri"/>
    <d v="1899-12-30T08:30:00"/>
    <d v="1899-12-30T21:30:00"/>
    <n v="0"/>
    <n v="11.999999999999986"/>
    <n v="11.999999999999986"/>
    <s v="Normal Working Days before 10pm"/>
    <s v="Total: 1078 Policies (Batch 20170330_1514: 310 Policies, Batch 20170330_0000: 768 Policies)"/>
    <s v=""/>
    <x v="2"/>
  </r>
  <r>
    <x v="0"/>
    <x v="6"/>
    <d v="2017-03-01T00:00:00"/>
    <s v="Wed"/>
    <d v="1899-12-30T17:00:00"/>
    <d v="1899-12-30T19:00:00"/>
    <n v="8"/>
    <n v="2.0000000000000124"/>
    <n v="2.0000000000000124"/>
    <s v="Normal Working Days before 10pm"/>
    <s v="Total: 1380 Policies (Batch 20170228_0119: 1380 Policies)"/>
    <n v="1"/>
    <x v="2"/>
  </r>
  <r>
    <x v="0"/>
    <x v="6"/>
    <d v="2017-03-02T00:00:00"/>
    <s v="Thu"/>
    <d v="1899-12-30T17:00:00"/>
    <d v="1899-12-30T21:30:00"/>
    <n v="8"/>
    <n v="4.4999999999999964"/>
    <n v="4.4999999999999964"/>
    <s v="Normal Working Days before 10pm"/>
    <s v="Total: 1272 Policies (Batch 20170301_1147: 129 Policies, Batch 20170301_1508: 66 Policies, Batch 20170301_0115: 1077 Policies)"/>
    <n v="1"/>
    <x v="2"/>
  </r>
  <r>
    <x v="0"/>
    <x v="6"/>
    <d v="2017-03-03T00:00:00"/>
    <s v="Fri"/>
    <d v="1899-12-30T17:00:00"/>
    <d v="1899-12-30T20:30:00"/>
    <n v="8"/>
    <n v="3.5000000000000107"/>
    <n v="3.5000000000000107"/>
    <s v="Normal Working Days before 10pm"/>
    <s v="Total: 1004 Policies (Batch 20170302_1205: 284 Policies, Batch 20170302_1455: 22 Policies, Batch 20170302_2117: 267 Policies, Batch 20170303_1202: 240 Policies, Batch 20170303_1517: 91 Policies)"/>
    <n v="1"/>
    <x v="2"/>
  </r>
  <r>
    <x v="0"/>
    <x v="6"/>
    <d v="2017-03-16T00:00:00"/>
    <s v="Thu"/>
    <d v="1899-12-30T17:30:00"/>
    <d v="1899-12-30T22:00:00"/>
    <n v="8"/>
    <n v="4.4999999999999964"/>
    <n v="4.4999999999999964"/>
    <s v="Normal Working Days before 10pm"/>
    <s v="Total: 961 Policies (Batch 20170315_1538: 87 Policies, Batch 20170315_2207: 421 Policies, Batch 20170316_2207: 199 Policies, Batch 20170316_2207: 254 Policies)"/>
    <n v="1"/>
    <x v="2"/>
  </r>
  <r>
    <x v="0"/>
    <x v="6"/>
    <d v="2017-03-20T00:00:00"/>
    <s v="Mon"/>
    <d v="1899-12-30T17:00:00"/>
    <d v="1899-12-30T18:45:00"/>
    <n v="8"/>
    <n v="1.7500000000000053"/>
    <n v="1.7500000000000053"/>
    <s v="Normal Working Days before 10pm"/>
    <s v="Total: 522 Policies (Batch 20170317_1502: 92 Policies, Batch 20170320_0947: 430 Policies, Anl Stmt Insertion)"/>
    <s v=""/>
    <x v="2"/>
  </r>
  <r>
    <x v="0"/>
    <x v="6"/>
    <d v="2017-03-21T00:00:00"/>
    <s v="Tue"/>
    <d v="1899-12-30T17:00:00"/>
    <d v="1899-12-30T21:30:00"/>
    <n v="8"/>
    <n v="4.4999999999999964"/>
    <n v="4.4999999999999964"/>
    <s v="Normal Working Days before 10pm"/>
    <s v="Total: 964 Policies (Batch 20170320_1154: 109 Policies, Batch 20170320_1504: 90 Policies, Batch 20170320_2111: 451 Policies, Batch 20170321_1207: 314 Policies)"/>
    <n v="1"/>
    <x v="2"/>
  </r>
  <r>
    <x v="0"/>
    <x v="6"/>
    <d v="2017-03-22T00:00:00"/>
    <s v="Wed"/>
    <d v="1899-12-30T17:00:00"/>
    <d v="1899-12-30T19:30:00"/>
    <n v="8"/>
    <n v="2.5000000000000053"/>
    <n v="2.5000000000000053"/>
    <s v="Normal Working Days before 10pm"/>
    <s v="Total: 1031 Policies (Batch 20170321_1514: 220 Policies, Batch 20170321_2112: 467 Policies, Batch 20170322_1152: 204 Policies, Batch 20170322_1518: 140 Policies)"/>
    <n v="1"/>
    <x v="2"/>
  </r>
  <r>
    <x v="0"/>
    <x v="6"/>
    <d v="2017-03-23T00:00:00"/>
    <s v="Thu"/>
    <d v="1899-12-30T17:00:00"/>
    <d v="1899-12-30T18:30:00"/>
    <n v="8"/>
    <n v="1.4999999999999982"/>
    <n v="1.4999999999999982"/>
    <s v="Normal Working Days before 10pm"/>
    <s v="Total: 742 Policies (Batch 20170322_2213: 352 Policies, Batch 20170323_1153: 301 Policies, Batch 20170323_1515: 89 Policies)"/>
    <s v=""/>
    <x v="2"/>
  </r>
  <r>
    <x v="0"/>
    <x v="6"/>
    <d v="2017-03-25T00:00:00"/>
    <s v="Sat"/>
    <d v="1899-12-30T08:30:00"/>
    <d v="1899-12-30T17:30:00"/>
    <n v="8"/>
    <n v="7.9999999999999982"/>
    <n v="8"/>
    <s v="Saturday/Sunday (Weekends) before 10pm"/>
    <s v="Total: 778 Policies (Batch 20170324_1202: 144 Policies, Batch 20170324_1526: 160 Policies, Batch 20170324_2214: 311 Policies, Batch 20170325_1150: 163 Policies)"/>
    <n v="1"/>
    <x v="2"/>
  </r>
  <r>
    <x v="0"/>
    <x v="6"/>
    <d v="2017-03-28T00:00:00"/>
    <s v="Tue"/>
    <d v="1899-12-30T17:00:00"/>
    <d v="1899-12-30T19:00:00"/>
    <n v="8"/>
    <n v="2.0000000000000124"/>
    <n v="2.0000000000000124"/>
    <s v="Normal Working Days before 10pm"/>
    <s v="Total: 713 Policies (Batch 20170328_2318: 259 Policies, Batch 20170328_1158: 320 Policies, Batch 20170328_1506: 134 Policies)"/>
    <n v="1"/>
    <x v="2"/>
  </r>
  <r>
    <x v="0"/>
    <x v="6"/>
    <d v="2017-03-29T00:00:00"/>
    <s v="Wed"/>
    <d v="1899-12-30T17:00:00"/>
    <d v="1899-12-30T17:15:00"/>
    <n v="8"/>
    <n v="0.25000000000000533"/>
    <n v="0.25000000000000533"/>
    <s v="Normal Working Days before 10pm"/>
    <s v="Total: 1224 Policies (Batch 20170329_2251: 750 Policies, Batch 20170329_1205: 494 Policies)"/>
    <s v=""/>
    <x v="2"/>
  </r>
  <r>
    <x v="0"/>
    <x v="6"/>
    <d v="2017-03-30T00:00:00"/>
    <s v="Thu"/>
    <d v="1899-12-30T17:15:00"/>
    <d v="1899-12-30T21:30:00"/>
    <n v="8"/>
    <n v="4.2499999999999893"/>
    <n v="4.2499999999999893"/>
    <s v="Normal Working Days before 10pm"/>
    <s v="Total: 1472 Policies (Batch 20170329_1536: 377 Policies, Batch 20170329_2242: 467 Policies, Batch 20170330_1210: 628 Policies)"/>
    <n v="1"/>
    <x v="2"/>
  </r>
  <r>
    <x v="1"/>
    <x v="7"/>
    <d v="2017-03-01T00:00:00"/>
    <s v="Wed"/>
    <d v="1899-12-30T13:00:00"/>
    <d v="1899-12-30T21:30:00"/>
    <n v="0"/>
    <n v="7.4999999999999858"/>
    <n v="7.4999999999999858"/>
    <s v="Normal Working Days before 10pm"/>
    <s v="Total: 1380 Policies (Batch 20170228_0119: 1380 Policies)"/>
    <s v=""/>
    <x v="2"/>
  </r>
  <r>
    <x v="1"/>
    <x v="7"/>
    <d v="2017-03-02T00:00:00"/>
    <s v="Thu"/>
    <d v="1899-12-30T13:00:00"/>
    <d v="1899-12-30T22:00:00"/>
    <n v="0"/>
    <n v="8"/>
    <n v="8"/>
    <s v="Normal Working Days before 10pm"/>
    <s v="Total: 1272 Policies (Batch 20170301_1147: 129 Policies, Batch 20170301_1508: 66 Policies, Batch 20170301_0115: 1077 Policies)"/>
    <s v=""/>
    <x v="2"/>
  </r>
  <r>
    <x v="1"/>
    <x v="7"/>
    <d v="2017-03-15T00:00:00"/>
    <s v="Wed"/>
    <d v="1899-12-30T10:30:00"/>
    <d v="1899-12-30T17:00:00"/>
    <n v="0"/>
    <n v="5.4999999999999929"/>
    <n v="5.4999999999999929"/>
    <s v="Normal Working Days before 10pm"/>
    <s v="Total: 680 Policies (Batch 20170314_1505: 128 Policies, Batch 20170314_2245: 368 Policies, Batch 20170315_1157: 184 Policies)"/>
    <s v=""/>
    <x v="2"/>
  </r>
  <r>
    <x v="1"/>
    <x v="7"/>
    <d v="2017-03-16T00:00:00"/>
    <s v="Thu"/>
    <d v="1899-12-30T18:30:00"/>
    <d v="1899-12-30T22:00:00"/>
    <n v="0"/>
    <n v="3.5000000000000142"/>
    <n v="3.5000000000000142"/>
    <s v="Normal Working Days before 10pm"/>
    <s v="Total: 961 Policies (Batch 20170315_1538: 87 Policies, Batch 20170315_2207: 421 Policies, Batch 20170316_2207: 199 Policies, Batch 20170316_2207: 254 Policies)"/>
    <s v=""/>
    <x v="2"/>
  </r>
  <r>
    <x v="1"/>
    <x v="7"/>
    <d v="2017-03-21T00:00:00"/>
    <s v="Tue"/>
    <d v="1899-12-30T18:30:00"/>
    <d v="1899-12-30T21:30:00"/>
    <n v="0"/>
    <n v="3"/>
    <n v="3"/>
    <s v="Normal Working Days before 10pm"/>
    <s v="Total: 964 Policies (Batch 20170320_1154: 109 Policies, Batch 20170320_1504: 90 Policies, Batch 20170320_2111: 451 Policies, Batch 20170321_1207: 314 Policies)"/>
    <s v=""/>
    <x v="2"/>
  </r>
  <r>
    <x v="1"/>
    <x v="7"/>
    <d v="2017-03-25T00:00:00"/>
    <s v="Sat"/>
    <d v="1899-12-30T08:30:00"/>
    <d v="1899-12-30T16:00:00"/>
    <n v="0"/>
    <n v="6.4999999999999982"/>
    <n v="6.4999999999999982"/>
    <s v="Saturday/Sunday (Weekends) before 10pm"/>
    <s v="Anl Stmt Insertion"/>
    <s v=""/>
    <x v="2"/>
  </r>
  <r>
    <x v="1"/>
    <x v="8"/>
    <d v="2017-03-01T00:00:00"/>
    <s v="Wed"/>
    <d v="1899-12-30T08:00:00"/>
    <d v="1899-12-30T22:00:00"/>
    <n v="0"/>
    <n v="13.000000000000014"/>
    <n v="13.000000000000014"/>
    <s v="Normal Working Days before 10pm"/>
    <s v="Total: 1380 Policies (Batch 20170228_0119: 1380 Policies)"/>
    <s v=""/>
    <x v="2"/>
  </r>
  <r>
    <x v="1"/>
    <x v="8"/>
    <d v="2017-03-02T00:00:00"/>
    <s v="Thu"/>
    <d v="1899-12-30T08:30:00"/>
    <d v="1899-12-30T22:00:00"/>
    <n v="0"/>
    <n v="12.5"/>
    <n v="12.5"/>
    <s v="Normal Working Days before 10pm"/>
    <s v="Total: 1272 Policies (Batch 20170301_1147: 129 Policies, Batch 20170301_1508: 66 Policies, Batch 20170301_0115: 1077 Policies)"/>
    <s v=""/>
    <x v="2"/>
  </r>
  <r>
    <x v="1"/>
    <x v="8"/>
    <d v="2017-03-03T00:00:00"/>
    <s v="Fri"/>
    <d v="1899-12-30T08:30:00"/>
    <d v="1899-12-30T20:30:00"/>
    <n v="0"/>
    <n v="10.999999999999998"/>
    <n v="10.999999999999998"/>
    <s v="Normal Working Days before 10pm"/>
    <s v="Total: 1004 Policies (Batch 20170302_1205: 284 Policies, Batch 20170302_1455: 22 Policies, Batch 20170302_2117: 267 Policies, Batch 20170303_1202: 240 Policies, Batch 20170303_1517: 91 Policies)"/>
    <s v=""/>
    <x v="2"/>
  </r>
  <r>
    <x v="1"/>
    <x v="9"/>
    <d v="2017-03-02T00:00:00"/>
    <s v="Thu"/>
    <d v="1899-12-30T18:00:00"/>
    <d v="1899-12-30T22:00:00"/>
    <n v="0"/>
    <n v="3.0000000000000071"/>
    <n v="3.0000000000000071"/>
    <s v="Normal Working Days before 10pm"/>
    <s v="Total: 1272 Policies (Batch 20170301_1147: 129 Policies, Batch 20170301_1508: 66 Policies, Batch 20170301_0115: 1077 Policies)"/>
    <s v=""/>
    <x v="2"/>
  </r>
  <r>
    <x v="1"/>
    <x v="9"/>
    <d v="2017-03-21T00:00:00"/>
    <s v="Tue"/>
    <d v="1899-12-30T18:30:00"/>
    <d v="1899-12-30T21:45:00"/>
    <n v="0"/>
    <n v="3.2500000000000071"/>
    <n v="3.2500000000000071"/>
    <s v="Normal Working Days before 10pm"/>
    <s v="Total: 964 Policies (Batch 20170320_1154: 109 Policies, Batch 20170320_1504: 90 Policies, Batch 20170320_2111: 451 Policies, Batch 20170321_1207: 314 Policies)"/>
    <s v=""/>
    <x v="2"/>
  </r>
  <r>
    <x v="1"/>
    <x v="9"/>
    <d v="2017-03-31T00:00:00"/>
    <s v="Fri"/>
    <d v="1899-12-30T15:00:00"/>
    <d v="1899-12-30T21:30:00"/>
    <n v="0"/>
    <n v="6.4999999999999929"/>
    <n v="6.4999999999999929"/>
    <s v="Normal Working Days before 10pm"/>
    <s v="Total: 1078 Policies (Batch 20170330_1514: 310 Policies, Batch 20170330_0000: 768 Policies)"/>
    <s v=""/>
    <x v="2"/>
  </r>
  <r>
    <x v="1"/>
    <x v="10"/>
    <d v="2017-03-20T00:00:00"/>
    <s v="Mon"/>
    <d v="1899-12-30T08:30:00"/>
    <d v="1899-12-30T18:45:00"/>
    <n v="0"/>
    <n v="9.7499999999999911"/>
    <n v="9.7499999999999911"/>
    <s v="Normal Working Days before 10pm"/>
    <s v="Anl Stmt Insertion"/>
    <s v=""/>
    <x v="2"/>
  </r>
  <r>
    <x v="1"/>
    <x v="10"/>
    <d v="2017-03-21T00:00:00"/>
    <s v="Tue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0"/>
    <d v="2017-03-22T00:00:00"/>
    <s v="Wed"/>
    <d v="1899-12-30T08:30:00"/>
    <d v="1899-12-30T18:30:00"/>
    <n v="0"/>
    <n v="8.999999999999984"/>
    <n v="8.999999999999984"/>
    <s v="Normal Working Days before 10pm"/>
    <s v="Anl Stmt Insertion"/>
    <s v=""/>
    <x v="2"/>
  </r>
  <r>
    <x v="1"/>
    <x v="10"/>
    <d v="2017-03-23T00:00:00"/>
    <s v="Thu"/>
    <d v="1899-12-30T12:45:00"/>
    <d v="1899-12-30T17:45:00"/>
    <n v="0"/>
    <n v="4.9999999999999929"/>
    <n v="4.9999999999999929"/>
    <s v="Normal Working Days before 10pm"/>
    <s v="Anl Stmt Insertion"/>
    <s v=""/>
    <x v="2"/>
  </r>
  <r>
    <x v="1"/>
    <x v="10"/>
    <d v="2017-03-24T00:00:00"/>
    <s v="Fri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1"/>
    <d v="2017-03-20T00:00:00"/>
    <s v="Mon"/>
    <d v="1899-12-30T08:30:00"/>
    <d v="1899-12-30T17:30:00"/>
    <n v="0"/>
    <n v="8.4999999999999982"/>
    <n v="8.4999999999999982"/>
    <s v="Normal Working Days before 10pm"/>
    <s v="Anl Stmt Insertion"/>
    <s v=""/>
    <x v="2"/>
  </r>
  <r>
    <x v="1"/>
    <x v="11"/>
    <d v="2017-03-21T00:00:00"/>
    <s v="Tue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1"/>
    <d v="2017-03-22T00:00:00"/>
    <s v="Wed"/>
    <d v="1899-12-30T09:00:00"/>
    <d v="1899-12-30T18:30:00"/>
    <n v="0"/>
    <n v="8.4999999999999929"/>
    <n v="8.4999999999999929"/>
    <s v="Normal Working Days before 10pm"/>
    <s v="Anl Stmt Insertion"/>
    <s v=""/>
    <x v="2"/>
  </r>
  <r>
    <x v="1"/>
    <x v="11"/>
    <d v="2017-03-23T00:00:00"/>
    <s v="Thu"/>
    <d v="1899-12-30T08:30:00"/>
    <d v="1899-12-30T17:45:00"/>
    <n v="0"/>
    <n v="8.249999999999984"/>
    <n v="8.249999999999984"/>
    <s v="Normal Working Days before 10pm"/>
    <s v="Anl Stmt Insertion"/>
    <s v=""/>
    <x v="2"/>
  </r>
  <r>
    <x v="1"/>
    <x v="11"/>
    <d v="2017-03-24T00:00:00"/>
    <s v="Fri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1"/>
    <d v="2017-03-25T00:00:00"/>
    <s v="Sat"/>
    <d v="1899-12-30T09:15:00"/>
    <d v="1899-12-30T16:30:00"/>
    <n v="0"/>
    <n v="6.2499999999999911"/>
    <n v="6.2499999999999911"/>
    <s v="Saturday/Sunday (Weekends) before 10pm"/>
    <s v="Anl Stmt Insertion"/>
    <s v=""/>
    <x v="2"/>
  </r>
  <r>
    <x v="1"/>
    <x v="11"/>
    <d v="2017-03-27T00:00:00"/>
    <s v="Mon"/>
    <d v="1899-12-30T08:30:00"/>
    <d v="1899-12-30T12:00:00"/>
    <n v="0"/>
    <n v="3.4999999999999916"/>
    <n v="3.4999999999999916"/>
    <s v="Normal Working Days before 10pm"/>
    <s v="Total: 1004 Policies (Batch 20170325_1504: 261 Policies, Batch 20170325_2128: 294 Policies, Batch 20170327_1202: 374 Policies, Batch 20170327_1513: 76 PoliciesT(rain for peak cycle))"/>
    <s v=""/>
    <x v="2"/>
  </r>
  <r>
    <x v="1"/>
    <x v="11"/>
    <d v="2017-03-28T00:00:00"/>
    <s v="Tue"/>
    <d v="1899-12-30T08:30:00"/>
    <d v="1899-12-30T17:30:00"/>
    <n v="0"/>
    <n v="7.9999999999999982"/>
    <n v="7.9999999999999982"/>
    <s v="Normal Working Days before 10pm"/>
    <s v="Total: 713 Policies (Batch 20170328_2318: 259 Policies, Batch 20170328_1158: 320 Policies, Batch 20170328_1506: 134 Policies (Train for peak cycle))"/>
    <s v=""/>
    <x v="2"/>
  </r>
  <r>
    <x v="1"/>
    <x v="11"/>
    <d v="2017-03-29T00:00:00"/>
    <s v="Wed"/>
    <d v="1899-12-30T09:15:00"/>
    <d v="1899-12-30T21:30:00"/>
    <n v="0"/>
    <n v="11.249999999999986"/>
    <n v="11.249999999999986"/>
    <s v="Normal Working Days before 10pm"/>
    <s v="Total: 1224 Policies (Train for peak cycle)"/>
    <s v=""/>
    <x v="2"/>
  </r>
  <r>
    <x v="1"/>
    <x v="11"/>
    <d v="2017-03-30T00:00:00"/>
    <s v="Thu"/>
    <d v="1899-12-30T08:30:00"/>
    <d v="1899-12-30T21:30:00"/>
    <n v="0"/>
    <n v="11.999999999999986"/>
    <n v="11.999999999999986"/>
    <s v="Normal Working Days before 10pm"/>
    <s v="Total: 1472 Policies (Batch 20170329_1536: 377 Policies, Batch 20170329_2242: 467 Policies, Batch 20170330_1210: 628 Policies)"/>
    <s v=""/>
    <x v="2"/>
  </r>
  <r>
    <x v="1"/>
    <x v="11"/>
    <d v="2017-03-31T00:00:00"/>
    <s v="Fri"/>
    <d v="1899-12-30T08:30:00"/>
    <d v="1899-12-30T21:30:00"/>
    <n v="0"/>
    <n v="11.999999999999986"/>
    <n v="11.999999999999986"/>
    <s v="Normal Working Days before 10pm"/>
    <s v="Total: 1078 Policies (Batch 20170330_1514: 310 Policies, Batch 20170330_0000: 768 Policies)"/>
    <s v=""/>
    <x v="2"/>
  </r>
  <r>
    <x v="1"/>
    <x v="12"/>
    <d v="2017-03-20T00:00:00"/>
    <s v="Mon"/>
    <d v="1899-12-30T08:30:00"/>
    <d v="1899-12-30T17:30:00"/>
    <n v="0"/>
    <n v="8.4999999999999982"/>
    <n v="8.4999999999999982"/>
    <s v="Normal Working Days before 10pm"/>
    <s v="Anl Stmt Insertion"/>
    <s v=""/>
    <x v="2"/>
  </r>
  <r>
    <x v="1"/>
    <x v="12"/>
    <d v="2017-03-21T00:00:00"/>
    <s v="Tue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2"/>
    <d v="2017-03-23T00:00:00"/>
    <s v="Thu"/>
    <d v="1899-12-30T08:30:00"/>
    <d v="1899-12-30T17:45:00"/>
    <n v="0"/>
    <n v="8.249999999999984"/>
    <n v="8.249999999999984"/>
    <s v="Normal Working Days before 10pm"/>
    <s v="Anl Stmt Insertion"/>
    <s v=""/>
    <x v="2"/>
  </r>
  <r>
    <x v="1"/>
    <x v="12"/>
    <d v="2017-03-24T00:00:00"/>
    <s v="Fri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3"/>
    <d v="2017-03-21T00:00:00"/>
    <s v="Tue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3"/>
    <d v="2017-03-22T00:00:00"/>
    <s v="Wed"/>
    <d v="1899-12-30T08:30:00"/>
    <d v="1899-12-30T18:30:00"/>
    <n v="0"/>
    <n v="8.999999999999984"/>
    <n v="8.999999999999984"/>
    <s v="Normal Working Days before 10pm"/>
    <s v="Anl Stmt Insertion"/>
    <s v=""/>
    <x v="2"/>
  </r>
  <r>
    <x v="1"/>
    <x v="13"/>
    <d v="2017-03-23T00:00:00"/>
    <s v="Thu"/>
    <d v="1899-12-30T08:30:00"/>
    <d v="1899-12-30T17:45:00"/>
    <n v="0"/>
    <n v="8.249999999999984"/>
    <n v="8.249999999999984"/>
    <s v="Normal Working Days before 10pm"/>
    <s v="Anl Stmt Insertion"/>
    <s v=""/>
    <x v="2"/>
  </r>
  <r>
    <x v="1"/>
    <x v="13"/>
    <d v="2017-03-24T00:00:00"/>
    <s v="Fri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4"/>
    <d v="2017-03-22T00:00:00"/>
    <s v="Wed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4"/>
    <d v="2017-03-23T00:00:00"/>
    <s v="Thu"/>
    <d v="1899-12-30T08:30:00"/>
    <d v="1899-12-30T17:45:00"/>
    <n v="0"/>
    <n v="8.249999999999984"/>
    <n v="8.249999999999984"/>
    <s v="Normal Working Days before 10pm"/>
    <s v="Anl Stmt Insertion"/>
    <s v=""/>
    <x v="2"/>
  </r>
  <r>
    <x v="1"/>
    <x v="14"/>
    <d v="2017-03-24T00:00:00"/>
    <s v="Fri"/>
    <d v="1899-12-30T08:30:00"/>
    <d v="1899-12-30T17:30:00"/>
    <n v="0"/>
    <n v="7.9999999999999982"/>
    <n v="7.9999999999999982"/>
    <s v="Normal Working Days before 10pm"/>
    <s v="Anl Stmt Insertion"/>
    <s v=""/>
    <x v="2"/>
  </r>
  <r>
    <x v="1"/>
    <x v="14"/>
    <d v="2017-03-25T00:00:00"/>
    <s v="Sat"/>
    <d v="1899-12-30T08:30:00"/>
    <d v="1899-12-30T16:30:00"/>
    <n v="0"/>
    <n v="6.9999999999999911"/>
    <n v="6.9999999999999911"/>
    <s v="Saturday/Sunday (Weekends) before 10pm"/>
    <s v="Anl Stmt Insertion"/>
    <s v=""/>
    <x v="2"/>
  </r>
  <r>
    <x v="1"/>
    <x v="14"/>
    <d v="2017-03-28T00:00:00"/>
    <s v="Tue"/>
    <d v="1899-12-30T08:30:00"/>
    <d v="1899-12-30T17:30:00"/>
    <n v="0"/>
    <n v="7.9999999999999982"/>
    <n v="7.9999999999999982"/>
    <s v="Normal Working Days before 10pm"/>
    <s v="Total: 713 Policies (Batch 20170328_2318: 259 Policies, Batch 20170328_1158: 320 Policies, Batch 20170328_1506: 134 Policies (Train for peak cycle))"/>
    <s v=""/>
    <x v="2"/>
  </r>
  <r>
    <x v="1"/>
    <x v="14"/>
    <d v="2017-03-29T00:00:00"/>
    <s v="Wed"/>
    <d v="1899-12-30T08:30:00"/>
    <d v="1899-12-30T20:30:00"/>
    <n v="0"/>
    <n v="10.999999999999998"/>
    <n v="10.999999999999998"/>
    <s v="Normal Working Days before 10pm"/>
    <s v="Total: 1224 Policies (Train for peak cycle)"/>
    <s v=""/>
    <x v="2"/>
  </r>
  <r>
    <x v="1"/>
    <x v="14"/>
    <d v="2017-03-30T00:00:00"/>
    <s v="Thu"/>
    <d v="1899-12-30T08:30:00"/>
    <d v="1899-12-30T17:30:00"/>
    <n v="0"/>
    <n v="7.9999999999999982"/>
    <n v="7.9999999999999982"/>
    <s v="Normal Working Days before 10pm"/>
    <s v="Total: 1472 Policies (Batch 20170329_1536: 377 Policies, Batch 20170329_2242: 467 Policies, Batch 20170330_1210: 628 Policies)"/>
    <s v=""/>
    <x v="2"/>
  </r>
  <r>
    <x v="1"/>
    <x v="14"/>
    <d v="2017-03-31T00:00:00"/>
    <s v="Fri"/>
    <d v="1899-12-30T08:30:00"/>
    <d v="1899-12-30T21:30:00"/>
    <n v="0"/>
    <n v="11.999999999999986"/>
    <n v="11.999999999999986"/>
    <s v="Normal Working Days before 10pm"/>
    <s v="Total: 1078 Policies (Batch 20170330_1514: 310 Policies, Batch 20170330_0000: 768 Policies)"/>
    <s v=""/>
    <x v="2"/>
  </r>
  <r>
    <x v="0"/>
    <x v="0"/>
    <d v="2017-04-01T00:00:00"/>
    <s v="Sat"/>
    <d v="1899-12-30T17:30:00"/>
    <d v="1899-12-30T21:30:00"/>
    <n v="8"/>
    <n v="4"/>
    <n v="11.999999999999986"/>
    <s v="Saturday/Sunday (Weekends) before 10pm"/>
    <s v="Total: 1374 Policies (Batch 20170331_1152: 812 Policies, Batch 20170331_1509: 562 Policies)"/>
    <n v="1"/>
    <x v="3"/>
  </r>
  <r>
    <x v="0"/>
    <x v="4"/>
    <d v="2017-04-01T00:00:00"/>
    <s v="Sat"/>
    <d v="1899-12-30T17:30:00"/>
    <d v="1899-12-30T20:30:00"/>
    <n v="8"/>
    <n v="3"/>
    <n v="10.999999999999998"/>
    <s v="Saturday/Sunday (Weekends) before 10pm"/>
    <s v="Total: 1374 Policies (Batch 20170331_1152: 812 Policies, Batch 20170331_1509: 562 Policies)"/>
    <n v="1"/>
    <x v="3"/>
  </r>
  <r>
    <x v="1"/>
    <x v="5"/>
    <d v="2017-04-01T00:00:00"/>
    <s v="Sat"/>
    <d v="1899-12-30T08:30:00"/>
    <d v="1899-12-30T21:30:00"/>
    <n v="0"/>
    <n v="11.999999999999986"/>
    <n v="11.999999999999986"/>
    <s v="Saturday/Sunday (Weekends) before 10pm"/>
    <s v="Total: 1374 Policies (Batch 20170331_1152: 812 Policies, Batch 20170331_1509: 562 Policies)"/>
    <s v=""/>
    <x v="3"/>
  </r>
  <r>
    <x v="1"/>
    <x v="9"/>
    <d v="2017-04-01T00:00:00"/>
    <s v="Sat"/>
    <d v="1899-12-30T13:00:00"/>
    <d v="1899-12-30T21:30:00"/>
    <n v="0"/>
    <n v="8.4999999999999858"/>
    <n v="8.4999999999999858"/>
    <s v="Saturday/Sunday (Weekends) before 10pm"/>
    <s v="Total: 1374 Policies (Batch 20170331_1152: 812 Policies, Batch 20170331_1509: 562 Policies)"/>
    <s v=""/>
    <x v="3"/>
  </r>
  <r>
    <x v="1"/>
    <x v="11"/>
    <d v="2017-04-01T00:00:00"/>
    <s v="Sat"/>
    <d v="1899-12-30T08:30:00"/>
    <d v="1899-12-30T16:00:00"/>
    <n v="0"/>
    <n v="6.4999999999999982"/>
    <n v="6.4999999999999982"/>
    <s v="Saturday/Sunday (Weekends) before 10pm"/>
    <s v="Total: 1374 Policies (Batch 20170331_1152: 812 Policies, Batch 20170331_1509: 562 Policies)"/>
    <s v=""/>
    <x v="3"/>
  </r>
  <r>
    <x v="1"/>
    <x v="14"/>
    <d v="2017-04-01T00:00:00"/>
    <s v="Sat"/>
    <d v="1899-12-30T08:30:00"/>
    <d v="1899-12-30T21:30:00"/>
    <n v="0"/>
    <n v="11.999999999999986"/>
    <n v="11.999999999999986"/>
    <s v="Saturday/Sunday (Weekends) before 10pm"/>
    <s v="Total: 1374 Policies (Batch 20170331_1152: 812 Policies, Batch 20170331_1509: 562 Policies)"/>
    <s v=""/>
    <x v="3"/>
  </r>
  <r>
    <x v="0"/>
    <x v="0"/>
    <d v="2017-04-02T00:00:00"/>
    <s v="Sun"/>
    <d v="1899-12-30T08:00:00"/>
    <d v="1899-12-30T18:30:00"/>
    <n v="0"/>
    <n v="9.5000000000000018"/>
    <n v="9.5000000000000018"/>
    <s v="Saturday/Sunday (Weekends) before 10pm"/>
    <s v="Total: 1777 Policies (Batch 20170331_0831: 805 Policies, Batch 20170331_1248: 972 Policies)"/>
    <n v="1"/>
    <x v="3"/>
  </r>
  <r>
    <x v="0"/>
    <x v="2"/>
    <d v="2017-04-02T00:00:00"/>
    <s v="Sun"/>
    <d v="1899-12-30T08:30:00"/>
    <d v="1899-12-30T18:30:00"/>
    <n v="0"/>
    <n v="8.999999999999984"/>
    <n v="8.999999999999984"/>
    <s v="Saturday/Sunday (Weekends) before 10pm"/>
    <s v="Total: 1777 Policies (Batch 20170331_0831: 805 Policies, Batch 20170331_1248: 972 Policies)"/>
    <n v="1"/>
    <x v="3"/>
  </r>
  <r>
    <x v="0"/>
    <x v="4"/>
    <d v="2017-04-02T00:00:00"/>
    <s v="Sun"/>
    <d v="1899-12-30T08:00:00"/>
    <d v="1899-12-30T18:30:00"/>
    <n v="0"/>
    <n v="9.5000000000000018"/>
    <n v="9.5000000000000018"/>
    <s v="Saturday/Sunday (Weekends) before 10pm"/>
    <s v="Total: 1777 Policies (Batch 20170331_0831: 805 Policies, Batch 20170331_1248: 972 Policies)"/>
    <n v="1"/>
    <x v="3"/>
  </r>
  <r>
    <x v="1"/>
    <x v="5"/>
    <d v="2017-04-02T00:00:00"/>
    <s v="Sun"/>
    <d v="1899-12-30T08:00:00"/>
    <d v="1899-12-30T18:30:00"/>
    <n v="0"/>
    <n v="9.5000000000000018"/>
    <n v="9.5000000000000018"/>
    <s v="Saturday/Sunday (Weekends) before 10pm"/>
    <s v="Total: 1777 Policies (Batch 20170331_0831: 805 Policies, Batch 20170331_1248: 972 Policies)"/>
    <s v=""/>
    <x v="3"/>
  </r>
  <r>
    <x v="0"/>
    <x v="6"/>
    <d v="2017-04-02T00:00:00"/>
    <s v="Sun"/>
    <d v="1899-12-30T08:30:00"/>
    <d v="1899-12-30T18:30:00"/>
    <n v="0"/>
    <n v="8.999999999999984"/>
    <n v="8.999999999999984"/>
    <s v="Saturday/Sunday (Weekends) before 10pm"/>
    <s v="Total: 1777 Policies (Batch 20170331_0831: 805 Policies, Batch 20170331_1248: 972 Policies)"/>
    <n v="1"/>
    <x v="3"/>
  </r>
  <r>
    <x v="1"/>
    <x v="9"/>
    <d v="2017-04-02T00:00:00"/>
    <s v="Sun"/>
    <d v="1899-12-30T08:00:00"/>
    <d v="1899-12-30T18:30:00"/>
    <n v="0"/>
    <n v="9.5000000000000018"/>
    <n v="9.5000000000000018"/>
    <s v="Saturday/Sunday (Weekends) before 10pm"/>
    <s v="Total: 1777 Policies (Batch 20170331_0831: 805 Policies, Batch 20170331_1248: 972 Policies)"/>
    <s v=""/>
    <x v="3"/>
  </r>
  <r>
    <x v="1"/>
    <x v="11"/>
    <d v="2017-04-02T00:00:00"/>
    <s v="Sun"/>
    <d v="1899-12-30T08:00:00"/>
    <d v="1899-12-30T17:00:00"/>
    <n v="0"/>
    <n v="8.0000000000000018"/>
    <n v="8.0000000000000018"/>
    <s v="Saturday/Sunday (Weekends) before 10pm"/>
    <s v="Total: 1777 Policies (Batch 20170331_0831: 805 Policies, Batch 20170331_1248: 972 Policies)"/>
    <s v=""/>
    <x v="3"/>
  </r>
  <r>
    <x v="0"/>
    <x v="0"/>
    <d v="2017-04-03T00:00:00"/>
    <s v="Mon"/>
    <d v="1899-12-30T17:15:00"/>
    <d v="1899-12-30T21:30:00"/>
    <n v="8"/>
    <n v="4.2499999999999893"/>
    <n v="4.2499999999999893"/>
    <s v="Normal Working Days before 10pm"/>
    <s v="Total: 1467 Policies (Batch 20170331_1002: 1467 Policies, Batch 20170403_1901: 171 Policies)"/>
    <n v="1"/>
    <x v="3"/>
  </r>
  <r>
    <x v="0"/>
    <x v="2"/>
    <d v="2017-04-03T00:00:00"/>
    <s v="Mon"/>
    <d v="1899-12-30T17:30:00"/>
    <d v="1899-12-30T21:30:00"/>
    <n v="8"/>
    <n v="3.9999999999999822"/>
    <n v="3.9999999999999822"/>
    <s v="Normal Working Days before 10pm"/>
    <s v="Total: 1467 Policies (Batch 20170331_1002: 1468 Policies, Batch 20170403_1901: 171 Policies)"/>
    <n v="1"/>
    <x v="3"/>
  </r>
  <r>
    <x v="0"/>
    <x v="3"/>
    <d v="2017-04-03T00:00:00"/>
    <s v="Mon"/>
    <d v="1899-12-30T17:30:00"/>
    <d v="1899-12-30T20:30:00"/>
    <n v="8"/>
    <n v="2.9999999999999947"/>
    <n v="2.9999999999999947"/>
    <s v="Normal Working Days before 10pm"/>
    <s v="Total: 1467 Policies (Batch 20170331_1002: 1468 Policies, Batch 20170403_1901: 171 Policies)"/>
    <n v="1"/>
    <x v="3"/>
  </r>
  <r>
    <x v="0"/>
    <x v="4"/>
    <d v="2017-04-03T00:00:00"/>
    <s v="Mon"/>
    <d v="1899-12-30T17:30:00"/>
    <d v="1899-12-30T21:30:00"/>
    <n v="8"/>
    <n v="3.9999999999999822"/>
    <n v="3.9999999999999822"/>
    <s v="Normal Working Days before 10pm"/>
    <s v="Total: 1467 Policies (Batch 20170331_1002: 1468 Policies, Batch 20170403_1901: 171 Policies)"/>
    <n v="1"/>
    <x v="3"/>
  </r>
  <r>
    <x v="1"/>
    <x v="5"/>
    <d v="2017-04-03T00:00:00"/>
    <s v="Mon"/>
    <d v="1899-12-30T08:30:00"/>
    <d v="1899-12-30T21:30:00"/>
    <n v="0"/>
    <n v="11.999999999999986"/>
    <n v="11.999999999999986"/>
    <s v="Normal Working Days before 10pm"/>
    <s v="Total: 1467 Policies (Batch 20170331_1002: 1468 Policies, Batch 20170403_1901: 171 Policies)"/>
    <s v=""/>
    <x v="3"/>
  </r>
  <r>
    <x v="0"/>
    <x v="6"/>
    <d v="2017-04-03T00:00:00"/>
    <s v="Mon"/>
    <d v="1899-12-30T17:30:00"/>
    <d v="1899-12-30T21:30:00"/>
    <n v="8"/>
    <n v="3.9999999999999822"/>
    <n v="3.9999999999999822"/>
    <s v="Normal Working Days before 10pm"/>
    <s v="Total: 1467 Policies (Batch 20170331_1002: 1468 Policies, Batch 20170403_1901: 171 Policies)"/>
    <n v="1"/>
    <x v="3"/>
  </r>
  <r>
    <x v="1"/>
    <x v="9"/>
    <d v="2017-04-03T00:00:00"/>
    <s v="Mon"/>
    <d v="1899-12-30T18:30:00"/>
    <d v="1899-12-30T21:30:00"/>
    <n v="0"/>
    <n v="3"/>
    <n v="3"/>
    <s v="Normal Working Days before 10pm"/>
    <s v="Total: 1467 Policies (Batch 20170331_1002: 1468 Policies, Batch 20170403_1901: 171 Policies)"/>
    <s v=""/>
    <x v="3"/>
  </r>
  <r>
    <x v="1"/>
    <x v="11"/>
    <d v="2017-04-03T00:00:00"/>
    <s v="Mon"/>
    <d v="1899-12-30T08:30:00"/>
    <d v="1899-12-30T21:30:00"/>
    <n v="0"/>
    <n v="11.999999999999986"/>
    <n v="11.999999999999986"/>
    <s v="Normal Working Days before 10pm"/>
    <s v="Total: 1467 Policies (Batch 20170331_1002: 1468 Policies, Batch 20170403_1901: 171 Policies)"/>
    <s v=""/>
    <x v="3"/>
  </r>
  <r>
    <x v="1"/>
    <x v="14"/>
    <d v="2017-04-03T00:00:00"/>
    <s v="Mon"/>
    <d v="1899-12-30T08:30:00"/>
    <d v="1899-12-30T17:30:00"/>
    <n v="0"/>
    <n v="7.9999999999999982"/>
    <n v="7.9999999999999982"/>
    <s v="Normal Working Days before 10pm"/>
    <s v="Total: 1467 Policies (Batch 20170331_1002: 1468 Policies, Batch 20170403_1901: 171 Policies)"/>
    <s v=""/>
    <x v="3"/>
  </r>
  <r>
    <x v="0"/>
    <x v="0"/>
    <d v="2017-04-04T00:00:00"/>
    <s v="Tue"/>
    <d v="1899-12-30T18:00:00"/>
    <d v="1899-12-30T21:30:00"/>
    <n v="8"/>
    <n v="3.5"/>
    <n v="3.5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n v="1"/>
    <x v="3"/>
  </r>
  <r>
    <x v="0"/>
    <x v="3"/>
    <d v="2017-04-04T00:00:00"/>
    <s v="Tue"/>
    <d v="1899-12-30T16:30:00"/>
    <d v="1899-12-30T17:30:00"/>
    <n v="8"/>
    <n v="1.0000000000000036"/>
    <n v="1.0000000000000036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s v=""/>
    <x v="3"/>
  </r>
  <r>
    <x v="0"/>
    <x v="4"/>
    <d v="2017-04-04T00:00:00"/>
    <s v="Tue"/>
    <d v="1899-12-30T16:30:00"/>
    <d v="1899-12-30T21:00:00"/>
    <n v="8"/>
    <n v="4.4999999999999964"/>
    <n v="4.4999999999999964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n v="1"/>
    <x v="3"/>
  </r>
  <r>
    <x v="1"/>
    <x v="5"/>
    <d v="2017-04-04T00:00:00"/>
    <s v="Tue"/>
    <d v="1899-12-30T07:30:00"/>
    <d v="1899-12-30T21:30:00"/>
    <n v="0"/>
    <n v="12.999999999999993"/>
    <n v="12.999999999999993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s v=""/>
    <x v="3"/>
  </r>
  <r>
    <x v="0"/>
    <x v="6"/>
    <d v="2017-04-04T00:00:00"/>
    <s v="Tue"/>
    <d v="1899-12-30T16:30:00"/>
    <d v="1899-12-30T21:00:00"/>
    <n v="8"/>
    <n v="4.4999999999999964"/>
    <n v="4.4999999999999964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n v="1"/>
    <x v="3"/>
  </r>
  <r>
    <x v="1"/>
    <x v="9"/>
    <d v="2017-04-04T00:00:00"/>
    <s v="Tue"/>
    <d v="1899-12-30T18:00:00"/>
    <d v="1899-12-30T21:30:00"/>
    <n v="0"/>
    <n v="3.4999999999999929"/>
    <n v="3.4999999999999929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s v=""/>
    <x v="3"/>
  </r>
  <r>
    <x v="1"/>
    <x v="11"/>
    <d v="2017-04-04T00:00:00"/>
    <s v="Tue"/>
    <d v="1899-12-30T07:30:00"/>
    <d v="1899-12-30T21:30:00"/>
    <n v="0"/>
    <n v="12.999999999999993"/>
    <n v="12.999999999999993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s v=""/>
    <x v="3"/>
  </r>
  <r>
    <x v="1"/>
    <x v="14"/>
    <d v="2017-04-04T00:00:00"/>
    <s v="Tue"/>
    <d v="1899-12-30T07:30:00"/>
    <d v="1899-12-30T21:30:00"/>
    <n v="0"/>
    <n v="12.999999999999993"/>
    <n v="12.999999999999993"/>
    <s v="Normal Working Days before 10pm"/>
    <s v="Total: 1362 Policies (Batch 20170403_1901: 171 Policies, Batch 20170403_1202: 261 Policies, Batch 20170403_1516: 78 Policies, Batch 20170403_2253: 653 Policies, Batch 20170404_1211: 112 Policies,  Batch 20170404_1515: 87 Policies)"/>
    <s v=""/>
    <x v="3"/>
  </r>
  <r>
    <x v="1"/>
    <x v="5"/>
    <d v="2017-04-05T00:00:00"/>
    <s v="Wed"/>
    <d v="1899-12-30T08:30:00"/>
    <d v="1899-12-30T17:30:00"/>
    <n v="0"/>
    <n v="7.9999999999999982"/>
    <n v="7.9999999999999982"/>
    <s v="Normal Working Days before 10pm"/>
    <s v="Total: 498 Policies (Batch 20170404_2204: 298 Policies, Batch 20170405_1204: 200 Policies,)"/>
    <s v=""/>
    <x v="3"/>
  </r>
  <r>
    <x v="1"/>
    <x v="5"/>
    <d v="2017-04-07T00:00:00"/>
    <s v="Fri"/>
    <d v="1899-12-30T08:30:00"/>
    <d v="1899-12-30T17:30:00"/>
    <n v="0"/>
    <n v="7.9999999999999982"/>
    <n v="7.9999999999999982"/>
    <s v="Normal Working Days before 10pm"/>
    <s v="Total: 442 Policies (Batch 20170405_1821: 338 Policies, Batch 20170407_1156: 104 Policies)"/>
    <s v=""/>
    <x v="3"/>
  </r>
  <r>
    <x v="1"/>
    <x v="5"/>
    <d v="2017-04-10T00:00:00"/>
    <s v="Mon"/>
    <d v="1899-12-30T08:30:00"/>
    <d v="1899-12-30T17:30:00"/>
    <n v="0"/>
    <n v="7.9999999999999982"/>
    <n v="7.9999999999999982"/>
    <s v="Normal Working Days before 10pm"/>
    <s v="Total: 296 Policies (Batch 20170407_1625: 74 Policies, Batch 20170407_2352: 97 Policies, Batch 20170410_1203: 125 Policies)"/>
    <s v=""/>
    <x v="3"/>
  </r>
  <r>
    <x v="0"/>
    <x v="0"/>
    <d v="2017-04-11T00:00:00"/>
    <s v="Tue"/>
    <d v="1899-12-30T17:30:00"/>
    <d v="1899-12-30T21:30:00"/>
    <n v="8"/>
    <n v="3.9999999999999822"/>
    <n v="3.9999999999999822"/>
    <s v="Normal Working Days before 10pm"/>
    <s v="Total: 903 Policies (Batch 20170410_1501: 124 Policies, Batch 20170410_0202: 366 Policies, Batch 20170411_1203: 165 Policies, Batch 20170411_1501: 248 Policies)"/>
    <n v="1"/>
    <x v="3"/>
  </r>
  <r>
    <x v="0"/>
    <x v="2"/>
    <d v="2017-04-11T00:00:00"/>
    <s v="Tue"/>
    <d v="1899-12-30T17:30:00"/>
    <d v="1899-12-30T21:30:00"/>
    <n v="8"/>
    <n v="3.9999999999999822"/>
    <n v="3.9999999999999822"/>
    <s v="Normal Working Days before 10pm"/>
    <s v="Total: 903 Policies (Batch 20170410_1501: 124 Policies, Batch 20170410_0202: 366 Policies, Batch 20170411_1203: 165 Policies, Batch 20170411_1501: 248 Policies)"/>
    <n v="1"/>
    <x v="3"/>
  </r>
  <r>
    <x v="0"/>
    <x v="4"/>
    <d v="2017-04-11T00:00:00"/>
    <s v="Tue"/>
    <d v="1899-12-30T17:30:00"/>
    <d v="1899-12-30T21:30:00"/>
    <n v="8"/>
    <n v="3.9999999999999822"/>
    <n v="3.9999999999999822"/>
    <s v="Normal Working Days before 10pm"/>
    <s v="Total: 903 Policies (Batch 20170410_1501: 124 Policies, Batch 20170410_0202: 366 Policies, Batch 20170411_1203: 165 Policies, Batch 20170411_1501: 248 Policies)"/>
    <n v="1"/>
    <x v="3"/>
  </r>
  <r>
    <x v="1"/>
    <x v="5"/>
    <d v="2017-04-11T00:00:00"/>
    <s v="Tue"/>
    <d v="1899-12-30T08:30:00"/>
    <d v="1899-12-30T21:30:00"/>
    <n v="0"/>
    <n v="11.999999999999986"/>
    <n v="11.999999999999986"/>
    <s v="Normal Working Days before 10pm"/>
    <s v="Total: 903 Policies (Batch 20170410_1501: 124 Policies, Batch 20170410_0202: 366 Policies, Batch 20170411_1203: 165 Policies, Batch 20170411_1501: 248 Policies)"/>
    <s v=""/>
    <x v="3"/>
  </r>
  <r>
    <x v="1"/>
    <x v="11"/>
    <d v="2017-04-11T00:00:00"/>
    <s v="Tue"/>
    <d v="1899-12-30T18:00:00"/>
    <d v="1899-12-30T21:30:00"/>
    <n v="0"/>
    <n v="3.4999999999999929"/>
    <n v="3.4999999999999929"/>
    <s v="Normal Working Days before 10pm"/>
    <s v="Total: 903 Policies (Batch 20170410_1501: 124 Policies, Batch 20170410_0202: 366 Policies, Batch 20170411_1203: 165 Policies, Batch 20170411_1501: 248 Policies)"/>
    <s v=""/>
    <x v="3"/>
  </r>
  <r>
    <x v="1"/>
    <x v="5"/>
    <d v="2017-04-12T00:00:00"/>
    <s v="Wed"/>
    <d v="1899-12-30T08:30:00"/>
    <d v="1899-12-30T17:30:00"/>
    <n v="0"/>
    <n v="7.9999999999999982"/>
    <n v="7.9999999999999982"/>
    <s v="Normal Working Days before 10pm"/>
    <s v="Total: 639 Policies (Batch 20170411_2149: 458 Policies, Batch 20170412_1158: 181 Policies)"/>
    <s v=""/>
    <x v="3"/>
  </r>
  <r>
    <x v="1"/>
    <x v="5"/>
    <d v="2017-04-13T00:00:00"/>
    <s v="Thu"/>
    <d v="1899-12-30T08:30:00"/>
    <d v="1899-12-30T17:30:00"/>
    <n v="0"/>
    <n v="7.9999999999999982"/>
    <n v="7.9999999999999982"/>
    <s v="Normal Working Days before 10pm"/>
    <s v="Total: 480 Policies (Batch 20170412_1512: 66 Policies, Batch 20170412_2124: 231 Policies, Batch 20170413_1155: 35 Policies, Batch 20170413_1450: 148 Policies)"/>
    <s v=""/>
    <x v="3"/>
  </r>
  <r>
    <x v="1"/>
    <x v="5"/>
    <d v="2017-04-14T00:00:00"/>
    <s v="Fri"/>
    <d v="1899-12-30T08:30:00"/>
    <d v="1899-12-30T17:30:00"/>
    <n v="0"/>
    <n v="7.9999999999999982"/>
    <n v="7.9999999999999982"/>
    <s v="Normal Working Days before 10pm"/>
    <s v="Total: 551 Policies (Batch 20170413_0136: 250 Policies, Batch 20170414_1153: 234 Policies,  Batch 20170414_1504: 66 Policies)"/>
    <s v=""/>
    <x v="3"/>
  </r>
  <r>
    <x v="1"/>
    <x v="5"/>
    <d v="2017-04-17T00:00:00"/>
    <s v="Mon"/>
    <d v="1899-12-30T08:30:00"/>
    <d v="1899-12-30T17:30:00"/>
    <n v="0"/>
    <n v="7.9999999999999982"/>
    <n v="7.9999999999999982"/>
    <s v="Normal Working Days before 10pm"/>
    <s v="Total: 302 Policies (Batch 20170414_2309: 187 Policies, Batch 20170417_1156: 115 Policies)"/>
    <s v=""/>
    <x v="3"/>
  </r>
  <r>
    <x v="1"/>
    <x v="5"/>
    <d v="2017-04-18T00:00:00"/>
    <s v="Tue"/>
    <d v="1899-12-30T08:30:00"/>
    <d v="1899-12-30T17:30:00"/>
    <n v="0"/>
    <n v="7.9999999999999982"/>
    <n v="7.9999999999999982"/>
    <s v="Normal Working Days before 10pm"/>
    <s v="Total: 593 Policies (Batch 20170417_1457: 99 Policies, Batch 20170417_2259: 348 Policies, Batch 20170418_1157: 147 Policies)"/>
    <s v=""/>
    <x v="3"/>
  </r>
  <r>
    <x v="0"/>
    <x v="0"/>
    <d v="2017-04-19T00:00:00"/>
    <s v="Wed"/>
    <d v="1899-12-30T17:30:00"/>
    <d v="1899-12-30T21:30:00"/>
    <n v="8"/>
    <n v="3.9999999999999822"/>
    <n v="3.9999999999999822"/>
    <s v="Normal Working Days before 10pm"/>
    <s v="Total: 999 Policies (Batch 20170418_1454: 169 Policies, Batch 20170418_2248: 457 Policies, Batch 20170419_1126: 228 Policies, Batch 20170419_1519: 145 Policies)"/>
    <n v="1"/>
    <x v="3"/>
  </r>
  <r>
    <x v="0"/>
    <x v="2"/>
    <d v="2017-04-19T00:00:00"/>
    <s v="Wed"/>
    <d v="1899-12-30T17:30:00"/>
    <d v="1899-12-30T21:30:00"/>
    <n v="8"/>
    <n v="3.9999999999999822"/>
    <n v="3.9999999999999822"/>
    <s v="Normal Working Days before 10pm"/>
    <s v="Total: 999 Policies (Batch 20170418_1454: 169 Policies, Batch 20170418_2248: 457 Policies, Batch 20170419_1126: 228 Policies, Batch 20170419_1519: 145 Policies)"/>
    <n v="1"/>
    <x v="3"/>
  </r>
  <r>
    <x v="0"/>
    <x v="3"/>
    <d v="2017-04-19T00:00:00"/>
    <s v="Wed"/>
    <d v="1899-12-30T17:30:00"/>
    <d v="1899-12-30T18:00:00"/>
    <n v="8"/>
    <n v="0.49999999999998757"/>
    <n v="0.49999999999998757"/>
    <s v="Normal Working Days before 10pm"/>
    <s v="Total: 999 Policies (Batch 20170418_1454: 169 Policies, Batch 20170418_2248: 457 Policies, Batch 20170419_1126: 228 Policies, Batch 20170419_1519: 145 Policies)"/>
    <s v=""/>
    <x v="3"/>
  </r>
  <r>
    <x v="1"/>
    <x v="5"/>
    <d v="2017-04-19T00:00:00"/>
    <s v="Wed"/>
    <d v="1899-12-30T08:30:00"/>
    <d v="1899-12-30T21:30:00"/>
    <n v="0"/>
    <n v="11.999999999999986"/>
    <n v="11.999999999999986"/>
    <s v="Normal Working Days before 10pm"/>
    <s v="Total: 999 Policies (Batch 20170418_1454: 169 Policies, Batch 20170418_2248: 457 Policies, Batch 20170419_1126: 228 Policies, Batch 20170419_1519: 145 Policies)"/>
    <s v=""/>
    <x v="3"/>
  </r>
  <r>
    <x v="0"/>
    <x v="6"/>
    <d v="2017-04-19T00:00:00"/>
    <s v="Wed"/>
    <d v="1899-12-30T17:30:00"/>
    <d v="1899-12-30T21:30:00"/>
    <n v="8"/>
    <n v="3.9999999999999822"/>
    <n v="3.9999999999999822"/>
    <s v="Normal Working Days before 10pm"/>
    <s v="Total: 999 Policies (Batch 20170418_1454: 169 Policies, Batch 20170418_2248: 457 Policies, Batch 20170419_1126: 228 Policies, Batch 20170419_1519: 145 Policies)"/>
    <n v="1"/>
    <x v="3"/>
  </r>
  <r>
    <x v="1"/>
    <x v="14"/>
    <d v="2017-04-19T00:00:00"/>
    <s v="Wed"/>
    <d v="1899-12-30T18:00:00"/>
    <d v="1899-12-30T21:30:00"/>
    <n v="0"/>
    <n v="3.4999999999999929"/>
    <n v="3.4999999999999929"/>
    <s v="Normal Working Days before 10pm"/>
    <s v="Total: 999 Policies (Batch 20170418_1454: 169 Policies, Batch 20170418_2248: 457 Policies, Batch 20170419_1126: 228 Policies, Batch 20170419_1519: 145 Policies)"/>
    <s v=""/>
    <x v="3"/>
  </r>
  <r>
    <x v="1"/>
    <x v="5"/>
    <d v="2017-04-20T00:00:00"/>
    <s v="Thu"/>
    <d v="1899-12-30T08:30:00"/>
    <d v="1899-12-30T17:30:00"/>
    <n v="0"/>
    <n v="7.9999999999999982"/>
    <n v="7.9999999999999982"/>
    <s v="Normal Working Days before 10pm"/>
    <s v="Total: 636 Policies (Batch 20170419_0228: 435 Policies, Batch 20170420_1156: 101 Policies, Batch 20170420_1449: 100 Policies)"/>
    <s v=""/>
    <x v="3"/>
  </r>
  <r>
    <x v="1"/>
    <x v="5"/>
    <d v="2017-04-21T00:00:00"/>
    <s v="Fri"/>
    <d v="1899-12-30T08:30:00"/>
    <d v="1899-12-30T17:30:00"/>
    <n v="0"/>
    <n v="7.9999999999999982"/>
    <n v="7.9999999999999982"/>
    <s v="Normal Working Days before 10pm"/>
    <s v="Total: 490 Policies (Batch 20170420_2207: 292 Policies,  Batch 20170421_1207: 198 Policies)"/>
    <s v=""/>
    <x v="3"/>
  </r>
  <r>
    <x v="0"/>
    <x v="0"/>
    <d v="2017-04-24T00:00:00"/>
    <s v="Mon"/>
    <d v="1899-12-30T17:30:00"/>
    <d v="1899-12-30T21:30:00"/>
    <n v="8"/>
    <n v="3.9999999999999822"/>
    <n v="3.9999999999999822"/>
    <s v="Normal Working Days before 10pm"/>
    <s v="Total: 952 Policies (Batch 20170421_1537: 199 Policies, Batch 20170421_2118: 413 Policies, Batch 20170424_1201: 272 Policies, Batch 20170424_1502: 68 Policies)"/>
    <n v="1"/>
    <x v="3"/>
  </r>
  <r>
    <x v="0"/>
    <x v="2"/>
    <d v="2017-04-24T00:00:00"/>
    <s v="Mon"/>
    <d v="1899-12-30T17:30:00"/>
    <d v="1899-12-30T21:30:00"/>
    <n v="8"/>
    <n v="3.9999999999999822"/>
    <n v="3.9999999999999822"/>
    <s v="Normal Working Days before 10pm"/>
    <s v="Total: 952 Policies (Batch 20170421_1537: 199 Policies, Batch 20170421_2118: 413 Policies, Batch 20170424_1201: 272 Policies)"/>
    <n v="1"/>
    <x v="3"/>
  </r>
  <r>
    <x v="0"/>
    <x v="4"/>
    <d v="2017-04-24T00:00:00"/>
    <s v="Mon"/>
    <d v="1899-12-30T17:30:00"/>
    <d v="1899-12-30T21:30:00"/>
    <n v="8"/>
    <n v="3.9999999999999822"/>
    <n v="3.9999999999999822"/>
    <s v="Normal Working Days before 10pm"/>
    <s v="Total: 952 Policies (Batch 20170421_1537: 199 Policies, Batch 20170421_2118: 413 Policies, Batch 20170424_1201: 272 Policies)"/>
    <n v="1"/>
    <x v="3"/>
  </r>
  <r>
    <x v="1"/>
    <x v="5"/>
    <d v="2017-04-24T00:00:00"/>
    <s v="Mon"/>
    <d v="1899-12-30T08:30:00"/>
    <d v="1899-12-30T21:30:00"/>
    <n v="0"/>
    <n v="11.999999999999986"/>
    <n v="11.999999999999986"/>
    <s v="Normal Working Days before 10pm"/>
    <s v="Total: 952 Policies (Batch 20170421_1537: 199 Policies, Batch 20170421_2118: 413 Policies, Batch 20170424_1201: 272 Policies)"/>
    <s v=""/>
    <x v="3"/>
  </r>
  <r>
    <x v="0"/>
    <x v="6"/>
    <d v="2017-04-24T00:00:00"/>
    <s v="Mon"/>
    <d v="1899-12-30T17:15:00"/>
    <d v="1899-12-30T21:30:00"/>
    <n v="8"/>
    <n v="4.2499999999999893"/>
    <n v="4.2499999999999893"/>
    <s v="Normal Working Days before 10pm"/>
    <s v="Total: 952 Policies (Batch 20170421_1537: 199 Policies, Batch 20170421_2118: 413 Policies, Batch 20170424_1201: 272 Policies)"/>
    <n v="1"/>
    <x v="3"/>
  </r>
  <r>
    <x v="1"/>
    <x v="7"/>
    <d v="2017-04-24T00:00:00"/>
    <s v="Mon"/>
    <d v="1899-12-30T18:00:00"/>
    <d v="1899-12-30T21:30:00"/>
    <n v="0"/>
    <n v="3.4999999999999929"/>
    <n v="3.4999999999999929"/>
    <s v="Normal Working Days before 10pm"/>
    <s v="Total: 952 Policies (Batch 20170421_1537: 199 Policies, Batch 20170421_2118: 413 Policies, Batch 20170424_1201: 272 Policies)"/>
    <s v=""/>
    <x v="3"/>
  </r>
  <r>
    <x v="0"/>
    <x v="2"/>
    <d v="2017-04-25T00:00:00"/>
    <s v="Tue"/>
    <d v="1899-12-30T17:30:00"/>
    <d v="1899-12-30T20:30:00"/>
    <n v="8"/>
    <n v="2.9999999999999947"/>
    <n v="2.9999999999999947"/>
    <s v="Normal Working Days before 10pm"/>
    <s v="Total: 723 Policies (Batch 20170424_2301: 447 Policies, Batch 20170425_1208: 276 Policies)"/>
    <n v="1"/>
    <x v="3"/>
  </r>
  <r>
    <x v="0"/>
    <x v="3"/>
    <d v="2017-04-25T00:00:00"/>
    <s v="Tue"/>
    <d v="1899-12-30T17:30:00"/>
    <d v="1899-12-30T20:30:00"/>
    <n v="8"/>
    <n v="2.9999999999999947"/>
    <n v="2.9999999999999947"/>
    <s v="Normal Working Days before 10pm"/>
    <s v="Total: 723 Policies (Batch 20170424_2301: 447 Policies, Batch 20170425_1208: 276 Policies)"/>
    <n v="1"/>
    <x v="3"/>
  </r>
  <r>
    <x v="0"/>
    <x v="4"/>
    <d v="2017-04-25T00:00:00"/>
    <s v="Tue"/>
    <d v="1899-12-30T17:30:00"/>
    <d v="1899-12-30T20:30:00"/>
    <n v="8"/>
    <n v="2.9999999999999947"/>
    <n v="2.9999999999999947"/>
    <s v="Normal Working Days before 10pm"/>
    <s v="Total: 723 Policies (Batch 20170424_2301: 447 Policies, Batch 20170425_1208: 276 Policies)"/>
    <n v="1"/>
    <x v="3"/>
  </r>
  <r>
    <x v="1"/>
    <x v="5"/>
    <d v="2017-04-25T00:00:00"/>
    <s v="Tue"/>
    <d v="1899-12-30T08:30:00"/>
    <d v="1899-12-30T20:30:00"/>
    <n v="0"/>
    <n v="10.999999999999998"/>
    <n v="10.999999999999998"/>
    <s v="Normal Working Days before 10pm"/>
    <s v="Total: 723 Policies (Batch 20170424_2301: 447 Policies, Batch 20170425_1208: 276 Policies)"/>
    <s v=""/>
    <x v="3"/>
  </r>
  <r>
    <x v="1"/>
    <x v="11"/>
    <d v="2017-04-25T00:00:00"/>
    <s v="Tue"/>
    <d v="1899-12-30T16:00:00"/>
    <d v="1899-12-30T20:30:00"/>
    <n v="0"/>
    <n v="4.5"/>
    <n v="4.5"/>
    <s v="Normal Working Days before 10pm"/>
    <s v="Total: 723 Policies (Batch 20170424_2301: 447 Policies, Batch 20170425_1208: 276 Policies)"/>
    <s v=""/>
    <x v="3"/>
  </r>
  <r>
    <x v="0"/>
    <x v="0"/>
    <d v="2017-04-26T00:00:00"/>
    <s v="Wed"/>
    <d v="1899-12-30T17:30:00"/>
    <d v="1899-12-30T21:00:00"/>
    <n v="8"/>
    <n v="3.4999999999999893"/>
    <n v="3.4999999999999893"/>
    <s v="Normal Working Days before 10pm"/>
    <s v="Total: 1312 Policies (Batch 20170424_2301: 447 Policies, Batch 20170426_1214: 416 Policies, Batch 20170426_1457: 172 Policies)"/>
    <n v="1"/>
    <x v="3"/>
  </r>
  <r>
    <x v="0"/>
    <x v="3"/>
    <d v="2017-04-26T00:00:00"/>
    <s v="Wed"/>
    <d v="1899-12-30T17:30:00"/>
    <d v="1899-12-30T20:30:00"/>
    <n v="8"/>
    <n v="2.9999999999999947"/>
    <n v="2.9999999999999947"/>
    <s v="Normal Working Days before 10pm"/>
    <s v="Total: 1312 Policies (Batch 20170424_2301: 447 Policies, Batch 20170426_1214: 416 Policies, Batch 20170426_1457: 172 Policies)"/>
    <n v="1"/>
    <x v="3"/>
  </r>
  <r>
    <x v="0"/>
    <x v="4"/>
    <d v="2017-04-26T00:00:00"/>
    <s v="Wed"/>
    <d v="1899-12-30T17:30:00"/>
    <d v="1899-12-30T21:00:00"/>
    <n v="8"/>
    <n v="3.4999999999999893"/>
    <n v="3.4999999999999893"/>
    <s v="Normal Working Days before 10pm"/>
    <s v="Total: 1312 Policies (Batch 20170424_2301: 447 Policies, Batch 20170426_1214: 416 Policies, Batch 20170426_1457: 172 Policies)"/>
    <n v="1"/>
    <x v="3"/>
  </r>
  <r>
    <x v="1"/>
    <x v="5"/>
    <d v="2017-04-26T00:00:00"/>
    <s v="Wed"/>
    <d v="1899-12-30T08:30:00"/>
    <d v="1899-12-30T21:00:00"/>
    <n v="0"/>
    <n v="11.499999999999993"/>
    <n v="11.499999999999993"/>
    <s v="Normal Working Days before 10pm"/>
    <s v="Total: 1312 Policies (Batch 20170424_2301: 447 Policies, Batch 20170426_1214: 416 Policies, Batch 20170426_1457: 172 Policies)"/>
    <s v=""/>
    <x v="3"/>
  </r>
  <r>
    <x v="1"/>
    <x v="7"/>
    <d v="2017-04-26T00:00:00"/>
    <s v="Wed"/>
    <d v="1899-12-30T12:00:00"/>
    <d v="1899-12-30T21:00:00"/>
    <n v="0"/>
    <n v="8"/>
    <n v="8"/>
    <s v="Normal Working Days before 10pm"/>
    <s v="Total: 1312 Policies (Batch 20170424_2301: 447 Policies, Batch 20170426_1214: 416 Policies, Batch 20170426_1457: 172 Policies)"/>
    <s v=""/>
    <x v="3"/>
  </r>
  <r>
    <x v="1"/>
    <x v="11"/>
    <d v="2017-04-26T00:00:00"/>
    <s v="Wed"/>
    <d v="1899-12-30T16:00:00"/>
    <d v="1899-12-30T21:00:00"/>
    <n v="0"/>
    <n v="4.9999999999999929"/>
    <n v="4.9999999999999929"/>
    <s v="Normal Working Days before 10pm"/>
    <s v="Total: 1312 Policies (Batch 20170424_2301: 447 Policies, Batch 20170426_1214: 416 Policies, Batch 20170426_1457: 172 Policies)"/>
    <s v=""/>
    <x v="3"/>
  </r>
  <r>
    <x v="1"/>
    <x v="12"/>
    <d v="2017-04-26T00:00:00"/>
    <s v="Wed"/>
    <d v="1899-12-30T12:00:00"/>
    <d v="1899-12-30T21:00:00"/>
    <n v="0"/>
    <n v="8"/>
    <n v="8"/>
    <s v="Normal Working Days before 10pm"/>
    <s v="Total: 1312 Policies (Batch 20170424_2301: 447 Policies, Batch 20170426_1214: 416 Policies, Batch 20170426_1457: 172 Policies)"/>
    <s v=""/>
    <x v="3"/>
  </r>
  <r>
    <x v="0"/>
    <x v="0"/>
    <d v="2017-04-27T00:00:00"/>
    <s v="Thu"/>
    <d v="1899-12-30T17:00:00"/>
    <d v="1899-12-30T21:15:00"/>
    <n v="8"/>
    <n v="4.2500000000000107"/>
    <n v="4.2500000000000107"/>
    <s v="Normal Working Days before 10pm"/>
    <s v="Total: 1099 Policies (Batch 20170426_2303: 91 Policies, Batch 20170427_0921: 833 Policies, Batch 20170427_1330: 175 Policies)"/>
    <n v="1"/>
    <x v="3"/>
  </r>
  <r>
    <x v="0"/>
    <x v="2"/>
    <d v="2017-04-27T00:00:00"/>
    <s v="Thu"/>
    <d v="1899-12-30T17:00:00"/>
    <d v="1899-12-30T21:15:00"/>
    <n v="8"/>
    <n v="4.2500000000000107"/>
    <n v="4.2500000000000107"/>
    <s v="Normal Working Days before 10pm"/>
    <s v="Total: 1099 Policies (Batch 20170426_2303: 91 Policies, Batch 20170427_0921: 833 Policies, Batch 20170427_1330: 175 Policies)"/>
    <n v="1"/>
    <x v="3"/>
  </r>
  <r>
    <x v="0"/>
    <x v="4"/>
    <d v="2017-04-27T00:00:00"/>
    <s v="Thu"/>
    <d v="1899-12-30T17:30:00"/>
    <d v="1899-12-30T20:30:00"/>
    <n v="8"/>
    <n v="2.9999999999999947"/>
    <n v="2.9999999999999947"/>
    <s v="Normal Working Days before 10pm"/>
    <s v="Total: 1099 Policies (Batch 20170426_2303: 91 Policies, Batch 20170427_0921: 833 Policies, Batch 20170427_1330: 175 Policies)"/>
    <n v="1"/>
    <x v="3"/>
  </r>
  <r>
    <x v="1"/>
    <x v="5"/>
    <d v="2017-04-27T00:00:00"/>
    <s v="Thu"/>
    <d v="1899-12-30T08:30:00"/>
    <d v="1899-12-30T21:15:00"/>
    <n v="0"/>
    <n v="11.75"/>
    <n v="11.75"/>
    <s v="Normal Working Days before 10pm"/>
    <s v="Total: 1099 Policies (Batch 20170426_2303: 91 Policies, Batch 20170427_0921: 833 Policies, Batch 20170427_1330: 175 Policies)"/>
    <s v=""/>
    <x v="3"/>
  </r>
  <r>
    <x v="0"/>
    <x v="6"/>
    <d v="2017-04-27T00:00:00"/>
    <s v="Thu"/>
    <d v="1899-12-30T17:00:00"/>
    <d v="1899-12-30T20:30:00"/>
    <n v="8"/>
    <n v="3.5000000000000107"/>
    <n v="3.5000000000000107"/>
    <s v="Normal Working Days before 10pm"/>
    <s v="Total: 1099 Policies (Batch 20170426_2303: 91 Policies, Batch 20170427_0921: 833 Policies, Batch 20170427_1330: 175 Policies)"/>
    <n v="1"/>
    <x v="3"/>
  </r>
  <r>
    <x v="1"/>
    <x v="11"/>
    <d v="2017-04-27T00:00:00"/>
    <s v="Thu"/>
    <d v="1899-12-30T08:00:00"/>
    <d v="1899-12-30T21:15:00"/>
    <n v="0"/>
    <n v="12.250000000000014"/>
    <n v="12.250000000000014"/>
    <s v="Normal Working Days before 10pm"/>
    <s v="Total: 1099 Policies (Batch 20170426_2303: 91 Policies, Batch 20170427_0921: 833 Policies, Batch 20170427_1330: 175 Policies)"/>
    <s v=""/>
    <x v="3"/>
  </r>
  <r>
    <x v="1"/>
    <x v="12"/>
    <d v="2017-04-27T00:00:00"/>
    <s v="Thu"/>
    <d v="1899-12-30T12:30:00"/>
    <d v="1899-12-30T21:15:00"/>
    <n v="0"/>
    <n v="7.7500000000000142"/>
    <n v="7.7500000000000142"/>
    <s v="Normal Working Days before 10pm"/>
    <s v="Total: 1099 Policies (Batch 20170426_2303: 91 Policies, Batch 20170427_0921: 833 Policies, Batch 20170427_1330: 175 Policies)"/>
    <s v=""/>
    <x v="3"/>
  </r>
  <r>
    <x v="1"/>
    <x v="14"/>
    <d v="2017-04-27T00:00:00"/>
    <s v="Thu"/>
    <d v="1899-12-30T12:30:00"/>
    <d v="1899-12-30T21:15:00"/>
    <n v="0"/>
    <n v="7.7500000000000142"/>
    <n v="7.7500000000000142"/>
    <s v="Normal Working Days before 10pm"/>
    <s v="Total: 1099 Policies (Batch 20170426_2303: 91 Policies, Batch 20170427_0921: 833 Policies, Batch 20170427_1330: 175 Policies)"/>
    <s v=""/>
    <x v="3"/>
  </r>
  <r>
    <x v="0"/>
    <x v="0"/>
    <d v="2017-04-28T00:00:00"/>
    <s v="Fri"/>
    <d v="1899-12-30T17:00:00"/>
    <d v="1899-12-30T21:00:00"/>
    <n v="8"/>
    <n v="4.0000000000000036"/>
    <n v="4.0000000000000036"/>
    <s v="Normal Working Days before 10pm"/>
    <s v="Total: 1327 Policies (Batch 20170427_0044: 1025 Policies, Batch 20170428_1206: 267 Policies, Batch 20170428_1513: 35 Policies)"/>
    <n v="1"/>
    <x v="3"/>
  </r>
  <r>
    <x v="0"/>
    <x v="2"/>
    <d v="2017-04-28T00:00:00"/>
    <s v="Fri"/>
    <d v="1899-12-30T19:00:00"/>
    <d v="1899-12-30T21:00:00"/>
    <n v="8"/>
    <n v="1.9999999999999876"/>
    <n v="1.9999999999999876"/>
    <s v="Normal Working Days before 10pm"/>
    <s v="Total: 1327 Policies (Batch 20170427_0044: 1025 Policies, Batch 20170428_1206: 267 Policies, Batch 20170428_1513: 35 Policies)"/>
    <s v=""/>
    <x v="3"/>
  </r>
  <r>
    <x v="0"/>
    <x v="3"/>
    <d v="2017-04-28T00:00:00"/>
    <s v="Fri"/>
    <d v="1899-12-30T17:00:00"/>
    <d v="1899-12-30T21:00:00"/>
    <n v="8"/>
    <n v="4.0000000000000036"/>
    <n v="4.0000000000000036"/>
    <s v="Normal Working Days before 10pm"/>
    <s v="Total: 1327 Policies (Batch 20170427_0044: 1025 Policies, Batch 20170428_1206: 267 Policies, Batch 20170428_1513: 35 Policies)"/>
    <n v="1"/>
    <x v="3"/>
  </r>
  <r>
    <x v="0"/>
    <x v="4"/>
    <d v="2017-04-28T00:00:00"/>
    <s v="Fri"/>
    <d v="1899-12-30T17:00:00"/>
    <d v="1899-12-30T21:00:00"/>
    <n v="8"/>
    <n v="4.0000000000000036"/>
    <n v="4.0000000000000036"/>
    <s v="Normal Working Days before 10pm"/>
    <s v="Total: 1327 Policies (Batch 20170427_0044: 1025 Policies, Batch 20170428_1206: 267 Policies, Batch 20170428_1513: 35 Policies)"/>
    <n v="1"/>
    <x v="3"/>
  </r>
  <r>
    <x v="1"/>
    <x v="5"/>
    <d v="2017-04-28T00:00:00"/>
    <s v="Fri"/>
    <d v="1899-12-30T08:00:00"/>
    <d v="1899-12-30T21:00:00"/>
    <n v="0"/>
    <n v="12.000000000000007"/>
    <n v="12.000000000000007"/>
    <s v="Normal Working Days before 10pm"/>
    <s v="Total: 1327 Policies (Batch 20170427_0044: 1025 Policies, Batch 20170428_1206: 267 Policies, Batch 20170428_1513: 35 Policies)"/>
    <s v=""/>
    <x v="3"/>
  </r>
  <r>
    <x v="0"/>
    <x v="6"/>
    <d v="2017-04-28T00:00:00"/>
    <s v="Fri"/>
    <d v="1899-12-30T17:00:00"/>
    <d v="1899-12-30T20:30:00"/>
    <n v="8"/>
    <n v="3.5000000000000107"/>
    <n v="3.5000000000000107"/>
    <s v="Normal Working Days before 10pm"/>
    <s v="Total: 1327 Policies (Batch 20170427_0044: 1025 Policies, Batch 20170428_1206: 267 Policies, Batch 20170428_1513: 35 Policies)"/>
    <n v="1"/>
    <x v="3"/>
  </r>
  <r>
    <x v="1"/>
    <x v="11"/>
    <d v="2017-04-28T00:00:00"/>
    <s v="Fri"/>
    <d v="1899-12-30T08:00:00"/>
    <d v="1899-12-30T16:30:00"/>
    <n v="0"/>
    <n v="7.5000000000000089"/>
    <n v="7.5000000000000089"/>
    <s v="Normal Working Days before 10pm"/>
    <s v="Total: 1327 Policies (Batch 20170427_0044: 1025 Policies, Batch 20170428_1206: 267 Policies, Batch 20170428_1513: 35 Policies)"/>
    <s v=""/>
    <x v="3"/>
  </r>
  <r>
    <x v="1"/>
    <x v="12"/>
    <d v="2017-04-28T00:00:00"/>
    <s v="Fri"/>
    <d v="1899-12-30T12:00:00"/>
    <d v="1899-12-30T21:00:00"/>
    <n v="0"/>
    <n v="8"/>
    <n v="8"/>
    <s v="Normal Working Days before 10pm"/>
    <s v="Total: 1327 Policies (Batch 20170427_0044: 1025 Policies, Batch 20170428_1206: 267 Policies, Batch 20170428_1513: 35 Policies)"/>
    <s v=""/>
    <x v="3"/>
  </r>
  <r>
    <x v="0"/>
    <x v="2"/>
    <d v="2017-04-29T00:00:00"/>
    <s v="Sat"/>
    <d v="1899-12-30T17:30:00"/>
    <d v="1899-12-30T21:30:00"/>
    <n v="8"/>
    <n v="3.9999999999999858"/>
    <n v="11.999999999999986"/>
    <s v="Saturday/Sunday (Weekends) before 10pm"/>
    <s v="Total: 1631 Policies (Batch 20170428_0044: 1071 Policies, Batch 20170429_1200: 560 Policies)"/>
    <n v="1"/>
    <x v="3"/>
  </r>
  <r>
    <x v="0"/>
    <x v="3"/>
    <d v="2017-04-29T00:00:00"/>
    <s v="Sat"/>
    <d v="1899-12-30T17:30:00"/>
    <d v="1899-12-30T18:00:00"/>
    <n v="8"/>
    <n v="0.49999999999999112"/>
    <n v="8.4999999999999911"/>
    <s v="Saturday/Sunday (Weekends) before 10pm"/>
    <s v="Total: 1631 Policies (Batch 20170428_0044: 1071 Policies, Batch 20170429_1200: 560 Policies)"/>
    <s v=""/>
    <x v="3"/>
  </r>
  <r>
    <x v="1"/>
    <x v="5"/>
    <d v="2017-04-29T00:00:00"/>
    <s v="Sat"/>
    <d v="1899-12-30T08:30:00"/>
    <d v="1899-12-30T21:30:00"/>
    <n v="0"/>
    <n v="11.999999999999986"/>
    <n v="11.999999999999986"/>
    <s v="Saturday/Sunday (Weekends) before 10pm"/>
    <s v="Total: 1631 Policies (Batch 20170428_0044: 1071 Policies, Batch 20170429_1200: 560 Policies)"/>
    <s v=""/>
    <x v="3"/>
  </r>
  <r>
    <x v="0"/>
    <x v="6"/>
    <d v="2017-04-29T00:00:00"/>
    <s v="Sat"/>
    <d v="1899-12-30T17:30:00"/>
    <d v="1899-12-30T21:30:00"/>
    <n v="8"/>
    <n v="3.9999999999999858"/>
    <n v="11.999999999999986"/>
    <s v="Saturday/Sunday (Weekends) before 10pm"/>
    <s v="Total: 1631 Policies (Batch 20170428_0044: 1071 Policies, Batch 20170429_1200: 560 Policies)"/>
    <n v="1"/>
    <x v="3"/>
  </r>
  <r>
    <x v="1"/>
    <x v="9"/>
    <d v="2017-04-29T00:00:00"/>
    <s v="Sat"/>
    <d v="1899-12-30T12:30:00"/>
    <d v="1899-12-30T21:30:00"/>
    <n v="0"/>
    <n v="8"/>
    <n v="8"/>
    <s v="Saturday/Sunday (Weekends) before 10pm"/>
    <s v="Total: 1631 Policies (Batch 20170428_0044: 1071 Policies, Batch 20170429_1200: 560 Policies)"/>
    <s v=""/>
    <x v="3"/>
  </r>
  <r>
    <x v="1"/>
    <x v="11"/>
    <d v="2017-04-29T00:00:00"/>
    <s v="Sat"/>
    <d v="1899-12-30T12:30:00"/>
    <d v="1899-12-30T21:30:00"/>
    <n v="0"/>
    <n v="8"/>
    <n v="8"/>
    <s v="Saturday/Sunday (Weekends) before 10pm"/>
    <s v="Total: 1631 Policies (Batch 20170428_0044: 1071 Policies, Batch 20170429_1200: 560 Policies)"/>
    <s v=""/>
    <x v="3"/>
  </r>
  <r>
    <x v="1"/>
    <x v="12"/>
    <d v="2017-04-29T00:00:00"/>
    <s v="Sat"/>
    <d v="1899-12-30T12:30:00"/>
    <d v="1899-12-30T21:30:00"/>
    <n v="0"/>
    <n v="8"/>
    <n v="8"/>
    <s v="Saturday/Sunday (Weekends) before 10pm"/>
    <s v="Total: 1631 Policies (Batch 20170428_0044: 1071 Policies, Batch 20170429_1200: 560 Policies)"/>
    <s v=""/>
    <x v="3"/>
  </r>
  <r>
    <x v="0"/>
    <x v="0"/>
    <d v="2017-04-30T00:00:00"/>
    <s v="Sun"/>
    <d v="1899-12-30T08:00:00"/>
    <d v="1899-12-30T21:30:00"/>
    <n v="0"/>
    <n v="12.5"/>
    <n v="12.5"/>
    <s v="Public Holiday before 10pm"/>
    <s v="Total: 1938 Policies (Batch 20170429_1817: 676 Policies, Batch 20170429_2234: 1262 Policies)"/>
    <n v="1"/>
    <x v="3"/>
  </r>
  <r>
    <x v="0"/>
    <x v="2"/>
    <d v="2017-04-30T00:00:00"/>
    <s v="Sun"/>
    <d v="1899-12-30T08:00:00"/>
    <d v="1899-12-30T21:30:00"/>
    <n v="0"/>
    <n v="12.5"/>
    <n v="12.5"/>
    <s v="Public Holiday before 10pm"/>
    <s v="Total: 1938 Policies (Batch 20170429_1817: 676 Policies, Batch 20170429_2234: 1262 Policies)"/>
    <n v="1"/>
    <x v="3"/>
  </r>
  <r>
    <x v="0"/>
    <x v="4"/>
    <d v="2017-04-30T00:00:00"/>
    <s v="Sun"/>
    <d v="1899-12-30T08:00:00"/>
    <d v="1899-12-30T21:00:00"/>
    <n v="0"/>
    <n v="12.000000000000007"/>
    <n v="12.000000000000007"/>
    <s v="Public Holiday before 10pm"/>
    <s v="Total: 1938 Policies (Batch 20170429_1817: 676 Policies, Batch 20170429_2234: 1262 Policies)"/>
    <n v="1"/>
    <x v="3"/>
  </r>
  <r>
    <x v="1"/>
    <x v="5"/>
    <d v="2017-04-30T00:00:00"/>
    <s v="Sun"/>
    <d v="1899-12-30T08:00:00"/>
    <d v="1899-12-30T21:30:00"/>
    <n v="0"/>
    <n v="12.5"/>
    <n v="12.5"/>
    <s v="Public Holiday before 10pm"/>
    <s v="Total: 1938 Policies (Batch 20170429_1817: 676 Policies, Batch 20170429_2234: 1262 Policies)"/>
    <s v=""/>
    <x v="3"/>
  </r>
  <r>
    <x v="0"/>
    <x v="6"/>
    <d v="2017-04-30T00:00:00"/>
    <s v="Sun"/>
    <d v="1899-12-30T08:00:00"/>
    <d v="1899-12-30T21:30:00"/>
    <n v="0"/>
    <n v="12.5"/>
    <n v="12.5"/>
    <s v="Public Holiday before 10pm"/>
    <s v="Total: 1938 Policies (Batch 20170429_1817: 676 Policies, Batch 20170429_2234: 1262 Policies)"/>
    <n v="1"/>
    <x v="3"/>
  </r>
  <r>
    <x v="1"/>
    <x v="7"/>
    <d v="2017-04-30T00:00:00"/>
    <s v="Sun"/>
    <d v="1899-12-30T11:30:00"/>
    <d v="1899-12-30T16:30:00"/>
    <n v="0"/>
    <n v="4.9999999999999911"/>
    <n v="4.9999999999999911"/>
    <s v="Public Holiday before 10pm"/>
    <s v="Total: 1938 Policies (Batch 20170429_1817: 676 Policies, Batch 20170429_2234: 1262 Policies)"/>
    <s v=""/>
    <x v="3"/>
  </r>
  <r>
    <x v="1"/>
    <x v="9"/>
    <d v="2017-04-30T00:00:00"/>
    <s v="Sun"/>
    <d v="1899-12-30T08:30:00"/>
    <d v="1899-12-30T21:30:00"/>
    <n v="0"/>
    <n v="11.999999999999986"/>
    <n v="11.999999999999986"/>
    <s v="Public Holiday before 10pm"/>
    <s v="Total: 1938 Policies (Batch 20170429_1817: 676 Policies, Batch 20170429_2234: 1262 Policies)"/>
    <s v=""/>
    <x v="3"/>
  </r>
  <r>
    <x v="1"/>
    <x v="11"/>
    <d v="2017-04-30T00:00:00"/>
    <s v="Sun"/>
    <d v="1899-12-30T08:00:00"/>
    <d v="1899-12-30T21:30:00"/>
    <n v="0"/>
    <n v="12.5"/>
    <n v="12.5"/>
    <s v="Public Holiday before 10pm"/>
    <s v="Total: 1938 Policies (Batch 20170429_1817: 676 Policies, Batch 20170429_2234: 1262 Policies)"/>
    <s v=""/>
    <x v="3"/>
  </r>
  <r>
    <x v="1"/>
    <x v="12"/>
    <d v="2017-04-30T00:00:00"/>
    <s v="Sun"/>
    <d v="1899-12-30T08:30:00"/>
    <d v="1899-12-30T21:30:00"/>
    <n v="0"/>
    <n v="11.999999999999986"/>
    <n v="11.999999999999986"/>
    <s v="Public Holiday before 10pm"/>
    <s v="Total: 1938 Policies (Batch 20170429_1817: 676 Policies, Batch 20170429_2234: 1262 Policies)"/>
    <s v=""/>
    <x v="3"/>
  </r>
  <r>
    <x v="0"/>
    <x v="0"/>
    <d v="2017-05-01T00:00:00"/>
    <s v="Mon"/>
    <d v="1899-12-30T08:00:00"/>
    <d v="1899-12-30T20:30:00"/>
    <n v="8"/>
    <n v="3.5"/>
    <n v="3.5"/>
    <s v="Public Holiday before 10pm"/>
    <s v="Total: 1925 Policies (Batch 20170430_1100: 308 Policies, Batch 20170430_1755: 593 Policies,  Batch 20170430_2152: 1024 Policies)"/>
    <n v="1"/>
    <x v="4"/>
  </r>
  <r>
    <x v="0"/>
    <x v="3"/>
    <d v="2017-05-01T00:00:00"/>
    <s v="Mon"/>
    <d v="1899-12-30T08:00:00"/>
    <d v="1899-12-30T17:30:00"/>
    <n v="8"/>
    <n v="0.5"/>
    <n v="0.5"/>
    <s v="Public Holiday before 10pm"/>
    <s v="Total: 1925 Policies (Batch 20170430_1100: 308 Policies, Batch 20170430_1755: 593 Policies,  Batch 20170430_2152: 1024 Policies)"/>
    <s v=""/>
    <x v="4"/>
  </r>
  <r>
    <x v="0"/>
    <x v="4"/>
    <d v="2017-05-01T00:00:00"/>
    <s v="Mon"/>
    <d v="1899-12-30T08:00:00"/>
    <d v="1899-12-30T20:30:00"/>
    <n v="8"/>
    <n v="3.5"/>
    <n v="3.5"/>
    <s v="Public Holiday before 10pm"/>
    <s v="Total: 1925 Policies (Batch 20170430_1100: 308 Policies, Batch 20170430_1755: 593 Policies,  Batch 20170430_2152: 1024 Policies)"/>
    <n v="1"/>
    <x v="4"/>
  </r>
  <r>
    <x v="1"/>
    <x v="5"/>
    <d v="2017-05-01T00:00:00"/>
    <s v="Mon"/>
    <d v="1899-12-30T08:00:00"/>
    <d v="1899-12-30T20:30:00"/>
    <n v="0"/>
    <n v="11.500000000000014"/>
    <n v="11.500000000000014"/>
    <s v="Public Holiday before 10pm"/>
    <s v="Total: 1925 Policies (Batch 20170430_1100: 308 Policies, Batch 20170430_1755: 593 Policies,  Batch 20170430_2152: 1024 Policies)"/>
    <s v=""/>
    <x v="4"/>
  </r>
  <r>
    <x v="1"/>
    <x v="7"/>
    <d v="2017-05-01T00:00:00"/>
    <s v="Mon"/>
    <d v="1899-12-30T15:00:00"/>
    <d v="1899-12-30T20:30:00"/>
    <n v="0"/>
    <n v="5.5000000000000071"/>
    <n v="5.5000000000000071"/>
    <s v="Public Holiday before 10pm"/>
    <s v="Total: 1925 Policies (Batch 20170430_1100: 308 Policies, Batch 20170430_1755: 593 Policies,  Batch 20170430_2152: 1024 Policies)"/>
    <s v=""/>
    <x v="4"/>
  </r>
  <r>
    <x v="1"/>
    <x v="9"/>
    <d v="2017-05-01T00:00:00"/>
    <s v="Mon"/>
    <d v="1899-12-30T08:00:00"/>
    <d v="1899-12-30T20:30:00"/>
    <n v="0"/>
    <n v="11.500000000000014"/>
    <n v="11.500000000000014"/>
    <s v="Public Holiday before 10pm"/>
    <s v="Total: 1925 Policies (Batch 20170430_1100: 308 Policies, Batch 20170430_1755: 593 Policies,  Batch 20170430_2152: 1024 Policies)"/>
    <s v=""/>
    <x v="4"/>
  </r>
  <r>
    <x v="1"/>
    <x v="11"/>
    <d v="2017-05-01T00:00:00"/>
    <s v="Mon"/>
    <d v="1899-12-30T08:00:00"/>
    <d v="1899-12-30T20:30:00"/>
    <n v="0"/>
    <n v="11.500000000000014"/>
    <n v="11.500000000000014"/>
    <s v="Public Holiday before 10pm"/>
    <s v="Total: 1925 Policies (Batch 20170430_1100: 308 Policies, Batch 20170430_1755: 593 Policies,  Batch 20170430_2152: 1024 Policies)"/>
    <s v=""/>
    <x v="4"/>
  </r>
  <r>
    <x v="1"/>
    <x v="12"/>
    <d v="2017-05-01T00:00:00"/>
    <s v="Mon"/>
    <d v="1899-12-30T08:00:00"/>
    <d v="1899-12-30T20:30:00"/>
    <n v="0"/>
    <n v="11.500000000000014"/>
    <n v="11.500000000000014"/>
    <s v="Public Holiday before 10pm"/>
    <s v="Total: 1925 Policies (Batch 20170430_1100: 308 Policies, Batch 20170430_1755: 593 Policies,  Batch 20170430_2152: 1024 Policies)"/>
    <s v=""/>
    <x v="4"/>
  </r>
  <r>
    <x v="1"/>
    <x v="5"/>
    <d v="2017-05-03T00:00:00"/>
    <s v="Wed"/>
    <d v="1899-12-30T08:30:00"/>
    <d v="1899-12-30T17:30:00"/>
    <n v="0"/>
    <n v="7.9999999999999982"/>
    <n v="7.9999999999999982"/>
    <s v="Normal Working Days before 10pm"/>
    <s v="Total: 213 Policies (800/1024 Policies, Batch 20170430_1218: 213 Policies)"/>
    <s v=""/>
    <x v="4"/>
  </r>
  <r>
    <x v="1"/>
    <x v="11"/>
    <d v="2017-05-03T00:00:00"/>
    <s v="Wed"/>
    <d v="1899-12-30T08:30:00"/>
    <d v="1899-12-30T17:30:00"/>
    <n v="0"/>
    <n v="7.9999999999999982"/>
    <n v="7.9999999999999982"/>
    <s v="Normal Working Days before 10pm"/>
    <s v="Total: 213 Policies (800/1024 Policies, Batch 20170430_1218: 213 Policies)"/>
    <s v=""/>
    <x v="4"/>
  </r>
  <r>
    <x v="1"/>
    <x v="5"/>
    <d v="2017-05-04T00:00:00"/>
    <s v="Thu"/>
    <d v="1899-12-30T08:30:00"/>
    <d v="1899-12-30T17:30:00"/>
    <n v="0"/>
    <n v="7.9999999999999982"/>
    <n v="7.9999999999999982"/>
    <s v="Normal Working Days before 10pm"/>
    <s v="Total: 545 Policies (Batch 20170503_1204: 93 Policies, Batch 20170503_1508: 177 Policies, Batch 20170504_2253: 230 Policies, Batch 20170504_1159: 45 Policies)"/>
    <s v=""/>
    <x v="4"/>
  </r>
  <r>
    <x v="1"/>
    <x v="5"/>
    <d v="2017-05-05T00:00:00"/>
    <s v="Fri"/>
    <d v="1899-12-30T08:30:00"/>
    <d v="1899-12-30T17:30:00"/>
    <n v="0"/>
    <n v="7.9999999999999982"/>
    <n v="7.9999999999999982"/>
    <s v="Normal Working Days before 10pm"/>
    <s v="Total: 602 Policies (Batch 20170504_1520: 107 Policies, Batch 20170504_2254: 250 Policies, Batch 20170504_0304: 56 Policies, Batch 20170505_1159: 189 Policies)"/>
    <s v=""/>
    <x v="4"/>
  </r>
  <r>
    <x v="1"/>
    <x v="5"/>
    <d v="2017-05-08T00:00:00"/>
    <s v="Mon"/>
    <d v="1899-12-30T08:30:00"/>
    <d v="1899-12-30T17:30:00"/>
    <n v="0"/>
    <n v="7.9999999999999982"/>
    <n v="7.9999999999999982"/>
    <s v="Normal Working Days before 10pm"/>
    <s v="Total: 422 Policies (Batch 20170505_1501: 49 Policies, Batch 20170505_2214: 247 Policies, Batch 20170508_1156: 75 Policies)"/>
    <s v=""/>
    <x v="4"/>
  </r>
  <r>
    <x v="1"/>
    <x v="5"/>
    <d v="2017-05-09T00:00:00"/>
    <s v="Tue"/>
    <d v="1899-12-30T08:30:00"/>
    <d v="1899-12-30T17:30:00"/>
    <n v="0"/>
    <n v="7.9999999999999982"/>
    <n v="7.9999999999999982"/>
    <s v="Normal Working Days before 10pm"/>
    <s v="Total: 312 Policies (Batch 20170508_2253: 248 Policies, Batch 20170509_1205: 64 Policies)"/>
    <s v=""/>
    <x v="4"/>
  </r>
  <r>
    <x v="1"/>
    <x v="5"/>
    <d v="2017-05-10T00:00:00"/>
    <s v="Wed"/>
    <d v="1899-12-30T08:30:00"/>
    <d v="1899-12-30T17:30:00"/>
    <n v="0"/>
    <n v="7.9999999999999982"/>
    <n v="7.9999999999999982"/>
    <s v="Normal Working Days before 10pm"/>
    <s v="Total: 818 Policies (Batch 20170509_1534: 249 Policies, Batch 20170509_1534: 193 Policies,  Batch 20170510_1534: 302 Policies, Batch 20170510_1455: 74 Policies)"/>
    <s v=""/>
    <x v="4"/>
  </r>
  <r>
    <x v="1"/>
    <x v="5"/>
    <d v="2017-05-11T00:00:00"/>
    <s v="Thu"/>
    <d v="1899-12-30T08:30:00"/>
    <d v="1899-12-30T17:30:00"/>
    <n v="0"/>
    <n v="7.9999999999999982"/>
    <n v="7.9999999999999982"/>
    <s v="Normal Working Days before 10pm"/>
    <s v="Total: 373 Policies (Batch 20170510_2245: 236 Policies, Batch 20170511_1157: 59 Policies, Batch 20170511_1503: 78 Policies)"/>
    <s v=""/>
    <x v="4"/>
  </r>
  <r>
    <x v="1"/>
    <x v="5"/>
    <d v="2017-05-12T00:00:00"/>
    <s v="Fri"/>
    <d v="1899-12-30T08:30:00"/>
    <d v="1899-12-30T17:30:00"/>
    <n v="0"/>
    <n v="7.9999999999999982"/>
    <n v="7.9999999999999982"/>
    <s v="Normal Working Days before 10pm"/>
    <s v="Total: 420 Policies (Batch 20170511_2353: 213 Policies, Batch 20170512_1202: 179 Policies, Batch 20170512_1515: 28 Policies)"/>
    <s v=""/>
    <x v="4"/>
  </r>
  <r>
    <x v="1"/>
    <x v="5"/>
    <d v="2017-05-15T00:00:00"/>
    <s v="Mon"/>
    <d v="1899-12-30T08:30:00"/>
    <d v="1899-12-30T17:30:00"/>
    <n v="0"/>
    <n v="7.9999999999999982"/>
    <n v="7.9999999999999982"/>
    <s v="Normal Working Days before 10pm"/>
    <s v="Total: 630 Policies (Batch 20170512_2238: 364 Policies, Batch 20170515_1203: 159 Policies, Batch 20170515_1508: 107 Policies)"/>
    <s v=""/>
    <x v="4"/>
  </r>
  <r>
    <x v="1"/>
    <x v="5"/>
    <d v="2017-05-16T00:00:00"/>
    <s v="Tue"/>
    <d v="1899-12-30T08:30:00"/>
    <d v="1899-12-30T17:30:00"/>
    <n v="0"/>
    <n v="7.9999999999999982"/>
    <n v="7.9999999999999982"/>
    <s v="Normal Working Days before 10pm"/>
    <s v="Total: 592 Policies (Batch 20170515_0124: 431 Policies, Batch 20170516_1211: 161 Policies)"/>
    <s v=""/>
    <x v="4"/>
  </r>
  <r>
    <x v="0"/>
    <x v="0"/>
    <d v="2017-05-17T00:00:00"/>
    <s v="Wed"/>
    <d v="1899-12-30T17:30:00"/>
    <d v="1899-12-30T21:30:00"/>
    <n v="8"/>
    <n v="3.9999999999999822"/>
    <n v="3.9999999999999822"/>
    <s v="Normal Working Days before 10pm"/>
    <s v="Total: 1065 Policies (Batch 20170516_1510: 165 Policies, Batch 20170516_0053: 215 Policies, Batch 20170517_1136: 544 Policies, Batch 20170517_1455: 141 Policies)"/>
    <n v="1"/>
    <x v="4"/>
  </r>
  <r>
    <x v="0"/>
    <x v="2"/>
    <d v="2017-05-17T00:00:00"/>
    <s v="Wed"/>
    <d v="1899-12-30T17:30:00"/>
    <d v="1899-12-30T21:30:00"/>
    <n v="8"/>
    <n v="3.9999999999999822"/>
    <n v="3.9999999999999822"/>
    <s v="Normal Working Days before 10pm"/>
    <s v="Total: 1065 Policies (Batch 20170516_1510: 165 Policies, Batch 20170516_0053: 215 Policies, Batch 20170517_1136: 544 Policies, Batch 20170517_1455: 141 Policies)"/>
    <n v="1"/>
    <x v="4"/>
  </r>
  <r>
    <x v="0"/>
    <x v="4"/>
    <d v="2017-05-17T00:00:00"/>
    <s v="Wed"/>
    <d v="1899-12-30T17:30:00"/>
    <d v="1899-12-30T21:30:00"/>
    <n v="8"/>
    <n v="3.9999999999999822"/>
    <n v="3.9999999999999822"/>
    <s v="Normal Working Days before 10pm"/>
    <s v="Total: 1065 Policies (Batch 20170516_1510: 165 Policies, Batch 20170516_0053: 215 Policies, Batch 20170517_1136: 544 Policies, Batch 20170517_1455: 141 Policies)"/>
    <n v="1"/>
    <x v="4"/>
  </r>
  <r>
    <x v="1"/>
    <x v="5"/>
    <d v="2017-05-17T00:00:00"/>
    <s v="Wed"/>
    <d v="1899-12-30T08:30:00"/>
    <d v="1899-12-30T21:30:00"/>
    <n v="0"/>
    <n v="11.999999999999986"/>
    <n v="11.999999999999986"/>
    <s v="Normal Working Days before 10pm"/>
    <s v="Total: 1065 Policies (Batch 20170516_1510: 165 Policies, Batch 20170516_0053: 215 Policies, Batch 20170517_1136: 544 Policies, Batch 20170517_1455: 141 Policies)"/>
    <s v=""/>
    <x v="4"/>
  </r>
  <r>
    <x v="1"/>
    <x v="7"/>
    <d v="2017-05-17T00:00:00"/>
    <s v="Wed"/>
    <d v="1899-12-30T17:00:00"/>
    <d v="1899-12-30T21:30:00"/>
    <n v="0"/>
    <n v="4.5"/>
    <n v="4.5"/>
    <s v="Normal Working Days before 10pm"/>
    <s v="Total: 1065 Policies (Batch 20170516_1510: 165 Policies, Batch 20170516_0053: 215 Policies, Batch 20170517_1136: 544 Policies, Batch 20170517_1455: 141 Policies)"/>
    <s v=""/>
    <x v="4"/>
  </r>
  <r>
    <x v="1"/>
    <x v="15"/>
    <d v="2017-05-17T00:00:00"/>
    <s v="Wed"/>
    <d v="1899-12-30T17:00:00"/>
    <d v="1899-12-30T21:30:00"/>
    <n v="0"/>
    <n v="4.5"/>
    <n v="4.5"/>
    <s v="Normal Working Days before 10pm"/>
    <s v="Total: 1065 Policies (Batch 20170516_1510: 165 Policies, Batch 20170516_0053: 215 Policies, Batch 20170517_1136: 544 Policies, Batch 20170517_1455: 141 Policies)"/>
    <s v=""/>
    <x v="4"/>
  </r>
  <r>
    <x v="1"/>
    <x v="5"/>
    <d v="2017-05-18T00:00:00"/>
    <s v="Thu"/>
    <d v="1899-12-30T08:30:00"/>
    <d v="1899-12-30T17:30:00"/>
    <n v="0"/>
    <n v="7.9999999999999982"/>
    <n v="7.9999999999999982"/>
    <s v="Normal Working Days before 10pm"/>
    <s v="Total: 541 Policies (Batch 20170517_2208: 180 Policies, Batch 20170517_2342: 53 Policies, Batch 20170518_1153: 213 Policies,  Batch 20170518_1451: 95 Policies)"/>
    <s v=""/>
    <x v="4"/>
  </r>
  <r>
    <x v="1"/>
    <x v="5"/>
    <d v="2017-05-19T00:00:00"/>
    <s v="Fri"/>
    <d v="1899-12-30T08:30:00"/>
    <d v="1899-12-30T17:30:00"/>
    <n v="0"/>
    <n v="7.9999999999999982"/>
    <n v="7.9999999999999982"/>
    <s v="Normal Working Days before 10pm"/>
    <s v="Total: 393 Policies (Batch 20170518_2334: 328 Policies, Batch 20170519_1209: 65 Policies, Batch 20170519_1532: 169 Policies)"/>
    <s v=""/>
    <x v="4"/>
  </r>
  <r>
    <x v="1"/>
    <x v="5"/>
    <d v="2017-05-22T00:00:00"/>
    <s v="Mon"/>
    <d v="1899-12-30T08:30:00"/>
    <d v="1899-12-30T17:30:00"/>
    <n v="0"/>
    <n v="7.9999999999999982"/>
    <n v="7.9999999999999982"/>
    <s v="Normal Working Days before 10pm"/>
    <s v="Total: 541 Policies (Batch 20170519_1532: 169 Policies, Batch 20170519_0425: 256 Policies, Batch 20170522_1233: 116 Policies)"/>
    <s v=""/>
    <x v="4"/>
  </r>
  <r>
    <x v="1"/>
    <x v="5"/>
    <d v="2017-05-23T00:00:00"/>
    <s v="Tue"/>
    <d v="1899-12-30T08:30:00"/>
    <d v="1899-12-30T17:30:00"/>
    <n v="0"/>
    <n v="7.9999999999999982"/>
    <n v="7.9999999999999982"/>
    <s v="Normal Working Days before 10pm"/>
    <s v="Total: 689 Policies (Batch 20170522_2157: 472 Policies, Batch 20170523_1202: 217 Policies)"/>
    <s v=""/>
    <x v="4"/>
  </r>
  <r>
    <x v="1"/>
    <x v="5"/>
    <d v="2017-05-24T00:00:00"/>
    <s v="Wed"/>
    <d v="1899-12-30T08:30:00"/>
    <d v="1899-12-30T17:30:00"/>
    <n v="0"/>
    <n v="7.9999999999999982"/>
    <n v="7.9999999999999982"/>
    <s v="Normal Working Days before 10pm"/>
    <s v="Total: 777 Policies (Batch 20170523_1501: 99 Policies, Batch 20170523_2308: 638 Policies, Batch 20170524_1206: 40 Policies)"/>
    <s v=""/>
    <x v="4"/>
  </r>
  <r>
    <x v="0"/>
    <x v="0"/>
    <d v="2017-05-25T00:00:00"/>
    <s v="Thu"/>
    <d v="1899-12-30T17:30:00"/>
    <d v="1899-12-30T21:30:00"/>
    <n v="8"/>
    <n v="3.9999999999999822"/>
    <n v="3.9999999999999822"/>
    <s v="Normal Working Days before 10pm"/>
    <s v="Total: 1141 Policies (Batch 20170524_1516: 99 Policies, Batch 20170524_2200: 652 Policies, Batch 20170525_1153: 88 Policies, Batch 20170525_1508: 198 Policies)"/>
    <n v="1"/>
    <x v="4"/>
  </r>
  <r>
    <x v="0"/>
    <x v="2"/>
    <d v="2017-05-25T00:00:00"/>
    <s v="Thu"/>
    <d v="1899-12-30T17:30:00"/>
    <d v="1899-12-30T21:30:00"/>
    <n v="8"/>
    <n v="3.9999999999999822"/>
    <n v="3.9999999999999822"/>
    <s v="Normal Working Days before 10pm"/>
    <s v="Total: 1141 Policies (Batch 20170524_1516: 99 Policies, Batch 20170524_2200: 652 Policies, Batch 20170525_1153: 88 Policies, Batch 20170525_1508: 198 Policies)"/>
    <n v="1"/>
    <x v="4"/>
  </r>
  <r>
    <x v="0"/>
    <x v="3"/>
    <d v="2017-05-25T00:00:00"/>
    <s v="Thu"/>
    <d v="1899-12-30T17:30:00"/>
    <d v="1899-12-30T21:30:00"/>
    <n v="8"/>
    <n v="3.9999999999999822"/>
    <n v="3.9999999999999822"/>
    <s v="Normal Working Days before 10pm"/>
    <s v="Total: 1141 Policies (Batch 20170524_1516: 99 Policies, Batch 20170524_2200: 652 Policies, Batch 20170525_1153: 88 Policies, Batch 20170525_1508: 198 Policies)"/>
    <n v="1"/>
    <x v="4"/>
  </r>
  <r>
    <x v="0"/>
    <x v="4"/>
    <d v="2017-05-25T00:00:00"/>
    <s v="Thu"/>
    <d v="1899-12-30T17:30:00"/>
    <d v="1899-12-30T21:30:00"/>
    <n v="8"/>
    <n v="3.9999999999999822"/>
    <n v="3.9999999999999822"/>
    <s v="Normal Working Days before 10pm"/>
    <s v="Total: 1141 Policies (Batch 20170524_1516: 99 Policies, Batch 20170524_2200: 652 Policies, Batch 20170525_1153: 88 Policies, Batch 20170525_1508: 198 Policies)"/>
    <n v="1"/>
    <x v="4"/>
  </r>
  <r>
    <x v="1"/>
    <x v="5"/>
    <d v="2017-05-25T00:00:00"/>
    <s v="Thu"/>
    <d v="1899-12-30T08:30:00"/>
    <d v="1899-12-30T21:30:00"/>
    <n v="0"/>
    <n v="11.999999999999986"/>
    <n v="11.999999999999986"/>
    <s v="Normal Working Days before 10pm"/>
    <s v="Total: 1141 Policies (Batch 20170524_1516: 99 Policies, Batch 20170524_2200: 652 Policies, Batch 20170525_1153: 88 Policies, Batch 20170525_1508: 198 Policies)"/>
    <s v=""/>
    <x v="4"/>
  </r>
  <r>
    <x v="0"/>
    <x v="6"/>
    <d v="2017-05-25T00:00:00"/>
    <s v="Thu"/>
    <d v="1899-12-30T17:30:00"/>
    <d v="1899-12-30T21:30:00"/>
    <n v="8"/>
    <n v="3.9999999999999822"/>
    <n v="3.9999999999999822"/>
    <s v="Normal Working Days before 10pm"/>
    <s v="Total: 1141 Policies (Batch 20170524_1516: 99 Policies, Batch 20170524_2200: 652 Policies, Batch 20170525_1153: 88 Policies, Batch 20170525_1508: 198 Policies)"/>
    <n v="1"/>
    <x v="4"/>
  </r>
  <r>
    <x v="1"/>
    <x v="5"/>
    <d v="2017-05-26T00:00:00"/>
    <s v="Fri"/>
    <d v="1899-12-30T08:30:00"/>
    <d v="1899-12-30T17:30:00"/>
    <n v="0"/>
    <n v="7.9999999999999982"/>
    <n v="7.9999999999999982"/>
    <s v="Normal Working Days before 10pm"/>
    <s v="Total: 592 Policies (Batch 20170525_2210: 472 Policies, Batch 20170526_1213: 120 Policies)"/>
    <s v=""/>
    <x v="4"/>
  </r>
  <r>
    <x v="1"/>
    <x v="12"/>
    <d v="2017-05-26T00:00:00"/>
    <s v="Fri"/>
    <d v="1899-12-30T08:30:00"/>
    <d v="1899-12-30T17:30:00"/>
    <n v="0"/>
    <n v="7.9999999999999982"/>
    <n v="7.9999999999999982"/>
    <s v="Normal Working Days before 10pm"/>
    <s v="Total: 592 Policies (Batch 20170525_2210: 472 Policies, Batch 20170526_1213: 120 Policies)"/>
    <s v=""/>
    <x v="4"/>
  </r>
  <r>
    <x v="0"/>
    <x v="0"/>
    <d v="2017-05-29T00:00:00"/>
    <s v="Mon"/>
    <d v="1899-12-30T17:30:00"/>
    <d v="1899-12-30T19:00:00"/>
    <n v="8"/>
    <n v="1.4999999999999947"/>
    <n v="1.4999999999999947"/>
    <s v="Normal Working Days before 10pm"/>
    <s v="Total: 1034 Policies (Batch 20170527_2322: 658 Policies, Batch 20170529_1206: 275 Policies, Batch 20170529_1505: 101 Policies)"/>
    <s v=""/>
    <x v="4"/>
  </r>
  <r>
    <x v="0"/>
    <x v="2"/>
    <d v="2017-05-29T00:00:00"/>
    <s v="Mon"/>
    <d v="1899-12-30T17:30:00"/>
    <d v="1899-12-30T19:00:00"/>
    <n v="8"/>
    <n v="1.4999999999999947"/>
    <n v="1.4999999999999947"/>
    <s v="Normal Working Days before 10pm"/>
    <s v="Total: 1034 Policies (Batch 20170527_2322: 658 Policies, Batch 20170529_1206: 275 Policies, Batch 20170529_1505: 101 Policies)"/>
    <s v=""/>
    <x v="4"/>
  </r>
  <r>
    <x v="0"/>
    <x v="4"/>
    <d v="2017-05-29T00:00:00"/>
    <s v="Mon"/>
    <d v="1899-12-30T17:30:00"/>
    <d v="1899-12-30T19:00:00"/>
    <n v="8"/>
    <n v="1.4999999999999947"/>
    <n v="1.4999999999999947"/>
    <s v="Normal Working Days before 10pm"/>
    <s v="Total: 1034 Policies (Batch 20170527_2322: 658 Policies, Batch 20170529_1206: 275 Policies, Batch 20170529_1505: 101 Policies)"/>
    <s v=""/>
    <x v="4"/>
  </r>
  <r>
    <x v="1"/>
    <x v="5"/>
    <d v="2017-05-29T00:00:00"/>
    <s v="Mon"/>
    <d v="1899-12-30T08:30:00"/>
    <d v="1899-12-30T19:00:00"/>
    <n v="0"/>
    <n v="9.4999999999999982"/>
    <n v="9.4999999999999982"/>
    <s v="Normal Working Days before 10pm"/>
    <s v="Total: 1034 Policies (Batch 20170527_2322: 658 Policies, Batch 20170529_1206: 275 Policies, Batch 20170529_1505: 101 Policies)"/>
    <s v=""/>
    <x v="4"/>
  </r>
  <r>
    <x v="0"/>
    <x v="6"/>
    <d v="2017-05-29T00:00:00"/>
    <s v="Mon"/>
    <d v="1899-12-30T17:30:00"/>
    <d v="1899-12-30T19:00:00"/>
    <n v="8"/>
    <n v="1.4999999999999947"/>
    <n v="1.4999999999999947"/>
    <s v="Normal Working Days before 10pm"/>
    <s v="Total: 1034 Policies (Batch 20170527_2322: 658 Policies, Batch 20170529_1206: 275 Policies, Batch 20170529_1505: 101 Policies)"/>
    <s v=""/>
    <x v="4"/>
  </r>
  <r>
    <x v="1"/>
    <x v="11"/>
    <d v="2017-05-29T00:00:00"/>
    <s v="Mon"/>
    <d v="1899-12-30T09:30:00"/>
    <d v="1899-12-30T19:00:00"/>
    <n v="0"/>
    <n v="8.500000000000016"/>
    <n v="8.500000000000016"/>
    <s v="Normal Working Days before 10pm"/>
    <s v="Total: 1034 Policies (Batch 20170527_2322: 658 Policies, Batch 20170529_1206: 275 Policies, Batch 20170529_1505: 101 Policies)"/>
    <s v=""/>
    <x v="4"/>
  </r>
  <r>
    <x v="0"/>
    <x v="15"/>
    <d v="2017-05-29T00:00:00"/>
    <s v="Mon"/>
    <d v="1899-12-30T17:30:00"/>
    <d v="1899-12-30T19:00:00"/>
    <n v="8"/>
    <n v="1.4999999999999947"/>
    <n v="1.4999999999999947"/>
    <s v="Normal Working Days before 10pm"/>
    <s v="Total: 1034 Policies (Batch 20170527_2322: 658 Policies, Batch 20170529_1206: 275 Policies, Batch 20170529_1505: 101 Policies)"/>
    <s v=""/>
    <x v="4"/>
  </r>
  <r>
    <x v="0"/>
    <x v="0"/>
    <d v="2017-05-30T00:00:00"/>
    <s v="Tue"/>
    <d v="1899-12-30T17:30:00"/>
    <d v="1899-12-30T21:30:00"/>
    <n v="8"/>
    <n v="3.9999999999999822"/>
    <n v="3.9999999999999822"/>
    <s v="Normal Working Days before 10pm"/>
    <s v="Total: 1571 Policies (Batch 20170529_2253: 1003 Policies, Batch 20170530_1207: 348 Policies)"/>
    <n v="1"/>
    <x v="4"/>
  </r>
  <r>
    <x v="0"/>
    <x v="2"/>
    <d v="2017-05-30T00:00:00"/>
    <s v="Tue"/>
    <d v="1899-12-30T21:30:00"/>
    <d v="1899-12-30T21:30:00"/>
    <n v="8"/>
    <n v="4"/>
    <n v="4"/>
    <s v="Normal Working Days before 10pm"/>
    <s v="Total: 1571 Policies (Batch 20170529_2253: 1003 Policies, Batch 20170530_1207: 348 Policies)"/>
    <n v="1"/>
    <x v="4"/>
  </r>
  <r>
    <x v="0"/>
    <x v="3"/>
    <d v="2017-05-30T00:00:00"/>
    <s v="Tue"/>
    <d v="1899-12-30T17:30:00"/>
    <d v="1899-12-30T20:30:00"/>
    <n v="8"/>
    <n v="2.9999999999999947"/>
    <n v="2.9999999999999947"/>
    <s v="Normal Working Days before 10pm"/>
    <s v="Total: 1571 Policies (Batch 20170529_2253: 1003 Policies, Batch 20170530_1207: 348 Policies)"/>
    <n v="1"/>
    <x v="4"/>
  </r>
  <r>
    <x v="0"/>
    <x v="4"/>
    <d v="2017-05-30T00:00:00"/>
    <s v="Tue"/>
    <d v="1899-12-30T17:30:00"/>
    <d v="1899-12-30T21:00:00"/>
    <n v="8"/>
    <n v="3.4999999999999893"/>
    <n v="3.4999999999999893"/>
    <s v="Normal Working Days before 10pm"/>
    <s v="Total: 1571 Policies (Batch 20170529_2253: 1003 Policies, Batch 20170530_1207: 348 Policies)"/>
    <n v="1"/>
    <x v="4"/>
  </r>
  <r>
    <x v="1"/>
    <x v="5"/>
    <d v="2017-05-30T00:00:00"/>
    <s v="Tue"/>
    <d v="1899-12-30T08:30:00"/>
    <d v="1899-12-30T21:30:00"/>
    <n v="0"/>
    <n v="11.999999999999986"/>
    <n v="11.999999999999986"/>
    <s v="Normal Working Days before 10pm"/>
    <s v="Total: 1571 Policies (Batch 20170529_2253: 1003 Policies, Batch 20170530_1207: 348 Policies)"/>
    <s v=""/>
    <x v="4"/>
  </r>
  <r>
    <x v="1"/>
    <x v="14"/>
    <d v="2017-05-30T00:00:00"/>
    <s v="Tue"/>
    <d v="1899-12-30T08:30:00"/>
    <d v="1899-12-30T21:30:00"/>
    <n v="0"/>
    <n v="11.999999999999986"/>
    <n v="11.999999999999986"/>
    <s v="Normal Working Days before 10pm"/>
    <s v="Total: 1571 Policies (Batch 20170529_2253: 1003 Policies, Batch 20170530_1207: 348 Policies)"/>
    <s v=""/>
    <x v="4"/>
  </r>
  <r>
    <x v="0"/>
    <x v="15"/>
    <d v="2017-05-30T00:00:00"/>
    <s v="Tue"/>
    <d v="1899-12-30T17:30:00"/>
    <d v="1899-12-30T21:30:00"/>
    <n v="8"/>
    <n v="3.9999999999999822"/>
    <n v="3.9999999999999822"/>
    <s v="Normal Working Days before 10pm"/>
    <s v="Total: 1571 Policies (Batch 20170529_2253: 1003 Policies, Batch 20170530_1207: 348 Policies)"/>
    <n v="1"/>
    <x v="4"/>
  </r>
  <r>
    <x v="0"/>
    <x v="0"/>
    <d v="2017-05-31T00:00:00"/>
    <s v="Wed"/>
    <d v="1899-12-30T21:30:00"/>
    <d v="1899-12-30T21:30:00"/>
    <n v="8"/>
    <n v="4"/>
    <n v="4"/>
    <s v="Normal Working Days before 10pm"/>
    <s v="Total: 1301 Policies (Batch 20170530_0052: 1301 Policies)"/>
    <n v="1"/>
    <x v="4"/>
  </r>
  <r>
    <x v="0"/>
    <x v="2"/>
    <d v="2017-05-31T00:00:00"/>
    <s v="Wed"/>
    <d v="1899-12-30T17:30:00"/>
    <d v="1899-12-30T21:00:00"/>
    <n v="8"/>
    <n v="3.4999999999999893"/>
    <n v="3.4999999999999893"/>
    <s v="Normal Working Days before 10pm"/>
    <s v="Total: 1301 Policies (Batch 20170530_0052: 1301 Policies)"/>
    <n v="1"/>
    <x v="4"/>
  </r>
  <r>
    <x v="0"/>
    <x v="3"/>
    <d v="2017-05-31T00:00:00"/>
    <s v="Wed"/>
    <d v="1899-12-30T17:30:00"/>
    <d v="1899-12-30T20:00:00"/>
    <n v="8"/>
    <n v="2.4999999999999805"/>
    <n v="2.4999999999999805"/>
    <s v="Normal Working Days before 10pm"/>
    <s v="Total: 1301 Policies (Batch 20170530_0052: 1301 Policies)"/>
    <n v="1"/>
    <x v="4"/>
  </r>
  <r>
    <x v="0"/>
    <x v="4"/>
    <d v="2017-05-31T00:00:00"/>
    <s v="Wed"/>
    <d v="1899-12-30T17:30:00"/>
    <d v="1899-12-30T21:00:00"/>
    <n v="8"/>
    <n v="3.4999999999999893"/>
    <n v="3.4999999999999893"/>
    <s v="Normal Working Days before 10pm"/>
    <s v="Total: 1301 Policies (Batch 20170530_0052: 1301 Policies)"/>
    <n v="1"/>
    <x v="4"/>
  </r>
  <r>
    <x v="1"/>
    <x v="5"/>
    <d v="2017-05-31T00:00:00"/>
    <s v="Wed"/>
    <d v="1899-12-30T08:30:00"/>
    <d v="1899-12-30T21:30:00"/>
    <n v="0"/>
    <n v="11.999999999999986"/>
    <n v="11.999999999999986"/>
    <s v="Normal Working Days before 10pm"/>
    <s v="Total: 1301 Policies (Batch 20170530_0052: 1301 Policies)"/>
    <s v=""/>
    <x v="4"/>
  </r>
  <r>
    <x v="1"/>
    <x v="12"/>
    <d v="2017-05-31T00:00:00"/>
    <s v="Wed"/>
    <d v="1899-12-30T08:30:00"/>
    <d v="1899-12-30T21:30:00"/>
    <n v="0"/>
    <n v="11.999999999999986"/>
    <n v="11.999999999999986"/>
    <s v="Normal Working Days before 10pm"/>
    <s v="Total: 1301 Policies (Batch 20170530_0052: 1301 Policies)"/>
    <s v=""/>
    <x v="4"/>
  </r>
  <r>
    <x v="1"/>
    <x v="14"/>
    <d v="2017-05-31T00:00:00"/>
    <s v="Wed"/>
    <d v="1899-12-30T09:30:00"/>
    <d v="1899-12-30T21:30:00"/>
    <n v="0"/>
    <n v="11"/>
    <n v="11"/>
    <s v="Normal Working Days before 10pm"/>
    <s v="Total: 1301 Policies (Batch 20170530_0052: 1301 Policies)"/>
    <s v=""/>
    <x v="4"/>
  </r>
  <r>
    <x v="0"/>
    <x v="15"/>
    <d v="2017-05-31T00:00:00"/>
    <s v="Wed"/>
    <d v="1899-12-30T17:30:00"/>
    <d v="1899-12-30T21:30:00"/>
    <n v="8"/>
    <n v="3.9999999999999822"/>
    <n v="3.9999999999999822"/>
    <s v="Normal Working Days before 10pm"/>
    <s v="Total: 1301 Policies (Batch 20170530_0052: 1301 Policies)"/>
    <n v="1"/>
    <x v="4"/>
  </r>
  <r>
    <x v="0"/>
    <x v="0"/>
    <d v="2017-06-01T00:00:00"/>
    <s v="Thu"/>
    <d v="1899-12-30T17:00:00"/>
    <d v="1899-12-30T21:30:00"/>
    <n v="8.0000000000000036"/>
    <n v="4.4999999999999964"/>
    <n v="4.4999999999999964"/>
    <s v="Normal Working Days before 10pm"/>
    <s v="Total: 1277 Policies (Batch 20170531_1241: 631 Policies, Batch 20170531_1953: 646 Policies)"/>
    <n v="1"/>
    <x v="5"/>
  </r>
  <r>
    <x v="0"/>
    <x v="2"/>
    <d v="2017-06-01T00:00:00"/>
    <s v="Thu"/>
    <d v="1899-12-30T17:00:00"/>
    <d v="1899-12-30T21:30:00"/>
    <n v="8.0000000000000036"/>
    <n v="4.4999999999999964"/>
    <n v="4.4999999999999964"/>
    <s v="Normal Working Days before 10pm"/>
    <s v="Total: 1277 Policies (Batch 20170531_1241: 631 Policies, Batch 20170531_1953: 646 Policies)"/>
    <n v="1"/>
    <x v="5"/>
  </r>
  <r>
    <x v="0"/>
    <x v="3"/>
    <d v="2017-06-01T00:00:00"/>
    <s v="Thu"/>
    <d v="1899-12-30T17:00:00"/>
    <d v="1899-12-30T20:00:00"/>
    <n v="8.0000000000000036"/>
    <n v="2.9999999999999964"/>
    <n v="2.9999999999999964"/>
    <s v="Normal Working Days before 10pm"/>
    <s v="Total: 1277 Policies (Batch 20170531_1241: 631 Policies, Batch 20170531_1953: 646 Policies)"/>
    <n v="1"/>
    <x v="5"/>
  </r>
  <r>
    <x v="1"/>
    <x v="5"/>
    <d v="2017-06-01T00:00:00"/>
    <s v="Thu"/>
    <d v="1899-12-30T08:00:00"/>
    <d v="1899-12-30T21:30:00"/>
    <n v="0"/>
    <n v="12.5"/>
    <n v="12.5"/>
    <s v="Normal Working Days before 10pm"/>
    <s v="Total: 1277 Policies (Batch 20170531_1241: 631 Policies, Batch 20170531_1953: 646 Policies)"/>
    <s v=""/>
    <x v="5"/>
  </r>
  <r>
    <x v="0"/>
    <x v="6"/>
    <d v="2017-06-01T00:00:00"/>
    <s v="Thu"/>
    <d v="1899-12-30T17:00:00"/>
    <d v="1899-12-30T21:30:00"/>
    <n v="8.0000000000000036"/>
    <n v="4.4999999999999964"/>
    <n v="4.4999999999999964"/>
    <s v="Normal Working Days before 10pm"/>
    <s v="Total: 1277 Policies (Batch 20170531_1241: 631 Policies, Batch 20170531_1953: 646 Policies)"/>
    <n v="1"/>
    <x v="5"/>
  </r>
  <r>
    <x v="0"/>
    <x v="15"/>
    <d v="2017-06-01T00:00:00"/>
    <s v="Thu"/>
    <d v="1899-12-30T17:00:00"/>
    <d v="1899-12-30T21:30:00"/>
    <n v="8.0000000000000036"/>
    <n v="4.4999999999999964"/>
    <n v="4.4999999999999964"/>
    <s v="Normal Working Days before 10pm"/>
    <s v="Total: 1277 Policies (Batch 20170531_1241: 631 Policies, Batch 20170531_1953: 646 Policies)"/>
    <n v="1"/>
    <x v="5"/>
  </r>
  <r>
    <x v="0"/>
    <x v="16"/>
    <d v="2017-06-01T00:00:00"/>
    <s v="Thu"/>
    <d v="1899-12-30T17:00:00"/>
    <d v="1899-12-30T21:30:00"/>
    <n v="8.0000000000000036"/>
    <n v="4.4999999999999964"/>
    <n v="4.4999999999999964"/>
    <s v="Normal Working Days before 10pm"/>
    <s v="Total: 1277 Policies (Batch 20170531_1241: 631 Policies, Batch 20170531_1953: 646 Policies)"/>
    <n v="1"/>
    <x v="5"/>
  </r>
  <r>
    <x v="1"/>
    <x v="12"/>
    <d v="2017-06-01T00:00:00"/>
    <s v="Thu"/>
    <d v="1899-12-30T08:00:00"/>
    <d v="1899-12-30T21:30:00"/>
    <n v="0"/>
    <n v="12.5"/>
    <n v="12.5"/>
    <s v="Normal Working Days before 10pm"/>
    <s v="Total: 1277 Policies (Batch 20170531_1241: 631 Policies, Batch 20170531_1953: 646 Policies)"/>
    <s v=""/>
    <x v="5"/>
  </r>
  <r>
    <x v="0"/>
    <x v="0"/>
    <d v="2017-06-02T00:00:00"/>
    <s v="Fri"/>
    <d v="1899-12-30T17:30:00"/>
    <d v="1899-12-30T21:30:00"/>
    <n v="8.0000000000000036"/>
    <n v="3.9999999999999982"/>
    <n v="3.9999999999999982"/>
    <s v="Normal Working Days before 10pm"/>
    <s v="Total: 2218 Policies (Batch 20170531_0304: 1303 Policies, Batch 20170531_0916: 915 Policies,)"/>
    <n v="1"/>
    <x v="5"/>
  </r>
  <r>
    <x v="0"/>
    <x v="2"/>
    <d v="2017-06-02T00:00:00"/>
    <s v="Fri"/>
    <d v="1899-12-30T17:30:00"/>
    <d v="1899-12-30T21:30:00"/>
    <n v="8.0000000000000036"/>
    <n v="3.9999999999999982"/>
    <n v="3.9999999999999982"/>
    <s v="Normal Working Days before 10pm"/>
    <s v="Total: 2218 Policies (Batch 20170531_0304: 1303 Policies, Batch 20170531_0916: 915 Policies,)"/>
    <n v="1"/>
    <x v="5"/>
  </r>
  <r>
    <x v="0"/>
    <x v="3"/>
    <d v="2017-06-02T00:00:00"/>
    <s v="Fri"/>
    <d v="1899-12-30T17:30:00"/>
    <d v="1899-12-30T20:30:00"/>
    <n v="8.0000000000000036"/>
    <n v="3"/>
    <n v="3"/>
    <s v="Normal Working Days before 10pm"/>
    <s v="Total: 2218 Policies (Batch 20170531_0304: 1303 Policies, Batch 20170531_0916: 915 Policies,)"/>
    <n v="1"/>
    <x v="5"/>
  </r>
  <r>
    <x v="1"/>
    <x v="5"/>
    <d v="2017-06-02T00:00:00"/>
    <s v="Fri"/>
    <d v="1899-12-30T08:30:00"/>
    <d v="1899-12-30T21:30:00"/>
    <n v="0"/>
    <n v="12.000000000000002"/>
    <n v="12.000000000000002"/>
    <s v="Normal Working Days before 10pm"/>
    <s v="Total: 2218 Policies (Batch 20170531_0304: 1303 Policies, Batch 20170531_0916: 915 Policies,)"/>
    <s v=""/>
    <x v="5"/>
  </r>
  <r>
    <x v="0"/>
    <x v="6"/>
    <d v="2017-06-02T00:00:00"/>
    <s v="Fri"/>
    <d v="1899-12-30T17:30:00"/>
    <d v="1899-12-30T21:30:00"/>
    <n v="8.0000000000000036"/>
    <n v="3.9999999999999982"/>
    <n v="3.9999999999999982"/>
    <s v="Normal Working Days before 10pm"/>
    <s v="Total: 2218 Policies (Batch 20170531_0304: 1303 Policies, Batch 20170531_0916: 915 Policies,)"/>
    <n v="1"/>
    <x v="5"/>
  </r>
  <r>
    <x v="0"/>
    <x v="15"/>
    <d v="2017-06-02T00:00:00"/>
    <s v="Fri"/>
    <d v="1899-12-30T17:30:00"/>
    <d v="1899-12-30T21:30:00"/>
    <n v="8.0000000000000036"/>
    <n v="3.9999999999999982"/>
    <n v="3.9999999999999982"/>
    <s v="Normal Working Days before 10pm"/>
    <s v="Total: 2218 Policies (Batch 20170531_0304: 1303 Policies, Batch 20170531_0916: 915 Policies,)"/>
    <n v="1"/>
    <x v="5"/>
  </r>
  <r>
    <x v="0"/>
    <x v="16"/>
    <d v="2017-06-02T00:00:00"/>
    <s v="Fri"/>
    <d v="1899-12-30T17:30:00"/>
    <d v="1899-12-30T21:30:00"/>
    <n v="8.0000000000000036"/>
    <n v="3.9999999999999982"/>
    <n v="3.9999999999999982"/>
    <s v="Normal Working Days before 10pm"/>
    <s v="Total: 2218 Policies (Batch 20170531_0304: 1303 Policies, Batch 20170531_0916: 915 Policies,)"/>
    <n v="1"/>
    <x v="5"/>
  </r>
  <r>
    <x v="1"/>
    <x v="14"/>
    <d v="2017-06-02T00:00:00"/>
    <s v="Fri"/>
    <d v="1899-12-30T08:30:00"/>
    <d v="1899-12-30T21:30:00"/>
    <n v="0"/>
    <n v="12.000000000000002"/>
    <n v="12.000000000000002"/>
    <s v="Normal Working Days before 10pm"/>
    <s v="Total: 2218 Policies (Batch 20170531_0304: 1303 Policies, Batch 20170531_0916: 915 Policies,)"/>
    <s v=""/>
    <x v="5"/>
  </r>
  <r>
    <x v="0"/>
    <x v="0"/>
    <d v="2017-06-03T00:00:00"/>
    <s v="Sat"/>
    <d v="1899-12-30T17:30:00"/>
    <d v="1899-12-30T19:30:00"/>
    <n v="8.0000000000000036"/>
    <n v="1.9999999999999964"/>
    <n v="10"/>
    <s v="Saturday/Sunday (Weekends) before 10pm"/>
    <s v="Total: 785 Policies (Backlog of Batch 20170531_0916: 665/915 Policies, Batch 20170602_1206: 356 Policies, Batch 20170602_2047: 429 Policies)"/>
    <n v="1"/>
    <x v="5"/>
  </r>
  <r>
    <x v="0"/>
    <x v="2"/>
    <d v="2017-06-03T00:00:00"/>
    <s v="Sat"/>
    <d v="1899-12-30T17:30:00"/>
    <d v="1899-12-30T19:30:00"/>
    <n v="8.0000000000000036"/>
    <n v="1.9999999999999964"/>
    <n v="10"/>
    <s v="Saturday/Sunday (Weekends) before 10pm"/>
    <s v="Total: 785 Policies (Backlog of Batch 20170531_0916: 665/915 Policies, Batch 20170602_1206: 356 Policies, Batch 20170602_2047: 429 Policies)"/>
    <n v="1"/>
    <x v="5"/>
  </r>
  <r>
    <x v="1"/>
    <x v="5"/>
    <d v="2017-06-03T00:00:00"/>
    <s v="Sat"/>
    <d v="1899-12-30T08:30:00"/>
    <d v="1899-12-30T19:30:00"/>
    <n v="0"/>
    <n v="10"/>
    <n v="10"/>
    <s v="Saturday/Sunday (Weekends) before 10pm"/>
    <s v="Total: 785 Policies (Backlog of Batch 20170531_0916: 665/915 Policies, Batch 20170602_1206: 356 Policies, Batch 20170602_2047: 429 Policies)"/>
    <s v=""/>
    <x v="5"/>
  </r>
  <r>
    <x v="0"/>
    <x v="6"/>
    <d v="2017-06-03T00:00:00"/>
    <s v="Sat"/>
    <d v="1899-12-30T17:30:00"/>
    <d v="1899-12-30T19:30:00"/>
    <n v="8.0000000000000036"/>
    <n v="1.9999999999999964"/>
    <n v="10"/>
    <s v="Saturday/Sunday (Weekends) before 10pm"/>
    <s v="Total: 785 Policies (Backlog of Batch 20170531_0916: 665/915 Policies, Batch 20170602_1206: 356 Policies, Batch 20170602_2047: 429 Policies)"/>
    <n v="1"/>
    <x v="5"/>
  </r>
  <r>
    <x v="0"/>
    <x v="15"/>
    <d v="2017-06-03T00:00:00"/>
    <s v="Sat"/>
    <d v="1899-12-30T17:30:00"/>
    <d v="1899-12-30T19:30:00"/>
    <n v="8.0000000000000036"/>
    <n v="1.9999999999999964"/>
    <n v="10"/>
    <s v="Saturday/Sunday (Weekends) before 10pm"/>
    <s v="Total: 785 Policies (Backlog of Batch 20170531_0916: 665/915 Policies, Batch 20170602_1206: 356 Policies, Batch 20170602_2047: 429 Policies)"/>
    <n v="1"/>
    <x v="5"/>
  </r>
  <r>
    <x v="0"/>
    <x v="16"/>
    <d v="2017-06-03T00:00:00"/>
    <s v="Sat"/>
    <d v="1899-12-30T17:30:00"/>
    <d v="1899-12-30T19:30:00"/>
    <n v="8.0000000000000036"/>
    <n v="1.9999999999999964"/>
    <n v="10"/>
    <s v="Saturday/Sunday (Weekends) before 10pm"/>
    <s v="Total: 785 Policies (Backlog of Batch 20170531_0916: 665/915 Policies, Batch 20170602_1206: 356 Policies, Batch 20170602_2047: 429 Policies)"/>
    <n v="1"/>
    <x v="5"/>
  </r>
  <r>
    <x v="1"/>
    <x v="12"/>
    <d v="2017-06-03T00:00:00"/>
    <s v="Sat"/>
    <d v="1899-12-30T08:30:00"/>
    <d v="1899-12-30T19:30:00"/>
    <n v="0"/>
    <n v="10"/>
    <n v="10"/>
    <s v="Saturday/Sunday (Weekends) before 10pm"/>
    <s v="Total: 785 Policies (Backlog of Batch 20170531_0916: 665/915 Policies, Batch 20170602_1206: 356 Policies, Batch 20170602_2047: 429 Policies)"/>
    <s v=""/>
    <x v="5"/>
  </r>
  <r>
    <x v="1"/>
    <x v="5"/>
    <d v="2017-06-05T00:00:00"/>
    <s v="Mon"/>
    <d v="1899-12-30T08:30:00"/>
    <d v="1899-12-30T17:30:00"/>
    <n v="0"/>
    <n v="8.0000000000000036"/>
    <n v="8.0000000000000036"/>
    <s v="Normal Working Days before 10pm"/>
    <s v="Total: 256 Policies (Batch 20170605_1156: 256 Policies)"/>
    <s v=""/>
    <x v="5"/>
  </r>
  <r>
    <x v="1"/>
    <x v="5"/>
    <d v="2017-06-07T00:00:00"/>
    <s v="Wed"/>
    <d v="1899-12-30T08:30:00"/>
    <d v="1899-12-30T17:30:00"/>
    <n v="0"/>
    <n v="8.0000000000000036"/>
    <n v="8.0000000000000036"/>
    <s v="Normal Working Days before 10pm"/>
    <s v="Total: 486 Policies (Batch 20170606_2207: 289 Policies, Batch 20170607_1334: 118 Policies, Batch 20170607_1519: 79 Policies)"/>
    <s v=""/>
    <x v="5"/>
  </r>
  <r>
    <x v="1"/>
    <x v="5"/>
    <d v="2017-06-08T00:00:00"/>
    <s v="Thu"/>
    <d v="1899-12-30T08:30:00"/>
    <d v="1899-12-30T17:30:00"/>
    <n v="0"/>
    <n v="8.0000000000000036"/>
    <n v="8.0000000000000036"/>
    <s v="Normal Working Days before 10pm"/>
    <s v="Total: 413 Policies (Batch 20170607_2232: 196 Policies, Batch 20170608_1157: 108 Policies, Batch 20170608_1505: 109 Policies)"/>
    <s v=""/>
    <x v="5"/>
  </r>
  <r>
    <x v="1"/>
    <x v="5"/>
    <d v="2017-06-09T00:00:00"/>
    <s v="Fri"/>
    <d v="1899-12-30T08:30:00"/>
    <d v="1899-12-30T17:30:00"/>
    <n v="0"/>
    <n v="8.0000000000000036"/>
    <n v="8.0000000000000036"/>
    <s v="Normal Working Days before 10pm"/>
    <s v="Total: 432 Policies (Batch 20170608_1556: 59 Policies, Batch 20170608_2147: 181 Policies, Batch 20170609_1158: 186 Policies, Batch 20170609_1624: 6 Policies)"/>
    <s v=""/>
    <x v="5"/>
  </r>
  <r>
    <x v="1"/>
    <x v="5"/>
    <d v="2017-06-12T00:00:00"/>
    <s v="Mon"/>
    <d v="1899-12-30T08:30:00"/>
    <d v="1899-12-30T17:30:00"/>
    <n v="0"/>
    <n v="8.0000000000000036"/>
    <n v="8.0000000000000036"/>
    <s v="Normal Working Days before 10pm"/>
    <s v="Total: 362 Policies (Batch 20170609_0057: 212 Policies, Batch 20170612_1145: 62 Policies, Batch 20170612_1551: 88 Policies)"/>
    <s v=""/>
    <x v="5"/>
  </r>
  <r>
    <x v="1"/>
    <x v="5"/>
    <d v="2017-06-13T00:00:00"/>
    <s v="Tue"/>
    <d v="1899-12-30T08:30:00"/>
    <d v="1899-12-30T17:30:00"/>
    <n v="0"/>
    <n v="8.0000000000000036"/>
    <n v="8.0000000000000036"/>
    <s v="Normal Working Days before 10pm"/>
    <s v="Total: 733 Policies (Batch 20170612_2219: 340 Policies, Batch 20170613_1159: 260 Policies, Batch 20170613_1508: 133 Policies)"/>
    <s v=""/>
    <x v="5"/>
  </r>
  <r>
    <x v="1"/>
    <x v="5"/>
    <d v="2017-06-14T00:00:00"/>
    <s v="Wed"/>
    <d v="1899-12-30T08:30:00"/>
    <d v="1899-12-30T17:30:00"/>
    <n v="0"/>
    <n v="8.0000000000000036"/>
    <n v="8.0000000000000036"/>
    <s v="Normal Working Days before 10pm"/>
    <s v="Total: 754 Policies (Batch 20170613_2205: 511 Policies, Batch 20170614_1200: 243 Policies)"/>
    <s v=""/>
    <x v="5"/>
  </r>
  <r>
    <x v="1"/>
    <x v="5"/>
    <d v="2017-06-15T00:00:00"/>
    <s v="Thu"/>
    <d v="1899-12-30T08:30:00"/>
    <d v="1899-12-30T17:30:00"/>
    <n v="0"/>
    <n v="8.0000000000000036"/>
    <n v="8.0000000000000036"/>
    <s v="Normal Working Days before 10pm"/>
    <s v="Total: 907 Policies (Batch 20170614_1545: 250 Policies, Batch 20170614_2251: 320 Policies,  Batch 20170615_1203: 242 Policies)"/>
    <s v=""/>
    <x v="5"/>
  </r>
  <r>
    <x v="0"/>
    <x v="0"/>
    <d v="2017-06-16T00:00:00"/>
    <s v="Fri"/>
    <d v="1899-12-30T17:30:00"/>
    <d v="1899-12-30T20:00:00"/>
    <n v="8.0000000000000036"/>
    <n v="2.4999999999999982"/>
    <n v="2.4999999999999982"/>
    <s v="Normal Working Days before 10pm"/>
    <s v="Total: 1004 Policies (Batch 20170615_2328: 795 Policies, Batch 20170616_1300: 45 Policies, Batch 20170616_1459: 164 Policies)"/>
    <n v="1"/>
    <x v="5"/>
  </r>
  <r>
    <x v="0"/>
    <x v="3"/>
    <d v="2017-06-16T00:00:00"/>
    <s v="Fri"/>
    <d v="1899-12-30T17:30:00"/>
    <d v="1899-12-30T20:00:00"/>
    <n v="8.0000000000000036"/>
    <n v="2.4999999999999982"/>
    <n v="2.4999999999999982"/>
    <s v="Normal Working Days before 10pm"/>
    <s v="Total: 1004 Policies (Batch 20170615_2328: 795 Policies, Batch 20170616_1300: 45 Policies, Batch 20170616_1459: 164 Policies)"/>
    <n v="1"/>
    <x v="5"/>
  </r>
  <r>
    <x v="1"/>
    <x v="5"/>
    <d v="2017-06-16T00:00:00"/>
    <s v="Fri"/>
    <d v="1899-12-30T08:30:00"/>
    <d v="1899-12-30T20:00:00"/>
    <n v="0"/>
    <n v="10.500000000000002"/>
    <n v="10.500000000000002"/>
    <s v="Normal Working Days before 10pm"/>
    <s v="Total: 1004 Policies (Batch 20170615_2328: 795 Policies, Batch 20170616_1300: 45 Policies, Batch 20170616_1459: 164 Policies)"/>
    <s v=""/>
    <x v="5"/>
  </r>
  <r>
    <x v="0"/>
    <x v="6"/>
    <d v="2017-06-16T00:00:00"/>
    <s v="Fri"/>
    <d v="1899-12-30T17:30:00"/>
    <d v="1899-12-30T20:00:00"/>
    <n v="8.0000000000000036"/>
    <n v="2.4999999999999982"/>
    <n v="2.4999999999999982"/>
    <s v="Normal Working Days before 10pm"/>
    <s v="Total: 1004 Policies (Batch 20170615_2328: 795 Policies, Batch 20170616_1300: 45 Policies, Batch 20170616_1459: 164 Policies)"/>
    <n v="1"/>
    <x v="5"/>
  </r>
  <r>
    <x v="0"/>
    <x v="15"/>
    <d v="2017-06-16T00:00:00"/>
    <s v="Fri"/>
    <d v="1899-12-30T17:30:00"/>
    <d v="1899-12-30T20:00:00"/>
    <n v="8.0000000000000036"/>
    <n v="2.4999999999999982"/>
    <n v="2.4999999999999982"/>
    <s v="Normal Working Days before 10pm"/>
    <s v="Total: 1004 Policies (Batch 20170615_2328: 795 Policies, Batch 20170616_1300: 45 Policies, Batch 20170616_1459: 164 Policies)"/>
    <n v="1"/>
    <x v="5"/>
  </r>
  <r>
    <x v="0"/>
    <x v="16"/>
    <d v="2017-06-16T00:00:00"/>
    <s v="Fri"/>
    <d v="1899-12-30T17:30:00"/>
    <d v="1899-12-30T20:00:00"/>
    <n v="8.0000000000000036"/>
    <n v="2.4999999999999982"/>
    <n v="2.4999999999999982"/>
    <s v="Normal Working Days before 10pm"/>
    <s v="Total: 1004 Policies (Batch 20170615_2328: 795 Policies, Batch 20170616_1300: 45 Policies, Batch 20170616_1459: 164 Policies)"/>
    <n v="1"/>
    <x v="5"/>
  </r>
  <r>
    <x v="0"/>
    <x v="17"/>
    <d v="2017-06-16T00:00:00"/>
    <s v="Fri"/>
    <d v="1899-12-30T17:30:00"/>
    <d v="1899-12-30T20:00:00"/>
    <n v="8.0000000000000036"/>
    <n v="2.4999999999999982"/>
    <n v="2.4999999999999982"/>
    <s v="Normal Working Days before 10pm"/>
    <s v="Total: 1004 Policies (Batch 20170615_2328: 795 Policies, Batch 20170616_1300: 45 Policies, Batch 20170616_1459: 164 Policies)"/>
    <n v="1"/>
    <x v="5"/>
  </r>
  <r>
    <x v="1"/>
    <x v="5"/>
    <d v="2017-06-19T00:00:00"/>
    <s v="Mon"/>
    <d v="1899-12-30T08:30:00"/>
    <d v="1899-12-30T17:30:00"/>
    <n v="0"/>
    <n v="8.0000000000000036"/>
    <n v="8.0000000000000036"/>
    <s v="Normal Working Days before 10pm"/>
    <s v="Total: 496 Policies (Batch 20170616_2054: 295 Policies, Batch 20170619_1202: 148 Policies, Batch 20170619_1459: 53 Policies)"/>
    <s v=""/>
    <x v="5"/>
  </r>
  <r>
    <x v="1"/>
    <x v="5"/>
    <d v="2017-06-20T00:00:00"/>
    <s v="Tue"/>
    <d v="1899-12-30T08:30:00"/>
    <d v="1899-12-30T17:30:00"/>
    <n v="0"/>
    <n v="8.0000000000000036"/>
    <n v="8.0000000000000036"/>
    <s v="Normal Working Days before 10pm"/>
    <s v="Total: 519 Policies (Batch 20170619_2359: 226 Policies, Batch 20170620_1158: 293 Policies)"/>
    <s v=""/>
    <x v="5"/>
  </r>
  <r>
    <x v="1"/>
    <x v="5"/>
    <d v="2017-06-21T00:00:00"/>
    <s v="Wed"/>
    <d v="1899-12-30T08:30:00"/>
    <d v="1899-12-30T17:30:00"/>
    <n v="0"/>
    <n v="8.0000000000000036"/>
    <n v="8.0000000000000036"/>
    <s v="Normal Working Days before 10pm"/>
    <s v="Total: 873 Policies (Batch 20170620_1507: 171 Policies, Batch 20170620_2305: 457 Policies, Batch 20170621_1148: 149 Policies)"/>
    <s v=""/>
    <x v="5"/>
  </r>
  <r>
    <x v="1"/>
    <x v="5"/>
    <d v="2017-06-22T00:00:00"/>
    <s v="Thu"/>
    <d v="1899-12-30T08:30:00"/>
    <d v="1899-12-30T17:30:00"/>
    <n v="0"/>
    <n v="8.0000000000000036"/>
    <n v="8.0000000000000036"/>
    <s v="Normal Working Days before 10pm"/>
    <s v="Total: 690 Policies (Batch 20170621_2203: 389 Policies, Batch 20170622_1148: 123 Policies, Batch 20170622_1521: 178 Policies)"/>
    <s v=""/>
    <x v="5"/>
  </r>
  <r>
    <x v="1"/>
    <x v="5"/>
    <d v="2017-06-23T00:00:00"/>
    <s v="Fri"/>
    <d v="1899-12-30T08:30:00"/>
    <d v="1899-12-30T17:30:00"/>
    <n v="0"/>
    <n v="8.0000000000000036"/>
    <n v="8.0000000000000036"/>
    <s v="Normal Working Days before 10pm"/>
    <s v="Total: 415 Policies (Batch 20170622_2144: 289 Policies; Batch 20170623_1457: 126 Policies)"/>
    <s v=""/>
    <x v="5"/>
  </r>
  <r>
    <x v="0"/>
    <x v="0"/>
    <d v="2017-06-24T00:00:00"/>
    <s v="Sat"/>
    <d v="1899-12-30T08:30:00"/>
    <d v="1899-12-30T17:30:00"/>
    <n v="8.0000000000000036"/>
    <n v="0"/>
    <n v="8.0000000000000036"/>
    <s v="Saturday/Sunday (Weekends) before 10pm"/>
    <s v="Total: 461 Policies (Batch 20170623_2223: 192 Policies, Batch 20170624_1244: 269 Policies)"/>
    <s v=""/>
    <x v="5"/>
  </r>
  <r>
    <x v="0"/>
    <x v="2"/>
    <d v="2017-06-24T00:00:00"/>
    <s v="Sat"/>
    <d v="1899-12-30T08:30:00"/>
    <d v="1899-12-30T17:30:00"/>
    <n v="8.0000000000000036"/>
    <n v="0"/>
    <n v="8.0000000000000036"/>
    <s v="Saturday/Sunday (Weekends) before 10pm"/>
    <s v="Total: 461 Policies (Batch 20170623_2223: 192 Policies, Batch 20170624_1244: 269 Policies)"/>
    <s v=""/>
    <x v="5"/>
  </r>
  <r>
    <x v="0"/>
    <x v="6"/>
    <d v="2017-06-24T00:00:00"/>
    <s v="Sat"/>
    <d v="1899-12-30T08:30:00"/>
    <d v="1899-12-30T17:30:00"/>
    <n v="8.0000000000000036"/>
    <n v="0"/>
    <n v="8.0000000000000036"/>
    <s v="Saturday/Sunday (Weekends) before 10pm"/>
    <s v="Total: 461 Policies (Batch 20170623_2223: 192 Policies, Batch 20170624_1244: 269 Policies)"/>
    <s v=""/>
    <x v="5"/>
  </r>
  <r>
    <x v="0"/>
    <x v="15"/>
    <d v="2017-06-24T00:00:00"/>
    <s v="Sat"/>
    <d v="1899-12-30T08:30:00"/>
    <d v="1899-12-30T17:30:00"/>
    <n v="8.0000000000000036"/>
    <n v="0"/>
    <n v="8.0000000000000036"/>
    <s v="Saturday/Sunday (Weekends) before 10pm"/>
    <s v="Total: 461 Policies (Batch 20170623_2223: 192 Policies, Batch 20170624_1244: 269 Policies)"/>
    <s v=""/>
    <x v="5"/>
  </r>
  <r>
    <x v="0"/>
    <x v="16"/>
    <d v="2017-06-24T00:00:00"/>
    <s v="Sat"/>
    <d v="1899-12-30T08:30:00"/>
    <d v="1899-12-30T17:30:00"/>
    <n v="8.0000000000000036"/>
    <n v="0"/>
    <n v="8.0000000000000036"/>
    <s v="Saturday/Sunday (Weekends) before 10pm"/>
    <s v="Total: 461 Policies (Batch 20170623_2223: 192 Policies, Batch 20170624_1244: 269 Policies)"/>
    <s v=""/>
    <x v="5"/>
  </r>
  <r>
    <x v="1"/>
    <x v="5"/>
    <d v="2017-06-26T00:00:00"/>
    <s v="Mon"/>
    <d v="1899-12-30T08:30:00"/>
    <d v="1899-12-30T17:30:00"/>
    <n v="0"/>
    <n v="8.0000000000000036"/>
    <n v="8.0000000000000036"/>
    <s v="Normal Working Days before 10pm"/>
    <s v="Total: 787 Policies (Batch 20170624_1643: 164 Policies, Batch 20170624_2115: 488 Policies,  Batch 20170626_1206: 135 Policies)"/>
    <s v=""/>
    <x v="5"/>
  </r>
  <r>
    <x v="0"/>
    <x v="0"/>
    <d v="2017-06-27T00:00:00"/>
    <s v="Tue"/>
    <d v="1899-12-30T17:30:00"/>
    <d v="1899-12-30T20:00:00"/>
    <n v="8.0000000000000036"/>
    <n v="2.4999999999999982"/>
    <n v="2.4999999999999982"/>
    <s v="Normal Working Days before 10pm"/>
    <s v="Total: 1115 Policies (Batch 20170626_1808: 237 Policies, Batch 20170626_2246: 438 Policies, Batch 20170627_1201: 225 Policies, Batch 20170627_216: 216 Policies)"/>
    <n v="1"/>
    <x v="5"/>
  </r>
  <r>
    <x v="0"/>
    <x v="2"/>
    <d v="2017-06-27T00:00:00"/>
    <s v="Tue"/>
    <d v="1899-12-30T17:30:00"/>
    <d v="1899-12-30T20:00:00"/>
    <n v="8.0000000000000036"/>
    <n v="2.4999999999999982"/>
    <n v="2.4999999999999982"/>
    <s v="Normal Working Days before 10pm"/>
    <s v="Total: 1115 Policies (Batch 20170626_1808: 237 Policies, Batch 20170626_2246: 438 Policies, Batch 20170627_1201: 225 Policies, Batch 20170627_216: 216 Policies)"/>
    <n v="1"/>
    <x v="5"/>
  </r>
  <r>
    <x v="1"/>
    <x v="5"/>
    <d v="2017-06-27T00:00:00"/>
    <s v="Tue"/>
    <d v="1899-12-30T08:30:00"/>
    <d v="1899-12-30T20:00:00"/>
    <n v="0"/>
    <n v="10.500000000000002"/>
    <n v="10.500000000000002"/>
    <s v="Normal Working Days before 10pm"/>
    <s v="Total: 1115 Policies (Batch 20170626_1808: 237 Policies, Batch 20170626_2246: 438 Policies, Batch 20170627_1201: 225 Policies, Batch 20170627_216: 216 Policies)"/>
    <s v=""/>
    <x v="5"/>
  </r>
  <r>
    <x v="0"/>
    <x v="15"/>
    <d v="2017-06-27T00:00:00"/>
    <s v="Tue"/>
    <d v="1899-12-30T17:30:00"/>
    <d v="1899-12-30T20:00:00"/>
    <n v="8.0000000000000036"/>
    <n v="2.4999999999999982"/>
    <n v="2.4999999999999982"/>
    <s v="Normal Working Days before 10pm"/>
    <s v="Total: 1115 Policies (Batch 20170626_1808: 237 Policies, Batch 20170626_2246: 438 Policies, Batch 20170627_1201: 225 Policies, Batch 20170627_216: 216 Policies)"/>
    <n v="1"/>
    <x v="5"/>
  </r>
  <r>
    <x v="0"/>
    <x v="16"/>
    <d v="2017-06-27T00:00:00"/>
    <s v="Tue"/>
    <d v="1899-12-30T17:30:00"/>
    <d v="1899-12-30T20:00:00"/>
    <n v="8.0000000000000036"/>
    <n v="2.4999999999999982"/>
    <n v="2.4999999999999982"/>
    <s v="Normal Working Days before 10pm"/>
    <s v="Total: 1115 Policies (Batch 20170626_1808: 237 Policies, Batch 20170626_2246: 438 Policies, Batch 20170627_1201: 225 Policies, Batch 20170627_216: 216 Policies)"/>
    <n v="1"/>
    <x v="5"/>
  </r>
  <r>
    <x v="0"/>
    <x v="17"/>
    <d v="2017-06-27T00:00:00"/>
    <s v="Tue"/>
    <d v="1899-12-30T17:30:00"/>
    <d v="1899-12-30T18:00:00"/>
    <n v="8.0000000000000036"/>
    <n v="0.49999999999999645"/>
    <n v="0.49999999999999645"/>
    <s v="Normal Working Days before 10pm"/>
    <s v="Total: 1115 Policies (Batch 20170626_1808: 237 Policies, Batch 20170626_2246: 438 Policies, Batch 20170627_1201: 225 Policies, Batch 20170627_216: 216 Policies)"/>
    <s v=""/>
    <x v="5"/>
  </r>
  <r>
    <x v="0"/>
    <x v="0"/>
    <d v="2017-06-28T00:00:00"/>
    <s v="Wed"/>
    <d v="1899-12-30T17:30:00"/>
    <d v="1899-12-30T21:15:00"/>
    <n v="8.0000000000000036"/>
    <n v="3.7499999999999964"/>
    <n v="3.7499999999999964"/>
    <s v="Normal Working Days before 10pm"/>
    <s v="Total: 1219 Policies (Batch 20170627_2214: 871 Policies, Batch 20170628_1158: 258 Policies, Batch 20170628_1158: 91 Policies)"/>
    <n v="1"/>
    <x v="5"/>
  </r>
  <r>
    <x v="0"/>
    <x v="2"/>
    <d v="2017-06-28T00:00:00"/>
    <s v="Wed"/>
    <d v="1899-12-30T17:30:00"/>
    <d v="1899-12-30T21:15:00"/>
    <n v="8.0000000000000036"/>
    <n v="3.7499999999999964"/>
    <n v="3.7499999999999964"/>
    <s v="Normal Working Days before 10pm"/>
    <s v="Total: 1219 Policies (Batch 20170627_2214: 871 Policies, Batch 20170628_1158: 258 Policies, Batch 20170628_1158: 91 Policies)"/>
    <n v="1"/>
    <x v="5"/>
  </r>
  <r>
    <x v="1"/>
    <x v="5"/>
    <d v="2017-06-28T00:00:00"/>
    <s v="Wed"/>
    <d v="1899-12-30T08:30:00"/>
    <d v="1899-12-30T21:15:00"/>
    <n v="0"/>
    <n v="11.75"/>
    <n v="11.75"/>
    <s v="Normal Working Days before 10pm"/>
    <s v="Total: 1219 Policies (Batch 20170627_2214: 871 Policies, Batch 20170628_1158: 258 Policies, Batch 20170628_1158: 91 Policies)"/>
    <s v=""/>
    <x v="5"/>
  </r>
  <r>
    <x v="0"/>
    <x v="6"/>
    <d v="2017-06-28T00:00:00"/>
    <s v="Wed"/>
    <d v="1899-12-30T17:30:00"/>
    <d v="1899-12-30T21:15:00"/>
    <n v="8.0000000000000036"/>
    <n v="3.7499999999999964"/>
    <n v="3.7499999999999964"/>
    <s v="Normal Working Days before 10pm"/>
    <s v="Total: 1219 Policies (Batch 20170627_2214: 871 Policies, Batch 20170628_1158: 258 Policies, Batch 20170628_1158: 91 Policies)"/>
    <n v="1"/>
    <x v="5"/>
  </r>
  <r>
    <x v="0"/>
    <x v="15"/>
    <d v="2017-06-28T00:00:00"/>
    <s v="Wed"/>
    <d v="1899-12-30T17:30:00"/>
    <d v="1899-12-30T21:15:00"/>
    <n v="8.0000000000000036"/>
    <n v="3.7499999999999964"/>
    <n v="3.7499999999999964"/>
    <s v="Normal Working Days before 10pm"/>
    <s v="Total: 1219 Policies (Batch 20170627_2214: 871 Policies, Batch 20170628_1158: 258 Policies, Batch 20170628_1158: 91 Policies)"/>
    <n v="1"/>
    <x v="5"/>
  </r>
  <r>
    <x v="0"/>
    <x v="16"/>
    <d v="2017-06-28T00:00:00"/>
    <s v="Wed"/>
    <d v="1899-12-30T17:30:00"/>
    <d v="1899-12-30T21:15:00"/>
    <n v="8.0000000000000036"/>
    <n v="3.7499999999999964"/>
    <n v="3.7499999999999964"/>
    <s v="Normal Working Days before 10pm"/>
    <s v="Total: 1219 Policies (Batch 20170627_2214: 871 Policies, Batch 20170628_1158: 258 Policies, Batch 20170628_1158: 91 Policies)"/>
    <n v="1"/>
    <x v="5"/>
  </r>
  <r>
    <x v="1"/>
    <x v="12"/>
    <d v="2017-06-28T00:00:00"/>
    <s v="Wed"/>
    <d v="1899-12-30T10:00:00"/>
    <d v="1899-12-30T21:15:00"/>
    <n v="0"/>
    <n v="10.249999999999998"/>
    <n v="10.249999999999998"/>
    <s v="Normal Working Days before 10pm"/>
    <s v="Total: 1219 Policies (Batch 20170627_2214: 871 Policies, Batch 20170628_1158: 258 Policies, Batch 20170628_1158: 91 Policies)"/>
    <s v=""/>
    <x v="5"/>
  </r>
  <r>
    <x v="0"/>
    <x v="17"/>
    <d v="2017-06-28T00:00:00"/>
    <s v="Wed"/>
    <d v="1899-12-30T17:30:00"/>
    <d v="1899-12-30T21:15:00"/>
    <n v="8.0000000000000036"/>
    <n v="3.7499999999999964"/>
    <n v="3.7499999999999964"/>
    <s v="Normal Working Days before 10pm"/>
    <s v="Total: 1219 Policies (Batch 20170627_2214: 871 Policies, Batch 20170628_1158: 258 Policies, Batch 20170628_1158: 91 Policies)"/>
    <n v="1"/>
    <x v="5"/>
  </r>
  <r>
    <x v="0"/>
    <x v="0"/>
    <d v="2017-06-29T00:00:00"/>
    <s v="Thu"/>
    <d v="1899-12-30T17:30:00"/>
    <d v="1899-12-30T21:00:00"/>
    <n v="8.0000000000000036"/>
    <n v="3.4999999999999964"/>
    <n v="3.4999999999999964"/>
    <s v="Normal Working Days before 10pm"/>
    <s v="Total: 1296 Policies (Batch 20170628_2257: 903 Policies, Batch 20170629_1158: 305 Policies, Batch 20170629_1519: 88 Policies)"/>
    <n v="1"/>
    <x v="5"/>
  </r>
  <r>
    <x v="0"/>
    <x v="2"/>
    <d v="2017-06-29T00:00:00"/>
    <s v="Thu"/>
    <d v="1899-12-30T17:30:00"/>
    <d v="1899-12-30T18:00:00"/>
    <n v="8.0000000000000036"/>
    <n v="0.49999999999999645"/>
    <n v="0.49999999999999645"/>
    <s v="Normal Working Days before 10pm"/>
    <s v="Total: 1296 Policies (Batch 20170628_2257: 903 Policies, Batch 20170629_1158: 305 Policies, Batch 20170629_1519: 88 Policies)"/>
    <s v=""/>
    <x v="5"/>
  </r>
  <r>
    <x v="1"/>
    <x v="5"/>
    <d v="2017-06-29T00:00:00"/>
    <s v="Thu"/>
    <d v="1899-12-30T08:30:00"/>
    <d v="1899-12-30T21:00:00"/>
    <n v="0"/>
    <n v="11.5"/>
    <n v="11.5"/>
    <s v="Normal Working Days before 10pm"/>
    <s v="Total: 1296 Policies (Batch 20170628_2257: 903 Policies, Batch 20170629_1158: 305 Policies, Batch 20170629_1519: 88 Policies)"/>
    <s v=""/>
    <x v="5"/>
  </r>
  <r>
    <x v="0"/>
    <x v="6"/>
    <d v="2017-06-29T00:00:00"/>
    <s v="Thu"/>
    <d v="1899-12-30T17:30:00"/>
    <d v="1899-12-30T21:00:00"/>
    <n v="8.0000000000000036"/>
    <n v="3.4999999999999964"/>
    <n v="3.4999999999999964"/>
    <s v="Normal Working Days before 10pm"/>
    <s v="Total: 1296 Policies (Batch 20170628_2257: 903 Policies, Batch 20170629_1158: 305 Policies, Batch 20170629_1519: 88 Policies)"/>
    <n v="1"/>
    <x v="5"/>
  </r>
  <r>
    <x v="0"/>
    <x v="15"/>
    <d v="2017-06-29T00:00:00"/>
    <s v="Thu"/>
    <d v="1899-12-30T17:30:00"/>
    <d v="1899-12-30T21:00:00"/>
    <n v="8.0000000000000036"/>
    <n v="3.4999999999999964"/>
    <n v="3.4999999999999964"/>
    <s v="Normal Working Days before 10pm"/>
    <s v="Total: 1296 Policies (Batch 20170628_2257: 903 Policies, Batch 20170629_1158: 305 Policies, Batch 20170629_1519: 88 Policies)"/>
    <n v="1"/>
    <x v="5"/>
  </r>
  <r>
    <x v="0"/>
    <x v="16"/>
    <d v="2017-06-29T00:00:00"/>
    <s v="Thu"/>
    <d v="1899-12-30T17:30:00"/>
    <d v="1899-12-30T21:00:00"/>
    <n v="8.0000000000000036"/>
    <n v="3.4999999999999964"/>
    <n v="3.4999999999999964"/>
    <s v="Normal Working Days before 10pm"/>
    <s v="Total: 1296 Policies (Batch 20170628_2257: 903 Policies, Batch 20170629_1158: 305 Policies, Batch 20170629_1519: 88 Policies)"/>
    <n v="1"/>
    <x v="5"/>
  </r>
  <r>
    <x v="1"/>
    <x v="14"/>
    <d v="2017-06-29T00:00:00"/>
    <s v="Thu"/>
    <d v="1899-12-30T08:30:00"/>
    <d v="1899-12-30T21:00:00"/>
    <n v="0"/>
    <n v="11.5"/>
    <n v="11.5"/>
    <s v="Normal Working Days before 10pm"/>
    <s v="Total: 1296 Policies (Batch 20170628_2257: 903 Policies, Batch 20170629_1158: 305 Policies, Batch 20170629_1519: 88 Policies)"/>
    <s v=""/>
    <x v="5"/>
  </r>
  <r>
    <x v="1"/>
    <x v="12"/>
    <d v="2017-06-29T00:00:00"/>
    <s v="Thu"/>
    <d v="1899-12-30T09:00:00"/>
    <d v="1899-12-30T18:00:00"/>
    <n v="0"/>
    <n v="8"/>
    <n v="8"/>
    <s v="Normal Working Days before 10pm"/>
    <s v="Total: 1296 Policies (Batch 20170628_2257: 903 Policies, Batch 20170629_1158: 305 Policies, Batch 20170629_1519: 88 Policies)"/>
    <s v=""/>
    <x v="5"/>
  </r>
  <r>
    <x v="0"/>
    <x v="17"/>
    <d v="2017-06-29T00:00:00"/>
    <s v="Thu"/>
    <d v="1899-12-30T17:30:00"/>
    <d v="1899-12-30T21:00:00"/>
    <n v="8.0000000000000036"/>
    <n v="3.4999999999999964"/>
    <n v="3.4999999999999964"/>
    <s v="Normal Working Days before 10pm"/>
    <s v="Total: 1296 Policies (Batch 20170628_2257: 903 Policies, Batch 20170629_1158: 305 Policies, Batch 20170629_1519: 88 Policies)"/>
    <n v="1"/>
    <x v="5"/>
  </r>
  <r>
    <x v="0"/>
    <x v="0"/>
    <d v="2017-06-30T00:00:00"/>
    <s v="Fri"/>
    <d v="1899-12-30T17:00:00"/>
    <d v="1899-12-30T21:15:00"/>
    <n v="8.0000000000000036"/>
    <n v="4.2499999999999947"/>
    <n v="4.2499999999999947"/>
    <s v="Normal Working Days before 10pm"/>
    <s v="Total: 1318 Policies (Batch 20170629_0001: 1318 Policies)"/>
    <n v="1"/>
    <x v="5"/>
  </r>
  <r>
    <x v="0"/>
    <x v="2"/>
    <d v="2017-06-30T00:00:00"/>
    <s v="Fri"/>
    <d v="1899-12-30T17:00:00"/>
    <d v="1899-12-30T21:15:00"/>
    <n v="8.0000000000000036"/>
    <n v="4.2499999999999947"/>
    <n v="4.2499999999999947"/>
    <s v="Normal Working Days before 10pm"/>
    <s v="Total: 1318 Policies (Batch 20170629_0001: 1318 Policies)"/>
    <n v="1"/>
    <x v="5"/>
  </r>
  <r>
    <x v="1"/>
    <x v="5"/>
    <d v="2017-06-30T00:00:00"/>
    <s v="Fri"/>
    <d v="1899-12-30T08:00:00"/>
    <d v="1899-12-30T17:30:00"/>
    <n v="0"/>
    <n v="8.5000000000000018"/>
    <n v="8.5000000000000018"/>
    <s v="Normal Working Days before 10pm"/>
    <s v="Total: 1318 Policies (Batch 20170629_0001: 1318 Policies)"/>
    <s v=""/>
    <x v="5"/>
  </r>
  <r>
    <x v="0"/>
    <x v="6"/>
    <d v="2017-06-30T00:00:00"/>
    <s v="Fri"/>
    <d v="1899-12-30T17:00:00"/>
    <d v="1899-12-30T21:15:00"/>
    <n v="8.0000000000000036"/>
    <n v="4.2499999999999947"/>
    <n v="4.2499999999999947"/>
    <s v="Normal Working Days before 10pm"/>
    <s v="Total: 1318 Policies (Batch 20170629_0001: 1318 Policies)"/>
    <n v="1"/>
    <x v="5"/>
  </r>
  <r>
    <x v="0"/>
    <x v="15"/>
    <d v="2017-06-30T00:00:00"/>
    <s v="Fri"/>
    <d v="1899-12-30T17:00:00"/>
    <d v="1899-12-30T21:15:00"/>
    <n v="8.0000000000000036"/>
    <n v="4.2499999999999947"/>
    <n v="4.2499999999999947"/>
    <s v="Normal Working Days before 10pm"/>
    <s v="Total: 1318 Policies (Batch 20170629_0001: 1318 Policies)"/>
    <n v="1"/>
    <x v="5"/>
  </r>
  <r>
    <x v="0"/>
    <x v="16"/>
    <d v="2017-06-30T00:00:00"/>
    <s v="Fri"/>
    <d v="1899-12-30T17:00:00"/>
    <d v="1899-12-30T21:15:00"/>
    <n v="8.0000000000000036"/>
    <n v="4.2499999999999947"/>
    <n v="4.2499999999999947"/>
    <s v="Normal Working Days before 10pm"/>
    <s v="Total: 1318 Policies (Batch 20170629_0001: 1318 Policies)"/>
    <n v="1"/>
    <x v="5"/>
  </r>
  <r>
    <x v="1"/>
    <x v="14"/>
    <d v="2017-06-30T00:00:00"/>
    <s v="Fri"/>
    <d v="1899-12-30T08:00:00"/>
    <d v="1899-12-30T21:15:00"/>
    <n v="0"/>
    <n v="12.249999999999998"/>
    <n v="12.249999999999998"/>
    <s v="Normal Working Days before 10pm"/>
    <s v="Total: 1318 Policies (Batch 20170629_0001: 1318 Policies)"/>
    <s v=""/>
    <x v="5"/>
  </r>
  <r>
    <x v="0"/>
    <x v="17"/>
    <d v="2017-06-30T00:00:00"/>
    <s v="Fri"/>
    <d v="1899-12-30T17:00:00"/>
    <d v="1899-12-30T21:15:00"/>
    <n v="8.0000000000000036"/>
    <n v="4.2499999999999947"/>
    <n v="4.2499999999999947"/>
    <s v="Normal Working Days before 10pm"/>
    <s v="Total: 1318 Policies (Batch 20170629_0001: 1318 Policies)"/>
    <n v="1"/>
    <x v="5"/>
  </r>
  <r>
    <x v="0"/>
    <x v="0"/>
    <d v="2017-07-01T00:00:00"/>
    <s v="Sat"/>
    <d v="1899-12-30T17:00:00"/>
    <d v="1899-12-30T21:00:00"/>
    <n v="8.0000000000000036"/>
    <n v="4.0000000000000036"/>
    <n v="12.000000000000007"/>
    <s v="Saturday/Sunday (Weekends) before 10pm"/>
    <s v="Total: 723 Policies (Batch 20170630_1203: 376 Policies, Batch 20170630_1603: 347 Policies)"/>
    <n v="1"/>
    <x v="6"/>
  </r>
  <r>
    <x v="0"/>
    <x v="2"/>
    <d v="2017-07-01T00:00:00"/>
    <s v="Sat"/>
    <d v="1899-12-30T17:00:00"/>
    <d v="1899-12-30T21:00:00"/>
    <n v="8.0000000000000036"/>
    <n v="4.0000000000000036"/>
    <n v="12.000000000000007"/>
    <s v="Saturday/Sunday (Weekends) before 10pm"/>
    <s v="Total: 723 Policies (Batch 20170630_1203: 376 Policies, Batch 20170630_1603: 347 Policies, Batch 20170630_2303: 1369 Policies)"/>
    <n v="1"/>
    <x v="6"/>
  </r>
  <r>
    <x v="0"/>
    <x v="15"/>
    <d v="2017-07-01T00:00:00"/>
    <s v="Sat"/>
    <d v="1899-12-30T17:00:00"/>
    <d v="1899-12-30T21:00:00"/>
    <n v="8.0000000000000036"/>
    <n v="4.0000000000000036"/>
    <n v="12.000000000000007"/>
    <s v="Saturday/Sunday (Weekends) before 10pm"/>
    <s v="Total: 723 Policies (Batch 20170630_1203: 376 Policies, Batch 20170630_1603: 347 Policies, Batch 20170630_2303: 1369 Policies)"/>
    <n v="1"/>
    <x v="6"/>
  </r>
  <r>
    <x v="0"/>
    <x v="16"/>
    <d v="2017-07-01T00:00:00"/>
    <s v="Sat"/>
    <d v="1899-12-30T17:00:00"/>
    <d v="1899-12-30T21:00:00"/>
    <n v="8.0000000000000036"/>
    <n v="4.0000000000000036"/>
    <n v="12.000000000000007"/>
    <s v="Saturday/Sunday (Weekends) before 10pm"/>
    <s v="Total: 723 Policies (Batch 20170630_1203: 376 Policies, Batch 20170630_1603: 347 Policies, Batch 20170630_2303: 1369 Policies)"/>
    <n v="1"/>
    <x v="6"/>
  </r>
  <r>
    <x v="1"/>
    <x v="5"/>
    <d v="2017-07-01T00:00:00"/>
    <s v="Sat"/>
    <d v="1899-12-30T08:00:00"/>
    <d v="1899-12-30T21:00:00"/>
    <n v="0"/>
    <n v="12.000000000000007"/>
    <n v="12.000000000000007"/>
    <s v="Saturday/Sunday (Weekends) before 10pm"/>
    <s v="Total: 723 Policies (Batch 20170630_1203: 376 Policies, Batch 20170630_1603: 347 Policies, Batch 20170630_2303: 1369 Policies)"/>
    <s v=""/>
    <x v="6"/>
  </r>
  <r>
    <x v="1"/>
    <x v="14"/>
    <d v="2017-07-01T00:00:00"/>
    <s v="Sat"/>
    <d v="1899-12-30T08:00:00"/>
    <d v="1899-12-30T21:00:00"/>
    <n v="0"/>
    <n v="12.000000000000007"/>
    <n v="12.000000000000007"/>
    <s v="Saturday/Sunday (Weekends) before 10pm"/>
    <s v="Total: 723 Policies (Batch 20170630_1203: 376 Policies, Batch 20170630_1603: 347 Policies, Batch 20170630_2303: 1369 Policies)"/>
    <s v=""/>
    <x v="6"/>
  </r>
  <r>
    <x v="1"/>
    <x v="12"/>
    <d v="2017-07-01T00:00:00"/>
    <s v="Sat"/>
    <d v="1899-12-30T10:00:00"/>
    <d v="1899-12-30T21:00:00"/>
    <n v="0"/>
    <n v="9.9999999999999911"/>
    <n v="9.9999999999999911"/>
    <s v="Saturday/Sunday (Weekends) before 10pm"/>
    <s v="Total: 723 Policies (Batch 20170630_1203: 376 Policies, Batch 20170630_1603: 347 Policies, Batch 20170630_2303: 1369 Policies)"/>
    <s v=""/>
    <x v="6"/>
  </r>
  <r>
    <x v="0"/>
    <x v="0"/>
    <d v="2017-07-02T00:00:00"/>
    <s v="Sun"/>
    <d v="1899-12-30T08:00:00"/>
    <d v="1899-12-30T21:00:00"/>
    <m/>
    <n v="12.000000000000007"/>
    <n v="12.000000000000007"/>
    <s v="Saturday/Sunday (Weekends) before 10pm"/>
    <s v="Total: 1369 Policies (Batch 20170630_2303: 1369 Policies,)"/>
    <n v="1"/>
    <x v="6"/>
  </r>
  <r>
    <x v="0"/>
    <x v="2"/>
    <d v="2017-07-02T00:00:00"/>
    <s v="Sun"/>
    <d v="1899-12-30T08:00:00"/>
    <d v="1899-12-30T19:00:00"/>
    <m/>
    <n v="10.000000000000016"/>
    <n v="10.000000000000016"/>
    <s v="Saturday/Sunday (Weekends) before 10pm"/>
    <s v="Total: 1369 Policies (Batch 20170630_2303: 1369 Policies,)"/>
    <n v="1"/>
    <x v="6"/>
  </r>
  <r>
    <x v="0"/>
    <x v="6"/>
    <d v="2017-07-02T00:00:00"/>
    <s v="Sun"/>
    <d v="1899-12-30T08:00:00"/>
    <d v="1899-12-30T19:00:00"/>
    <m/>
    <n v="10.000000000000016"/>
    <n v="10.000000000000016"/>
    <s v="Saturday/Sunday (Weekends) before 10pm"/>
    <s v="Total: 1369 Policies (Batch 20170630_2303: 1369 Policies,)"/>
    <n v="1"/>
    <x v="6"/>
  </r>
  <r>
    <x v="0"/>
    <x v="15"/>
    <d v="2017-07-02T00:00:00"/>
    <s v="Sun"/>
    <d v="1899-12-30T08:00:00"/>
    <d v="1899-12-30T19:00:00"/>
    <m/>
    <n v="10.000000000000016"/>
    <n v="10.000000000000016"/>
    <s v="Saturday/Sunday (Weekends) before 10pm"/>
    <s v="Total: 1369 Policies (Batch 20170630_2303: 1369 Policies,)"/>
    <n v="1"/>
    <x v="6"/>
  </r>
  <r>
    <x v="0"/>
    <x v="16"/>
    <d v="2017-07-02T00:00:00"/>
    <s v="Sun"/>
    <d v="1899-12-30T08:00:00"/>
    <d v="1899-12-30T19:00:00"/>
    <m/>
    <n v="10.000000000000016"/>
    <n v="10.000000000000016"/>
    <s v="Saturday/Sunday (Weekends) before 10pm"/>
    <s v="Total: 1369 Policies (Batch 20170630_2303: 1369 Policies,)"/>
    <n v="1"/>
    <x v="6"/>
  </r>
  <r>
    <x v="1"/>
    <x v="5"/>
    <d v="2017-07-02T00:00:00"/>
    <s v="Sun"/>
    <d v="1899-12-30T08:00:00"/>
    <d v="1899-12-30T21:00:00"/>
    <m/>
    <n v="12.000000000000007"/>
    <n v="12.000000000000007"/>
    <s v="Saturday/Sunday (Weekends) before 10pm"/>
    <s v="Total: 1369 Policies (Batch 20170630_2303: 1369 Policies,)"/>
    <s v=""/>
    <x v="6"/>
  </r>
  <r>
    <x v="0"/>
    <x v="17"/>
    <d v="2017-07-02T00:00:00"/>
    <s v="Sun"/>
    <d v="1899-12-30T08:00:00"/>
    <d v="1899-12-30T17:30:00"/>
    <m/>
    <n v="8.500000000000016"/>
    <n v="8.500000000000016"/>
    <s v="Saturday/Sunday (Weekends) before 10pm"/>
    <s v="Total: 1369 Policies (Batch 20170630_2303: 1369 Policies,)"/>
    <n v="1"/>
    <x v="6"/>
  </r>
  <r>
    <x v="1"/>
    <x v="14"/>
    <d v="2017-07-02T00:00:00"/>
    <s v="Sun"/>
    <d v="1899-12-30T08:00:00"/>
    <d v="1899-12-30T21:00:00"/>
    <m/>
    <n v="12.000000000000007"/>
    <n v="12.000000000000007"/>
    <s v="Saturday/Sunday (Weekends) before 10pm"/>
    <s v="Total: 1369 Policies (Batch 20170630_2303: 1369 Policies,)"/>
    <s v=""/>
    <x v="6"/>
  </r>
  <r>
    <x v="1"/>
    <x v="12"/>
    <d v="2017-07-02T00:00:00"/>
    <s v="Sun"/>
    <d v="1899-12-30T08:00:00"/>
    <d v="1899-12-30T21:00:00"/>
    <m/>
    <n v="12.000000000000007"/>
    <n v="12.000000000000007"/>
    <s v="Saturday/Sunday (Weekends) before 10pm"/>
    <s v="Total: 1369 Policies (Batch 20170630_2303: 1369 Policies,)"/>
    <s v=""/>
    <x v="6"/>
  </r>
  <r>
    <x v="0"/>
    <x v="0"/>
    <d v="2017-07-03T00:00:00"/>
    <s v="Mon"/>
    <d v="1899-12-30T17:00:00"/>
    <d v="1899-12-30T21:00:00"/>
    <n v="8.0000000000000036"/>
    <n v="4.0000000000000036"/>
    <n v="4.0000000000000036"/>
    <s v="Normal Working Days before 10pm"/>
    <s v="Total: 959 Policies (Batch 20170630_1250: 487 Policies, Batch 20170630_1637: 473 Policies)"/>
    <n v="1"/>
    <x v="6"/>
  </r>
  <r>
    <x v="0"/>
    <x v="6"/>
    <d v="2017-07-03T00:00:00"/>
    <s v="Mon"/>
    <d v="1899-12-30T16:00:00"/>
    <d v="1899-12-30T21:00:00"/>
    <n v="8.0000000000000036"/>
    <n v="4.9999999999999893"/>
    <n v="4.9999999999999893"/>
    <s v="Normal Working Days before 10pm"/>
    <s v="Total: 959 Policies (Batch 20170630_1250: 487 Policies, Batch 20170630_1637: 473 Policies)"/>
    <n v="1"/>
    <x v="6"/>
  </r>
  <r>
    <x v="0"/>
    <x v="15"/>
    <d v="2017-07-03T00:00:00"/>
    <s v="Mon"/>
    <d v="1899-12-30T17:00:00"/>
    <d v="1899-12-30T21:00:00"/>
    <n v="8.0000000000000036"/>
    <n v="4.0000000000000036"/>
    <n v="4.0000000000000036"/>
    <s v="Normal Working Days before 10pm"/>
    <s v="Total: 959 Policies (Batch 20170630_1250: 487 Policies, Batch 20170630_1637: 473 Policies)"/>
    <n v="1"/>
    <x v="6"/>
  </r>
  <r>
    <x v="0"/>
    <x v="16"/>
    <d v="2017-07-03T00:00:00"/>
    <s v="Mon"/>
    <d v="1899-12-30T17:00:00"/>
    <d v="1899-12-30T21:00:00"/>
    <n v="8.0000000000000036"/>
    <n v="4.0000000000000036"/>
    <n v="4.0000000000000036"/>
    <s v="Normal Working Days before 10pm"/>
    <s v="Total: 959 Policies (Batch 20170630_1250: 487 Policies, Batch 20170630_1637: 473 Policies)"/>
    <n v="1"/>
    <x v="6"/>
  </r>
  <r>
    <x v="1"/>
    <x v="5"/>
    <d v="2017-07-03T00:00:00"/>
    <s v="Mon"/>
    <d v="1899-12-30T08:00:00"/>
    <d v="1899-12-30T21:00:00"/>
    <n v="0"/>
    <n v="12.000000000000007"/>
    <n v="12.000000000000007"/>
    <s v="Normal Working Days before 10pm"/>
    <s v="Total: 959 Policies (Batch 20170630_1250: 487 Policies, Batch 20170630_1637: 473 Policies)"/>
    <s v=""/>
    <x v="6"/>
  </r>
  <r>
    <x v="0"/>
    <x v="17"/>
    <d v="2017-07-03T00:00:00"/>
    <s v="Mon"/>
    <d v="1899-12-30T17:30:00"/>
    <d v="1899-12-30T21:00:00"/>
    <n v="8.0000000000000036"/>
    <n v="3.4999999999999893"/>
    <n v="3.4999999999999893"/>
    <s v="Normal Working Days before 10pm"/>
    <s v="Total: 959 Policies (Batch 20170630_1250: 487 Policies, Batch 20170630_1637: 473 Policies)"/>
    <n v="1"/>
    <x v="6"/>
  </r>
  <r>
    <x v="1"/>
    <x v="14"/>
    <d v="2017-07-03T00:00:00"/>
    <s v="Mon"/>
    <d v="1899-12-30T08:00:00"/>
    <d v="1899-12-30T17:00:00"/>
    <n v="0"/>
    <n v="8.0000000000000018"/>
    <n v="8.0000000000000018"/>
    <s v="Normal Working Days before 10pm"/>
    <s v="Total: 959 Policies (Batch 20170630_1250: 487 Policies, Batch 20170630_1637: 473 Policies)"/>
    <s v=""/>
    <x v="6"/>
  </r>
  <r>
    <x v="0"/>
    <x v="0"/>
    <d v="2017-07-04T00:00:00"/>
    <s v="Tue"/>
    <d v="1899-12-30T17:00:00"/>
    <d v="1899-12-30T21:00:00"/>
    <n v="8.0000000000000036"/>
    <n v="4.0000000000000036"/>
    <n v="4.0000000000000036"/>
    <s v="Normal Working Days before 10pm"/>
    <s v="Total: 1522 Policies (Batch 20170630_0023: 1522 Policies)"/>
    <n v="1"/>
    <x v="6"/>
  </r>
  <r>
    <x v="0"/>
    <x v="2"/>
    <d v="2017-07-04T00:00:00"/>
    <s v="Tue"/>
    <d v="1899-12-30T17:00:00"/>
    <d v="1899-12-30T21:00:00"/>
    <n v="8.0000000000000036"/>
    <n v="4.0000000000000036"/>
    <n v="4.0000000000000036"/>
    <s v="Normal Working Days before 10pm"/>
    <s v="Total: 1522 Policies (Batch 20170630_0023: 1522 Policies)"/>
    <n v="1"/>
    <x v="6"/>
  </r>
  <r>
    <x v="0"/>
    <x v="6"/>
    <d v="2017-07-04T00:00:00"/>
    <s v="Tue"/>
    <d v="1899-12-30T17:00:00"/>
    <d v="1899-12-30T21:00:00"/>
    <n v="8.0000000000000036"/>
    <n v="4.0000000000000036"/>
    <n v="4.0000000000000036"/>
    <s v="Normal Working Days before 10pm"/>
    <s v="Total: 1522 Policies (Batch 20170630_0023: 1522 Policies)"/>
    <n v="1"/>
    <x v="6"/>
  </r>
  <r>
    <x v="0"/>
    <x v="15"/>
    <d v="2017-07-04T00:00:00"/>
    <s v="Tue"/>
    <d v="1899-12-30T17:00:00"/>
    <d v="1899-12-30T21:00:00"/>
    <n v="8.0000000000000036"/>
    <n v="4.0000000000000036"/>
    <n v="4.0000000000000036"/>
    <s v="Normal Working Days before 10pm"/>
    <s v="Total: 1522 Policies (Batch 20170630_0023: 1522 Policies)"/>
    <n v="1"/>
    <x v="6"/>
  </r>
  <r>
    <x v="0"/>
    <x v="16"/>
    <d v="2017-07-04T00:00:00"/>
    <s v="Tue"/>
    <d v="1899-12-30T17:00:00"/>
    <d v="1899-12-30T21:00:00"/>
    <n v="8.0000000000000036"/>
    <n v="4.0000000000000036"/>
    <n v="4.0000000000000036"/>
    <s v="Normal Working Days before 10pm"/>
    <s v="Total: 1522 Policies (Batch 20170630_0023: 1522 Policies)"/>
    <n v="1"/>
    <x v="6"/>
  </r>
  <r>
    <x v="1"/>
    <x v="5"/>
    <d v="2017-07-04T00:00:00"/>
    <s v="Tue"/>
    <d v="1899-12-30T08:00:00"/>
    <d v="1899-12-30T21:00:00"/>
    <n v="0"/>
    <n v="12.000000000000007"/>
    <n v="12.000000000000007"/>
    <s v="Normal Working Days before 10pm"/>
    <s v="Total: 1522 Policies (Batch 20170630_0023: 1522 Policies)"/>
    <s v=""/>
    <x v="6"/>
  </r>
  <r>
    <x v="0"/>
    <x v="17"/>
    <d v="2017-07-04T00:00:00"/>
    <s v="Tue"/>
    <d v="1899-12-30T17:00:00"/>
    <d v="1899-12-30T21:00:00"/>
    <n v="8.0000000000000036"/>
    <n v="4.0000000000000036"/>
    <n v="4.0000000000000036"/>
    <s v="Normal Working Days before 10pm"/>
    <s v="Total: 1522 Policies (Batch 20170630_0023: 1522 Policies)"/>
    <n v="1"/>
    <x v="6"/>
  </r>
  <r>
    <x v="1"/>
    <x v="14"/>
    <d v="2017-07-04T00:00:00"/>
    <s v="Tue"/>
    <d v="1899-12-30T08:00:00"/>
    <d v="1899-12-30T17:30:00"/>
    <n v="0"/>
    <n v="8.500000000000016"/>
    <n v="8.500000000000016"/>
    <s v="Normal Working Days before 10pm"/>
    <s v="Total: 1522 Policies (Batch 20170630_0023: 1522 Policies)"/>
    <s v=""/>
    <x v="6"/>
  </r>
  <r>
    <x v="1"/>
    <x v="18"/>
    <d v="2017-07-04T00:00:00"/>
    <s v="Tue"/>
    <d v="1899-12-30T13:00:00"/>
    <d v="1899-12-30T21:00:00"/>
    <n v="0"/>
    <n v="7.9999999999999929"/>
    <n v="7.9999999999999929"/>
    <s v="Normal Working Days before 10pm"/>
    <s v="Total: 1522 Policies (Batch 20170630_0023: 1522 Policies)"/>
    <s v=""/>
    <x v="6"/>
  </r>
  <r>
    <x v="0"/>
    <x v="0"/>
    <d v="2017-07-05T00:00:00"/>
    <s v="Wed"/>
    <d v="1899-12-30T16:00:00"/>
    <d v="1899-12-30T19:30:00"/>
    <n v="8.0000000000000036"/>
    <n v="3.4999999999999893"/>
    <n v="3.4999999999999893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n v="1"/>
    <x v="6"/>
  </r>
  <r>
    <x v="0"/>
    <x v="2"/>
    <d v="2017-07-05T00:00:00"/>
    <s v="Wed"/>
    <d v="1899-12-30T17:00:00"/>
    <d v="1899-12-30T17:30:00"/>
    <n v="8.0000000000000036"/>
    <n v="0.50000000000001243"/>
    <n v="0.50000000000001243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s v=""/>
    <x v="6"/>
  </r>
  <r>
    <x v="0"/>
    <x v="6"/>
    <d v="2017-07-05T00:00:00"/>
    <s v="Wed"/>
    <d v="1899-12-30T17:00:00"/>
    <d v="1899-12-30T19:30:00"/>
    <n v="8.0000000000000036"/>
    <n v="2.5000000000000053"/>
    <n v="2.5000000000000053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n v="1"/>
    <x v="6"/>
  </r>
  <r>
    <x v="0"/>
    <x v="15"/>
    <d v="2017-07-05T00:00:00"/>
    <s v="Wed"/>
    <d v="1899-12-30T17:00:00"/>
    <d v="1899-12-30T19:30:00"/>
    <n v="8.0000000000000036"/>
    <n v="2.5000000000000053"/>
    <n v="2.5000000000000053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n v="1"/>
    <x v="6"/>
  </r>
  <r>
    <x v="0"/>
    <x v="16"/>
    <d v="2017-07-05T00:00:00"/>
    <s v="Wed"/>
    <d v="1899-12-30T17:00:00"/>
    <d v="1899-12-30T19:30:00"/>
    <n v="8.0000000000000036"/>
    <n v="2.5000000000000053"/>
    <n v="2.5000000000000053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n v="1"/>
    <x v="6"/>
  </r>
  <r>
    <x v="1"/>
    <x v="5"/>
    <d v="2017-07-05T00:00:00"/>
    <s v="Wed"/>
    <d v="1899-12-30T08:00:00"/>
    <d v="1899-12-30T19:30:00"/>
    <n v="0"/>
    <n v="10.500000000000009"/>
    <n v="10.500000000000009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s v=""/>
    <x v="6"/>
  </r>
  <r>
    <x v="0"/>
    <x v="17"/>
    <d v="2017-07-05T00:00:00"/>
    <s v="Wed"/>
    <d v="1899-12-30T17:00:00"/>
    <d v="1899-12-30T19:30:00"/>
    <n v="8.0000000000000036"/>
    <n v="2.5000000000000053"/>
    <n v="2.5000000000000053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n v="1"/>
    <x v="6"/>
  </r>
  <r>
    <x v="1"/>
    <x v="18"/>
    <d v="2017-07-05T00:00:00"/>
    <s v="Wed"/>
    <d v="1899-12-30T13:00:00"/>
    <d v="1899-12-30T19:30:00"/>
    <n v="0"/>
    <n v="6.4999999999999929"/>
    <n v="6.4999999999999929"/>
    <s v="Normal Working Days before 10pm"/>
    <s v="Total: 1099 Policies (Batch 20170703_1207: 256 Policies, Batch 20170703_1512: 133 Policies, Batch 20170703_2204: 24 Policies, Batch 20170703_2226: 37 Policies, Batch 20170704_1203: 113 Policies, Batch 20170704_1521: 2 Policies, Batch 20170704_2211: 334 Policies, Batch 20170705_1158: 201 Policies)"/>
    <s v=""/>
    <x v="6"/>
  </r>
  <r>
    <x v="1"/>
    <x v="5"/>
    <d v="2017-07-06T00:00:00"/>
    <s v="Thu"/>
    <d v="1899-12-30T08:30:00"/>
    <d v="1899-12-30T17:30:00"/>
    <n v="0"/>
    <n v="7.9999999999999982"/>
    <n v="7.9999999999999982"/>
    <s v="Normal Working Days before 10pm"/>
    <s v="Total: 267 Policies (Batch 20170705_1458: 7 Policies, Batch 20170705_2139: 173 Policies, Batch 20170706_1155: 40 Policies, Batch 20170706_1505: 47 Policies)"/>
    <s v=""/>
    <x v="6"/>
  </r>
  <r>
    <x v="1"/>
    <x v="5"/>
    <d v="2017-07-07T00:00:00"/>
    <s v="Fri"/>
    <d v="1899-12-30T08:30:00"/>
    <d v="1899-12-30T17:30:00"/>
    <n v="0"/>
    <n v="7.9999999999999982"/>
    <n v="7.9999999999999982"/>
    <s v="Normal Working Days before 10pm"/>
    <s v="Total: 445 Policies (Batch 20170706_2248: 349Policies, Batch 20170707_1212: 41 Policies, Batch 20170707_1507: 55 Policies)"/>
    <s v=""/>
    <x v="6"/>
  </r>
  <r>
    <x v="1"/>
    <x v="12"/>
    <d v="2017-07-07T00:00:00"/>
    <s v="Fri"/>
    <d v="1899-12-30T08:30:00"/>
    <d v="1899-12-30T17:30:00"/>
    <n v="0"/>
    <n v="7.9999999999999982"/>
    <n v="7.9999999999999982"/>
    <s v="Normal Working Days before 10pm"/>
    <s v="Total: 445 Policies (Batch 20170706_2248: 349Policies, Batch 20170707_1212: 41 Policies, Batch 20170707_1507: 55 Policies)"/>
    <s v=""/>
    <x v="6"/>
  </r>
  <r>
    <x v="1"/>
    <x v="5"/>
    <d v="2017-07-10T00:00:00"/>
    <s v="Mon"/>
    <d v="1899-12-30T08:30:00"/>
    <d v="1899-12-30T17:30:00"/>
    <n v="0"/>
    <n v="7.9999999999999982"/>
    <n v="7.9999999999999982"/>
    <s v="Normal Working Days before 10pm"/>
    <s v="Total: 255 Policies (Batch 20170707_2139: 255 Policies)"/>
    <s v=""/>
    <x v="6"/>
  </r>
  <r>
    <x v="1"/>
    <x v="5"/>
    <d v="2017-07-11T00:00:00"/>
    <s v="Tue"/>
    <d v="1899-12-30T08:30:00"/>
    <d v="1899-12-30T17:30:00"/>
    <n v="0"/>
    <n v="7.9999999999999982"/>
    <n v="7.9999999999999982"/>
    <s v="Normal Working Days before 10pm"/>
    <s v="Total: 394 Policies (Batch 20170710_1505: 131 Policies, Batch 20170710_2224: 263 Policies)"/>
    <s v=""/>
    <x v="6"/>
  </r>
  <r>
    <x v="1"/>
    <x v="5"/>
    <d v="2017-07-12T00:00:00"/>
    <s v="Wed"/>
    <d v="1899-12-30T08:30:00"/>
    <d v="1899-12-30T17:30:00"/>
    <n v="0"/>
    <n v="7.9999999999999982"/>
    <n v="7.9999999999999982"/>
    <s v="Normal Working Days before 10pm"/>
    <s v="Total: 459 Policies (Batch 20170711_1540: 141 Policies, Batch 20170711_2148: 181 Policies, Batch 20170712_1158: 137 Policies)"/>
    <s v=""/>
    <x v="6"/>
  </r>
  <r>
    <x v="1"/>
    <x v="5"/>
    <d v="2017-07-13T00:00:00"/>
    <s v="Thu"/>
    <d v="1899-12-30T08:30:00"/>
    <d v="1899-12-30T17:30:00"/>
    <n v="0"/>
    <n v="7.9999999999999982"/>
    <n v="7.9999999999999982"/>
    <s v="Normal Working Days before 10pm"/>
    <s v="Total: 535 Policies (Batch 20170712_1503: 49 Policies, Batch 20170712_2241: 260 Policies, Batch 20170713_1209: 214 Policies,  Batch 20170713_1507: 12 Policies)"/>
    <s v=""/>
    <x v="6"/>
  </r>
  <r>
    <x v="1"/>
    <x v="5"/>
    <d v="2017-07-14T00:00:00"/>
    <s v="Fri"/>
    <d v="1899-12-30T08:30:00"/>
    <d v="1899-12-30T17:30:00"/>
    <n v="0"/>
    <n v="7.9999999999999982"/>
    <n v="7.9999999999999982"/>
    <s v="Normal Working Days before 10pm"/>
    <s v="Total: 257 Policies (Batch 20170713_2212: 247 Policies, Batch 20170714_1154: 10 Policies)"/>
    <s v=""/>
    <x v="6"/>
  </r>
  <r>
    <x v="0"/>
    <x v="0"/>
    <d v="2017-07-17T00:00:00"/>
    <s v="Mon"/>
    <d v="1899-12-30T17:30:00"/>
    <d v="1899-12-30T20:15:00"/>
    <n v="8.0000000000000036"/>
    <n v="2.7499999999999876"/>
    <n v="2.7499999999999876"/>
    <s v="Normal Working Days before 10pm"/>
    <s v="Total: 865 Policies (Batch 20170714_1537: 209 Policies, Batch 20170714_2241: 269 Policies, Batch 20170717_1202: 239 Policies,  Batch 20170717_1518: 148 Policies)"/>
    <n v="1"/>
    <x v="6"/>
  </r>
  <r>
    <x v="0"/>
    <x v="2"/>
    <d v="2017-07-17T00:00:00"/>
    <s v="Mon"/>
    <d v="1899-12-30T17:30:00"/>
    <d v="1899-12-30T20:15:00"/>
    <n v="8.0000000000000036"/>
    <n v="2.7499999999999876"/>
    <n v="2.7499999999999876"/>
    <s v="Normal Working Days before 10pm"/>
    <s v="Total: 865 Policies (Batch 20170714_1537: 209 Policies, Batch 20170714_2241: 269 Policies, Batch 20170717_1202: 239 Policies,  Batch 20170717_1518: 148 Policies)"/>
    <n v="1"/>
    <x v="6"/>
  </r>
  <r>
    <x v="0"/>
    <x v="6"/>
    <d v="2017-07-17T00:00:00"/>
    <s v="Mon"/>
    <d v="1899-12-30T17:30:00"/>
    <d v="1899-12-30T20:15:00"/>
    <n v="8.0000000000000036"/>
    <n v="2.7499999999999876"/>
    <n v="2.7499999999999876"/>
    <s v="Normal Working Days before 10pm"/>
    <s v="Total: 865 Policies (Batch 20170714_1537: 209 Policies, Batch 20170714_2241: 269 Policies, Batch 20170717_1202: 239 Policies,  Batch 20170717_1518: 148 Policies)"/>
    <n v="1"/>
    <x v="6"/>
  </r>
  <r>
    <x v="0"/>
    <x v="16"/>
    <d v="2017-07-17T00:00:00"/>
    <s v="Mon"/>
    <d v="1899-12-30T17:30:00"/>
    <d v="1899-12-30T20:15:00"/>
    <n v="8.0000000000000036"/>
    <n v="2.7499999999999876"/>
    <n v="2.7499999999999876"/>
    <s v="Normal Working Days before 10pm"/>
    <s v="Total: 865 Policies (Batch 20170714_1537: 209 Policies, Batch 20170714_2241: 269 Policies, Batch 20170717_1202: 239 Policies,  Batch 20170717_1518: 148 Policies)"/>
    <n v="1"/>
    <x v="6"/>
  </r>
  <r>
    <x v="1"/>
    <x v="5"/>
    <d v="2017-07-17T00:00:00"/>
    <s v="Mon"/>
    <d v="1899-12-30T08:30:00"/>
    <d v="1899-12-30T20:15:00"/>
    <n v="0"/>
    <n v="10.749999999999991"/>
    <n v="10.749999999999991"/>
    <s v="Normal Working Days before 10pm"/>
    <s v="Total: 865 Policies (Batch 20170714_1537: 209 Policies, Batch 20170714_2241: 269 Policies, Batch 20170717_1202: 239 Policies,  Batch 20170717_1518: 148 Policies)"/>
    <s v=""/>
    <x v="6"/>
  </r>
  <r>
    <x v="0"/>
    <x v="17"/>
    <d v="2017-07-17T00:00:00"/>
    <s v="Mon"/>
    <d v="1899-12-30T17:30:00"/>
    <d v="1899-12-30T20:15:00"/>
    <n v="8.0000000000000036"/>
    <n v="2.7499999999999876"/>
    <n v="2.7499999999999876"/>
    <s v="Normal Working Days before 10pm"/>
    <s v="Total: 865 Policies (Batch 20170714_1537: 209 Policies, Batch 20170714_2241: 269 Policies, Batch 20170717_1202: 239 Policies,  Batch 20170717_1518: 148 Policies)"/>
    <n v="1"/>
    <x v="6"/>
  </r>
  <r>
    <x v="1"/>
    <x v="5"/>
    <d v="2017-07-18T00:00:00"/>
    <s v="Tue"/>
    <d v="1899-12-30T08:30:00"/>
    <d v="1899-12-30T17:30:00"/>
    <n v="0"/>
    <n v="7.9999999999999982"/>
    <n v="7.9999999999999982"/>
    <s v="Normal Working Days before 10pm"/>
    <s v="Total: 492 Policies (Batch 20170717_2317: 319 Policies, Batch 20170718_1202: 173 Policies, Batch 20170718_1459: 118 Policies)"/>
    <s v=""/>
    <x v="6"/>
  </r>
  <r>
    <x v="1"/>
    <x v="5"/>
    <d v="2017-07-19T00:00:00"/>
    <s v="Wed"/>
    <d v="1899-12-30T08:30:00"/>
    <d v="1899-12-30T17:30:00"/>
    <n v="0"/>
    <n v="7.9999999999999982"/>
    <n v="7.9999999999999982"/>
    <s v="Normal Working Days before 10pm"/>
    <s v="Total: 486 Policies (Batch 20170718_1459: 103 Policies, Batch 20170718_2223: 295 Policies, Batch 20170719_1211: 88 Policies)"/>
    <s v=""/>
    <x v="6"/>
  </r>
  <r>
    <x v="1"/>
    <x v="5"/>
    <d v="2017-07-20T00:00:00"/>
    <s v="Thu"/>
    <d v="1899-12-30T08:30:00"/>
    <d v="1899-12-30T17:30:00"/>
    <n v="0"/>
    <n v="7.9999999999999982"/>
    <n v="7.9999999999999982"/>
    <s v="Normal Working Days before 10pm"/>
    <s v="Total: 493 Policies (Batch 20170719_1510: 164 Policies; Batch 20170719_2232: 326 Policies; Batch 20170720_1157: 73 Policies)"/>
    <s v=""/>
    <x v="6"/>
  </r>
  <r>
    <x v="1"/>
    <x v="5"/>
    <d v="2017-07-21T00:00:00"/>
    <s v="Fri"/>
    <d v="1899-12-30T08:30:00"/>
    <d v="1899-12-30T17:30:00"/>
    <n v="0"/>
    <n v="7.9999999999999982"/>
    <n v="7.9999999999999982"/>
    <s v="Normal Working Days before 10pm"/>
    <s v="Total: 677 Policies (Batch 20170720_1445: 204 Policies; Batch 20170720_1445: 402 Policies; Batch 20170721_1148: 71 Policies)"/>
    <s v=""/>
    <x v="6"/>
  </r>
  <r>
    <x v="1"/>
    <x v="5"/>
    <d v="2017-07-24T00:00:00"/>
    <s v="Mon"/>
    <d v="1899-12-30T08:30:00"/>
    <d v="1899-12-30T17:30:00"/>
    <n v="0"/>
    <n v="7.9999999999999982"/>
    <n v="7.9999999999999982"/>
    <s v="Normal Working Days before 10pm"/>
    <s v="Total: 598 Policies (Batch 20170721_1457: 204 Policies; Batch 20170721_2229: 224 Policies; Batch 20170724_1203: 170 Policies)"/>
    <s v=""/>
    <x v="6"/>
  </r>
  <r>
    <x v="0"/>
    <x v="0"/>
    <d v="2017-07-25T00:00:00"/>
    <s v="Tue"/>
    <d v="1899-12-30T17:30:00"/>
    <d v="1899-12-30T21:00:00"/>
    <n v="8.0000000000000036"/>
    <n v="3.4999999999999893"/>
    <n v="3.4999999999999893"/>
    <s v="Normal Working Days before 10pm"/>
    <s v="Total: 1365 Policies (Batch 20170724_1519: 138 Policies; Batch 20170724_0029: 547 Policies, Batch 20170725_1156: 554 Policies, Batch 20170725_1501: 126 Policies)"/>
    <n v="1"/>
    <x v="6"/>
  </r>
  <r>
    <x v="0"/>
    <x v="2"/>
    <d v="2017-07-25T00:00:00"/>
    <s v="Tue"/>
    <d v="1899-12-30T17:30:00"/>
    <d v="1899-12-30T21:00:00"/>
    <n v="8.0000000000000036"/>
    <n v="3.4999999999999893"/>
    <n v="3.4999999999999893"/>
    <s v="Normal Working Days before 10pm"/>
    <s v="Total: 1365 Policies (Batch 20170724_1519: 138 Policies; Batch 20170724_0029: 547 Policies, Batch 20170725_1156: 554 Policies, Batch 20170725_1501: 126 Policies)"/>
    <n v="1"/>
    <x v="6"/>
  </r>
  <r>
    <x v="0"/>
    <x v="6"/>
    <d v="2017-07-25T00:00:00"/>
    <s v="Tue"/>
    <d v="1899-12-30T17:30:00"/>
    <d v="1899-12-30T21:00:00"/>
    <n v="8.0000000000000036"/>
    <n v="3.4999999999999893"/>
    <n v="3.4999999999999893"/>
    <s v="Normal Working Days before 10pm"/>
    <s v="Total: 1365 Policies (Batch 20170724_1519: 138 Policies; Batch 20170724_0029: 547 Policies, Batch 20170725_1156: 554 Policies, Batch 20170725_1501: 126 Policies)"/>
    <n v="1"/>
    <x v="6"/>
  </r>
  <r>
    <x v="0"/>
    <x v="15"/>
    <d v="2017-07-25T00:00:00"/>
    <s v="Tue"/>
    <d v="1899-12-30T17:30:00"/>
    <d v="1899-12-30T21:00:00"/>
    <n v="8.0000000000000036"/>
    <n v="3.4999999999999893"/>
    <n v="3.4999999999999893"/>
    <s v="Normal Working Days before 10pm"/>
    <s v="Total: 1365 Policies (Batch 20170724_1519: 138 Policies; Batch 20170724_0029: 547 Policies, Batch 20170725_1156: 554 Policies, Batch 20170725_1501: 126 Policies)"/>
    <n v="1"/>
    <x v="6"/>
  </r>
  <r>
    <x v="0"/>
    <x v="16"/>
    <d v="2017-07-25T00:00:00"/>
    <s v="Tue"/>
    <d v="1899-12-30T17:30:00"/>
    <d v="1899-12-30T21:00:00"/>
    <n v="8.0000000000000036"/>
    <n v="3.4999999999999893"/>
    <n v="3.4999999999999893"/>
    <s v="Normal Working Days before 10pm"/>
    <s v="Total: 1365 Policies (Batch 20170724_1519: 138 Policies; Batch 20170724_0029: 547 Policies, Batch 20170725_1156: 554 Policies, Batch 20170725_1501: 126 Policies)"/>
    <n v="1"/>
    <x v="6"/>
  </r>
  <r>
    <x v="1"/>
    <x v="5"/>
    <d v="2017-07-25T00:00:00"/>
    <s v="Tue"/>
    <d v="1899-12-30T08:30:00"/>
    <d v="1899-12-30T21:00:00"/>
    <n v="0"/>
    <n v="11.499999999999993"/>
    <n v="11.499999999999993"/>
    <s v="Normal Working Days before 10pm"/>
    <s v="Total: 1365 Policies (Batch 20170724_1519: 138 Policies; Batch 20170724_0029: 547 Policies, Batch 20170725_1156: 554 Policies, Batch 20170725_1501: 126 Policies)"/>
    <s v=""/>
    <x v="6"/>
  </r>
  <r>
    <x v="0"/>
    <x v="17"/>
    <d v="2017-07-25T00:00:00"/>
    <s v="Tue"/>
    <d v="1899-12-30T17:30:00"/>
    <d v="1899-12-30T21:00:00"/>
    <n v="8.0000000000000036"/>
    <n v="3.4999999999999893"/>
    <n v="3.4999999999999893"/>
    <s v="Normal Working Days before 10pm"/>
    <s v="Total: 1365 Policies (Batch 20170724_1519: 138 Policies; Batch 20170724_0029: 547 Policies, Batch 20170725_1156: 554 Policies, Batch 20170725_1501: 126 Policies)"/>
    <n v="1"/>
    <x v="6"/>
  </r>
  <r>
    <x v="1"/>
    <x v="14"/>
    <d v="2017-07-25T00:00:00"/>
    <s v="Tue"/>
    <d v="1899-12-30T12:30:00"/>
    <d v="1899-12-30T21:00:00"/>
    <n v="0"/>
    <n v="7.5000000000000071"/>
    <n v="7.5000000000000071"/>
    <s v="Normal Working Days before 10pm"/>
    <s v="Total: 1365 Policies (Batch 20170724_1519: 138 Policies; Batch 20170724_0029: 547 Policies, Batch 20170725_1156: 554 Policies, Batch 20170725_1501: 126 Policies)"/>
    <s v=""/>
    <x v="6"/>
  </r>
  <r>
    <x v="0"/>
    <x v="0"/>
    <d v="2017-07-26T00:00:00"/>
    <s v="Wed"/>
    <d v="1899-12-30T17:00:00"/>
    <d v="1899-12-30T21:00:00"/>
    <n v="8.0000000000000036"/>
    <n v="4.0000000000000036"/>
    <n v="4.0000000000000036"/>
    <s v="Normal Working Days before 10pm"/>
    <s v="Total: 1015 Policies (Batch 20170725_2200: 687 Policies, Batch 20170726_1106: 133 Policies,  Batch 20170726_1417: 195 Policies)"/>
    <n v="1"/>
    <x v="6"/>
  </r>
  <r>
    <x v="0"/>
    <x v="2"/>
    <d v="2017-07-26T00:00:00"/>
    <s v="Wed"/>
    <d v="1899-12-30T17:00:00"/>
    <d v="1899-12-30T21:00:00"/>
    <n v="8.0000000000000036"/>
    <n v="4.0000000000000036"/>
    <n v="4.0000000000000036"/>
    <s v="Normal Working Days before 10pm"/>
    <s v="Total: 1015 Policies (Batch 20170725_2200: 687 Policies, Batch 20170726_1106: 133 Policies,  Batch 20170726_1417: 195 Policies)"/>
    <n v="1"/>
    <x v="6"/>
  </r>
  <r>
    <x v="0"/>
    <x v="6"/>
    <d v="2017-07-26T00:00:00"/>
    <s v="Wed"/>
    <d v="1899-12-30T17:00:00"/>
    <d v="1899-12-30T21:00:00"/>
    <n v="8.0000000000000036"/>
    <n v="4.0000000000000036"/>
    <n v="4.0000000000000036"/>
    <s v="Normal Working Days before 10pm"/>
    <s v="Total: 1015 Policies (Batch 20170725_2200: 687 Policies, Batch 20170726_1106: 133 Policies,  Batch 20170726_1417: 195 Policies)"/>
    <n v="1"/>
    <x v="6"/>
  </r>
  <r>
    <x v="0"/>
    <x v="15"/>
    <d v="2017-07-26T00:00:00"/>
    <s v="Wed"/>
    <d v="1899-12-30T17:00:00"/>
    <d v="1899-12-30T17:30:00"/>
    <n v="8.0000000000000036"/>
    <n v="0.50000000000001243"/>
    <n v="0.50000000000001243"/>
    <s v="Normal Working Days before 10pm"/>
    <s v="Total: 1015 Policies (Batch 20170725_2200: 687 Policies, Batch 20170726_1106: 133 Policies,  Batch 20170726_1417: 195 Policies)"/>
    <s v=""/>
    <x v="6"/>
  </r>
  <r>
    <x v="0"/>
    <x v="16"/>
    <d v="2017-07-26T00:00:00"/>
    <s v="Wed"/>
    <d v="1899-12-30T17:00:00"/>
    <d v="1899-12-30T21:00:00"/>
    <n v="8.0000000000000036"/>
    <n v="4.0000000000000036"/>
    <n v="4.0000000000000036"/>
    <s v="Normal Working Days before 10pm"/>
    <s v="Total: 1015 Policies (Batch 20170725_2200: 687 Policies, Batch 20170726_1106: 133 Policies,  Batch 20170726_1417: 195 Policies)"/>
    <n v="1"/>
    <x v="6"/>
  </r>
  <r>
    <x v="1"/>
    <x v="5"/>
    <d v="2017-07-26T00:00:00"/>
    <s v="Wed"/>
    <d v="1899-12-30T08:00:00"/>
    <d v="1899-12-30T21:00:00"/>
    <n v="0"/>
    <n v="12.000000000000007"/>
    <n v="12.000000000000007"/>
    <s v="Normal Working Days before 10pm"/>
    <s v="Total: 1015 Policies (Batch 20170725_2200: 687 Policies, Batch 20170726_1106: 133 Policies,  Batch 20170726_1417: 195 Policies)"/>
    <s v=""/>
    <x v="6"/>
  </r>
  <r>
    <x v="0"/>
    <x v="17"/>
    <d v="2017-07-26T00:00:00"/>
    <s v="Wed"/>
    <d v="1899-12-30T17:00:00"/>
    <d v="1899-12-30T21:00:00"/>
    <n v="8.0000000000000036"/>
    <n v="4.0000000000000036"/>
    <n v="4.0000000000000036"/>
    <s v="Normal Working Days before 10pm"/>
    <s v="Total: 1015 Policies (Batch 20170725_2200: 687 Policies, Batch 20170726_1106: 133 Policies,  Batch 20170726_1417: 195 Policies)"/>
    <n v="1"/>
    <x v="6"/>
  </r>
  <r>
    <x v="1"/>
    <x v="14"/>
    <d v="2017-07-26T00:00:00"/>
    <s v="Wed"/>
    <d v="1899-12-30T12:30:00"/>
    <d v="1899-12-30T21:00:00"/>
    <n v="0"/>
    <n v="7.5000000000000071"/>
    <n v="7.5000000000000071"/>
    <s v="Normal Working Days before 10pm"/>
    <s v="Total: 1015 Policies (Batch 20170725_2200: 687 Policies, Batch 20170726_1106: 133 Policies,  Batch 20170726_1417: 195 Policies)"/>
    <s v=""/>
    <x v="6"/>
  </r>
  <r>
    <x v="0"/>
    <x v="0"/>
    <d v="2017-07-27T00:00:00"/>
    <s v="Thu"/>
    <d v="1899-12-30T18:00:00"/>
    <d v="1899-12-30T21:00:00"/>
    <n v="8.0000000000000036"/>
    <n v="2.9999999999999964"/>
    <n v="2.9999999999999964"/>
    <s v="Normal Working Days before 10pm"/>
    <s v="Total: 1264 Policies (Batch 20170726_1417: 195 Policies, Batch 20170727_1108: 144 Policies, Batch 20170727_1424: 410 Policies)"/>
    <n v="1"/>
    <x v="6"/>
  </r>
  <r>
    <x v="0"/>
    <x v="2"/>
    <d v="2017-07-27T00:00:00"/>
    <s v="Thu"/>
    <d v="1899-12-30T17:00:00"/>
    <d v="1899-12-30T21:00:00"/>
    <n v="8.0000000000000036"/>
    <n v="4.0000000000000036"/>
    <n v="4.0000000000000036"/>
    <s v="Normal Working Days before 10pm"/>
    <s v="Total: 1264 Policies (Batch 20170726_1417: 195 Policies, Batch 20170727_1108: 144 Policies, Batch 20170727_1424: 410 Policies)"/>
    <n v="1"/>
    <x v="6"/>
  </r>
  <r>
    <x v="0"/>
    <x v="6"/>
    <d v="2017-07-27T00:00:00"/>
    <s v="Thu"/>
    <d v="1899-12-30T17:30:00"/>
    <d v="1899-12-30T21:00:00"/>
    <n v="8.0000000000000036"/>
    <n v="3.4999999999999893"/>
    <n v="3.4999999999999893"/>
    <s v="Normal Working Days before 10pm"/>
    <s v="Total: 1264 Policies (Batch 20170726_1417: 195 Policies, Batch 20170727_1108: 144 Policies, Batch 20170727_1424: 410 Policies)"/>
    <n v="1"/>
    <x v="6"/>
  </r>
  <r>
    <x v="0"/>
    <x v="15"/>
    <d v="2017-07-27T00:00:00"/>
    <s v="Thu"/>
    <d v="1899-12-30T17:30:00"/>
    <d v="1899-12-30T21:00:00"/>
    <n v="8.0000000000000036"/>
    <n v="3.4999999999999893"/>
    <n v="3.4999999999999893"/>
    <s v="Normal Working Days before 10pm"/>
    <s v="Total: 1264 Policies (Batch 20170726_1417: 195 Policies, Batch 20170727_1108: 144 Policies, Batch 20170727_1424: 410 Policies)"/>
    <n v="1"/>
    <x v="6"/>
  </r>
  <r>
    <x v="0"/>
    <x v="16"/>
    <d v="2017-07-27T00:00:00"/>
    <s v="Thu"/>
    <d v="1899-12-30T17:30:00"/>
    <d v="1899-12-30T21:00:00"/>
    <n v="8.0000000000000036"/>
    <n v="3.4999999999999893"/>
    <n v="3.4999999999999893"/>
    <s v="Normal Working Days before 10pm"/>
    <s v="Total: 1264 Policies (Batch 20170726_1417: 195 Policies, Batch 20170727_1108: 144 Policies, Batch 20170727_1424: 410 Policies)"/>
    <n v="1"/>
    <x v="6"/>
  </r>
  <r>
    <x v="1"/>
    <x v="5"/>
    <d v="2017-07-27T00:00:00"/>
    <s v="Thu"/>
    <d v="1899-12-30T08:30:00"/>
    <d v="1899-12-30T21:00:00"/>
    <n v="0"/>
    <n v="11.499999999999993"/>
    <n v="11.499999999999993"/>
    <s v="Normal Working Days before 10pm"/>
    <s v="Total: 1264 Policies (Batch 20170726_1417: 195 Policies, Batch 20170727_1108: 144 Policies, Batch 20170727_1424: 410 Policies)"/>
    <s v=""/>
    <x v="6"/>
  </r>
  <r>
    <x v="0"/>
    <x v="17"/>
    <d v="2017-07-27T00:00:00"/>
    <s v="Thu"/>
    <d v="1899-12-30T17:30:00"/>
    <d v="1899-12-30T21:00:00"/>
    <n v="8.0000000000000036"/>
    <n v="3.4999999999999893"/>
    <n v="3.4999999999999893"/>
    <s v="Normal Working Days before 10pm"/>
    <s v="Total: 1264 Policies (Batch 20170726_1417: 195 Policies, Batch 20170727_1108: 144 Policies, Batch 20170727_1424: 410 Policies)"/>
    <n v="1"/>
    <x v="6"/>
  </r>
  <r>
    <x v="1"/>
    <x v="11"/>
    <d v="2017-07-27T00:00:00"/>
    <s v="Thu"/>
    <d v="1899-12-30T18:30:00"/>
    <d v="1899-12-30T21:00:00"/>
    <n v="0"/>
    <n v="2.5000000000000071"/>
    <n v="2.5000000000000071"/>
    <s v="Normal Working Days before 10pm"/>
    <s v="Total: 1264 Policies (Batch 20170726_1417: 195 Policies, Batch 20170727_1108: 144 Policies, Batch 20170727_1424: 410 Policies)"/>
    <s v=""/>
    <x v="6"/>
  </r>
  <r>
    <x v="1"/>
    <x v="14"/>
    <d v="2017-07-27T00:00:00"/>
    <s v="Thu"/>
    <d v="1899-12-30T08:30:00"/>
    <d v="1899-12-30T21:00:00"/>
    <n v="0"/>
    <n v="11.499999999999993"/>
    <n v="11.499999999999993"/>
    <s v="Normal Working Days before 10pm"/>
    <s v="Total: 1264 Policies (Batch 20170726_1417: 195 Policies, Batch 20170727_1108: 144 Policies, Batch 20170727_1424: 410 Policies)"/>
    <s v=""/>
    <x v="6"/>
  </r>
  <r>
    <x v="0"/>
    <x v="0"/>
    <d v="2017-07-28T00:00:00"/>
    <s v="Fri"/>
    <d v="1899-12-30T18:00:00"/>
    <d v="1899-12-30T21:00:00"/>
    <n v="8.0000000000000036"/>
    <n v="2.9999999999999964"/>
    <n v="2.9999999999999964"/>
    <s v="Normal Working Days before 10pm"/>
    <s v="Total: 1486 Policies (Batch 20170727_0324: 611 Policies, Batch 20170728_1140: 546 Policies, Batch 20170728_1415: 242 Policies)"/>
    <n v="1"/>
    <x v="6"/>
  </r>
  <r>
    <x v="0"/>
    <x v="2"/>
    <d v="2017-07-28T00:00:00"/>
    <s v="Fri"/>
    <d v="1899-12-30T17:00:00"/>
    <d v="1899-12-30T20:00:00"/>
    <n v="8.0000000000000036"/>
    <n v="2.9999999999999964"/>
    <n v="2.9999999999999964"/>
    <s v="Normal Working Days before 10pm"/>
    <s v="Total: 1486 Policies (Batch 20170727_0324: 611 Policies, Batch 20170728_1140: 546 Policies, Batch 20170728_1415: 242 Policies)"/>
    <n v="1"/>
    <x v="6"/>
  </r>
  <r>
    <x v="0"/>
    <x v="6"/>
    <d v="2017-07-28T00:00:00"/>
    <s v="Fri"/>
    <d v="1899-12-30T17:00:00"/>
    <d v="1899-12-30T17:30:00"/>
    <n v="8.0000000000000036"/>
    <n v="0.50000000000001243"/>
    <n v="0.50000000000001243"/>
    <s v="Normal Working Days before 10pm"/>
    <s v="Total: 1486 Policies (Batch 20170727_0324: 611 Policies, Batch 20170728_1140: 546 Policies, Batch 20170728_1415: 242 Policies)"/>
    <s v=""/>
    <x v="6"/>
  </r>
  <r>
    <x v="0"/>
    <x v="15"/>
    <d v="2017-07-28T00:00:00"/>
    <s v="Fri"/>
    <d v="1899-12-30T17:00:00"/>
    <d v="1899-12-30T21:00:00"/>
    <n v="8.0000000000000036"/>
    <n v="4.0000000000000036"/>
    <n v="4.0000000000000036"/>
    <s v="Normal Working Days before 10pm"/>
    <s v="Total: 1486 Policies (Batch 20170727_0324: 611 Policies, Batch 20170728_1140: 546 Policies, Batch 20170728_1415: 242 Policies)"/>
    <n v="1"/>
    <x v="6"/>
  </r>
  <r>
    <x v="0"/>
    <x v="16"/>
    <d v="2017-07-28T00:00:00"/>
    <s v="Fri"/>
    <d v="1899-12-30T17:00:00"/>
    <d v="1899-12-30T21:00:00"/>
    <n v="8.0000000000000036"/>
    <n v="4.0000000000000036"/>
    <n v="4.0000000000000036"/>
    <s v="Normal Working Days before 10pm"/>
    <s v="Total: 1486 Policies (Batch 20170727_0324: 611 Policies, Batch 20170728_1140: 546 Policies, Batch 20170728_1415: 242 Policies)"/>
    <n v="1"/>
    <x v="6"/>
  </r>
  <r>
    <x v="1"/>
    <x v="5"/>
    <d v="2017-07-28T00:00:00"/>
    <s v="Fri"/>
    <d v="1899-12-30T08:00:00"/>
    <d v="1899-12-30T21:00:00"/>
    <n v="0"/>
    <n v="12.000000000000007"/>
    <n v="12.000000000000007"/>
    <s v="Normal Working Days before 10pm"/>
    <s v="Total: 1486 Policies (Batch 20170727_0324: 611 Policies, Batch 20170728_1140: 546 Policies, Batch 20170728_1415: 242 Policies)"/>
    <s v=""/>
    <x v="6"/>
  </r>
  <r>
    <x v="1"/>
    <x v="14"/>
    <d v="2017-07-28T00:00:00"/>
    <s v="Fri"/>
    <d v="1899-12-30T08:00:00"/>
    <d v="1899-12-30T21:00:00"/>
    <n v="0"/>
    <n v="12.000000000000007"/>
    <n v="12.000000000000007"/>
    <s v="Normal Working Days before 10pm"/>
    <s v="Total: 1486 Policies (Batch 20170727_0324: 611 Policies, Batch 20170728_1140: 546 Policies, Batch 20170728_1415: 242 Policies)"/>
    <s v=""/>
    <x v="6"/>
  </r>
  <r>
    <x v="1"/>
    <x v="12"/>
    <d v="2017-07-28T00:00:00"/>
    <s v="Fri"/>
    <d v="1899-12-30T17:00:00"/>
    <d v="1899-12-30T21:00:00"/>
    <n v="0"/>
    <n v="4.0000000000000071"/>
    <n v="4.0000000000000071"/>
    <s v="Normal Working Days before 10pm"/>
    <s v="Total: 1486 Policies (Batch 20170727_0324: 611 Policies, Batch 20170728_1140: 546 Policies, Batch 20170728_1415: 242 Policies)"/>
    <s v=""/>
    <x v="6"/>
  </r>
  <r>
    <x v="1"/>
    <x v="5"/>
    <d v="2017-07-29T00:00:00"/>
    <s v="Sat"/>
    <d v="1899-12-30T08:00:00"/>
    <d v="1899-12-30T17:00:00"/>
    <n v="0"/>
    <n v="8.0000000000000018"/>
    <n v="8.0000000000000018"/>
    <s v="Saturday/Sunday (Weekends) before 10pm"/>
    <s v="Total: 784 Policies (Batch 20170728_2239: 736 Policies, Batch 20170729_1105: 33 Policies,  Batch 20170729_1455: 15 Policies)"/>
    <s v=""/>
    <x v="6"/>
  </r>
  <r>
    <x v="1"/>
    <x v="14"/>
    <d v="2017-07-29T00:00:00"/>
    <s v="Sat"/>
    <d v="1899-12-30T08:00:00"/>
    <d v="1899-12-30T17:00:00"/>
    <n v="0"/>
    <n v="8.0000000000000018"/>
    <n v="8.0000000000000018"/>
    <s v="Saturday/Sunday (Weekends) before 10pm"/>
    <s v="Total: 784 Policies (Batch 20170728_2239: 736 Policies, Batch 20170729_1105: 33 Policies,  Batch 20170729_1455: 15 Policies)"/>
    <s v=""/>
    <x v="6"/>
  </r>
  <r>
    <x v="1"/>
    <x v="12"/>
    <d v="2017-07-29T00:00:00"/>
    <s v="Sat"/>
    <d v="1899-12-30T08:00:00"/>
    <d v="1899-12-30T17:00:00"/>
    <n v="0"/>
    <n v="8.0000000000000018"/>
    <n v="8.0000000000000018"/>
    <s v="Saturday/Sunday (Weekends) before 10pm"/>
    <s v="Total: 784 Policies (Batch 20170728_2239: 736 Policies, Batch 20170729_1105: 33 Policies,  Batch 20170729_1455: 15 Policies)"/>
    <s v=""/>
    <x v="6"/>
  </r>
  <r>
    <x v="0"/>
    <x v="0"/>
    <d v="2017-07-30T00:00:00"/>
    <s v="Sun"/>
    <d v="1899-12-30T08:00:00"/>
    <d v="1899-12-30T20:00:00"/>
    <m/>
    <n v="11"/>
    <n v="11"/>
    <s v="Saturday/Sunday (Weekends) before 10pm"/>
    <s v="Total: 1125 Policies (Batch 20170729_1455: 1125 Policies)"/>
    <n v="1"/>
    <x v="6"/>
  </r>
  <r>
    <x v="0"/>
    <x v="2"/>
    <d v="2017-07-30T00:00:00"/>
    <s v="Sun"/>
    <d v="1899-12-30T08:00:00"/>
    <d v="1899-12-30T17:00:00"/>
    <m/>
    <n v="8.0000000000000018"/>
    <n v="8.0000000000000018"/>
    <s v="Saturday/Sunday (Weekends) before 10pm"/>
    <s v="Total: 1125 Policies (Batch 20170729_1455: 1125 Policies, Batch 20170730_1117: 168 Policies)"/>
    <n v="1"/>
    <x v="6"/>
  </r>
  <r>
    <x v="0"/>
    <x v="6"/>
    <d v="2017-07-30T00:00:00"/>
    <s v="Sun"/>
    <d v="1899-12-30T08:00:00"/>
    <d v="1899-12-30T20:00:00"/>
    <m/>
    <n v="11"/>
    <n v="11"/>
    <s v="Saturday/Sunday (Weekends) before 10pm"/>
    <s v="Total: 1125 Policies (Batch 20170729_1455: 1125 Policies, Batch 20170730_1117: 168 Policies)"/>
    <n v="1"/>
    <x v="6"/>
  </r>
  <r>
    <x v="0"/>
    <x v="15"/>
    <d v="2017-07-30T00:00:00"/>
    <s v="Sun"/>
    <d v="1899-12-30T08:00:00"/>
    <d v="1899-12-30T20:00:00"/>
    <m/>
    <n v="11"/>
    <n v="11"/>
    <s v="Saturday/Sunday (Weekends) before 10pm"/>
    <s v="Total: 1125 Policies (Batch 20170729_1455: 1125 Policies, Batch 20170730_1117: 168 Policies)"/>
    <n v="1"/>
    <x v="6"/>
  </r>
  <r>
    <x v="0"/>
    <x v="16"/>
    <d v="2017-07-30T00:00:00"/>
    <s v="Sun"/>
    <d v="1899-12-30T08:00:00"/>
    <d v="1899-12-30T20:00:00"/>
    <m/>
    <n v="11"/>
    <n v="11"/>
    <s v="Saturday/Sunday (Weekends) before 10pm"/>
    <s v="Total: 1125 Policies (Batch 20170729_1455: 1125 Policies, Batch 20170730_1117: 168 Policies)"/>
    <n v="1"/>
    <x v="6"/>
  </r>
  <r>
    <x v="1"/>
    <x v="5"/>
    <d v="2017-07-30T00:00:00"/>
    <s v="Sun"/>
    <d v="1899-12-30T08:00:00"/>
    <d v="1899-12-30T20:00:00"/>
    <m/>
    <n v="11"/>
    <n v="11"/>
    <s v="Saturday/Sunday (Weekends) before 10pm"/>
    <s v="Total: 1125 Policies (Batch 20170729_1455: 1125 Policies, Batch 20170730_1117: 168 Policies)"/>
    <s v=""/>
    <x v="6"/>
  </r>
  <r>
    <x v="1"/>
    <x v="14"/>
    <d v="2017-07-30T00:00:00"/>
    <s v="Sun"/>
    <d v="1899-12-30T08:00:00"/>
    <d v="1899-12-30T20:00:00"/>
    <m/>
    <n v="11"/>
    <n v="11"/>
    <s v="Saturday/Sunday (Weekends) before 10pm"/>
    <s v="Total: 1125 Policies (Batch 20170729_1455: 1125 Policies, Batch 20170730_1117: 168 Policies)"/>
    <s v=""/>
    <x v="6"/>
  </r>
  <r>
    <x v="1"/>
    <x v="12"/>
    <d v="2017-07-30T00:00:00"/>
    <s v="Sun"/>
    <d v="1899-12-30T08:00:00"/>
    <d v="1899-12-30T20:00:00"/>
    <m/>
    <n v="11"/>
    <n v="11"/>
    <s v="Saturday/Sunday (Weekends) before 10pm"/>
    <s v="Total: 1125 Policies (Batch 20170729_1455: 1125 Policies, Batch 20170730_1117: 168 Policies)"/>
    <s v=""/>
    <x v="6"/>
  </r>
  <r>
    <x v="0"/>
    <x v="0"/>
    <d v="2017-07-31T00:00:00"/>
    <s v="Mon"/>
    <d v="1899-12-30T17:00:00"/>
    <d v="1899-12-30T19:00:00"/>
    <n v="8.0000000000000036"/>
    <n v="2.0000000000000036"/>
    <n v="2.0000000000000036"/>
    <s v="Normal Working Days before 10pm"/>
    <s v="Total: 1469 Policies (Batch 20170730_1117: 168 Policies, Batch 20170730_1458: 329 Policies, Batch 20170730_2235: 842 Policies, Batch 20170731_1105: 130 Policies)"/>
    <n v="1"/>
    <x v="6"/>
  </r>
  <r>
    <x v="0"/>
    <x v="2"/>
    <d v="2017-07-31T00:00:00"/>
    <s v="Mon"/>
    <d v="1899-12-30T17:00:00"/>
    <d v="1899-12-30T21:00:00"/>
    <n v="8.0000000000000036"/>
    <n v="4.0000000000000036"/>
    <n v="4.0000000000000036"/>
    <s v="Normal Working Days before 10pm"/>
    <s v="Total: 1469 Policies (Batch 20170730_1117: 168 Policies, Batch 20170730_1458: 329 Policies, Batch 20170730_2235: 842 Policies, Batch 20170731_1105: 130 Policies)"/>
    <n v="1"/>
    <x v="6"/>
  </r>
  <r>
    <x v="0"/>
    <x v="15"/>
    <d v="2017-07-31T00:00:00"/>
    <s v="Mon"/>
    <d v="1899-12-30T17:00:00"/>
    <d v="1899-12-30T21:00:00"/>
    <n v="8.0000000000000036"/>
    <n v="4.0000000000000036"/>
    <n v="4.0000000000000036"/>
    <s v="Normal Working Days before 10pm"/>
    <s v="Total: 1469 Policies (Batch 20170730_1117: 168 Policies, Batch 20170730_1458: 329 Policies, Batch 20170730_2235: 842 Policies, Batch 20170731_1105: 130 Policies)"/>
    <n v="1"/>
    <x v="6"/>
  </r>
  <r>
    <x v="0"/>
    <x v="16"/>
    <d v="2017-07-31T00:00:00"/>
    <s v="Mon"/>
    <d v="1899-12-30T17:00:00"/>
    <d v="1899-12-30T21:00:00"/>
    <n v="8.0000000000000036"/>
    <n v="4.0000000000000036"/>
    <n v="4.0000000000000036"/>
    <s v="Normal Working Days before 10pm"/>
    <s v="Total: 1469 Policies (Batch 20170730_1117: 168 Policies, Batch 20170730_1458: 329 Policies, Batch 20170730_2235: 842 Policies, Batch 20170731_1105: 130 Policies)"/>
    <n v="1"/>
    <x v="6"/>
  </r>
  <r>
    <x v="1"/>
    <x v="5"/>
    <d v="2017-07-31T00:00:00"/>
    <s v="Mon"/>
    <d v="1899-12-30T08:00:00"/>
    <d v="1899-12-30T21:00:00"/>
    <n v="0"/>
    <n v="12.000000000000007"/>
    <n v="12.000000000000007"/>
    <s v="Normal Working Days before 10pm"/>
    <s v="Total: 1469 Policies (Batch 20170730_1117: 168 Policies, Batch 20170730_1458: 329 Policies, Batch 20170730_2235: 842 Policies, Batch 20170731_1105: 130 Policies)"/>
    <s v=""/>
    <x v="6"/>
  </r>
  <r>
    <x v="1"/>
    <x v="11"/>
    <d v="2017-07-31T00:00:00"/>
    <s v="Mon"/>
    <d v="1899-12-30T08:00:00"/>
    <d v="1899-12-30T21:00:00"/>
    <n v="0"/>
    <n v="12.000000000000007"/>
    <n v="12.000000000000007"/>
    <s v="Normal Working Days before 10pm"/>
    <s v="Total: 1469 Policies (Batch 20170730_1117: 168 Policies, Batch 20170730_1458: 329 Policies, Batch 20170730_2235: 842 Policies, Batch 20170731_1105: 130 Policies)"/>
    <s v=""/>
    <x v="6"/>
  </r>
  <r>
    <x v="1"/>
    <x v="14"/>
    <d v="2017-07-31T00:00:00"/>
    <s v="Mon"/>
    <d v="1899-12-30T08:00:00"/>
    <d v="1899-12-30T21:00:00"/>
    <n v="0"/>
    <n v="12.000000000000007"/>
    <n v="12.000000000000007"/>
    <s v="Normal Working Days before 10pm"/>
    <s v="Total: 1469 Policies (Batch 20170730_1117: 168 Policies, Batch 20170730_1458: 329 Policies, Batch 20170730_2235: 842 Policies, Batch 20170731_1105: 130 Policies)"/>
    <s v=""/>
    <x v="6"/>
  </r>
  <r>
    <x v="1"/>
    <x v="12"/>
    <d v="2017-07-31T00:00:00"/>
    <s v="Mon"/>
    <d v="1899-12-30T17:00:00"/>
    <d v="1899-12-30T21:00:00"/>
    <n v="0"/>
    <n v="3.9999999999999991"/>
    <n v="3.9999999999999991"/>
    <s v="Normal Working Days before 10pm"/>
    <s v="Total: 1469 Policies (Batch 20170730_1117: 168 Policies, Batch 20170730_1458: 329 Policies, Batch 20170730_2235: 842 Policies, Batch 20170731_1105: 130 Policies)"/>
    <s v=""/>
    <x v="6"/>
  </r>
  <r>
    <x v="0"/>
    <x v="2"/>
    <d v="2017-08-01T00:00:00"/>
    <s v="Tue"/>
    <d v="1899-12-30T17:00:00"/>
    <d v="1899-12-30T19:30:00"/>
    <n v="8.0000000000000036"/>
    <n v="2.5000000000000053"/>
    <n v="2.5000000000000053"/>
    <s v="Normal Working Days before 10pm"/>
    <s v="Total: 898 Policies (Batch 20170731_1429: 178 Policies, Batch 20170731_2216: 720 Policies)"/>
    <n v="1"/>
    <x v="7"/>
  </r>
  <r>
    <x v="0"/>
    <x v="15"/>
    <d v="2017-08-01T00:00:00"/>
    <s v="Tue"/>
    <d v="1899-12-30T17:00:00"/>
    <d v="1899-12-30T19:30:00"/>
    <n v="8.0000000000000036"/>
    <n v="2.5000000000000053"/>
    <n v="2.5000000000000053"/>
    <s v="Normal Working Days before 10pm"/>
    <s v="Total: 898 Policies (Batch 20170731_1429: 178 Policies, Batch 20170731_2216: 720 Policies)"/>
    <n v="1"/>
    <x v="7"/>
  </r>
  <r>
    <x v="0"/>
    <x v="16"/>
    <d v="2017-08-01T00:00:00"/>
    <s v="Tue"/>
    <d v="1899-12-30T17:00:00"/>
    <d v="1899-12-30T19:30:00"/>
    <n v="8.0000000000000036"/>
    <n v="2.5000000000000053"/>
    <n v="2.5000000000000053"/>
    <s v="Normal Working Days before 10pm"/>
    <s v="Total: 898 Policies (Batch 20170731_1429: 178 Policies, Batch 20170731_2216: 720 Policies)"/>
    <n v="1"/>
    <x v="7"/>
  </r>
  <r>
    <x v="1"/>
    <x v="5"/>
    <d v="2017-08-01T00:00:00"/>
    <s v="Tue"/>
    <d v="1899-12-30T08:00:00"/>
    <d v="1899-12-30T19:30:00"/>
    <n v="0"/>
    <n v="10.500000000000009"/>
    <n v="10.500000000000009"/>
    <s v="Normal Working Days before 10pm"/>
    <s v="Total: 898 Policies (Batch 20170731_1429: 178 Policies, Batch 20170731_2216: 720 Policies)"/>
    <s v=""/>
    <x v="7"/>
  </r>
  <r>
    <x v="1"/>
    <x v="11"/>
    <d v="2017-08-01T00:00:00"/>
    <s v="Tue"/>
    <d v="1899-12-30T08:00:00"/>
    <d v="1899-12-30T19:30:00"/>
    <n v="0"/>
    <n v="10.500000000000009"/>
    <n v="10.500000000000009"/>
    <s v="Normal Working Days before 10pm"/>
    <s v="Total: 898 Policies (Batch 20170731_1429: 178 Policies, Batch 20170731_2216: 720 Policies)"/>
    <s v=""/>
    <x v="7"/>
  </r>
  <r>
    <x v="1"/>
    <x v="12"/>
    <d v="2017-08-01T00:00:00"/>
    <s v="Tue"/>
    <d v="1899-12-30T08:00:00"/>
    <d v="1899-12-30T19:30:00"/>
    <n v="0"/>
    <n v="10.500000000000009"/>
    <n v="10.500000000000009"/>
    <s v="Normal Working Days before 10pm"/>
    <s v="Total: 898 Policies (Batch 20170731_1429: 178 Policies, Batch 20170731_2216: 720 Policies)"/>
    <s v=""/>
    <x v="7"/>
  </r>
  <r>
    <x v="0"/>
    <x v="0"/>
    <d v="2017-08-02T00:00:00"/>
    <s v="Wed"/>
    <d v="1899-12-30T17:00:00"/>
    <d v="1899-12-30T21:30:00"/>
    <n v="8.0000000000000036"/>
    <n v="4.4999999999999964"/>
    <n v="4.4999999999999964"/>
    <s v="Normal Working Days before 10pm"/>
    <s v="Total: 1658 Policies (Batch 20170731_1100: 1656 Policies)"/>
    <n v="1"/>
    <x v="7"/>
  </r>
  <r>
    <x v="0"/>
    <x v="2"/>
    <d v="2017-08-02T00:00:00"/>
    <s v="Wed"/>
    <d v="1899-12-30T17:00:00"/>
    <d v="1899-12-30T21:30:00"/>
    <n v="8.0000000000000036"/>
    <n v="4.4999999999999964"/>
    <n v="4.4999999999999964"/>
    <s v="Normal Working Days before 10pm"/>
    <s v="Total: 1658 Policies (Batch 20170731_1100: 1656 Policies)"/>
    <n v="1"/>
    <x v="7"/>
  </r>
  <r>
    <x v="0"/>
    <x v="6"/>
    <d v="2017-08-02T00:00:00"/>
    <s v="Wed"/>
    <d v="1899-12-30T13:00:00"/>
    <d v="1899-12-30T20:30:00"/>
    <n v="7.5"/>
    <n v="3"/>
    <n v="3"/>
    <s v="Normal Working Days before 10pm"/>
    <s v="Total: 1658 Policies (Batch 20170731_1100: 1656 Policies)"/>
    <n v="1"/>
    <x v="7"/>
  </r>
  <r>
    <x v="0"/>
    <x v="15"/>
    <d v="2017-08-02T00:00:00"/>
    <s v="Wed"/>
    <d v="1899-12-30T17:00:00"/>
    <d v="1899-12-30T21:30:00"/>
    <n v="8.0000000000000036"/>
    <n v="4.4999999999999964"/>
    <n v="4.4999999999999964"/>
    <s v="Normal Working Days before 10pm"/>
    <s v="Total: 1658 Policies (Batch 20170731_1100: 1656 Policies)"/>
    <n v="1"/>
    <x v="7"/>
  </r>
  <r>
    <x v="0"/>
    <x v="16"/>
    <d v="2017-08-02T00:00:00"/>
    <s v="Wed"/>
    <d v="1899-12-30T17:00:00"/>
    <d v="1899-12-30T21:30:00"/>
    <n v="8.0000000000000036"/>
    <n v="4.4999999999999964"/>
    <n v="4.4999999999999964"/>
    <s v="Normal Working Days before 10pm"/>
    <s v="Total: 1658 Policies (Batch 20170731_1100: 1656 Policies)"/>
    <n v="1"/>
    <x v="7"/>
  </r>
  <r>
    <x v="1"/>
    <x v="5"/>
    <d v="2017-08-02T00:00:00"/>
    <s v="Wed"/>
    <d v="1899-12-30T08:00:00"/>
    <d v="1899-12-30T21:30:00"/>
    <n v="0"/>
    <n v="12.5"/>
    <n v="12.5"/>
    <s v="Normal Working Days before 10pm"/>
    <s v="Total: 1658 Policies (Batch 20170731_1100: 1656 Policies)"/>
    <s v=""/>
    <x v="7"/>
  </r>
  <r>
    <x v="1"/>
    <x v="18"/>
    <d v="2017-08-02T00:00:00"/>
    <s v="Wed"/>
    <d v="1899-12-30T17:00:00"/>
    <d v="1899-12-30T21:30:00"/>
    <n v="0"/>
    <n v="4.5"/>
    <n v="4.5"/>
    <s v="Normal Working Days before 10pm"/>
    <s v="Total: 1658 Policies (Batch 20170731_1100: 1656 Policies)"/>
    <s v=""/>
    <x v="7"/>
  </r>
  <r>
    <x v="0"/>
    <x v="0"/>
    <d v="2017-08-03T00:00:00"/>
    <s v="Thu"/>
    <d v="1899-12-30T17:00:00"/>
    <d v="1899-12-30T21:00:00"/>
    <n v="8.0000000000000036"/>
    <n v="4.0000000000000036"/>
    <n v="4.0000000000000036"/>
    <s v="Normal Working Days before 10pm"/>
    <s v="Total: 790 Policies (Batch 20170801_0512: 77 Policies, Batch 20170802_1128: 91 Policies, Batch 20170802_1431: 74 Policies, Batch 20170802_2158: 505 Policies, Batch 20170803_1127: 43 Policies)"/>
    <n v="1"/>
    <x v="7"/>
  </r>
  <r>
    <x v="0"/>
    <x v="2"/>
    <d v="2017-08-03T00:00:00"/>
    <s v="Thu"/>
    <d v="1899-12-30T17:00:00"/>
    <d v="1899-12-30T21:00:00"/>
    <n v="8.0000000000000036"/>
    <n v="4.0000000000000036"/>
    <n v="4.0000000000000036"/>
    <s v="Normal Working Days before 10pm"/>
    <s v="Total: 790 Policies (Batch 20170801_0512: 77 Policies, Batch 20170802_1128: 91 Policies, Batch 20170802_1431: 74 Policies, Batch 20170802_2158: 505 Policies, Batch 20170803_1127: 43 Policies)"/>
    <n v="1"/>
    <x v="7"/>
  </r>
  <r>
    <x v="0"/>
    <x v="6"/>
    <d v="2017-08-03T00:00:00"/>
    <s v="Thu"/>
    <d v="1899-12-30T17:00:00"/>
    <d v="1899-12-30T21:00:00"/>
    <n v="8.0000000000000036"/>
    <n v="4.0000000000000036"/>
    <n v="4.0000000000000036"/>
    <s v="Normal Working Days before 10pm"/>
    <s v="Total: 790 Policies (Batch 20170801_0512: 77 Policies, Batch 20170802_1128: 91 Policies, Batch 20170802_1431: 74 Policies, Batch 20170802_2158: 505 Policies, Batch 20170803_1127: 43 Policies)"/>
    <n v="1"/>
    <x v="7"/>
  </r>
  <r>
    <x v="0"/>
    <x v="15"/>
    <d v="2017-08-03T00:00:00"/>
    <s v="Thu"/>
    <d v="1899-12-30T17:00:00"/>
    <d v="1899-12-30T21:00:00"/>
    <n v="8.0000000000000036"/>
    <n v="4.0000000000000036"/>
    <n v="4.0000000000000036"/>
    <s v="Normal Working Days before 10pm"/>
    <s v="Total: 790 Policies (Batch 20170801_0512: 77 Policies, Batch 20170802_1128: 91 Policies, Batch 20170802_1431: 74 Policies, Batch 20170802_2158: 505 Policies, Batch 20170803_1127: 43 Policies)"/>
    <n v="1"/>
    <x v="7"/>
  </r>
  <r>
    <x v="0"/>
    <x v="16"/>
    <d v="2017-08-03T00:00:00"/>
    <s v="Thu"/>
    <d v="1899-12-30T17:00:00"/>
    <d v="1899-12-30T21:00:00"/>
    <n v="8.0000000000000036"/>
    <n v="4.0000000000000036"/>
    <n v="4.0000000000000036"/>
    <s v="Normal Working Days before 10pm"/>
    <s v="Total: 790 Policies (Batch 20170801_0512: 77 Policies, Batch 20170802_1128: 91 Policies, Batch 20170802_1431: 74 Policies, Batch 20170802_2158: 505 Policies, Batch 20170803_1127: 43 Policies)"/>
    <n v="1"/>
    <x v="7"/>
  </r>
  <r>
    <x v="1"/>
    <x v="5"/>
    <d v="2017-08-03T00:00:00"/>
    <s v="Thu"/>
    <d v="1899-12-30T08:00:00"/>
    <d v="1899-12-30T21:00:00"/>
    <n v="0"/>
    <n v="12.000000000000007"/>
    <n v="12.000000000000007"/>
    <s v="Normal Working Days before 10pm"/>
    <s v="Total: 790 Policies (Batch 20170801_0512: 77 Policies, Batch 20170802_1128: 91 Policies, Batch 20170802_1431: 74 Policies, Batch 20170802_2158: 505 Policies, Batch 20170803_1127: 43 Policies)"/>
    <s v=""/>
    <x v="7"/>
  </r>
  <r>
    <x v="1"/>
    <x v="18"/>
    <d v="2017-08-03T00:00:00"/>
    <s v="Thu"/>
    <d v="1899-12-30T17:30:00"/>
    <d v="1899-12-30T21:00:00"/>
    <n v="0"/>
    <n v="3.4999999999999929"/>
    <n v="3.4999999999999929"/>
    <s v="Normal Working Days before 10pm"/>
    <s v="Total: 790 Policies (Batch 20170801_0512: 77 Policies, Batch 20170802_1128: 91 Policies, Batch 20170802_1431: 74 Policies, Batch 20170802_2158: 505 Policies, Batch 20170803_1127: 43 Policies)"/>
    <s v=""/>
    <x v="7"/>
  </r>
  <r>
    <x v="1"/>
    <x v="5"/>
    <d v="2017-08-04T00:00:00"/>
    <s v="Fri"/>
    <d v="1899-12-30T08:30:00"/>
    <d v="1899-12-30T17:30:00"/>
    <n v="0"/>
    <n v="7.9999999999999982"/>
    <n v="7.9999999999999982"/>
    <s v="Normal Working Days before 10pm"/>
    <s v="Total: 400 Policies (Batch 20170803_1442: 179 Policies, Batch 20170803_2141: 168 Policies, Batch 20170804_1105: 53 Policies)"/>
    <s v=""/>
    <x v="7"/>
  </r>
  <r>
    <x v="1"/>
    <x v="17"/>
    <d v="2017-08-04T00:00:00"/>
    <s v="Fri"/>
    <d v="1899-12-30T17:30:00"/>
    <d v="1899-12-30T19:30:00"/>
    <m/>
    <n v="2.0000000000000009"/>
    <m/>
    <s v="Normal Working Days before 10pm"/>
    <s v="Planet Press Support"/>
    <s v=""/>
    <x v="7"/>
  </r>
  <r>
    <x v="1"/>
    <x v="5"/>
    <d v="2017-08-07T00:00:00"/>
    <s v="Mon"/>
    <d v="1899-12-30T08:30:00"/>
    <d v="1899-12-30T17:30:00"/>
    <n v="0"/>
    <n v="7.9999999999999982"/>
    <n v="7.9999999999999982"/>
    <s v="Normal Working Days before 10pm"/>
    <s v="Total: 396 Policies (Batch 20170804_1448: 80 Policies, Batch 20170804_2254: 316 Policies)"/>
    <s v=""/>
    <x v="7"/>
  </r>
  <r>
    <x v="1"/>
    <x v="5"/>
    <d v="2017-08-08T00:00:00"/>
    <s v="Tue"/>
    <d v="1899-12-30T08:30:00"/>
    <d v="1899-12-30T17:30:00"/>
    <n v="0"/>
    <n v="7.9999999999999982"/>
    <n v="7.9999999999999982"/>
    <s v="Normal Working Days before 10pm"/>
    <s v="Total: 371 Policies (Batch 20170807_2125: 267 Policies, Batch 20170808_1113: 104 Policies)"/>
    <s v=""/>
    <x v="7"/>
  </r>
  <r>
    <x v="1"/>
    <x v="17"/>
    <d v="2017-08-08T00:00:00"/>
    <s v="Tue"/>
    <d v="1899-12-30T17:30:00"/>
    <d v="1899-12-30T19:30:00"/>
    <m/>
    <n v="2.0000000000000009"/>
    <m/>
    <s v="Normal Working Days before 10pm"/>
    <s v="Planet Press Support"/>
    <s v=""/>
    <x v="7"/>
  </r>
  <r>
    <x v="1"/>
    <x v="5"/>
    <d v="2017-08-09T00:00:00"/>
    <s v="Wed"/>
    <d v="1899-12-30T08:30:00"/>
    <d v="1899-12-30T17:30:00"/>
    <n v="0"/>
    <n v="7.9999999999999982"/>
    <n v="7.9999999999999982"/>
    <s v="Normal Working Days before 10pm"/>
    <s v="Total: 420 Policies (Batch 20170808_1423: 139 Policies, Batch 20170808_0002: 267 Policies)"/>
    <s v=""/>
    <x v="7"/>
  </r>
  <r>
    <x v="1"/>
    <x v="5"/>
    <d v="2017-08-10T00:00:00"/>
    <s v="Thu"/>
    <d v="1899-12-30T08:30:00"/>
    <d v="1899-12-30T17:30:00"/>
    <n v="0"/>
    <n v="7.9999999999999982"/>
    <n v="7.9999999999999982"/>
    <s v="Normal Working Days before 10pm"/>
    <s v="Total: 787 Policies (Batch 20170809_1146: 197 Policies, Batch 20170809_0007: 286 Policies, Batch 20170810_1344: 260 Policies, Batch 20170810_1451: 44 Policies)"/>
    <s v=""/>
    <x v="7"/>
  </r>
  <r>
    <x v="1"/>
    <x v="5"/>
    <d v="2017-08-11T00:00:00"/>
    <s v="Fri"/>
    <d v="1899-12-30T08:30:00"/>
    <d v="1899-12-30T17:30:00"/>
    <n v="0"/>
    <n v="7.9999999999999982"/>
    <n v="7.9999999999999982"/>
    <s v="Normal Working Days before 10pm"/>
    <s v="Total: 277 Policies (Batch 20170810_2204: 173 Policies, Batch 20170811_1112: 51 Policies, Batch 20170811_1414: 53 Policies)"/>
    <s v=""/>
    <x v="7"/>
  </r>
  <r>
    <x v="1"/>
    <x v="5"/>
    <d v="2017-08-14T00:00:00"/>
    <s v="Mon"/>
    <d v="1899-12-30T08:30:00"/>
    <d v="1899-12-30T17:30:00"/>
    <n v="0"/>
    <n v="7.9999999999999982"/>
    <n v="7.9999999999999982"/>
    <s v="Normal Working Days before 10pm"/>
    <s v="Total: 549 Policies (Batch 20170811_2214: 294 Policies; 01708214_1141: 179 Policies; 21708214_1413: 76 Policies)"/>
    <s v=""/>
    <x v="7"/>
  </r>
  <r>
    <x v="1"/>
    <x v="19"/>
    <d v="2017-08-14T00:00:00"/>
    <s v="Mon"/>
    <d v="1899-12-30T08:30:00"/>
    <d v="1899-12-30T17:30:00"/>
    <n v="0"/>
    <n v="7.9999999999999982"/>
    <n v="7.9999999999999982"/>
    <s v="Normal Working Days before 10pm"/>
    <s v="Total: 549 Policies (Batch 20170811_2214: 294 Policies; 01708214_1141: 179 Policies; 21708214_1413: 76 Policies)"/>
    <s v=""/>
    <x v="7"/>
  </r>
  <r>
    <x v="1"/>
    <x v="5"/>
    <d v="2017-08-15T00:00:00"/>
    <s v="Tue"/>
    <d v="1899-12-30T08:30:00"/>
    <d v="1899-12-30T17:30:00"/>
    <n v="0"/>
    <n v="7.9999999999999982"/>
    <n v="7.9999999999999982"/>
    <s v="Normal Working Days before 10pm"/>
    <s v="Total: 262 Policies (Batch 20170814_2340: 262 Policies)"/>
    <s v=""/>
    <x v="7"/>
  </r>
  <r>
    <x v="1"/>
    <x v="12"/>
    <d v="2017-08-15T00:00:00"/>
    <s v="Tue"/>
    <d v="1899-12-30T08:30:00"/>
    <d v="1899-12-30T17:30:00"/>
    <n v="0"/>
    <n v="7.9999999999999982"/>
    <n v="7.9999999999999982"/>
    <s v="Normal Working Days before 10pm"/>
    <s v="Total: 262 Policies (Batch 20170814_2340: 262 Policies)"/>
    <s v=""/>
    <x v="7"/>
  </r>
  <r>
    <x v="1"/>
    <x v="19"/>
    <d v="2017-08-15T00:00:00"/>
    <s v="Tue"/>
    <d v="1899-12-30T08:30:00"/>
    <d v="1899-12-30T17:30:00"/>
    <n v="0"/>
    <n v="7.9999999999999982"/>
    <n v="7.9999999999999982"/>
    <s v="Normal Working Days before 10pm"/>
    <s v="Total: 262 Policies (Batch 20170814_2340: 262 Policies)"/>
    <s v=""/>
    <x v="7"/>
  </r>
  <r>
    <x v="1"/>
    <x v="20"/>
    <d v="2017-08-15T00:00:00"/>
    <s v="Tue"/>
    <d v="1899-12-30T08:30:00"/>
    <d v="1899-12-30T17:30:00"/>
    <n v="0"/>
    <n v="7.9999999999999982"/>
    <n v="7.9999999999999982"/>
    <s v="Normal Working Days before 10pm"/>
    <s v="Total: 262 Policies (Batch 20170814_2340: 262 Policies)"/>
    <s v=""/>
    <x v="7"/>
  </r>
  <r>
    <x v="0"/>
    <x v="0"/>
    <d v="2017-08-16T00:00:00"/>
    <s v="Wed"/>
    <d v="1899-12-30T17:30:00"/>
    <d v="1899-12-30T20:00:00"/>
    <n v="8.0000000000000036"/>
    <n v="2.4999999999999805"/>
    <n v="2.4999999999999805"/>
    <s v="Normal Working Days before 10pm"/>
    <s v="Total: 947 Policies (Batch 20170815_2222: 782 Policies, Batch 20170816_1135: 86 Policies, Batch 20170816_1435: 79 Policies)"/>
    <n v="1"/>
    <x v="7"/>
  </r>
  <r>
    <x v="1"/>
    <x v="17"/>
    <d v="2017-08-16T00:00:00"/>
    <s v="Wed"/>
    <d v="1899-12-30T17:30:00"/>
    <d v="1899-12-30T19:30:00"/>
    <m/>
    <n v="2.0000000000000009"/>
    <m/>
    <s v="Normal Working Days before 10pm"/>
    <s v="Planet Press Support"/>
    <s v=""/>
    <x v="7"/>
  </r>
  <r>
    <x v="0"/>
    <x v="2"/>
    <d v="2017-08-16T00:00:00"/>
    <s v="Wed"/>
    <d v="1899-12-30T17:30:00"/>
    <d v="1899-12-30T18:00:00"/>
    <n v="8.0000000000000036"/>
    <n v="0.49999999999998757"/>
    <n v="0.49999999999998757"/>
    <s v="Normal Working Days before 10pm"/>
    <s v="Total: 947 Policies (Batch 20170815_2222: 782 Policies, Batch 20170816_1135: 86 Policies, Batch 20170816_1435: 79 Policies)"/>
    <s v=""/>
    <x v="7"/>
  </r>
  <r>
    <x v="0"/>
    <x v="6"/>
    <d v="2017-08-16T00:00:00"/>
    <s v="Wed"/>
    <d v="1899-12-30T17:30:00"/>
    <d v="1899-12-30T20:00:00"/>
    <n v="8.0000000000000036"/>
    <n v="2.4999999999999805"/>
    <n v="2.4999999999999805"/>
    <s v="Normal Working Days before 10pm"/>
    <s v="Total: 947 Policies (Batch 20170815_2222: 782 Policies, Batch 20170816_1135: 86 Policies, Batch 20170816_1435: 79 Policies)"/>
    <n v="1"/>
    <x v="7"/>
  </r>
  <r>
    <x v="1"/>
    <x v="5"/>
    <d v="2017-08-16T00:00:00"/>
    <s v="Wed"/>
    <d v="1899-12-30T08:30:00"/>
    <d v="1899-12-30T20:00:00"/>
    <n v="0"/>
    <n v="10.499999999999984"/>
    <n v="10.499999999999984"/>
    <s v="Normal Working Days before 10pm"/>
    <s v="Total: 947 Policies (Batch 20170815_2222: 782 Policies, Batch 20170816_1135: 86 Policies, Batch 20170816_1435: 79 Policies)"/>
    <s v=""/>
    <x v="7"/>
  </r>
  <r>
    <x v="1"/>
    <x v="12"/>
    <d v="2017-08-16T00:00:00"/>
    <s v="Wed"/>
    <d v="1899-12-30T08:30:00"/>
    <d v="1899-12-30T20:00:00"/>
    <n v="0"/>
    <n v="10.499999999999984"/>
    <n v="10.499999999999984"/>
    <s v="Normal Working Days before 10pm"/>
    <s v="Total: 947 Policies (Batch 20170815_2222: 782 Policies, Batch 20170816_1135: 86 Policies, Batch 20170816_1435: 79 Policies)"/>
    <s v=""/>
    <x v="7"/>
  </r>
  <r>
    <x v="1"/>
    <x v="19"/>
    <d v="2017-08-16T00:00:00"/>
    <s v="Wed"/>
    <d v="1899-12-30T12:30:00"/>
    <d v="1899-12-30T20:00:00"/>
    <n v="0"/>
    <n v="7.5"/>
    <n v="7.5"/>
    <s v="Normal Working Days before 10pm"/>
    <s v="Total: 947 Policies (Batch 20170815_2222: 782 Policies, Batch 20170816_1135: 86 Policies, Batch 20170816_1435: 79 Policies)"/>
    <s v=""/>
    <x v="7"/>
  </r>
  <r>
    <x v="1"/>
    <x v="20"/>
    <d v="2017-08-16T00:00:00"/>
    <s v="Wed"/>
    <d v="1899-12-30T08:30:00"/>
    <d v="1899-12-30T20:00:00"/>
    <n v="0"/>
    <n v="10.499999999999984"/>
    <n v="10.499999999999984"/>
    <s v="Normal Working Days before 10pm"/>
    <s v="Total: 947 Policies (Batch 20170815_2222: 782 Policies, Batch 20170816_1135: 86 Policies, Batch 20170816_1435: 79 Policies)"/>
    <s v=""/>
    <x v="7"/>
  </r>
  <r>
    <x v="1"/>
    <x v="5"/>
    <d v="2017-08-17T00:00:00"/>
    <s v="Thu"/>
    <d v="1899-12-30T08:30:00"/>
    <d v="1899-12-30T17:30:00"/>
    <n v="0"/>
    <n v="7.9999999999999982"/>
    <n v="7.9999999999999982"/>
    <s v="Normal Working Days before 10pm"/>
    <s v="Total: 581 Policies (Batch 20170816_2213: 346 Policies; 20170817_1105: 100 Policies; 20170817_1425: 135 Policies)"/>
    <s v=""/>
    <x v="7"/>
  </r>
  <r>
    <x v="1"/>
    <x v="19"/>
    <d v="2017-08-17T00:00:00"/>
    <s v="Thu"/>
    <d v="1899-12-30T08:30:00"/>
    <d v="1899-12-30T17:30:00"/>
    <n v="0"/>
    <n v="7.9999999999999982"/>
    <n v="7.9999999999999982"/>
    <s v="Normal Working Days before 10pm"/>
    <s v="Total: 581 Policies (Batch 20170816_2213: 346 Policies; 20170817_1105: 100 Policies; 20170817_1425: 135 Policies)"/>
    <s v=""/>
    <x v="7"/>
  </r>
  <r>
    <x v="1"/>
    <x v="20"/>
    <d v="2017-08-17T00:00:00"/>
    <s v="Thu"/>
    <d v="1899-12-30T08:30:00"/>
    <d v="1899-12-30T17:30:00"/>
    <n v="0"/>
    <n v="7.9999999999999982"/>
    <n v="7.9999999999999982"/>
    <s v="Normal Working Days before 10pm"/>
    <s v="Total: 581 Policies (Batch 20170816_2213: 346 Policies; 20170817_1105: 100 Policies; 20170817_1425: 135 Policies)"/>
    <s v=""/>
    <x v="7"/>
  </r>
  <r>
    <x v="1"/>
    <x v="5"/>
    <d v="2017-08-18T00:00:00"/>
    <s v="Fri"/>
    <d v="1899-12-30T08:30:00"/>
    <d v="1899-12-30T17:30:00"/>
    <n v="0"/>
    <n v="7.9999999999999982"/>
    <n v="7.9999999999999982"/>
    <s v="Normal Working Days before 10pm"/>
    <s v="Total: 426 Policies (Batch 20170817_2341: 256 Policies; 20170818_1117: 151 Policies, 20170818_1425: 19 Policies)"/>
    <s v=""/>
    <x v="7"/>
  </r>
  <r>
    <x v="1"/>
    <x v="19"/>
    <d v="2017-08-18T00:00:00"/>
    <s v="Fri"/>
    <d v="1899-12-30T08:30:00"/>
    <d v="1899-12-30T16:00:00"/>
    <n v="0"/>
    <n v="6.4999999999999982"/>
    <n v="6.4999999999999982"/>
    <s v="Normal Working Days before 10pm"/>
    <s v="Total: 426 Policies (Batch 20170817_2341: 256 Policies; 20170818_1117: 151 Policies, 20170818_1425: 19 Policies)"/>
    <s v=""/>
    <x v="7"/>
  </r>
  <r>
    <x v="1"/>
    <x v="20"/>
    <d v="2017-08-18T00:00:00"/>
    <s v="Fri"/>
    <d v="1899-12-30T08:30:00"/>
    <d v="1899-12-30T16:00:00"/>
    <n v="0"/>
    <n v="6.4999999999999982"/>
    <n v="6.4999999999999982"/>
    <s v="Normal Working Days before 10pm"/>
    <s v="Total: 426 Policies (Batch 20170817_2341: 256 Policies; 20170818_1117: 151 Policies, 20170818_1425: 19 Policies)"/>
    <s v=""/>
    <x v="7"/>
  </r>
  <r>
    <x v="1"/>
    <x v="5"/>
    <d v="2017-08-21T00:00:00"/>
    <s v="Mon"/>
    <d v="1899-12-30T08:30:00"/>
    <d v="1899-12-30T17:30:00"/>
    <n v="0"/>
    <n v="7.9999999999999982"/>
    <n v="7.9999999999999982"/>
    <s v="Normal Working Days before 10pm"/>
    <s v="Total: 399 Policies (Batch 20170818_2228: 12 Policies; 20170821_1138: 388 Policies)"/>
    <s v=""/>
    <x v="7"/>
  </r>
  <r>
    <x v="0"/>
    <x v="0"/>
    <d v="2017-08-22T00:00:00"/>
    <s v="Tue"/>
    <d v="1899-12-30T17:30:00"/>
    <d v="1899-12-30T21:30:00"/>
    <n v="8.0000000000000036"/>
    <n v="3.9999999999999822"/>
    <n v="3.9999999999999822"/>
    <s v="Normal Working Days before 10pm"/>
    <s v="Total: 1601 Policies (Batch 20170821_1431: 280 Policies; 20170821_2254: 871 Policies, 20170821_1118: 450 Policies)"/>
    <n v="1"/>
    <x v="7"/>
  </r>
  <r>
    <x v="0"/>
    <x v="2"/>
    <d v="2017-08-22T00:00:00"/>
    <s v="Tue"/>
    <d v="1899-12-30T17:30:00"/>
    <d v="1899-12-30T21:30:00"/>
    <n v="8.0000000000000036"/>
    <n v="3.9999999999999822"/>
    <n v="3.9999999999999822"/>
    <s v="Normal Working Days before 10pm"/>
    <s v="Total: 1601 Policies (Batch 20170821_1431: 280 Policies; 20170821_2254: 871 Policies, 20170821_1118: 450 Policies)"/>
    <n v="1"/>
    <x v="7"/>
  </r>
  <r>
    <x v="0"/>
    <x v="6"/>
    <d v="2017-08-22T00:00:00"/>
    <s v="Tue"/>
    <d v="1899-12-30T17:30:00"/>
    <d v="1899-12-30T21:30:00"/>
    <n v="8.0000000000000036"/>
    <n v="3.9999999999999822"/>
    <n v="3.9999999999999822"/>
    <s v="Normal Working Days before 10pm"/>
    <s v="Total: 1601 Policies (Batch 20170821_1431: 280 Policies; 20170821_2254: 871 Policies, 20170821_1118: 450 Policies)"/>
    <n v="1"/>
    <x v="7"/>
  </r>
  <r>
    <x v="0"/>
    <x v="15"/>
    <d v="2017-08-22T00:00:00"/>
    <s v="Tue"/>
    <d v="1899-12-30T17:30:00"/>
    <d v="1899-12-30T21:30:00"/>
    <n v="8.0000000000000036"/>
    <n v="3.9999999999999822"/>
    <n v="3.9999999999999822"/>
    <s v="Normal Working Days before 10pm"/>
    <s v="Total: 1601 Policies (Batch 20170821_1431: 280 Policies; 20170821_2254: 871 Policies, 20170821_1118: 450 Policies)"/>
    <n v="1"/>
    <x v="7"/>
  </r>
  <r>
    <x v="0"/>
    <x v="16"/>
    <d v="2017-08-22T00:00:00"/>
    <s v="Tue"/>
    <d v="1899-12-30T17:30:00"/>
    <d v="1899-12-30T21:30:00"/>
    <n v="8.0000000000000036"/>
    <n v="3.9999999999999822"/>
    <n v="3.9999999999999822"/>
    <s v="Normal Working Days before 10pm"/>
    <s v="Total: 1601 Policies (Batch 20170821_1431: 280 Policies; 20170821_2254: 871 Policies, 20170821_1118: 450 Policies)"/>
    <n v="1"/>
    <x v="7"/>
  </r>
  <r>
    <x v="1"/>
    <x v="12"/>
    <d v="2017-08-22T00:00:00"/>
    <s v="Tue"/>
    <d v="1899-12-30T11:00:00"/>
    <d v="1899-12-30T21:30:00"/>
    <n v="0"/>
    <n v="9.5000000000000018"/>
    <n v="9.5000000000000018"/>
    <s v="Normal Working Days before 10pm"/>
    <s v="Total: 1601 Policies (Batch 20170821_1431: 280 Policies; 20170821_2254: 871 Policies, 20170821_1118: 450 Policies)"/>
    <s v=""/>
    <x v="7"/>
  </r>
  <r>
    <x v="1"/>
    <x v="19"/>
    <d v="2017-08-22T00:00:00"/>
    <s v="Tue"/>
    <d v="1899-12-30T10:30:00"/>
    <d v="1899-12-30T21:30:00"/>
    <n v="0"/>
    <n v="9.9999999999999929"/>
    <n v="9.9999999999999929"/>
    <s v="Normal Working Days before 10pm"/>
    <s v="Total: 1601 Policies (Batch 20170821_1431: 280 Policies; 20170821_2254: 871 Policies, 20170821_1118: 450 Policies)"/>
    <s v=""/>
    <x v="7"/>
  </r>
  <r>
    <x v="1"/>
    <x v="17"/>
    <d v="2017-08-22T00:00:00"/>
    <s v="Tue"/>
    <d v="1899-12-30T17:30:00"/>
    <d v="1899-12-30T19:30:00"/>
    <m/>
    <n v="2.0000000000000009"/>
    <m/>
    <s v="Normal Working Days before 10pm"/>
    <s v="Planet Press Support"/>
    <s v=""/>
    <x v="7"/>
  </r>
  <r>
    <x v="0"/>
    <x v="0"/>
    <d v="2017-08-23T00:00:00"/>
    <s v="Wed"/>
    <d v="1899-12-30T18:00:00"/>
    <d v="1899-12-30T21:00:00"/>
    <n v="8.0000000000000036"/>
    <n v="2.9999999999999964"/>
    <n v="2.9999999999999964"/>
    <s v="Normal Working Days before 10pm"/>
    <s v="Total: 1199 Policies (Batch 20170822_1431: 186 Policies, Batch 20170822_2304: 1013 Policies)"/>
    <n v="1"/>
    <x v="7"/>
  </r>
  <r>
    <x v="0"/>
    <x v="2"/>
    <d v="2017-08-23T00:00:00"/>
    <s v="Wed"/>
    <d v="1899-12-30T17:30:00"/>
    <d v="1899-12-30T21:00:00"/>
    <n v="8.0000000000000036"/>
    <n v="3.4999999999999893"/>
    <n v="3.4999999999999893"/>
    <s v="Normal Working Days before 10pm"/>
    <s v="Total: 1199 Policies (Batch 20170822_1431: 186 Policies, Batch 20170822_2304: 1013 Policies)"/>
    <n v="1"/>
    <x v="7"/>
  </r>
  <r>
    <x v="0"/>
    <x v="6"/>
    <d v="2017-08-23T00:00:00"/>
    <s v="Wed"/>
    <d v="1899-12-30T17:30:00"/>
    <d v="1899-12-30T21:00:00"/>
    <n v="8.0000000000000036"/>
    <n v="3.4999999999999893"/>
    <n v="3.4999999999999893"/>
    <s v="Normal Working Days before 10pm"/>
    <s v="Total: 1199 Policies (Batch 20170822_1431: 186 Policies, Batch 20170822_2304: 1013 Policies)"/>
    <n v="1"/>
    <x v="7"/>
  </r>
  <r>
    <x v="0"/>
    <x v="15"/>
    <d v="2017-08-23T00:00:00"/>
    <s v="Wed"/>
    <d v="1899-12-30T17:30:00"/>
    <d v="1899-12-30T21:00:00"/>
    <n v="8.0000000000000036"/>
    <n v="3.4999999999999893"/>
    <n v="3.4999999999999893"/>
    <s v="Normal Working Days before 10pm"/>
    <s v="Total: 1199 Policies (Batch 20170822_1431: 186 Policies, Batch 20170822_2304: 1013 Policies)"/>
    <n v="1"/>
    <x v="7"/>
  </r>
  <r>
    <x v="0"/>
    <x v="16"/>
    <d v="2017-08-23T00:00:00"/>
    <s v="Wed"/>
    <d v="1899-12-30T17:30:00"/>
    <d v="1899-12-30T21:00:00"/>
    <n v="8.0000000000000036"/>
    <n v="3.4999999999999893"/>
    <n v="3.4999999999999893"/>
    <s v="Normal Working Days before 10pm"/>
    <s v="Total: 1199 Policies (Batch 20170822_1431: 186 Policies, Batch 20170822_2304: 1013 Policies)"/>
    <n v="1"/>
    <x v="7"/>
  </r>
  <r>
    <x v="1"/>
    <x v="11"/>
    <d v="2017-08-23T00:00:00"/>
    <s v="Wed"/>
    <d v="1899-12-30T18:30:00"/>
    <d v="1899-12-30T21:00:00"/>
    <n v="0"/>
    <n v="2.5000000000000071"/>
    <n v="2.5000000000000071"/>
    <s v="Normal Working Days before 10pm"/>
    <s v="Total: 1199 Policies (Batch 20170822_1431: 186 Policies, Batch 20170822_2304: 1013 Policies)"/>
    <s v=""/>
    <x v="7"/>
  </r>
  <r>
    <x v="1"/>
    <x v="14"/>
    <d v="2017-08-23T00:00:00"/>
    <s v="Wed"/>
    <d v="1899-12-30T18:30:00"/>
    <d v="1899-12-30T21:00:00"/>
    <n v="0"/>
    <n v="2.5000000000000071"/>
    <n v="2.5000000000000071"/>
    <s v="Normal Working Days before 10pm"/>
    <s v="Total: 1199 Policies (Batch 20170822_1431: 186 Policies, Batch 20170822_2304: 1013 Policies)"/>
    <s v=""/>
    <x v="7"/>
  </r>
  <r>
    <x v="1"/>
    <x v="12"/>
    <d v="2017-08-23T00:00:00"/>
    <s v="Wed"/>
    <d v="1899-12-30T18:30:00"/>
    <d v="1899-12-30T21:00:00"/>
    <n v="0"/>
    <n v="2.5000000000000071"/>
    <n v="2.5000000000000071"/>
    <s v="Normal Working Days before 10pm"/>
    <s v="Total: 1199 Policies (Batch 20170822_1431: 186 Policies, Batch 20170822_2304: 1013 Policies)"/>
    <s v=""/>
    <x v="7"/>
  </r>
  <r>
    <x v="1"/>
    <x v="19"/>
    <d v="2017-08-23T00:00:00"/>
    <s v="Wed"/>
    <d v="1899-12-30T08:30:00"/>
    <d v="1899-12-30T21:00:00"/>
    <n v="0"/>
    <n v="11.499999999999993"/>
    <n v="11.499999999999993"/>
    <s v="Normal Working Days before 10pm"/>
    <s v="Total: 1199 Policies (Batch 20170822_1431: 186 Policies, Batch 20170822_2304: 1013 Policies)"/>
    <s v=""/>
    <x v="7"/>
  </r>
  <r>
    <x v="0"/>
    <x v="0"/>
    <d v="2017-08-24T00:00:00"/>
    <s v="Thu"/>
    <d v="1899-12-30T17:00:00"/>
    <d v="1899-12-30T21:00:00"/>
    <n v="8.0000000000000036"/>
    <n v="4.0000000000000036"/>
    <n v="4.0000000000000036"/>
    <s v="Normal Working Days before 10pm"/>
    <s v="Total: 1065 Policies (Batch 20170823_1121: 193 Policies, Batch 20170823_1452: 188 Policies, Batch 20170823_2218: 179 Policies, Batch 20170824_1151: 439 Policies, Batch 20170824_1515: 66 Policies)"/>
    <n v="1"/>
    <x v="7"/>
  </r>
  <r>
    <x v="0"/>
    <x v="2"/>
    <d v="2017-08-24T00:00:00"/>
    <s v="Thu"/>
    <d v="1899-12-30T17:00:00"/>
    <d v="1899-12-30T21:00:00"/>
    <n v="8.0000000000000036"/>
    <n v="4.0000000000000036"/>
    <n v="4.0000000000000036"/>
    <s v="Normal Working Days before 10pm"/>
    <s v="Total: 1065 Policies (Batch 20170823_1121: 193 Policies, Batch 20170823_1452: 188 Policies, Batch 20170823_2218: 179 Policies, Batch 20170824_1151: 439 Policies, Batch 20170824_1515: 66 Policies)"/>
    <n v="1"/>
    <x v="7"/>
  </r>
  <r>
    <x v="0"/>
    <x v="6"/>
    <d v="2017-08-24T00:00:00"/>
    <s v="Thu"/>
    <d v="1899-12-30T17:00:00"/>
    <d v="1899-12-30T21:00:00"/>
    <n v="8.0000000000000036"/>
    <n v="4.0000000000000036"/>
    <n v="4.0000000000000036"/>
    <s v="Normal Working Days before 10pm"/>
    <s v="Total: 1065 Policies (Batch 20170823_1121: 193 Policies, Batch 20170823_1452: 188 Policies, Batch 20170823_2218: 179 Policies, Batch 20170824_1151: 439 Policies, Batch 20170824_1515: 66 Policies)"/>
    <n v="1"/>
    <x v="7"/>
  </r>
  <r>
    <x v="0"/>
    <x v="15"/>
    <d v="2017-08-24T00:00:00"/>
    <s v="Thu"/>
    <d v="1899-12-30T17:00:00"/>
    <d v="1899-12-30T21:00:00"/>
    <n v="8.0000000000000036"/>
    <n v="4.0000000000000036"/>
    <n v="4.0000000000000036"/>
    <s v="Normal Working Days before 10pm"/>
    <s v="Total: 1065 Policies (Batch 20170823_1121: 193 Policies, Batch 20170823_1452: 188 Policies, Batch 20170823_2218: 179 Policies, Batch 20170824_1151: 439 Policies, Batch 20170824_1515: 66 Policies)"/>
    <n v="1"/>
    <x v="7"/>
  </r>
  <r>
    <x v="0"/>
    <x v="16"/>
    <d v="2017-08-24T00:00:00"/>
    <s v="Thu"/>
    <d v="1899-12-30T17:00:00"/>
    <d v="1899-12-30T21:00:00"/>
    <n v="8.0000000000000036"/>
    <n v="4.0000000000000036"/>
    <n v="4.0000000000000036"/>
    <s v="Normal Working Days before 10pm"/>
    <s v="Total: 1065 Policies (Batch 20170823_1121: 193 Policies, Batch 20170823_1452: 188 Policies, Batch 20170823_2218: 179 Policies, Batch 20170824_1151: 439 Policies, Batch 20170824_1515: 66 Policies)"/>
    <n v="1"/>
    <x v="7"/>
  </r>
  <r>
    <x v="1"/>
    <x v="14"/>
    <d v="2017-08-24T00:00:00"/>
    <s v="Thu"/>
    <d v="1899-12-30T12:30:00"/>
    <d v="1899-12-30T21:00:00"/>
    <n v="0"/>
    <n v="7.5000000000000071"/>
    <n v="7.5000000000000071"/>
    <s v="Normal Working Days before 10pm"/>
    <s v="Total: 1065 Policies (Batch 20170823_1121: 193 Policies, Batch 20170823_1452: 188 Policies, Batch 20170823_2218: 179 Policies, Batch 20170824_1151: 439 Policies, Batch 20170824_1515: 66 Policies)"/>
    <s v=""/>
    <x v="7"/>
  </r>
  <r>
    <x v="1"/>
    <x v="12"/>
    <d v="2017-08-24T00:00:00"/>
    <s v="Thu"/>
    <d v="1899-12-30T08:00:00"/>
    <d v="1899-12-30T21:00:00"/>
    <n v="0"/>
    <n v="12.000000000000007"/>
    <n v="12.000000000000007"/>
    <s v="Normal Working Days before 10pm"/>
    <s v="Total: 1065 Policies (Batch 20170823_1121: 193 Policies, Batch 20170823_1452: 188 Policies, Batch 20170823_2218: 179 Policies, Batch 20170824_1151: 439 Policies, Batch 20170824_1515: 66 Policies)"/>
    <s v=""/>
    <x v="7"/>
  </r>
  <r>
    <x v="1"/>
    <x v="19"/>
    <d v="2017-08-24T00:00:00"/>
    <s v="Thu"/>
    <d v="1899-12-30T10:30:00"/>
    <d v="1899-12-30T21:00:00"/>
    <n v="0"/>
    <n v="9.5"/>
    <n v="9.5"/>
    <s v="Normal Working Days before 10pm"/>
    <s v="Total: 1065 Policies (Batch 20170823_1121: 193 Policies, Batch 20170823_1452: 188 Policies, Batch 20170823_2218: 179 Policies, Batch 20170824_1151: 439 Policies, Batch 20170824_1515: 66 Policies)"/>
    <s v=""/>
    <x v="7"/>
  </r>
  <r>
    <x v="1"/>
    <x v="17"/>
    <d v="2017-08-24T00:00:00"/>
    <s v="Thu"/>
    <d v="1899-12-30T17:30:00"/>
    <d v="1899-12-30T19:30:00"/>
    <m/>
    <n v="2.0000000000000009"/>
    <m/>
    <s v="Normal Working Days before 10pm"/>
    <s v="Planet Press Support"/>
    <s v=""/>
    <x v="7"/>
  </r>
  <r>
    <x v="0"/>
    <x v="2"/>
    <d v="2017-08-26T00:00:00"/>
    <s v="Sat"/>
    <d v="1899-12-30T08:30:00"/>
    <d v="1899-12-30T17:30:00"/>
    <n v="8.0000000000000036"/>
    <m/>
    <n v="8.0000000000000036"/>
    <s v="Saturday/Sunday (Weekends) before 10pm"/>
    <s v="Total: 469 Policies (Batch 20170825_2128: 325 Policies; 20170826_1110: 74 Policies; 20170826_1433: 70 Policies)"/>
    <m/>
    <x v="7"/>
  </r>
  <r>
    <x v="0"/>
    <x v="6"/>
    <d v="2017-08-26T00:00:00"/>
    <s v="Sat"/>
    <d v="1899-12-30T08:30:00"/>
    <d v="1899-12-30T17:30:00"/>
    <n v="8.0000000000000036"/>
    <m/>
    <n v="8.0000000000000036"/>
    <s v="Saturday/Sunday (Weekends) before 10pm"/>
    <s v="Total: 469 Policies (Batch 20170825_2128: 325 Policies; 20170826_1110: 74 Policies; 20170826_1433: 70 Policies)"/>
    <m/>
    <x v="7"/>
  </r>
  <r>
    <x v="0"/>
    <x v="16"/>
    <d v="2017-08-26T00:00:00"/>
    <s v="Sat"/>
    <d v="1899-12-30T08:30:00"/>
    <d v="1899-12-30T17:30:00"/>
    <n v="8.0000000000000036"/>
    <m/>
    <n v="8.0000000000000036"/>
    <s v="Saturday/Sunday (Weekends) before 10pm"/>
    <s v="Total: 469 Policies (Batch 20170825_2128: 325 Policies; 20170826_1110: 74 Policies; 20170826_1433: 70 Policies)"/>
    <m/>
    <x v="7"/>
  </r>
  <r>
    <x v="1"/>
    <x v="5"/>
    <d v="2017-08-26T00:00:00"/>
    <s v="Sat"/>
    <d v="1899-12-30T08:30:00"/>
    <d v="1899-12-30T17:30:00"/>
    <n v="0"/>
    <n v="7.9999999999999982"/>
    <n v="7.9999999999999982"/>
    <s v="Saturday/Sunday (Weekends) before 10pm"/>
    <s v="Total: 469 Policies (Batch 20170825_2128: 325 Policies; 20170826_1110: 74 Policies; 20170826_1433: 70 Policies)"/>
    <s v=""/>
    <x v="7"/>
  </r>
  <r>
    <x v="1"/>
    <x v="12"/>
    <d v="2017-08-26T00:00:00"/>
    <s v="Sat"/>
    <d v="1899-12-30T08:30:00"/>
    <d v="1899-12-30T17:30:00"/>
    <n v="0"/>
    <n v="7.9999999999999982"/>
    <n v="7.9999999999999982"/>
    <s v="Saturday/Sunday (Weekends) before 10pm"/>
    <s v="Total: 469 Policies (Batch 20170825_2128: 325 Policies; 20170826_1110: 74 Policies; 20170826_1433: 70 Policies)"/>
    <s v=""/>
    <x v="7"/>
  </r>
  <r>
    <x v="1"/>
    <x v="19"/>
    <d v="2017-08-26T00:00:00"/>
    <s v="Sat"/>
    <d v="1899-12-30T08:30:00"/>
    <d v="1899-12-30T17:30:00"/>
    <n v="0"/>
    <n v="7.9999999999999982"/>
    <n v="7.9999999999999982"/>
    <s v="Saturday/Sunday (Weekends) before 10pm"/>
    <s v="Total: 469 Policies (Batch 20170825_2128: 325 Policies; 20170826_1110: 74 Policies)"/>
    <s v=""/>
    <x v="7"/>
  </r>
  <r>
    <x v="0"/>
    <x v="0"/>
    <d v="2017-08-28T00:00:00"/>
    <s v="Mon"/>
    <d v="1899-12-30T17:30:00"/>
    <d v="1899-12-30T20:30:00"/>
    <n v="8.0000000000000036"/>
    <n v="2.9999999999999947"/>
    <n v="2.9999999999999947"/>
    <s v="Normal Working Days before 10pm"/>
    <s v="Total: 1087 Policies (Batch 20170827_0949: 355 Policies; 20170827_2146: 299 Policies, 20170828_1121: 256 Policies, 20170828_1451: 177 Policies)"/>
    <n v="1"/>
    <x v="7"/>
  </r>
  <r>
    <x v="0"/>
    <x v="6"/>
    <d v="2017-08-28T00:00:00"/>
    <s v="Mon"/>
    <d v="1899-12-30T17:00:00"/>
    <d v="1899-12-30T20:30:00"/>
    <n v="8.0000000000000036"/>
    <n v="3.5000000000000107"/>
    <n v="3.5000000000000107"/>
    <s v="Normal Working Days before 10pm"/>
    <s v="Total: 1087 Policies (Batch 20170827_0949: 355 Policies; 20170827_2146: 299 Policies, 20170828_1121: 256 Policies, 20170828_1451: 177 Policies)"/>
    <n v="1"/>
    <x v="7"/>
  </r>
  <r>
    <x v="0"/>
    <x v="15"/>
    <d v="2017-08-28T00:00:00"/>
    <s v="Mon"/>
    <d v="1899-12-30T17:30:00"/>
    <d v="1899-12-30T20:30:00"/>
    <n v="8.0000000000000036"/>
    <n v="2.9999999999999947"/>
    <n v="2.9999999999999947"/>
    <s v="Normal Working Days before 10pm"/>
    <s v="Total: 1087 Policies (Batch 20170827_0949: 355 Policies; 20170827_2146: 299 Policies, 20170828_1121: 256 Policies, 20170828_1451: 177 Policies)"/>
    <n v="1"/>
    <x v="7"/>
  </r>
  <r>
    <x v="0"/>
    <x v="16"/>
    <d v="2017-08-28T00:00:00"/>
    <s v="Mon"/>
    <d v="1899-12-30T17:30:00"/>
    <d v="1899-12-30T20:30:00"/>
    <n v="8.0000000000000036"/>
    <n v="2.9999999999999947"/>
    <n v="2.9999999999999947"/>
    <s v="Normal Working Days before 10pm"/>
    <s v="Total: 1087 Policies (Batch 20170827_0949: 355 Policies; 20170827_2146: 299 Policies, 20170828_1121: 256 Policies, 20170828_1451: 177 Policies)"/>
    <n v="1"/>
    <x v="7"/>
  </r>
  <r>
    <x v="1"/>
    <x v="5"/>
    <d v="2017-08-28T00:00:00"/>
    <s v="Mon"/>
    <d v="1899-12-30T08:30:00"/>
    <d v="1899-12-30T20:30:00"/>
    <n v="0"/>
    <n v="10.999999999999998"/>
    <n v="10.999999999999998"/>
    <s v="Normal Working Days before 10pm"/>
    <s v="Total: 1087 Policies (Batch 20170827_0949: 355 Policies; 20170827_2146: 299 Policies, 20170828_1121: 256 Policies, 20170828_1451: 177 Policies)"/>
    <s v=""/>
    <x v="7"/>
  </r>
  <r>
    <x v="1"/>
    <x v="12"/>
    <d v="2017-08-28T00:00:00"/>
    <s v="Mon"/>
    <d v="1899-12-30T08:30:00"/>
    <d v="1899-12-30T20:30:00"/>
    <n v="0"/>
    <n v="10.999999999999998"/>
    <n v="10.999999999999998"/>
    <s v="Normal Working Days before 10pm"/>
    <s v="Total: 1087 Policies (Batch 20170827_0949: 355 Policies; 20170827_2146: 299 Policies, 20170828_1121: 256 Policies, 20170828_1451: 177 Policies)"/>
    <s v=""/>
    <x v="7"/>
  </r>
  <r>
    <x v="1"/>
    <x v="19"/>
    <d v="2017-08-28T00:00:00"/>
    <s v="Mon"/>
    <d v="1899-12-30T08:30:00"/>
    <d v="1899-12-30T20:30:00"/>
    <n v="0"/>
    <n v="10.999999999999998"/>
    <n v="10.999999999999998"/>
    <s v="Normal Working Days before 10pm"/>
    <s v="Total: 1087 Policies (Batch 20170827_0949: 355 Policies; 20170827_2146: 299 Policies, 20170828_1121: 256 Policies, 20170828_1451: 177 Policies)"/>
    <s v=""/>
    <x v="7"/>
  </r>
  <r>
    <x v="0"/>
    <x v="0"/>
    <d v="2017-08-29T00:00:00"/>
    <s v="Tue"/>
    <d v="1899-12-30T17:30:00"/>
    <d v="1899-12-30T20:30:00"/>
    <n v="8.0000000000000036"/>
    <n v="2.9999999999999947"/>
    <n v="2.9999999999999947"/>
    <s v="Normal Working Days before 10pm"/>
    <s v="Total: 1297 Policies (Batch 20170828_2232: 638 Policies, Batch 20170829_1113: 349 Policies, Batch 20170829_1436: 309 Policies)"/>
    <n v="1"/>
    <x v="7"/>
  </r>
  <r>
    <x v="0"/>
    <x v="2"/>
    <d v="2017-08-29T00:00:00"/>
    <s v="Tue"/>
    <d v="1899-12-30T17:30:00"/>
    <d v="1899-12-30T20:30:00"/>
    <n v="8.0000000000000036"/>
    <n v="2.9999999999999947"/>
    <n v="2.9999999999999947"/>
    <s v="Normal Working Days before 10pm"/>
    <s v="Total: 1297 Policies (Batch 20170828_2232: 638 Policies, Batch 20170829_1113: 349 Policies, Batch 20170829_1436: 309 Policies)"/>
    <n v="1"/>
    <x v="7"/>
  </r>
  <r>
    <x v="0"/>
    <x v="15"/>
    <d v="2017-08-29T00:00:00"/>
    <s v="Tue"/>
    <d v="1899-12-30T17:30:00"/>
    <d v="1899-12-30T20:30:00"/>
    <n v="8.0000000000000036"/>
    <n v="2.9999999999999947"/>
    <n v="2.9999999999999947"/>
    <s v="Normal Working Days before 10pm"/>
    <s v="Total: 1297 Policies (Batch 20170828_2232: 638 Policies, Batch 20170829_1113: 349 Policies, Batch 20170829_1436: 309 Policies)"/>
    <n v="1"/>
    <x v="7"/>
  </r>
  <r>
    <x v="0"/>
    <x v="16"/>
    <d v="2017-08-29T00:00:00"/>
    <s v="Tue"/>
    <d v="1899-12-30T17:30:00"/>
    <d v="1899-12-30T20:30:00"/>
    <n v="8.0000000000000036"/>
    <n v="2.9999999999999947"/>
    <n v="2.9999999999999947"/>
    <s v="Normal Working Days before 10pm"/>
    <s v="Total: 1297 Policies (Batch 20170828_2232: 638 Policies, Batch 20170829_1113: 349 Policies, Batch 20170829_1436: 309 Policies)"/>
    <n v="1"/>
    <x v="7"/>
  </r>
  <r>
    <x v="1"/>
    <x v="5"/>
    <d v="2017-08-29T00:00:00"/>
    <s v="Tue"/>
    <d v="1899-12-30T08:30:00"/>
    <d v="1899-12-30T20:30:00"/>
    <n v="0"/>
    <n v="10.999999999999998"/>
    <n v="10.999999999999998"/>
    <s v="Normal Working Days before 10pm"/>
    <s v="Total: 1297 Policies (Batch 20170828_2232: 638 Policies, Batch 20170829_1113: 349 Policies, Batch 20170829_1436: 309 Policies)"/>
    <s v=""/>
    <x v="7"/>
  </r>
  <r>
    <x v="1"/>
    <x v="11"/>
    <d v="2017-08-29T00:00:00"/>
    <s v="Tue"/>
    <d v="1899-12-30T08:30:00"/>
    <d v="1899-12-30T20:30:00"/>
    <n v="0"/>
    <n v="10.999999999999998"/>
    <n v="10.999999999999998"/>
    <s v="Normal Working Days before 10pm"/>
    <s v="Total: 1297 Policies (Batch 20170828_2232: 638 Policies, Batch 20170829_1113: 349 Policies, Batch 20170829_1436: 309 Policies)"/>
    <s v=""/>
    <x v="7"/>
  </r>
  <r>
    <x v="1"/>
    <x v="14"/>
    <d v="2017-08-29T00:00:00"/>
    <s v="Tue"/>
    <d v="1899-12-30T08:30:00"/>
    <d v="1899-12-30T20:30:00"/>
    <n v="0"/>
    <n v="10.999999999999998"/>
    <n v="10.999999999999998"/>
    <s v="Normal Working Days before 10pm"/>
    <s v="Total: 1297 Policies (Batch 20170828_2232: 638 Policies, Batch 20170829_1113: 349 Policies, Batch 20170829_1436: 309 Policies)"/>
    <s v=""/>
    <x v="7"/>
  </r>
  <r>
    <x v="1"/>
    <x v="12"/>
    <d v="2017-08-29T00:00:00"/>
    <s v="Tue"/>
    <d v="1899-12-30T08:30:00"/>
    <d v="1899-12-30T20:30:00"/>
    <n v="0"/>
    <n v="10.999999999999998"/>
    <n v="10.999999999999998"/>
    <s v="Normal Working Days before 10pm"/>
    <s v="Total: 1297 Policies (Batch 20170828_2232: 638 Policies, Batch 20170829_1113: 349 Policies, Batch 20170829_1436: 309 Policies)"/>
    <s v=""/>
    <x v="7"/>
  </r>
  <r>
    <x v="0"/>
    <x v="0"/>
    <d v="2017-08-30T00:00:00"/>
    <s v="Wed"/>
    <d v="1899-12-30T17:30:00"/>
    <d v="1899-12-30T20:00:00"/>
    <n v="8.0000000000000036"/>
    <n v="2.4999999999999893"/>
    <n v="2.4999999999999893"/>
    <s v="Normal Working Days before 10pm"/>
    <s v="Total: 1410 Policies (Batch 20170829_2124: 979 Policies, Batch 20170830_1107: 431 Policies)"/>
    <n v="1"/>
    <x v="7"/>
  </r>
  <r>
    <x v="0"/>
    <x v="2"/>
    <d v="2017-08-30T00:00:00"/>
    <s v="Wed"/>
    <d v="1899-12-30T17:00:00"/>
    <d v="1899-12-30T20:00:00"/>
    <n v="8.0000000000000036"/>
    <n v="3.0000000000000071"/>
    <n v="3.0000000000000071"/>
    <s v="Normal Working Days before 10pm"/>
    <s v="Total: 1410 Policies (Batch 20170829_2124: 979 Policies, Batch 20170830_1107: 431 Policies)"/>
    <n v="1"/>
    <x v="7"/>
  </r>
  <r>
    <x v="0"/>
    <x v="15"/>
    <d v="2017-08-30T00:00:00"/>
    <s v="Wed"/>
    <d v="1899-12-30T17:30:00"/>
    <d v="1899-12-30T20:00:00"/>
    <n v="8.0000000000000036"/>
    <n v="2.4999999999999893"/>
    <n v="2.4999999999999893"/>
    <s v="Normal Working Days before 10pm"/>
    <s v="Total: 1410 Policies (Batch 20170829_2124: 979 Policies, Batch 20170830_1107: 431 Policies)"/>
    <n v="1"/>
    <x v="7"/>
  </r>
  <r>
    <x v="0"/>
    <x v="16"/>
    <d v="2017-08-30T00:00:00"/>
    <s v="Wed"/>
    <d v="1899-12-30T17:30:00"/>
    <d v="1899-12-30T20:00:00"/>
    <n v="8.0000000000000036"/>
    <n v="2.4999999999999893"/>
    <n v="2.4999999999999893"/>
    <s v="Normal Working Days before 10pm"/>
    <s v="Total: 1410 Policies (Batch 20170829_2124: 979 Policies, Batch 20170830_1107: 431 Policies)"/>
    <n v="1"/>
    <x v="7"/>
  </r>
  <r>
    <x v="1"/>
    <x v="5"/>
    <d v="2017-08-30T00:00:00"/>
    <s v="Wed"/>
    <d v="1899-12-30T08:30:00"/>
    <d v="1899-12-30T20:00:00"/>
    <n v="0"/>
    <n v="10.499999999999993"/>
    <n v="10.499999999999993"/>
    <s v="Normal Working Days before 10pm"/>
    <s v="Total: 1410 Policies (Batch 20170829_2124: 979 Policies, Batch 20170830_1107: 431 Policies)"/>
    <s v=""/>
    <x v="7"/>
  </r>
  <r>
    <x v="1"/>
    <x v="11"/>
    <d v="2017-08-30T00:00:00"/>
    <s v="Wed"/>
    <d v="1899-12-30T08:30:00"/>
    <d v="1899-12-30T20:00:00"/>
    <n v="0"/>
    <n v="10.499999999999993"/>
    <n v="10.499999999999993"/>
    <s v="Normal Working Days before 10pm"/>
    <s v="Total: 1410 Policies (Batch 20170829_2124: 979 Policies, Batch 20170830_1107: 431 Policies)"/>
    <s v=""/>
    <x v="7"/>
  </r>
  <r>
    <x v="1"/>
    <x v="14"/>
    <d v="2017-08-30T00:00:00"/>
    <s v="Wed"/>
    <d v="1899-12-30T08:30:00"/>
    <d v="1899-12-30T20:00:00"/>
    <n v="0"/>
    <n v="10.499999999999993"/>
    <n v="10.499999999999993"/>
    <s v="Normal Working Days before 10pm"/>
    <s v="Total: 1410 Policies (Batch 20170829_2124: 979 Policies, Batch 20170830_1107: 431 Policies)"/>
    <s v=""/>
    <x v="7"/>
  </r>
  <r>
    <x v="1"/>
    <x v="12"/>
    <d v="2017-08-30T00:00:00"/>
    <s v="Wed"/>
    <d v="1899-12-30T08:30:00"/>
    <d v="1899-12-30T17:00:00"/>
    <n v="0"/>
    <n v="7.499999999999984"/>
    <n v="7.499999999999984"/>
    <s v="Normal Working Days before 10pm"/>
    <s v="Total: 1410 Policies (Batch 20170829_2124: 979 Policies, Batch 20170830_1107: 431 Policies)"/>
    <s v=""/>
    <x v="7"/>
  </r>
  <r>
    <x v="0"/>
    <x v="0"/>
    <d v="2017-08-31T00:00:00"/>
    <s v="Thu"/>
    <d v="1899-12-30T17:30:00"/>
    <d v="1899-12-30T21:30:00"/>
    <n v="8.0000000000000036"/>
    <n v="3.9999999999999876"/>
    <n v="3.9999999999999876"/>
    <s v="Normal Working Days before 10pm"/>
    <s v="Total: 1849 Policies (Batch 20170830_1434: 267 Policies, Batch 20170830_2044: 659 Policies, Batch 20170831_1144: 923 Policies)"/>
    <n v="1"/>
    <x v="7"/>
  </r>
  <r>
    <x v="0"/>
    <x v="6"/>
    <d v="2017-08-31T00:00:00"/>
    <s v="Thu"/>
    <d v="1899-12-30T17:30:00"/>
    <d v="1899-12-30T21:30:00"/>
    <n v="8.0000000000000036"/>
    <n v="3.9999999999999876"/>
    <n v="3.9999999999999876"/>
    <s v="Normal Working Days before 10pm"/>
    <s v="Total: 1849 Policies (Batch 20170830_1434: 267 Policies, Batch 20170830_2044: 659 Policies, Batch 20170831_1144: 923 Policies)"/>
    <n v="1"/>
    <x v="7"/>
  </r>
  <r>
    <x v="0"/>
    <x v="15"/>
    <d v="2017-08-31T00:00:00"/>
    <s v="Thu"/>
    <d v="1899-12-30T17:30:00"/>
    <d v="1899-12-30T21:30:00"/>
    <n v="8.0000000000000036"/>
    <n v="3.9999999999999876"/>
    <n v="3.9999999999999876"/>
    <s v="Normal Working Days before 10pm"/>
    <s v="Total: 1849 Policies (Batch 20170830_1434: 267 Policies, Batch 20170830_2044: 659 Policies, Batch 20170831_1144: 923 Policies)"/>
    <n v="1"/>
    <x v="7"/>
  </r>
  <r>
    <x v="0"/>
    <x v="16"/>
    <d v="2017-08-31T00:00:00"/>
    <s v="Thu"/>
    <d v="1899-12-30T17:30:00"/>
    <d v="1899-12-30T21:30:00"/>
    <n v="8.0000000000000036"/>
    <n v="3.9999999999999876"/>
    <n v="3.9999999999999876"/>
    <s v="Normal Working Days before 10pm"/>
    <s v="Total: 1849 Policies (Batch 20170830_1434: 267 Policies, Batch 20170830_2044: 659 Policies, Batch 20170831_1144: 923 Policies)"/>
    <n v="1"/>
    <x v="7"/>
  </r>
  <r>
    <x v="1"/>
    <x v="5"/>
    <d v="2017-08-31T00:00:00"/>
    <s v="Thu"/>
    <d v="1899-12-30T08:30:00"/>
    <d v="1899-12-30T21:30:00"/>
    <n v="0"/>
    <n v="11.999999999999991"/>
    <n v="11.999999999999991"/>
    <s v="Normal Working Days before 10pm"/>
    <s v="Total: 1849 Policies (Batch 20170830_1434: 267 Policies, Batch 20170830_2044: 659 Policies, Batch 20170831_1144: 923 Policies)"/>
    <s v=""/>
    <x v="7"/>
  </r>
  <r>
    <x v="1"/>
    <x v="11"/>
    <d v="2017-08-31T00:00:00"/>
    <s v="Thu"/>
    <d v="1899-12-30T08:30:00"/>
    <d v="1899-12-30T21:30:00"/>
    <n v="0"/>
    <n v="11.999999999999991"/>
    <n v="11.999999999999991"/>
    <s v="Normal Working Days before 10pm"/>
    <s v="Total: 1849 Policies (Batch 20170830_1434: 267 Policies, Batch 20170830_2044: 659 Policies, Batch 20170831_1144: 923 Policies)"/>
    <s v=""/>
    <x v="7"/>
  </r>
  <r>
    <x v="1"/>
    <x v="14"/>
    <d v="2017-08-31T00:00:00"/>
    <s v="Thu"/>
    <d v="1899-12-30T08:30:00"/>
    <d v="1899-12-30T17:30:00"/>
    <n v="0"/>
    <n v="7.9999999999999911"/>
    <n v="7.9999999999999911"/>
    <s v="Normal Working Days before 10pm"/>
    <s v="Total: 1849 Policies (Batch 20170830_1434: 267 Policies, Batch 20170830_2044: 659 Policies, Batch 20170831_1144: 923 Policies)"/>
    <s v=""/>
    <x v="7"/>
  </r>
  <r>
    <x v="1"/>
    <x v="12"/>
    <d v="2017-08-31T00:00:00"/>
    <s v="Thu"/>
    <d v="1899-12-30T08:30:00"/>
    <d v="1899-12-30T21:30:00"/>
    <n v="0"/>
    <n v="11.999999999999991"/>
    <n v="11.999999999999991"/>
    <s v="Normal Working Days before 10pm"/>
    <s v="Total: 1849 Policies (Batch 20170830_1434: 267 Policies, Batch 20170830_2044: 659 Policies, Batch 20170831_1144: 923 Policies)"/>
    <s v=""/>
    <x v="7"/>
  </r>
  <r>
    <x v="0"/>
    <x v="0"/>
    <d v="2017-09-01T00:00:00"/>
    <s v="Fri"/>
    <d v="1899-12-30T17:30:00"/>
    <d v="1899-12-30T21:30:00"/>
    <n v="8.0000000000000036"/>
    <n v="3.9999999999999822"/>
    <n v="3.9999999999999822"/>
    <s v="Normal Working Days before 10pm"/>
    <s v="Backlog 600/923 Policies (Batch 20170831_1144) and Total: 1693 Policies (Batch 20170831_1641: 402 Policies, Batch 20170831_2322: 1293 Policies)"/>
    <n v="1"/>
    <x v="8"/>
  </r>
  <r>
    <x v="0"/>
    <x v="2"/>
    <d v="2017-09-01T00:00:00"/>
    <s v="Fri"/>
    <d v="1899-12-30T17:30:00"/>
    <d v="1899-12-30T21:30:00"/>
    <n v="8.0000000000000036"/>
    <n v="3.9999999999999822"/>
    <n v="3.9999999999999822"/>
    <s v="Normal Working Days before 10pm"/>
    <s v="Backlog 600/923 Policies (Batch 20170831_1144) and Total: 1693 Policies (Batch 20170831_1641: 402 Policies, Batch 20170831_2322: 1293 Policies)"/>
    <n v="1"/>
    <x v="8"/>
  </r>
  <r>
    <x v="0"/>
    <x v="6"/>
    <d v="2017-09-01T00:00:00"/>
    <s v="Fri"/>
    <d v="1899-12-30T17:30:00"/>
    <d v="1899-12-30T21:00:00"/>
    <n v="8.0000000000000036"/>
    <n v="3.4999999999999893"/>
    <n v="3.4999999999999893"/>
    <s v="Normal Working Days before 10pm"/>
    <s v="Backlog 600/923 Policies (Batch 20170831_1144) and Total: 1693 Policies (Batch 20170831_1641: 402 Policies, Batch 20170831_2322: 1293 Policies)"/>
    <n v="1"/>
    <x v="8"/>
  </r>
  <r>
    <x v="0"/>
    <x v="15"/>
    <d v="2017-09-01T00:00:00"/>
    <s v="Fri"/>
    <d v="1899-12-30T17:30:00"/>
    <d v="1899-12-30T21:30:00"/>
    <n v="8.0000000000000036"/>
    <n v="3.9999999999999822"/>
    <n v="3.9999999999999822"/>
    <s v="Normal Working Days before 10pm"/>
    <s v="Backlog 600/923 Policies (Batch 20170831_1144) and Total: 1693 Policies (Batch 20170831_1641: 402 Policies, Batch 20170831_2322: 1293 Policies)"/>
    <n v="1"/>
    <x v="8"/>
  </r>
  <r>
    <x v="0"/>
    <x v="16"/>
    <d v="2017-09-01T00:00:00"/>
    <s v="Fri"/>
    <d v="1899-12-30T17:30:00"/>
    <d v="1899-12-30T21:30:00"/>
    <n v="8.0000000000000036"/>
    <n v="3.9999999999999822"/>
    <n v="3.9999999999999822"/>
    <s v="Normal Working Days before 10pm"/>
    <s v="Backlog 600/923 Policies (Batch 20170831_1144) and Total: 1693 Policies (Batch 20170831_1641: 402 Policies, Batch 20170831_2322: 1293 Policies)"/>
    <n v="1"/>
    <x v="8"/>
  </r>
  <r>
    <x v="1"/>
    <x v="5"/>
    <d v="2017-09-01T00:00:00"/>
    <s v="Fri"/>
    <d v="1899-12-30T08:30:00"/>
    <d v="1899-12-30T21:30:00"/>
    <n v="0"/>
    <n v="11.999999999999986"/>
    <n v="11.999999999999986"/>
    <s v="Normal Working Days before 10pm"/>
    <s v="Backlog 600/923 Policies (Batch 20170831_1144) and Total: 1693 Policies (Batch 20170831_1641: 402 Policies, Batch 20170831_2322: 1293 Policies)"/>
    <s v=""/>
    <x v="8"/>
  </r>
  <r>
    <x v="1"/>
    <x v="11"/>
    <d v="2017-09-01T00:00:00"/>
    <s v="Fri"/>
    <d v="1899-12-30T08:30:00"/>
    <d v="1899-12-30T17:30:00"/>
    <n v="0"/>
    <n v="7.9999999999999982"/>
    <n v="7.9999999999999982"/>
    <s v="Normal Working Days before 10pm"/>
    <s v="Backlog 600/923 Policies (Batch 20170831_1144) and Total: 1693 Policies (Batch 20170831_1641: 402 Policies, Batch 20170831_2322: 1293 Policies)"/>
    <s v=""/>
    <x v="8"/>
  </r>
  <r>
    <x v="1"/>
    <x v="14"/>
    <d v="2017-09-01T00:00:00"/>
    <s v="Fri"/>
    <d v="1899-12-30T08:30:00"/>
    <d v="1899-12-30T17:30:00"/>
    <n v="0"/>
    <n v="7.9999999999999982"/>
    <n v="7.9999999999999982"/>
    <s v="Normal Working Days before 10pm"/>
    <s v="Backlog 600/923 Policies (Batch 20170831_1144) and Total: 1693 Policies (Batch 20170831_1641: 402 Policies, Batch 20170831_2322: 1293 Policies)"/>
    <s v=""/>
    <x v="8"/>
  </r>
  <r>
    <x v="1"/>
    <x v="12"/>
    <d v="2017-09-01T00:00:00"/>
    <s v="Fri"/>
    <d v="1899-12-30T08:30:00"/>
    <d v="1899-12-30T21:30:00"/>
    <n v="0"/>
    <n v="11.999999999999986"/>
    <n v="11.999999999999986"/>
    <s v="Normal Working Days before 10pm"/>
    <s v="Backlog 600/923 Policies (Batch 20170831_1144) and Total: 1693 Policies (Batch 20170831_1641: 402 Policies, Batch 20170831_2322: 1293 Policies)"/>
    <s v=""/>
    <x v="8"/>
  </r>
  <r>
    <x v="0"/>
    <x v="2"/>
    <d v="2017-09-05T00:00:00"/>
    <s v="Tue"/>
    <d v="1899-12-30T17:30:00"/>
    <d v="1899-12-30T21:30:00"/>
    <n v="8.0000000000000036"/>
    <n v="3.9999999999999822"/>
    <n v="3.9999999999999822"/>
    <s v="Normal Working Days before 10pm"/>
    <s v="Backlog 700/1293 Policies (Batch 20170831_2322) and Total: 674 Policies (Batch 20170831_1024: 674 Policies)"/>
    <n v="1"/>
    <x v="8"/>
  </r>
  <r>
    <x v="0"/>
    <x v="6"/>
    <d v="2017-09-05T00:00:00"/>
    <s v="Tue"/>
    <d v="1899-12-30T17:30:00"/>
    <d v="1899-12-30T21:30:00"/>
    <n v="8.0000000000000036"/>
    <n v="3.9999999999999822"/>
    <n v="3.9999999999999822"/>
    <s v="Normal Working Days before 10pm"/>
    <s v="Backlog 700/1293 Policies (Batch 20170831_2322) and Total: 674 Policies (Batch 20170831_1024: 674 Policies, Batch 20170831_1908: 378 Policies)"/>
    <n v="1"/>
    <x v="8"/>
  </r>
  <r>
    <x v="0"/>
    <x v="15"/>
    <d v="2017-09-05T00:00:00"/>
    <s v="Tue"/>
    <d v="1899-12-30T17:30:00"/>
    <d v="1899-12-30T21:30:00"/>
    <n v="8.0000000000000036"/>
    <n v="3.9999999999999822"/>
    <n v="3.9999999999999822"/>
    <s v="Normal Working Days before 10pm"/>
    <s v="Backlog 700/1293 Policies (Batch 20170831_2322) and Total: 674 Policies (Batch 20170831_1024: 674 Policies, Batch 20170831_1908: 378 Policies)"/>
    <n v="1"/>
    <x v="8"/>
  </r>
  <r>
    <x v="0"/>
    <x v="16"/>
    <d v="2017-09-05T00:00:00"/>
    <s v="Tue"/>
    <d v="1899-12-30T17:30:00"/>
    <d v="1899-12-30T21:30:00"/>
    <n v="8.0000000000000036"/>
    <n v="3.9999999999999822"/>
    <n v="3.9999999999999822"/>
    <s v="Normal Working Days before 10pm"/>
    <s v="Backlog 700/1293 Policies (Batch 20170831_2322) and Total: 674 Policies (Batch 20170831_1024: 674 Policies, Batch 20170831_1908: 378 Policies)"/>
    <n v="1"/>
    <x v="8"/>
  </r>
  <r>
    <x v="1"/>
    <x v="5"/>
    <d v="2017-09-05T00:00:00"/>
    <s v="Tue"/>
    <d v="1899-12-30T08:30:00"/>
    <d v="1899-12-30T21:30:00"/>
    <n v="0"/>
    <n v="11.999999999999986"/>
    <n v="11.999999999999986"/>
    <s v="Normal Working Days before 10pm"/>
    <s v="Backlog 700/1293 Policies (Batch 20170831_2322) and Total: 674 Policies (Batch 20170831_1024: 674 Policies, Batch 20170831_1908: 378 Policies)"/>
    <s v=""/>
    <x v="8"/>
  </r>
  <r>
    <x v="1"/>
    <x v="14"/>
    <d v="2017-09-05T00:00:00"/>
    <s v="Tue"/>
    <d v="1899-12-30T08:30:00"/>
    <d v="1899-12-30T17:30:00"/>
    <n v="0"/>
    <n v="7.9999999999999982"/>
    <n v="7.9999999999999982"/>
    <s v="Normal Working Days before 10pm"/>
    <s v="Backlog 700/1293 Policies (Batch 20170831_2322) and Total: 674 Policies (Batch 20170831_1024: 674 Policies, Batch 20170831_1908: 378 Policies)"/>
    <s v=""/>
    <x v="8"/>
  </r>
  <r>
    <x v="1"/>
    <x v="19"/>
    <d v="2017-09-05T00:00:00"/>
    <s v="Tue"/>
    <d v="1899-12-30T08:30:00"/>
    <d v="1899-12-30T17:30:00"/>
    <n v="0"/>
    <n v="7.9999999999999982"/>
    <n v="7.9999999999999982"/>
    <s v="Normal Working Days before 10pm"/>
    <s v="Backlog 700/1293 Policies (Batch 20170831_2322) and Total: 674 Policies (Batch 20170831_1024: 674 Policies, Batch 20170831_1908: 378 Policies)"/>
    <s v=""/>
    <x v="8"/>
  </r>
  <r>
    <x v="1"/>
    <x v="20"/>
    <d v="2017-09-05T00:00:00"/>
    <s v="Tue"/>
    <d v="1899-12-30T08:30:00"/>
    <d v="1899-12-30T17:30:00"/>
    <n v="0"/>
    <n v="7.9999999999999982"/>
    <n v="7.9999999999999982"/>
    <s v="Normal Working Days before 10pm"/>
    <s v="Backlog 700/1293 Policies (Batch 20170831_2322) and Total: 674 Policies (Batch 20170831_1024: 674 Policies, Batch 20170831_1908: 378 Policies)"/>
    <s v=""/>
    <x v="8"/>
  </r>
  <r>
    <x v="0"/>
    <x v="0"/>
    <d v="2017-09-06T00:00:00"/>
    <s v="Wed"/>
    <d v="1899-12-30T17:30:00"/>
    <d v="1899-12-30T21:00:00"/>
    <n v="8.0000000000000036"/>
    <n v="3.4999999999999893"/>
    <n v="3.4999999999999893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n v="1"/>
    <x v="8"/>
  </r>
  <r>
    <x v="0"/>
    <x v="2"/>
    <d v="2017-09-06T00:00:00"/>
    <s v="Wed"/>
    <d v="1899-12-30T17:30:00"/>
    <d v="1899-12-30T21:00:00"/>
    <n v="8.0000000000000036"/>
    <n v="3.4999999999999893"/>
    <n v="3.4999999999999893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n v="1"/>
    <x v="8"/>
  </r>
  <r>
    <x v="0"/>
    <x v="6"/>
    <d v="2017-09-06T00:00:00"/>
    <s v="Wed"/>
    <d v="1899-12-30T17:30:00"/>
    <d v="1899-12-30T21:00:00"/>
    <n v="8.0000000000000036"/>
    <n v="3.4999999999999893"/>
    <n v="3.4999999999999893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n v="1"/>
    <x v="8"/>
  </r>
  <r>
    <x v="0"/>
    <x v="15"/>
    <d v="2017-09-06T00:00:00"/>
    <s v="Wed"/>
    <d v="1899-12-30T17:30:00"/>
    <d v="1899-12-30T21:00:00"/>
    <n v="8.0000000000000036"/>
    <n v="3.4999999999999893"/>
    <n v="3.4999999999999893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n v="1"/>
    <x v="8"/>
  </r>
  <r>
    <x v="0"/>
    <x v="16"/>
    <d v="2017-09-06T00:00:00"/>
    <s v="Wed"/>
    <d v="1899-12-30T17:30:00"/>
    <d v="1899-12-30T21:00:00"/>
    <n v="8.0000000000000036"/>
    <n v="3.4999999999999893"/>
    <n v="3.4999999999999893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n v="1"/>
    <x v="8"/>
  </r>
  <r>
    <x v="1"/>
    <x v="5"/>
    <d v="2017-09-06T00:00:00"/>
    <s v="Wed"/>
    <d v="1899-12-30T08:30:00"/>
    <d v="1899-12-30T21:00:00"/>
    <n v="0"/>
    <n v="11.499999999999993"/>
    <n v="11.499999999999993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s v=""/>
    <x v="8"/>
  </r>
  <r>
    <x v="1"/>
    <x v="11"/>
    <d v="2017-09-06T00:00:00"/>
    <s v="Wed"/>
    <d v="1899-12-30T18:30:00"/>
    <d v="1899-12-30T21:00:00"/>
    <n v="0"/>
    <n v="2.5000000000000071"/>
    <n v="2.5000000000000071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s v=""/>
    <x v="8"/>
  </r>
  <r>
    <x v="1"/>
    <x v="19"/>
    <d v="2017-09-06T00:00:00"/>
    <s v="Wed"/>
    <d v="1899-12-30T10:30:00"/>
    <d v="1899-12-30T21:00:00"/>
    <n v="0"/>
    <n v="9.5"/>
    <n v="9.5"/>
    <s v="Normal Working Days before 10pm"/>
    <s v="Total: 1330 Policies (Batch 20170901_1908: 377 Policies, Batch 20170905_1101: 59 Policies, Batch 20170905_1429: 59 Policies, Batch 20170905_2334: 586 Policies, Batch 20170906_1113: 113 Policies, Batch 20170906_1448: 136 Policies)"/>
    <s v=""/>
    <x v="8"/>
  </r>
  <r>
    <x v="1"/>
    <x v="5"/>
    <d v="2017-09-07T00:00:00"/>
    <s v="Thu"/>
    <d v="1899-12-30T08:30:00"/>
    <d v="1899-12-30T17:30:00"/>
    <n v="0"/>
    <n v="7.9999999999999982"/>
    <n v="7.9999999999999982"/>
    <s v="Normal Working Days before 10pm"/>
    <s v="Total: 466 Policies (Batch 20170906_2141: 186 Policies, Batch 20170907_1120: 97 Policies, Batch 20170907_1442: 183 Policies)"/>
    <s v=""/>
    <x v="8"/>
  </r>
  <r>
    <x v="1"/>
    <x v="5"/>
    <d v="2017-09-08T00:00:00"/>
    <s v="Fri"/>
    <d v="1899-12-30T08:30:00"/>
    <d v="1899-12-30T17:30:00"/>
    <n v="0"/>
    <n v="7.9999999999999982"/>
    <n v="7.9999999999999982"/>
    <s v="Normal Working Days before 10pm"/>
    <s v="Total: 372 Policies (Batch 20170907_2243: 238 Policies, Batch 20170908_1143: 88 Policies, Batch 20170908_1441: 46 Policies)"/>
    <s v=""/>
    <x v="8"/>
  </r>
  <r>
    <x v="1"/>
    <x v="5"/>
    <d v="2017-09-11T00:00:00"/>
    <s v="Mon"/>
    <d v="1899-12-30T08:30:00"/>
    <d v="1899-12-30T17:30:00"/>
    <n v="0"/>
    <n v="7.9999999999999982"/>
    <n v="7.9999999999999982"/>
    <s v="Normal Working Days before 10pm"/>
    <s v="Total: 422 Policies (Batch 20170908_2212: 214 Policies, Batch 20170911_1103: 58 Policies, Batch 20170911_1438: 150 Policies)"/>
    <s v=""/>
    <x v="8"/>
  </r>
  <r>
    <x v="1"/>
    <x v="5"/>
    <d v="2017-09-12T00:00:00"/>
    <s v="Tue"/>
    <d v="1899-12-30T08:30:00"/>
    <d v="1899-12-30T17:30:00"/>
    <n v="0"/>
    <n v="7.9999999999999982"/>
    <n v="7.9999999999999982"/>
    <s v="Normal Working Days before 10pm"/>
    <s v="Total: 356 Policies (Batch 201709011_2042: 253 Policies, Batch 20170912_1114: 103 Policies)"/>
    <s v=""/>
    <x v="8"/>
  </r>
  <r>
    <x v="1"/>
    <x v="5"/>
    <d v="2017-09-13T00:00:00"/>
    <s v="Wed"/>
    <d v="1899-12-30T08:30:00"/>
    <d v="1899-12-30T17:30:00"/>
    <n v="0"/>
    <n v="7.9999999999999982"/>
    <n v="7.9999999999999982"/>
    <s v="Normal Working Days before 10pm"/>
    <s v="Total: 867 Policies (Batch 201709012_1425: 234 Policies, Batch 201709012_2230: 410 Policies, Batch 201709013_1108: 101 Policies, Batch 201709013_1501: 122 Policies)"/>
    <s v=""/>
    <x v="8"/>
  </r>
  <r>
    <x v="1"/>
    <x v="5"/>
    <d v="2017-09-14T00:00:00"/>
    <s v="Thu"/>
    <d v="1899-12-30T08:30:00"/>
    <d v="1899-12-30T17:30:00"/>
    <n v="0"/>
    <n v="7.9999999999999982"/>
    <n v="7.9999999999999982"/>
    <s v="Normal Working Days before 10pm"/>
    <s v="Total: 450 Policies (Batch 201709013_2209: 147 Policies, Batch 201709014_1124: 163 Policies, Batch 201709014_1447: 140 Policies)"/>
    <s v=""/>
    <x v="8"/>
  </r>
  <r>
    <x v="1"/>
    <x v="5"/>
    <d v="2017-09-15T00:00:00"/>
    <s v="Fri"/>
    <d v="1899-12-30T08:30:00"/>
    <d v="1899-12-30T17:30:00"/>
    <n v="0"/>
    <n v="7.9999999999999982"/>
    <n v="7.9999999999999982"/>
    <s v="Normal Working Days before 10pm"/>
    <s v="Total: 698 Policies (Batch 201709014_2252: 318 Policies, Batch 201709015_1132: 202 Policies, Batch 201709015_1451: 178 Policies)"/>
    <s v=""/>
    <x v="8"/>
  </r>
  <r>
    <x v="0"/>
    <x v="0"/>
    <d v="2017-09-18T00:00:00"/>
    <s v="Mon"/>
    <d v="1899-12-30T17:30:00"/>
    <d v="1899-12-30T20:45:00"/>
    <n v="8.0000000000000036"/>
    <n v="3.2499999999999822"/>
    <n v="3.2499999999999822"/>
    <s v="Normal Working Days before 10pm"/>
    <s v="Total: 1135 Policies (Batch 201709015_1451: 178 Policies, Batch 201709015_2223: 449 Policies, Batch 201709016_1209: 264 Policies, Batch 201709016_1518: 244 Policies)"/>
    <n v="1"/>
    <x v="8"/>
  </r>
  <r>
    <x v="0"/>
    <x v="15"/>
    <d v="2017-09-18T00:00:00"/>
    <s v="Mon"/>
    <d v="1899-12-30T17:30:00"/>
    <d v="1899-12-30T20:45:00"/>
    <n v="8.0000000000000036"/>
    <n v="3.2499999999999822"/>
    <n v="3.2499999999999822"/>
    <s v="Normal Working Days before 10pm"/>
    <s v="Total: 1135 Policies (Batch 201709015_1451: 178 Policies, Batch 201709015_2223: 449 Policies, Batch 201709016_1209: 264 Policies, Batch 201709016_1518: 244 Policies)"/>
    <n v="1"/>
    <x v="8"/>
  </r>
  <r>
    <x v="0"/>
    <x v="16"/>
    <d v="2017-09-18T00:00:00"/>
    <s v="Mon"/>
    <d v="1899-12-30T17:30:00"/>
    <d v="1899-12-30T20:45:00"/>
    <n v="8.0000000000000036"/>
    <n v="3.2499999999999822"/>
    <n v="3.2499999999999822"/>
    <s v="Normal Working Days before 10pm"/>
    <s v="Total: 1135 Policies (Batch 201709015_1451: 178 Policies, Batch 201709015_2223: 449 Policies, Batch 201709016_1209: 264 Policies, Batch 201709016_1518: 244 Policies)"/>
    <n v="1"/>
    <x v="8"/>
  </r>
  <r>
    <x v="1"/>
    <x v="5"/>
    <d v="2017-09-18T00:00:00"/>
    <s v="Mon"/>
    <d v="1899-12-30T08:30:00"/>
    <d v="1899-12-30T20:30:00"/>
    <n v="0"/>
    <n v="10.999999999999998"/>
    <n v="10.999999999999998"/>
    <s v="Normal Working Days before 10pm"/>
    <s v="Total: 1135 Policies (Batch 201709015_1451: 178 Policies, Batch 201709015_2223: 449 Policies, Batch 201709016_1209: 264 Policies, Batch 201709016_1518: 244 Policies)"/>
    <s v=""/>
    <x v="8"/>
  </r>
  <r>
    <x v="1"/>
    <x v="11"/>
    <d v="2017-09-18T00:00:00"/>
    <s v="Mon"/>
    <d v="1899-12-30T18:30:00"/>
    <d v="1899-12-30T20:45:00"/>
    <n v="0"/>
    <n v="2.25"/>
    <n v="2.25"/>
    <s v="Normal Working Days before 10pm"/>
    <s v="Total: 1135 Policies (Batch 201709015_1451: 178 Policies, Batch 201709015_2223: 449 Policies, Batch 201709016_1209: 264 Policies, Batch 201709016_1518: 244 Policies)"/>
    <s v=""/>
    <x v="8"/>
  </r>
  <r>
    <x v="0"/>
    <x v="0"/>
    <d v="2017-09-19T00:00:00"/>
    <s v="Tue"/>
    <d v="1899-12-30T17:30:00"/>
    <d v="1899-12-30T21:30:00"/>
    <n v="8.0000000000000036"/>
    <n v="3.9999999999999822"/>
    <n v="3.9999999999999822"/>
    <s v="Normal Working Days before 10pm"/>
    <s v="Total: 1040 Policies (Batch 201709018_2308: 379 Policies, Batch 201709019_1112: 448 Policies, Batch 201709019_1112: 213 Policies)"/>
    <n v="1"/>
    <x v="8"/>
  </r>
  <r>
    <x v="0"/>
    <x v="2"/>
    <d v="2017-09-19T00:00:00"/>
    <s v="Tue"/>
    <d v="1899-12-30T17:30:00"/>
    <d v="1899-12-30T21:30:00"/>
    <n v="8.0000000000000036"/>
    <n v="3.9999999999999822"/>
    <n v="3.9999999999999822"/>
    <s v="Normal Working Days before 10pm"/>
    <s v="Total: 1040 Policies (Batch 201709018_2308: 379 Policies, Batch 201709019_1112: 448 Policies, Batch 201709019_1112: 213 Policies)"/>
    <n v="1"/>
    <x v="8"/>
  </r>
  <r>
    <x v="0"/>
    <x v="6"/>
    <d v="2017-09-19T00:00:00"/>
    <s v="Tue"/>
    <d v="1899-12-30T17:30:00"/>
    <d v="1899-12-30T21:30:00"/>
    <n v="8.0000000000000036"/>
    <n v="3.9999999999999822"/>
    <n v="3.9999999999999822"/>
    <s v="Normal Working Days before 10pm"/>
    <s v="Total: 1040 Policies (Batch 201709018_2308: 379 Policies, Batch 201709019_1112: 448 Policies, Batch 201709019_1112: 213 Policies)"/>
    <n v="1"/>
    <x v="8"/>
  </r>
  <r>
    <x v="0"/>
    <x v="15"/>
    <d v="2017-09-19T00:00:00"/>
    <s v="Tue"/>
    <d v="1899-12-30T17:30:00"/>
    <d v="1899-12-30T21:30:00"/>
    <n v="8.0000000000000036"/>
    <n v="3.9999999999999822"/>
    <n v="3.9999999999999822"/>
    <s v="Normal Working Days before 10pm"/>
    <s v="Total: 1040 Policies (Batch 201709018_2308: 379 Policies, Batch 201709019_1112: 448 Policies, Batch 201709019_1112: 213 Policies)"/>
    <n v="1"/>
    <x v="8"/>
  </r>
  <r>
    <x v="0"/>
    <x v="16"/>
    <d v="2017-09-19T00:00:00"/>
    <s v="Tue"/>
    <d v="1899-12-30T17:30:00"/>
    <d v="1899-12-30T21:30:00"/>
    <n v="8.0000000000000036"/>
    <n v="3.9999999999999822"/>
    <n v="3.9999999999999822"/>
    <s v="Normal Working Days before 10pm"/>
    <s v="Total: 1040 Policies (Batch 201709018_2308: 379 Policies, Batch 201709019_1112: 448 Policies, Batch 201709019_1112: 213 Policies)"/>
    <n v="1"/>
    <x v="8"/>
  </r>
  <r>
    <x v="1"/>
    <x v="5"/>
    <d v="2017-09-19T00:00:00"/>
    <s v="Tue"/>
    <d v="1899-12-30T08:30:00"/>
    <d v="1899-12-30T21:30:00"/>
    <n v="0"/>
    <n v="11.999999999999986"/>
    <n v="11.999999999999986"/>
    <s v="Normal Working Days before 10pm"/>
    <s v="Total: 1040 Policies (Batch 201709018_2308: 379 Policies, Batch 201709019_1112: 448 Policies, Batch 201709019_1112: 213 Policies)"/>
    <s v=""/>
    <x v="8"/>
  </r>
  <r>
    <x v="0"/>
    <x v="0"/>
    <d v="2017-09-20T00:00:00"/>
    <s v="Wed"/>
    <d v="1899-12-30T17:30:00"/>
    <d v="1899-12-30T21:30:00"/>
    <n v="8.0000000000000036"/>
    <n v="3.9999999999999822"/>
    <n v="3.9999999999999822"/>
    <s v="Normal Working Days before 10pm"/>
    <s v="Total: 1031 Policies (Batch 201709019_0005: 709 Policies, Batch 201709020_1100: 169 Policies, Batch 201709020_1416: 153 Policies)"/>
    <n v="1"/>
    <x v="8"/>
  </r>
  <r>
    <x v="0"/>
    <x v="2"/>
    <d v="2017-09-20T00:00:00"/>
    <s v="Wed"/>
    <d v="1899-12-30T17:30:00"/>
    <d v="1899-12-30T21:30:00"/>
    <n v="8.0000000000000036"/>
    <n v="3.9999999999999822"/>
    <n v="3.9999999999999822"/>
    <s v="Normal Working Days before 10pm"/>
    <s v="Total: 1031 Policies (Batch 201709019_0005: 709 Policies, Batch 201709020_1100: 169 Policies, Batch 201709020_1416: 153 Policies)"/>
    <n v="1"/>
    <x v="8"/>
  </r>
  <r>
    <x v="0"/>
    <x v="15"/>
    <d v="2017-09-20T00:00:00"/>
    <s v="Wed"/>
    <d v="1899-12-30T17:30:00"/>
    <d v="1899-12-30T21:30:00"/>
    <n v="8.0000000000000036"/>
    <n v="3.9999999999999822"/>
    <n v="3.9999999999999822"/>
    <s v="Normal Working Days before 10pm"/>
    <s v="Total: 1031 Policies (Batch 201709019_0005: 709 Policies, Batch 201709020_1100: 169 Policies, Batch 201709020_1416: 153 Policies)"/>
    <n v="1"/>
    <x v="8"/>
  </r>
  <r>
    <x v="0"/>
    <x v="16"/>
    <d v="2017-09-20T00:00:00"/>
    <s v="Wed"/>
    <d v="1899-12-30T17:30:00"/>
    <d v="1899-12-30T21:30:00"/>
    <n v="8.0000000000000036"/>
    <n v="3.9999999999999822"/>
    <n v="3.9999999999999822"/>
    <s v="Normal Working Days before 10pm"/>
    <s v="Total: 1031 Policies (Batch 201709019_0005: 709 Policies, Batch 201709020_1100: 169 Policies, Batch 201709020_1416: 153 Policies)"/>
    <n v="1"/>
    <x v="8"/>
  </r>
  <r>
    <x v="1"/>
    <x v="5"/>
    <d v="2017-09-20T00:00:00"/>
    <s v="Wed"/>
    <d v="1899-12-30T08:30:00"/>
    <d v="1899-12-30T17:30:00"/>
    <n v="0"/>
    <n v="7.9999999999999982"/>
    <n v="7.9999999999999982"/>
    <s v="Normal Working Days before 10pm"/>
    <s v="Total: 1031 Policies (Batch 201709019_0005: 709 Policies, Batch 201709020_1100: 169 Policies, Batch 201709020_1416: 153 Policies)"/>
    <s v=""/>
    <x v="8"/>
  </r>
  <r>
    <x v="1"/>
    <x v="19"/>
    <d v="2017-09-20T00:00:00"/>
    <s v="Wed"/>
    <d v="1899-12-30T10:30:00"/>
    <d v="1899-12-30T21:30:00"/>
    <n v="0"/>
    <n v="9.9999999999999929"/>
    <n v="9.9999999999999929"/>
    <s v="Normal Working Days before 10pm"/>
    <s v="Total: 1031 Policies (Batch 201709019_0005: 709 Policies, Batch 201709020_1100: 169 Policies, Batch 201709020_1416: 153 Policies)"/>
    <s v=""/>
    <x v="8"/>
  </r>
  <r>
    <x v="1"/>
    <x v="5"/>
    <d v="2017-09-21T00:00:00"/>
    <s v="Thu"/>
    <d v="1899-12-30T08:30:00"/>
    <d v="1899-12-30T17:30:00"/>
    <n v="0"/>
    <n v="7.9999999999999982"/>
    <n v="7.9999999999999982"/>
    <s v="Normal Working Days before 10pm"/>
    <s v="Total: 686 Policies (Batch 201709020_2147: 394 Policies, Batch 201709021_1122: 145 Policies, Batch 201709021_1442: 147 Policies)"/>
    <s v=""/>
    <x v="8"/>
  </r>
  <r>
    <x v="1"/>
    <x v="5"/>
    <d v="2017-09-22T00:00:00"/>
    <s v="Fri"/>
    <d v="1899-12-30T08:30:00"/>
    <d v="1899-12-30T17:30:00"/>
    <n v="0"/>
    <n v="7.9999999999999982"/>
    <n v="7.9999999999999982"/>
    <s v="Normal Working Days before 10pm"/>
    <s v="Total: 582 Policies (Batch 20170921_2220: 225 Policies, Batch 20170922_1132: 201 Policies, Batch 20170922_1454: 156 Policies)"/>
    <s v=""/>
    <x v="8"/>
  </r>
  <r>
    <x v="0"/>
    <x v="0"/>
    <d v="2017-09-23T00:00:00"/>
    <s v="Sat"/>
    <d v="1899-12-30T08:00:00"/>
    <d v="1899-12-30T14:30:00"/>
    <n v="5.500000000000016"/>
    <n v="0"/>
    <n v="5.500000000000016"/>
    <s v="Saturday/Sunday (Weekends) before 10pm"/>
    <s v="Total: 445 Policies (Batch 20170922_2118: 445 Policies)"/>
    <s v=""/>
    <x v="8"/>
  </r>
  <r>
    <x v="0"/>
    <x v="2"/>
    <d v="2017-09-23T00:00:00"/>
    <s v="Sat"/>
    <d v="1899-12-30T08:30:00"/>
    <d v="1899-12-30T14:30:00"/>
    <n v="4.9999999999999982"/>
    <n v="0"/>
    <n v="4.9999999999999982"/>
    <s v="Saturday/Sunday (Weekends) before 10pm"/>
    <s v="Total: 445 Policies (Batch 20170922_2118: 445 Policies)"/>
    <s v=""/>
    <x v="8"/>
  </r>
  <r>
    <x v="0"/>
    <x v="6"/>
    <d v="2017-09-23T00:00:00"/>
    <s v="Sat"/>
    <d v="1899-12-30T08:00:00"/>
    <d v="1899-12-30T14:30:00"/>
    <n v="5.500000000000016"/>
    <n v="0"/>
    <n v="5.500000000000016"/>
    <s v="Saturday/Sunday (Weekends) before 10pm"/>
    <s v="Total: 445 Policies (Batch 20170922_2118: 445 Policies)"/>
    <s v=""/>
    <x v="8"/>
  </r>
  <r>
    <x v="0"/>
    <x v="15"/>
    <d v="2017-09-23T00:00:00"/>
    <s v="Sat"/>
    <d v="1899-12-30T08:00:00"/>
    <d v="1899-12-30T14:30:00"/>
    <n v="5.500000000000016"/>
    <n v="0"/>
    <n v="5.500000000000016"/>
    <s v="Saturday/Sunday (Weekends) before 10pm"/>
    <s v="Total: 445 Policies (Batch 20170922_2118: 445 Policies)"/>
    <s v=""/>
    <x v="8"/>
  </r>
  <r>
    <x v="0"/>
    <x v="16"/>
    <d v="2017-09-23T00:00:00"/>
    <s v="Sat"/>
    <d v="1899-12-30T08:00:00"/>
    <d v="1899-12-30T14:30:00"/>
    <n v="5.500000000000016"/>
    <n v="0"/>
    <n v="5.500000000000016"/>
    <s v="Saturday/Sunday (Weekends) before 10pm"/>
    <s v="Total: 445 Policies (Batch 20170922_2118: 445 Policies)"/>
    <s v=""/>
    <x v="8"/>
  </r>
  <r>
    <x v="1"/>
    <x v="5"/>
    <d v="2017-09-23T00:00:00"/>
    <s v="Sat"/>
    <d v="1899-12-30T08:00:00"/>
    <d v="1899-12-30T14:30:00"/>
    <n v="0"/>
    <n v="5.500000000000016"/>
    <n v="5.500000000000016"/>
    <s v="Saturday/Sunday (Weekends) before 10pm"/>
    <s v="Total: 445 Policies (Batch 20170922_2118: 445 Policies)"/>
    <s v=""/>
    <x v="8"/>
  </r>
  <r>
    <x v="1"/>
    <x v="5"/>
    <d v="2017-09-25T00:00:00"/>
    <s v="Mon"/>
    <d v="1899-12-30T13:00:00"/>
    <d v="1899-12-30T17:30:00"/>
    <n v="0"/>
    <n v="4.5"/>
    <n v="4.5"/>
    <s v="Normal Working Days before 10pm"/>
    <s v="Total: 129 Policies (Batch 20170925_1111: 129 Policies)"/>
    <s v=""/>
    <x v="8"/>
  </r>
  <r>
    <x v="0"/>
    <x v="0"/>
    <d v="2017-09-26T00:00:00"/>
    <s v="Tue"/>
    <d v="1899-12-30T17:00:00"/>
    <d v="1899-12-30T21:00:00"/>
    <n v="8.0000000000000036"/>
    <n v="4.0000000000000036"/>
    <n v="4.0000000000000036"/>
    <s v="Normal Working Days before 10pm"/>
    <s v="Total: 1421 Policies (Batch 20170925_1430: 279 Policies, Batch 20170925_0039: 646 Policies, Batch 20170926_1112: 146 Policies, Batch 20170926_1429: 350 Policies)"/>
    <n v="1"/>
    <x v="8"/>
  </r>
  <r>
    <x v="0"/>
    <x v="2"/>
    <d v="2017-09-26T00:00:00"/>
    <s v="Tue"/>
    <d v="1899-12-30T17:00:00"/>
    <d v="1899-12-30T21:00:00"/>
    <n v="8.0000000000000036"/>
    <n v="4.0000000000000036"/>
    <n v="4.0000000000000036"/>
    <s v="Normal Working Days before 10pm"/>
    <s v="Total: 1421 Policies (Batch 20170925_1430: 279 Policies, Batch 20170925_0039: 646 Policies, Batch 20170926_1112: 146 Policies, Batch 20170926_1429: 350 Policies)"/>
    <n v="1"/>
    <x v="8"/>
  </r>
  <r>
    <x v="0"/>
    <x v="15"/>
    <d v="2017-09-26T00:00:00"/>
    <s v="Tue"/>
    <d v="1899-12-30T17:00:00"/>
    <d v="1899-12-30T21:00:00"/>
    <n v="8.0000000000000036"/>
    <n v="4.0000000000000036"/>
    <n v="4.0000000000000036"/>
    <s v="Normal Working Days before 10pm"/>
    <s v="Total: 1421 Policies (Batch 20170925_1430: 279 Policies, Batch 20170925_0039: 646 Policies, Batch 20170926_1112: 146 Policies, Batch 20170926_1429: 350 Policies)"/>
    <n v="1"/>
    <x v="8"/>
  </r>
  <r>
    <x v="0"/>
    <x v="16"/>
    <d v="2017-09-26T00:00:00"/>
    <s v="Tue"/>
    <d v="1899-12-30T17:00:00"/>
    <d v="1899-12-30T21:00:00"/>
    <n v="8.0000000000000036"/>
    <n v="4.0000000000000036"/>
    <n v="4.0000000000000036"/>
    <s v="Normal Working Days before 10pm"/>
    <s v="Total: 1421 Policies (Batch 20170925_1430: 279 Policies, Batch 20170925_0039: 646 Policies, Batch 20170926_1112: 146 Policies, Batch 20170926_1429: 350 Policies)"/>
    <n v="1"/>
    <x v="8"/>
  </r>
  <r>
    <x v="1"/>
    <x v="5"/>
    <d v="2017-09-26T00:00:00"/>
    <s v="Tue"/>
    <d v="1899-12-30T08:00:00"/>
    <d v="1899-12-30T21:00:00"/>
    <n v="0"/>
    <n v="12.000000000000007"/>
    <n v="12.000000000000007"/>
    <s v="Normal Working Days before 10pm"/>
    <s v="Total: 1421 Policies (Batch 20170925_1430: 279 Policies, Batch 20170925_0039: 646 Policies, Batch 20170926_1112: 146 Policies, Batch 20170926_1429: 350 Policies)"/>
    <s v=""/>
    <x v="8"/>
  </r>
  <r>
    <x v="1"/>
    <x v="14"/>
    <d v="2017-09-26T00:00:00"/>
    <s v="Tue"/>
    <d v="1899-12-30T08:00:00"/>
    <d v="1899-12-30T21:00:00"/>
    <n v="0"/>
    <n v="12.000000000000007"/>
    <n v="12.000000000000007"/>
    <s v="Normal Working Days before 10pm"/>
    <s v="Total: 1421 Policies (Batch 20170925_1430: 279 Policies, Batch 20170925_0039: 646 Policies, Batch 20170926_1112: 146 Policies, Batch 20170926_1429: 350 Policies)"/>
    <s v=""/>
    <x v="8"/>
  </r>
  <r>
    <x v="1"/>
    <x v="19"/>
    <d v="2017-09-26T00:00:00"/>
    <s v="Tue"/>
    <d v="1899-12-30T08:00:00"/>
    <d v="1899-12-30T21:00:00"/>
    <n v="0"/>
    <n v="12.000000000000007"/>
    <n v="12.000000000000007"/>
    <s v="Normal Working Days before 10pm"/>
    <s v="Total: 1421 Policies (Batch 20170925_1430: 279 Policies, Batch 20170925_0039: 646 Policies, Batch 20170926_1112: 146 Policies, Batch 20170926_1429: 350 Policies)"/>
    <s v=""/>
    <x v="8"/>
  </r>
  <r>
    <x v="0"/>
    <x v="0"/>
    <d v="2017-09-27T00:00:00"/>
    <s v="Wed"/>
    <d v="1899-12-30T17:00:00"/>
    <d v="1899-12-30T21:00:00"/>
    <n v="8.0000000000000036"/>
    <n v="4.0000000000000036"/>
    <n v="4.0000000000000036"/>
    <s v="Normal Working Days before 10pm"/>
    <s v="Total: 1268 Policies (Batch 20170926_2325: 836 Policies, Batch 20170927_1059: 85 Policies, Batch 20170927_1437: 347 Policies)"/>
    <n v="1"/>
    <x v="8"/>
  </r>
  <r>
    <x v="0"/>
    <x v="2"/>
    <d v="2017-09-27T00:00:00"/>
    <s v="Wed"/>
    <d v="1899-12-30T17:00:00"/>
    <d v="1899-12-30T21:00:00"/>
    <n v="8.0000000000000036"/>
    <n v="4.0000000000000036"/>
    <n v="4.0000000000000036"/>
    <s v="Normal Working Days before 10pm"/>
    <s v="Total: 1268 Policies (Batch 20170926_2325: 836 Policies, Batch 20170927_1059: 85 Policies)"/>
    <n v="1"/>
    <x v="8"/>
  </r>
  <r>
    <x v="0"/>
    <x v="6"/>
    <d v="2017-09-27T00:00:00"/>
    <s v="Wed"/>
    <d v="1899-12-30T17:00:00"/>
    <d v="1899-12-30T21:00:00"/>
    <n v="8.0000000000000036"/>
    <n v="4.0000000000000036"/>
    <n v="4.0000000000000036"/>
    <s v="Normal Working Days before 10pm"/>
    <s v="Total: 1268 Policies (Batch 20170926_2325: 836 Policies, Batch 20170927_1059: 85 Policies)"/>
    <n v="1"/>
    <x v="8"/>
  </r>
  <r>
    <x v="0"/>
    <x v="15"/>
    <d v="2017-09-27T00:00:00"/>
    <s v="Wed"/>
    <d v="1899-12-30T17:00:00"/>
    <d v="1899-12-30T21:00:00"/>
    <n v="8.0000000000000036"/>
    <n v="4.0000000000000036"/>
    <n v="4.0000000000000036"/>
    <s v="Normal Working Days before 10pm"/>
    <s v="Total: 1268 Policies (Batch 20170926_2325: 836 Policies, Batch 20170927_1059: 85 Policies)"/>
    <n v="1"/>
    <x v="8"/>
  </r>
  <r>
    <x v="0"/>
    <x v="16"/>
    <d v="2017-09-27T00:00:00"/>
    <s v="Wed"/>
    <d v="1899-12-30T17:00:00"/>
    <d v="1899-12-30T21:00:00"/>
    <n v="8.0000000000000036"/>
    <n v="4.0000000000000036"/>
    <n v="4.0000000000000036"/>
    <s v="Normal Working Days before 10pm"/>
    <s v="Total: 1268 Policies (Batch 20170926_2325: 836 Policies, Batch 20170927_1059: 85 Policies)"/>
    <n v="1"/>
    <x v="8"/>
  </r>
  <r>
    <x v="1"/>
    <x v="5"/>
    <d v="2017-09-27T00:00:00"/>
    <s v="Wed"/>
    <d v="1899-12-30T08:00:00"/>
    <d v="1899-12-30T21:00:00"/>
    <n v="0"/>
    <n v="12.000000000000007"/>
    <n v="12.000000000000007"/>
    <s v="Normal Working Days before 10pm"/>
    <s v="Total: 1268 Policies (Batch 20170926_2325: 836 Policies, Batch 20170927_1059: 85 Policies)"/>
    <s v=""/>
    <x v="8"/>
  </r>
  <r>
    <x v="1"/>
    <x v="19"/>
    <d v="2017-09-27T00:00:00"/>
    <s v="Wed"/>
    <d v="1899-12-30T08:00:00"/>
    <d v="1899-12-30T21:00:00"/>
    <n v="0"/>
    <n v="12.000000000000007"/>
    <n v="12.000000000000007"/>
    <s v="Normal Working Days before 10pm"/>
    <s v="Total: 1268 Policies (Batch 20170926_2325: 836 Policies, Batch 20170927_1059: 85 Policies)"/>
    <s v=""/>
    <x v="8"/>
  </r>
  <r>
    <x v="1"/>
    <x v="20"/>
    <d v="2017-09-27T00:00:00"/>
    <s v="Wed"/>
    <d v="1899-12-30T08:00:00"/>
    <d v="1899-12-30T17:00:00"/>
    <n v="0"/>
    <n v="8.0000000000000018"/>
    <n v="8.0000000000000018"/>
    <s v="Normal Working Days before 10pm"/>
    <s v="Total: 1268 Policies (Batch 20170926_2325: 836 Policies, Batch 20170927_1059: 85 Policies)"/>
    <s v=""/>
    <x v="8"/>
  </r>
  <r>
    <x v="0"/>
    <x v="0"/>
    <d v="2017-09-28T00:00:00"/>
    <s v="Thu"/>
    <d v="1899-12-30T17:00:00"/>
    <d v="1899-12-30T21:00:00"/>
    <n v="8.0000000000000036"/>
    <n v="4.0000000000000036"/>
    <n v="4.0000000000000036"/>
    <s v="Normal Working Days before 10pm"/>
    <s v="Total: 1316 Policies (Batch 20170927_2227: 803 Policies, Batch 20170928_1124: 222 Policies, Batch 20170928_1440: 291 Policies)"/>
    <n v="1"/>
    <x v="8"/>
  </r>
  <r>
    <x v="0"/>
    <x v="2"/>
    <d v="2017-09-28T00:00:00"/>
    <s v="Thu"/>
    <d v="1899-12-30T17:00:00"/>
    <d v="1899-12-30T21:15:00"/>
    <n v="8.0000000000000036"/>
    <n v="4.2500000000000107"/>
    <n v="4.2500000000000107"/>
    <s v="Normal Working Days before 10pm"/>
    <s v="Total: 1316 Policies (Batch 20170927_2227: 803 Policies, Batch 20170928_1124: 222 Policies, Batch 20170928_1440: 291 Policies)"/>
    <n v="1"/>
    <x v="8"/>
  </r>
  <r>
    <x v="0"/>
    <x v="6"/>
    <d v="2017-09-28T00:00:00"/>
    <s v="Thu"/>
    <d v="1899-12-30T17:00:00"/>
    <d v="1899-12-30T21:00:00"/>
    <n v="8.0000000000000036"/>
    <n v="4.0000000000000036"/>
    <n v="4.0000000000000036"/>
    <s v="Normal Working Days before 10pm"/>
    <s v="Total: 1316 Policies (Batch 20170927_2227: 803 Policies, Batch 20170928_1124: 222 Policies, Batch 20170928_1440: 291 Policies)"/>
    <n v="1"/>
    <x v="8"/>
  </r>
  <r>
    <x v="0"/>
    <x v="15"/>
    <d v="2017-09-28T00:00:00"/>
    <s v="Thu"/>
    <d v="1899-12-30T17:00:00"/>
    <d v="1899-12-30T21:15:00"/>
    <n v="8.0000000000000036"/>
    <n v="4.2500000000000107"/>
    <n v="4.2500000000000107"/>
    <s v="Normal Working Days before 10pm"/>
    <s v="Total: 1316 Policies (Batch 20170927_2227: 803 Policies, Batch 20170928_1124: 222 Policies, Batch 20170928_1440: 291 Policies)"/>
    <n v="1"/>
    <x v="8"/>
  </r>
  <r>
    <x v="0"/>
    <x v="16"/>
    <d v="2017-09-28T00:00:00"/>
    <s v="Thu"/>
    <d v="1899-12-30T17:00:00"/>
    <d v="1899-12-30T21:15:00"/>
    <n v="8.0000000000000036"/>
    <n v="4.2500000000000107"/>
    <n v="4.2500000000000107"/>
    <s v="Normal Working Days before 10pm"/>
    <s v="Total: 1316 Policies (Batch 20170927_2227: 803 Policies, Batch 20170928_1124: 222 Policies, Batch 20170928_1440: 291 Policies)"/>
    <n v="1"/>
    <x v="8"/>
  </r>
  <r>
    <x v="1"/>
    <x v="5"/>
    <d v="2017-09-28T00:00:00"/>
    <s v="Thu"/>
    <d v="1899-12-30T08:00:00"/>
    <d v="1899-12-30T21:00:00"/>
    <n v="0"/>
    <n v="12.000000000000007"/>
    <n v="12.000000000000007"/>
    <s v="Normal Working Days before 10pm"/>
    <s v="Total: 1316 Policies (Batch 20170927_2227: 803 Policies, Batch 20170928_1124: 222 Policies, Batch 20170928_1440: 291 Policies)"/>
    <s v=""/>
    <x v="8"/>
  </r>
  <r>
    <x v="1"/>
    <x v="11"/>
    <d v="2017-09-28T00:00:00"/>
    <s v="Thu"/>
    <d v="1899-12-30T18:30:00"/>
    <d v="1899-12-30T21:00:00"/>
    <n v="0"/>
    <n v="2.5000000000000071"/>
    <n v="2.5000000000000071"/>
    <s v="Normal Working Days before 10pm"/>
    <s v="Total: 1316 Policies (Batch 20170927_2227: 803 Policies, Batch 20170928_1124: 222 Policies, Batch 20170928_1440: 291 Policies)"/>
    <s v=""/>
    <x v="8"/>
  </r>
  <r>
    <x v="1"/>
    <x v="19"/>
    <d v="2017-09-28T00:00:00"/>
    <s v="Thu"/>
    <d v="1899-12-30T08:00:00"/>
    <d v="1899-12-30T15:00:00"/>
    <n v="0"/>
    <n v="6.0000000000000089"/>
    <n v="6.0000000000000089"/>
    <s v="Normal Working Days before 10pm"/>
    <s v="Total: 1316 Policies (Batch 20170927_2227: 803 Policies, Batch 20170928_1124: 222 Policies, Batch 20170928_1440: 291 Policies)"/>
    <s v=""/>
    <x v="8"/>
  </r>
  <r>
    <x v="1"/>
    <x v="20"/>
    <d v="2017-09-28T00:00:00"/>
    <s v="Thu"/>
    <d v="1899-12-30T08:00:00"/>
    <d v="1899-12-30T21:00:00"/>
    <n v="0"/>
    <n v="12.000000000000007"/>
    <n v="12.000000000000007"/>
    <s v="Normal Working Days before 10pm"/>
    <s v="Total: 1316 Policies (Batch 20170927_2227: 803 Policies, Batch 20170928_1124: 222 Policies, Batch 20170928_1440: 291 Policies)"/>
    <s v=""/>
    <x v="8"/>
  </r>
  <r>
    <x v="1"/>
    <x v="5"/>
    <d v="2017-09-29T00:00:00"/>
    <s v="Fri"/>
    <d v="1899-12-30T07:00:00"/>
    <d v="1899-12-30T22:00:00"/>
    <n v="0"/>
    <n v="14"/>
    <n v="14"/>
    <s v="Normal Working Days before 10pm"/>
    <s v="Total: 1637 Policies (Batch 20170928_0040: 1165 Policies, Batch 20170929_1130: 307 Policies, Batch 20170929_1434: 165 Policies)"/>
    <s v=""/>
    <x v="8"/>
  </r>
  <r>
    <x v="1"/>
    <x v="14"/>
    <d v="2017-09-29T00:00:00"/>
    <s v="Fri"/>
    <d v="1899-12-30T13:00:00"/>
    <d v="1899-12-30T22:00:00"/>
    <n v="0"/>
    <n v="8"/>
    <n v="8"/>
    <s v="Normal Working Days before 10pm"/>
    <s v="Total: 1637 Policies (Batch 20170928_0040: 1165 Policies, Batch 20170929_1130: 307 Policies, Batch 20170929_1434: 165 Policies)"/>
    <s v=""/>
    <x v="8"/>
  </r>
  <r>
    <x v="1"/>
    <x v="12"/>
    <d v="2017-09-29T00:00:00"/>
    <s v="Fri"/>
    <d v="1899-12-30T13:30:00"/>
    <d v="1899-12-30T22:00:00"/>
    <n v="0"/>
    <n v="7.5000000000000071"/>
    <n v="7.5000000000000071"/>
    <s v="Normal Working Days before 10pm"/>
    <s v="Total: 1637 Policies (Batch 20170928_0040: 1165 Policies, Batch 20170929_1130: 307 Policies, Batch 20170929_1434: 165 Policies)"/>
    <s v=""/>
    <x v="8"/>
  </r>
  <r>
    <x v="1"/>
    <x v="19"/>
    <d v="2017-09-29T00:00:00"/>
    <s v="Fri"/>
    <d v="1899-12-30T07:00:00"/>
    <d v="1899-12-30T16:00:00"/>
    <n v="0"/>
    <n v="7.9999999999999982"/>
    <n v="7.9999999999999982"/>
    <s v="Normal Working Days before 10pm"/>
    <s v="Total: 1637 Policies (Batch 20170928_0040: 1165 Policies, Batch 20170929_1130: 307 Policies, Batch 20170929_1434: 165 Policies)"/>
    <s v=""/>
    <x v="8"/>
  </r>
  <r>
    <x v="1"/>
    <x v="20"/>
    <d v="2017-09-29T00:00:00"/>
    <s v="Fri"/>
    <d v="1899-12-30T07:00:00"/>
    <d v="1899-12-30T16:00:00"/>
    <n v="0"/>
    <n v="7.9999999999999982"/>
    <n v="7.9999999999999982"/>
    <s v="Normal Working Days before 10pm"/>
    <s v="Total: 1637 Policies (Batch 20170928_0040: 1165 Policies, Batch 20170929_1130: 307 Policies, Batch 20170929_1434: 165 Policies)"/>
    <s v=""/>
    <x v="8"/>
  </r>
  <r>
    <x v="0"/>
    <x v="2"/>
    <d v="2017-09-30T00:00:00"/>
    <s v="Sat"/>
    <d v="1899-12-30T13:00:00"/>
    <d v="1899-12-30T22:00:00"/>
    <n v="8.0000000000000036"/>
    <n v="0"/>
    <n v="8.0000000000000036"/>
    <s v="Saturday/Sunday (Weekends) before 10pm"/>
    <s v="Total: 1324 Policies (Batch 20170929_2151: 1324 Policies)"/>
    <s v=""/>
    <x v="8"/>
  </r>
  <r>
    <x v="0"/>
    <x v="6"/>
    <d v="2017-09-30T00:00:00"/>
    <s v="Sat"/>
    <d v="1899-12-30T07:00:00"/>
    <d v="1899-12-30T16:00:00"/>
    <n v="8.0000000000000036"/>
    <n v="0"/>
    <n v="8.0000000000000036"/>
    <s v="Saturday/Sunday (Weekends) before 10pm"/>
    <s v="Total: 1324 Policies (Batch 20170929_2151: 1324 Policies)"/>
    <s v=""/>
    <x v="8"/>
  </r>
  <r>
    <x v="0"/>
    <x v="15"/>
    <d v="2017-09-30T00:00:00"/>
    <s v="Sat"/>
    <d v="1899-12-30T13:00:00"/>
    <d v="1899-12-30T22:00:00"/>
    <n v="8.0000000000000036"/>
    <n v="0"/>
    <n v="8.0000000000000036"/>
    <s v="Saturday/Sunday (Weekends) before 10pm"/>
    <s v="Total: 1324 Policies (Batch 20170929_2151: 1324 Policies)"/>
    <s v=""/>
    <x v="8"/>
  </r>
  <r>
    <x v="0"/>
    <x v="16"/>
    <d v="2017-09-30T00:00:00"/>
    <s v="Sat"/>
    <d v="1899-12-30T13:00:00"/>
    <d v="1899-12-30T22:00:00"/>
    <n v="8.0000000000000036"/>
    <n v="0"/>
    <n v="8.0000000000000036"/>
    <s v="Saturday/Sunday (Weekends) before 10pm"/>
    <s v="Total: 1324 Policies (Batch 20170929_2151: 1324 Policies)"/>
    <s v=""/>
    <x v="8"/>
  </r>
  <r>
    <x v="1"/>
    <x v="5"/>
    <d v="2017-09-30T00:00:00"/>
    <s v="Sat"/>
    <d v="1899-12-30T07:00:00"/>
    <d v="1899-12-30T22:00:00"/>
    <n v="0"/>
    <n v="14"/>
    <n v="14"/>
    <s v="Saturday/Sunday (Weekends) before 10pm"/>
    <s v="Total: 1324 Policies (Batch 20170929_2151: 1324 Policies)"/>
    <s v=""/>
    <x v="8"/>
  </r>
  <r>
    <x v="1"/>
    <x v="11"/>
    <d v="2017-09-30T00:00:00"/>
    <s v="Sat"/>
    <d v="1899-12-30T13:00:00"/>
    <d v="1899-12-30T22:00:00"/>
    <n v="0"/>
    <n v="8"/>
    <n v="8"/>
    <s v="Saturday/Sunday (Weekends) before 10pm"/>
    <s v="Total: 1324 Policies (Batch 20170929_2151: 1324 Policies)"/>
    <s v=""/>
    <x v="8"/>
  </r>
  <r>
    <x v="1"/>
    <x v="14"/>
    <d v="2017-09-30T00:00:00"/>
    <s v="Sat"/>
    <d v="1899-12-30T13:00:00"/>
    <d v="1899-12-30T22:00:00"/>
    <n v="0"/>
    <n v="8"/>
    <n v="8"/>
    <s v="Saturday/Sunday (Weekends) before 10pm"/>
    <s v="Total: 1324 Policies (Batch 20170929_2151: 1324 Policies)"/>
    <s v=""/>
    <x v="8"/>
  </r>
  <r>
    <x v="1"/>
    <x v="12"/>
    <d v="2017-09-30T00:00:00"/>
    <s v="Sat"/>
    <d v="1899-12-30T07:00:00"/>
    <d v="1899-12-30T16:00:00"/>
    <n v="0"/>
    <n v="7.9999999999999982"/>
    <n v="7.9999999999999982"/>
    <s v="Saturday/Sunday (Weekends) before 10pm"/>
    <s v="Total: 1324 Policies (Batch 20170929_2151: 1324 Policies)"/>
    <s v=""/>
    <x v="8"/>
  </r>
  <r>
    <x v="1"/>
    <x v="7"/>
    <d v="2017-09-30T00:00:00"/>
    <s v="Sat"/>
    <d v="1899-12-30T08:15:00"/>
    <d v="1899-12-30T16:30:00"/>
    <n v="0"/>
    <n v="7.25"/>
    <n v="7.25"/>
    <s v="Saturday/Sunday (Weekends) before 10pm"/>
    <s v="Total: 1324 Policies (Batch 20170929_2151: 1324 Policies)"/>
    <s v=""/>
    <x v="8"/>
  </r>
  <r>
    <x v="1"/>
    <x v="19"/>
    <d v="2017-09-30T00:00:00"/>
    <s v="Sat"/>
    <d v="1899-12-30T07:00:00"/>
    <d v="1899-12-30T16:00:00"/>
    <n v="0"/>
    <n v="7.9999999999999982"/>
    <n v="7.9999999999999982"/>
    <s v="Saturday/Sunday (Weekends) before 10pm"/>
    <s v="Total: 1324 Policies (Batch 20170929_2151: 1324 Policies)"/>
    <s v=""/>
    <x v="8"/>
  </r>
  <r>
    <x v="1"/>
    <x v="20"/>
    <d v="2017-09-30T00:00:00"/>
    <s v="Sat"/>
    <d v="1899-12-30T07:00:00"/>
    <d v="1899-12-30T16:00:00"/>
    <n v="0"/>
    <n v="7.9999999999999982"/>
    <n v="7.9999999999999982"/>
    <s v="Saturday/Sunday (Weekends) before 10pm"/>
    <s v="Total: 1324 Policies (Batch 20170929_2151: 1324 Policies)"/>
    <s v=""/>
    <x v="8"/>
  </r>
  <r>
    <x v="0"/>
    <x v="2"/>
    <d v="2017-10-01T00:00:00"/>
    <s v="Sun"/>
    <d v="1899-12-30T13:00:00"/>
    <d v="1899-12-30T22:00:00"/>
    <s v=""/>
    <n v="8"/>
    <n v="8"/>
    <s v="Saturday/Sunday (Weekends) before 10pm"/>
    <s v="Total: 2437 Policies (Batch 20170930_1104: 559 Policies, Batch 20170930_1451: 640 Policies, Batch 20170930_2208: 1238 Policies)"/>
    <s v=""/>
    <x v="9"/>
  </r>
  <r>
    <x v="0"/>
    <x v="6"/>
    <d v="2017-10-01T00:00:00"/>
    <s v="Sun"/>
    <d v="1899-12-30T07:00:00"/>
    <d v="1899-12-30T16:00:00"/>
    <s v=""/>
    <n v="7.9999999999999982"/>
    <n v="7.9999999999999982"/>
    <s v="Saturday/Sunday (Weekends) before 10pm"/>
    <s v="Total: 2437 Policies (Batch 20170930_1104: 559 Policies, Batch 20170930_1451: 640 Policies, Batch 20170930_2208: 1238 Policies)"/>
    <s v=""/>
    <x v="9"/>
  </r>
  <r>
    <x v="0"/>
    <x v="15"/>
    <d v="2017-10-01T00:00:00"/>
    <s v="Sun"/>
    <d v="1899-12-30T13:00:00"/>
    <d v="1899-12-30T22:00:00"/>
    <s v=""/>
    <n v="8"/>
    <n v="8"/>
    <s v="Saturday/Sunday (Weekends) before 10pm"/>
    <s v="Total: 2437 Policies (Batch 20170930_1104: 559 Policies, Batch 20170930_1451: 640 Policies, Batch 20170930_2208: 1238 Policies)"/>
    <s v=""/>
    <x v="9"/>
  </r>
  <r>
    <x v="0"/>
    <x v="16"/>
    <d v="2017-10-01T00:00:00"/>
    <s v="Sun"/>
    <d v="1899-12-30T13:00:00"/>
    <d v="1899-12-30T22:00:00"/>
    <s v=""/>
    <n v="8"/>
    <n v="8"/>
    <s v="Saturday/Sunday (Weekends) before 10pm"/>
    <s v="Total: 2437 Policies (Batch 20170930_1104: 559 Policies, Batch 20170930_1451: 640 Policies, Batch 20170930_2208: 1238 Policies)"/>
    <s v=""/>
    <x v="9"/>
  </r>
  <r>
    <x v="1"/>
    <x v="5"/>
    <d v="2017-10-01T00:00:00"/>
    <s v="Sun"/>
    <d v="1899-12-30T07:00:00"/>
    <d v="1899-12-30T22:00:00"/>
    <s v=""/>
    <n v="14"/>
    <n v="14"/>
    <s v="Saturday/Sunday (Weekends) before 10pm"/>
    <s v="Total: 2437 Policies (Batch 20170930_1104: 559 Policies, Batch 20170930_1451: 640 Policies, Batch 20170930_2208: 1238 Policies)"/>
    <s v=""/>
    <x v="9"/>
  </r>
  <r>
    <x v="1"/>
    <x v="11"/>
    <d v="2017-10-01T00:00:00"/>
    <s v="Sun"/>
    <d v="1899-12-30T13:00:00"/>
    <d v="1899-12-30T22:00:00"/>
    <s v=""/>
    <n v="8"/>
    <n v="8"/>
    <s v="Saturday/Sunday (Weekends) before 10pm"/>
    <s v="Total: 2437 Policies (Batch 20170930_1104: 559 Policies, Batch 20170930_1451: 640 Policies, Batch 20170930_2208: 1238 Policies)"/>
    <s v=""/>
    <x v="9"/>
  </r>
  <r>
    <x v="1"/>
    <x v="14"/>
    <d v="2017-10-01T00:00:00"/>
    <s v="Sun"/>
    <d v="1899-12-30T13:00:00"/>
    <d v="1899-12-30T22:00:00"/>
    <s v=""/>
    <n v="8"/>
    <n v="8"/>
    <s v="Saturday/Sunday (Weekends) before 10pm"/>
    <s v="Total: 2437 Policies (Batch 20170930_1104: 559 Policies, Batch 20170930_1451: 640 Policies, Batch 20170930_2208: 1238 Policies)"/>
    <s v=""/>
    <x v="9"/>
  </r>
  <r>
    <x v="1"/>
    <x v="12"/>
    <d v="2017-10-01T00:00:00"/>
    <s v="Sun"/>
    <d v="1899-12-30T07:00:00"/>
    <d v="1899-12-30T16:00:00"/>
    <s v=""/>
    <n v="7.9999999999999982"/>
    <n v="7.9999999999999982"/>
    <s v="Saturday/Sunday (Weekends) before 10pm"/>
    <s v="Total: 2437 Policies (Batch 20170930_1104: 559 Policies, Batch 20170930_1451: 640 Policies, Batch 20170930_2208: 1238 Policies)"/>
    <s v=""/>
    <x v="9"/>
  </r>
  <r>
    <x v="1"/>
    <x v="19"/>
    <d v="2017-10-01T00:00:00"/>
    <s v="Sun"/>
    <d v="1899-12-30T07:00:00"/>
    <d v="1899-12-30T16:00:00"/>
    <s v=""/>
    <n v="7.9999999999999982"/>
    <n v="7.9999999999999982"/>
    <s v="Saturday/Sunday (Weekends) before 10pm"/>
    <s v="Total: 2437 Policies (Batch 20170930_1104: 559 Policies, Batch 20170930_1451: 640 Policies, Batch 20170930_2208: 1238 Policies)"/>
    <s v=""/>
    <x v="9"/>
  </r>
  <r>
    <x v="1"/>
    <x v="20"/>
    <d v="2017-10-01T00:00:00"/>
    <s v="Sun"/>
    <d v="1899-12-30T07:00:00"/>
    <d v="1899-12-30T16:00:00"/>
    <s v=""/>
    <n v="7.9999999999999982"/>
    <n v="7.9999999999999982"/>
    <s v="Saturday/Sunday (Weekends) before 10pm"/>
    <s v="Total: 2437 Policies (Batch 20170930_1104: 559 Policies, Batch 20170930_1451: 640 Policies, Batch 20170930_2208: 1238 Policies)"/>
    <s v=""/>
    <x v="9"/>
  </r>
  <r>
    <x v="1"/>
    <x v="7"/>
    <d v="2017-10-01T00:00:00"/>
    <s v="Sun"/>
    <d v="1899-12-30T07:00:00"/>
    <d v="1899-12-30T16:00:00"/>
    <s v=""/>
    <n v="7.9999999999999982"/>
    <n v="7.9999999999999982"/>
    <s v="Saturday/Sunday (Weekends) before 10pm"/>
    <s v="Total: 2437 Policies (Batch 20170930_1104: 559 Policies, Batch 20170930_1451: 640 Policies, Batch 20170930_2208: 1238 Policies)"/>
    <s v=""/>
    <x v="9"/>
  </r>
  <r>
    <x v="1"/>
    <x v="5"/>
    <d v="2017-10-02T00:00:00"/>
    <s v="Mon"/>
    <d v="1899-12-30T07:00:00"/>
    <d v="1899-12-30T16:00:00"/>
    <n v="0"/>
    <n v="7.9999999999999982"/>
    <n v="7.9999999999999982"/>
    <s v="Normal Working Days before 10pm"/>
    <s v="Backlog 650 Policies of batch 20170930_2208: 1238 PoliciesTotal: 1264 Policies (Batch 20170930_1155: 1264 Policies, Batch 20170930_1658: 480 Policies)"/>
    <s v=""/>
    <x v="9"/>
  </r>
  <r>
    <x v="1"/>
    <x v="11"/>
    <d v="2017-10-02T00:00:00"/>
    <s v="Mon"/>
    <d v="1899-12-30T13:00:00"/>
    <d v="1899-12-30T22:00:00"/>
    <n v="0"/>
    <n v="8"/>
    <n v="8"/>
    <s v="Normal Working Days before 10pm"/>
    <s v="Backlog 650 Policies of batch 20170930_2208: 1238 PoliciesTotal: 1264 Policies (Batch 20170930_1155: 1264 Policies, Batch 20170930_1658: 480 Policies)"/>
    <s v=""/>
    <x v="9"/>
  </r>
  <r>
    <x v="1"/>
    <x v="14"/>
    <d v="2017-10-02T00:00:00"/>
    <s v="Mon"/>
    <d v="1899-12-30T13:00:00"/>
    <d v="1899-12-30T22:00:00"/>
    <n v="0"/>
    <n v="8"/>
    <n v="8"/>
    <s v="Normal Working Days before 10pm"/>
    <s v="Backlog 650 Policies of batch 20170930_2208: 1238 PoliciesTotal: 1264 Policies (Batch 20170930_1155: 1264 Policies, Batch 20170930_1658: 480 Policies)"/>
    <s v=""/>
    <x v="9"/>
  </r>
  <r>
    <x v="1"/>
    <x v="12"/>
    <d v="2017-10-02T00:00:00"/>
    <s v="Mon"/>
    <d v="1899-12-30T13:00:00"/>
    <d v="1899-12-30T22:00:00"/>
    <n v="0"/>
    <n v="8"/>
    <n v="8"/>
    <s v="Normal Working Days before 10pm"/>
    <s v="Backlog 650 Policies of batch 20170930_2208: 1238 PoliciesTotal: 1264 Policies (Batch 20170930_1155: 1264 Policies, Batch 20170930_1658: 480 Policies)"/>
    <s v=""/>
    <x v="9"/>
  </r>
  <r>
    <x v="1"/>
    <x v="19"/>
    <d v="2017-10-02T00:00:00"/>
    <s v="Mon"/>
    <d v="1899-12-30T07:00:00"/>
    <d v="1899-12-30T16:00:00"/>
    <n v="0"/>
    <n v="7.9999999999999982"/>
    <n v="7.9999999999999982"/>
    <s v="Normal Working Days before 10pm"/>
    <s v="Backlog 650 Policies of batch 20170930_2208: 1238 PoliciesTotal: 1264 Policies (Batch 20170930_1155: 1264 Policies, Batch 20170930_1658: 480 Policies)"/>
    <s v=""/>
    <x v="9"/>
  </r>
  <r>
    <x v="1"/>
    <x v="20"/>
    <d v="2017-10-02T00:00:00"/>
    <s v="Mon"/>
    <d v="1899-12-30T07:00:00"/>
    <d v="1899-12-30T16:00:00"/>
    <n v="0"/>
    <n v="7.9999999999999982"/>
    <n v="7.9999999999999982"/>
    <s v="Normal Working Days before 10pm"/>
    <s v="Backlog 650 Policies of batch 20170930_2208: 1238 PoliciesTotal: 1264 Policies (Batch 20170930_1155: 1264 Policies, Batch 20170930_1658: 480 Policies)"/>
    <s v=""/>
    <x v="9"/>
  </r>
  <r>
    <x v="0"/>
    <x v="6"/>
    <d v="2017-10-03T00:00:00"/>
    <s v="Tue"/>
    <d v="1899-12-30T16:00:00"/>
    <d v="1899-12-30T22:00:00"/>
    <n v="8.0000000000000036"/>
    <n v="5.9999999999999964"/>
    <n v="5.9999999999999964"/>
    <s v="Normal Working Days before 10pm"/>
    <s v="Total: 1575 Policies (Batch 20170930_1658: 480 Policies, Batch 20170930_2037: 656 Policies; Batch 20170930_1134: 438 Policies; Batch 20171002_1120: 1 Policies)"/>
    <n v="1"/>
    <x v="9"/>
  </r>
  <r>
    <x v="0"/>
    <x v="15"/>
    <d v="2017-10-03T00:00:00"/>
    <s v="Tue"/>
    <d v="1899-12-30T16:00:00"/>
    <d v="1899-12-30T22:00:00"/>
    <n v="8.0000000000000036"/>
    <n v="5.9999999999999964"/>
    <n v="5.9999999999999964"/>
    <s v="Normal Working Days before 10pm"/>
    <s v="Total: 1575 Policies (Batch 20170930_1658: 480 Policies, Batch 20170930_2037: 656 Policies; Batch 20170930_1134: 438 Policies; Batch 20171002_1120: 1 Policies)"/>
    <n v="1"/>
    <x v="9"/>
  </r>
  <r>
    <x v="0"/>
    <x v="16"/>
    <d v="2017-10-03T00:00:00"/>
    <s v="Tue"/>
    <d v="1899-12-30T16:00:00"/>
    <d v="1899-12-30T22:00:00"/>
    <n v="8.0000000000000036"/>
    <n v="5.9999999999999964"/>
    <n v="5.9999999999999964"/>
    <s v="Normal Working Days before 10pm"/>
    <s v="Total: 1575 Policies (Batch 20170930_1658: 480 Policies, Batch 20170930_2037: 656 Policies; Batch 20170930_1134: 438 Policies; Batch 20171002_1120: 1 Policies)"/>
    <n v="1"/>
    <x v="9"/>
  </r>
  <r>
    <x v="1"/>
    <x v="5"/>
    <d v="2017-10-03T00:00:00"/>
    <s v="Tue"/>
    <d v="1899-12-30T07:00:00"/>
    <d v="1899-12-30T22:00:00"/>
    <n v="0"/>
    <n v="14"/>
    <n v="14"/>
    <s v="Normal Working Days before 10pm"/>
    <s v="Total: 1575 Policies (Batch 20170930_1658: 480 Policies, Batch 20170930_2037: 656 Policies; Batch 20170930_1134: 438 Policies; Batch 20171002_1120: 1 Policies)"/>
    <s v=""/>
    <x v="9"/>
  </r>
  <r>
    <x v="1"/>
    <x v="11"/>
    <d v="2017-10-03T00:00:00"/>
    <s v="Tue"/>
    <d v="1899-12-30T13:00:00"/>
    <d v="1899-12-30T22:00:00"/>
    <n v="0"/>
    <n v="8"/>
    <n v="8"/>
    <s v="Normal Working Days before 10pm"/>
    <s v="Total: 1575 Policies (Batch 20170930_1658: 480 Policies, Batch 20170930_2037: 656 Policies; Batch 20170930_1134: 438 Policies; Batch 20171002_1120: 1 Policies)"/>
    <s v=""/>
    <x v="9"/>
  </r>
  <r>
    <x v="1"/>
    <x v="14"/>
    <d v="2017-10-03T00:00:00"/>
    <s v="Tue"/>
    <d v="1899-12-30T07:00:00"/>
    <d v="1899-12-30T16:00:00"/>
    <n v="0"/>
    <n v="7.9999999999999982"/>
    <n v="7.9999999999999982"/>
    <s v="Normal Working Days before 10pm"/>
    <s v="Total: 1575 Policies (Batch 20170930_1658: 480 Policies, Batch 20170930_2037: 656 Policies; Batch 20170930_1134: 438 Policies; Batch 20171002_1120: 1 Policies)"/>
    <s v=""/>
    <x v="9"/>
  </r>
  <r>
    <x v="1"/>
    <x v="12"/>
    <d v="2017-10-03T00:00:00"/>
    <s v="Tue"/>
    <d v="1899-12-30T08:30:00"/>
    <d v="1899-12-30T16:00:00"/>
    <n v="0"/>
    <n v="6.4999999999999982"/>
    <n v="6.4999999999999982"/>
    <s v="Normal Working Days before 10pm"/>
    <s v="Total: 1575 Policies (Batch 20170930_1658: 480 Policies, Batch 20170930_2037: 656 Policies; Batch 20170930_1134: 438 Policies; Batch 20171002_1120: 1 Policies)"/>
    <s v=""/>
    <x v="9"/>
  </r>
  <r>
    <x v="1"/>
    <x v="19"/>
    <d v="2017-10-03T00:00:00"/>
    <s v="Tue"/>
    <d v="1899-12-30T15:00:00"/>
    <d v="1899-12-30T22:00:00"/>
    <n v="0"/>
    <n v="6.0000000000000071"/>
    <n v="6.0000000000000071"/>
    <s v="Normal Working Days before 10pm"/>
    <s v="Total: 1575 Policies (Batch 20170930_1658: 480 Policies, Batch 20170930_2037: 656 Policies; Batch 20170930_1134: 438 Policies; Batch 20171002_1120: 1 Policies)"/>
    <s v=""/>
    <x v="9"/>
  </r>
  <r>
    <x v="1"/>
    <x v="20"/>
    <d v="2017-10-03T00:00:00"/>
    <s v="Tue"/>
    <d v="1899-12-30T07:00:00"/>
    <d v="1899-12-30T16:00:00"/>
    <n v="0"/>
    <n v="7.9999999999999982"/>
    <n v="7.9999999999999982"/>
    <s v="Normal Working Days before 10pm"/>
    <s v="Total: 1575 Policies (Batch 20170930_1658: 480 Policies, Batch 20170930_2037: 656 Policies; Batch 20170930_1134: 438 Policies; Batch 20171002_1120: 1 Policies)"/>
    <s v=""/>
    <x v="9"/>
  </r>
  <r>
    <x v="1"/>
    <x v="5"/>
    <d v="2017-10-04T00:00:00"/>
    <s v="Wed"/>
    <d v="1899-12-30T08:30:00"/>
    <d v="1899-12-30T17:30:00"/>
    <n v="0"/>
    <n v="7.9999999999999982"/>
    <n v="7.9999999999999982"/>
    <s v="Normal Working Days before 10pm"/>
    <s v="Total: 379 Policies (Batch 20171003_1439: 49 Policies, Batch 20171003_2224: 224 Policies, Batch 20171004_1121: 106 Policies)"/>
    <s v=""/>
    <x v="9"/>
  </r>
  <r>
    <x v="1"/>
    <x v="14"/>
    <d v="2017-10-04T00:00:00"/>
    <s v="Wed"/>
    <d v="1899-12-30T08:30:00"/>
    <d v="1899-12-30T11:30:00"/>
    <n v="0"/>
    <n v="3"/>
    <n v="3"/>
    <s v="Normal Working Days before 10pm"/>
    <s v="Total: 379 Policies (Batch 20171003_1439: 49 Policies, Batch 20171003_2224: 224 Policies, Batch 20171004_1121: 106 Policies)"/>
    <s v=""/>
    <x v="9"/>
  </r>
  <r>
    <x v="1"/>
    <x v="5"/>
    <d v="2017-10-05T00:00:00"/>
    <s v="Thu"/>
    <d v="1899-12-30T08:30:00"/>
    <d v="1899-12-30T17:30:00"/>
    <n v="0"/>
    <n v="7.9999999999999982"/>
    <n v="7.9999999999999982"/>
    <s v="Normal Working Days before 10pm"/>
    <s v="Total: 284 Policies (Batch 20171004_1545: 122 Policies, Batch 20171004_2216: 146 Policies, Batch 20171005_1125: 16 Policies)"/>
    <s v=""/>
    <x v="9"/>
  </r>
  <r>
    <x v="1"/>
    <x v="5"/>
    <d v="2017-10-06T00:00:00"/>
    <s v="Fri"/>
    <d v="1899-12-30T08:30:00"/>
    <d v="1899-12-30T17:30:00"/>
    <n v="0"/>
    <n v="7.9999999999999982"/>
    <n v="7.9999999999999982"/>
    <s v="Normal Working Days before 10pm"/>
    <s v="Total: 351 Policies (Batch 20171005_1445: 111 Policies, Batch 20171005_2217: 225 Policies, Batch 20171006_1113: 15 Policies)"/>
    <s v=""/>
    <x v="9"/>
  </r>
  <r>
    <x v="1"/>
    <x v="5"/>
    <d v="2017-10-09T00:00:00"/>
    <s v="Mon"/>
    <d v="1899-12-30T08:30:00"/>
    <d v="1899-12-30T17:30:00"/>
    <n v="0"/>
    <n v="7.9999999999999982"/>
    <n v="7.9999999999999982"/>
    <s v="Normal Working Days before 10pm"/>
    <s v="Total: 513 Policies (Batch 20171006_1441: 218 Policies, Batch 20171006_2225: 190 Policies, Batch 20171009_1051: 105 Policies)"/>
    <s v=""/>
    <x v="9"/>
  </r>
  <r>
    <x v="1"/>
    <x v="5"/>
    <d v="2017-10-10T00:00:00"/>
    <s v="Tue"/>
    <d v="1899-12-30T08:30:00"/>
    <d v="1899-12-30T17:30:00"/>
    <n v="0"/>
    <n v="7.9999999999999982"/>
    <n v="7.9999999999999982"/>
    <s v="Normal Working Days before 10pm"/>
    <s v="Total: 414 Policies (Batch 20171009_2156: 185 Policies, Batch 20171010_1121: 80 Policies, Batch 20171010_1422: 149 Policies)"/>
    <s v=""/>
    <x v="9"/>
  </r>
  <r>
    <x v="1"/>
    <x v="5"/>
    <d v="2017-10-11T00:00:00"/>
    <s v="Wed"/>
    <d v="1899-12-30T08:30:00"/>
    <d v="1899-12-30T17:30:00"/>
    <n v="0"/>
    <n v="7.9999999999999982"/>
    <n v="7.9999999999999982"/>
    <s v="Normal Working Days before 10pm"/>
    <s v="Total: 561 Policies (Batch 20171010_2317: 441 Policies, Batch 20171011_1119: 120 Policies)"/>
    <s v=""/>
    <x v="9"/>
  </r>
  <r>
    <x v="1"/>
    <x v="5"/>
    <d v="2017-10-12T00:00:00"/>
    <s v="Thu"/>
    <d v="1899-12-30T08:30:00"/>
    <d v="1899-12-30T17:30:00"/>
    <n v="0"/>
    <n v="7.9999999999999982"/>
    <n v="7.9999999999999982"/>
    <s v="Normal Working Days before 10pm"/>
    <s v="Total: 504 Policies (Batch 20171011_1507: 160 Policies, Batch 20171011_0019: 242 Policies, Batch 20171012_1128: 103 Policies)"/>
    <s v=""/>
    <x v="9"/>
  </r>
  <r>
    <x v="1"/>
    <x v="5"/>
    <d v="2017-10-13T00:00:00"/>
    <s v="Fri"/>
    <d v="1899-12-30T08:30:00"/>
    <d v="1899-12-30T17:30:00"/>
    <n v="0"/>
    <n v="7.9999999999999982"/>
    <n v="7.9999999999999982"/>
    <s v="Normal Working Days before 10pm"/>
    <s v="Total: 598 Policies (Batch 20171012_1455: 149 Policies, Batch 20171012_2359: 232 Policies, Batch 20171013_1140: 148 Policies, Batch 20171013_1446: 69 Policies)"/>
    <s v=""/>
    <x v="9"/>
  </r>
  <r>
    <x v="1"/>
    <x v="5"/>
    <d v="2017-10-16T00:00:00"/>
    <s v="Mon"/>
    <d v="1899-12-30T08:30:00"/>
    <d v="1899-12-30T17:30:00"/>
    <n v="0"/>
    <n v="7.9999999999999982"/>
    <n v="7.9999999999999982"/>
    <s v="Normal Working Days before 10pm"/>
    <s v="Total: 395 Policies (Batch 20171013_2348: 262 Policies, Batch 20171016_1057: 133 Policies)"/>
    <s v=""/>
    <x v="9"/>
  </r>
  <r>
    <x v="0"/>
    <x v="0"/>
    <d v="2017-10-17T00:00:00"/>
    <s v="Tue"/>
    <d v="1899-12-30T17:30:00"/>
    <d v="1899-12-30T19:30:00"/>
    <n v="8.0000000000000036"/>
    <n v="1.9999999999999876"/>
    <n v="1.9999999999999876"/>
    <s v="Normal Working Days before 10pm"/>
    <s v="Total: 666 Policies (Batch 20171016_1424: 196 Policies, Batch 20171016_2252: 246 Policies, Batch 20171017_1141: 228 Policies)"/>
    <s v=""/>
    <x v="9"/>
  </r>
  <r>
    <x v="0"/>
    <x v="6"/>
    <d v="2017-10-17T00:00:00"/>
    <s v="Tue"/>
    <d v="1899-12-30T17:30:00"/>
    <d v="1899-12-30T19:30:00"/>
    <n v="8.0000000000000036"/>
    <n v="1.9999999999999876"/>
    <n v="1.9999999999999876"/>
    <s v="Normal Working Days before 10pm"/>
    <s v="Total: 666 Policies (Batch 20171016_1424: 196 Policies, Batch 20171016_2252: 246 Policies, Batch 20171017_1141: 228 Policies)"/>
    <s v=""/>
    <x v="9"/>
  </r>
  <r>
    <x v="0"/>
    <x v="15"/>
    <d v="2017-10-17T00:00:00"/>
    <s v="Tue"/>
    <d v="1899-12-30T17:30:00"/>
    <d v="1899-12-30T19:30:00"/>
    <n v="8.0000000000000036"/>
    <n v="1.9999999999999876"/>
    <n v="1.9999999999999876"/>
    <s v="Normal Working Days before 10pm"/>
    <s v="Total: 666 Policies (Batch 20171016_1424: 196 Policies, Batch 20171016_2252: 246 Policies, Batch 20171017_1141: 228 Policies)"/>
    <s v=""/>
    <x v="9"/>
  </r>
  <r>
    <x v="0"/>
    <x v="16"/>
    <d v="2017-10-17T00:00:00"/>
    <s v="Tue"/>
    <d v="1899-12-30T17:30:00"/>
    <d v="1899-12-30T19:30:00"/>
    <n v="8.0000000000000036"/>
    <n v="1.9999999999999876"/>
    <n v="1.9999999999999876"/>
    <s v="Normal Working Days before 10pm"/>
    <s v="Total: 666 Policies (Batch 20171016_1424: 196 Policies, Batch 20171016_2252: 246 Policies, Batch 20171017_1141: 228 Policies)"/>
    <s v=""/>
    <x v="9"/>
  </r>
  <r>
    <x v="1"/>
    <x v="5"/>
    <d v="2017-10-17T00:00:00"/>
    <s v="Tue"/>
    <d v="1899-12-30T08:30:00"/>
    <d v="1899-12-30T19:30:00"/>
    <n v="0"/>
    <n v="9.9999999999999911"/>
    <n v="9.9999999999999911"/>
    <s v="Normal Working Days before 10pm"/>
    <s v="Total: 666 Policies (Batch 20171016_1424: 196 Policies, Batch 20171016_2252: 246 Policies, Batch 20171017_1141: 228 Policies)"/>
    <s v=""/>
    <x v="9"/>
  </r>
  <r>
    <x v="0"/>
    <x v="2"/>
    <d v="2017-10-18T00:00:00"/>
    <s v="Wed"/>
    <d v="1899-12-30T17:30:00"/>
    <d v="1899-12-30T19:30:00"/>
    <n v="8.0000000000000036"/>
    <n v="1.9999999999999876"/>
    <n v="1.9999999999999876"/>
    <s v="Normal Working Days before 10pm"/>
    <s v="Total: 761 Policies (Batch 20171017_1502: 196 Policies, Batch 20171017_2258: 381 Policies, Batch 20171018_1121: 184 Policies, Batch 20171018_1437: 249 Policies)"/>
    <s v=""/>
    <x v="9"/>
  </r>
  <r>
    <x v="0"/>
    <x v="6"/>
    <d v="2017-10-18T00:00:00"/>
    <s v="Wed"/>
    <d v="1899-12-30T17:30:00"/>
    <d v="1899-12-30T19:30:00"/>
    <n v="8.0000000000000036"/>
    <n v="1.9999999999999876"/>
    <n v="1.9999999999999876"/>
    <s v="Normal Working Days before 10pm"/>
    <s v="Total: 761 Policies (Batch 20171017_1502: 196 Policies, Batch 20171017_2258: 381 Policies, Batch 20171018_1121: 184 Policies, Batch 20171018_1437: 249 Policies)"/>
    <s v=""/>
    <x v="9"/>
  </r>
  <r>
    <x v="0"/>
    <x v="15"/>
    <d v="2017-10-18T00:00:00"/>
    <s v="Wed"/>
    <d v="1899-12-30T17:30:00"/>
    <d v="1899-12-30T19:30:00"/>
    <n v="8.0000000000000036"/>
    <n v="1.9999999999999876"/>
    <n v="1.9999999999999876"/>
    <s v="Normal Working Days before 10pm"/>
    <s v="Total: 761 Policies (Batch 20171017_1502: 196 Policies, Batch 20171017_2258: 381 Policies, Batch 20171018_1121: 184 Policies, Batch 20171018_1437: 249 Policies)"/>
    <s v=""/>
    <x v="9"/>
  </r>
  <r>
    <x v="0"/>
    <x v="16"/>
    <d v="2017-10-18T00:00:00"/>
    <s v="Wed"/>
    <d v="1899-12-30T17:30:00"/>
    <d v="1899-12-30T19:30:00"/>
    <n v="8.0000000000000036"/>
    <n v="1.9999999999999876"/>
    <n v="1.9999999999999876"/>
    <s v="Normal Working Days before 10pm"/>
    <s v="Total: 761 Policies (Batch 20171017_1502: 196 Policies, Batch 20171017_2258: 381 Policies, Batch 20171018_1121: 184 Policies, Batch 20171018_1437: 249 Policies)"/>
    <s v=""/>
    <x v="9"/>
  </r>
  <r>
    <x v="1"/>
    <x v="5"/>
    <d v="2017-10-18T00:00:00"/>
    <s v="Wed"/>
    <d v="1899-12-30T08:30:00"/>
    <d v="1899-12-30T19:30:00"/>
    <n v="0"/>
    <n v="9.9999999999999911"/>
    <n v="9.9999999999999911"/>
    <s v="Normal Working Days before 10pm"/>
    <s v="Total: 761 Policies (Batch 20171017_1502: 196 Policies, Batch 20171017_2258: 381 Policies, Batch 20171018_1121: 184 Policies, Batch 20171018_1437: 249 Policies)"/>
    <s v=""/>
    <x v="9"/>
  </r>
  <r>
    <x v="1"/>
    <x v="19"/>
    <d v="2017-10-18T00:00:00"/>
    <s v="Wed"/>
    <d v="1899-12-30T08:30:00"/>
    <d v="1899-12-30T19:30:00"/>
    <n v="0"/>
    <n v="9.9999999999999911"/>
    <n v="9.9999999999999911"/>
    <s v="Normal Working Days before 10pm"/>
    <s v="Total: 761 Policies (Batch 20171017_1502: 196 Policies, Batch 20171017_2258: 381 Policies, Batch 20171018_1121: 184 Policies, Batch 20171018_1437: 249 Policies)"/>
    <s v=""/>
    <x v="9"/>
  </r>
  <r>
    <x v="1"/>
    <x v="5"/>
    <d v="2017-10-19T00:00:00"/>
    <s v="Thu"/>
    <d v="1899-12-30T08:30:00"/>
    <d v="1899-12-30T17:30:00"/>
    <n v="0"/>
    <n v="7.9999999999999982"/>
    <n v="7.9999999999999982"/>
    <s v="Normal Working Days before 10pm"/>
    <s v="Total: 729 Policies (Batch 20171018_1437: 249 Policies, Batch 20171018_2214: 330 Policies, Batch 20171019_1121: 150 Policies)"/>
    <s v=""/>
    <x v="9"/>
  </r>
  <r>
    <x v="1"/>
    <x v="5"/>
    <d v="2017-10-20T00:00:00"/>
    <s v="Fri"/>
    <d v="1899-12-30T08:30:00"/>
    <d v="1899-12-30T16:30:00"/>
    <n v="0"/>
    <n v="6.9999999999999911"/>
    <n v="6.9999999999999911"/>
    <s v="Normal Working Days before 10pm"/>
    <s v="Total: 491 Policies (Batch 20171019_1440: 112 Policies, Batch 20171019_0033: 379 Policies)"/>
    <s v=""/>
    <x v="9"/>
  </r>
  <r>
    <x v="0"/>
    <x v="0"/>
    <d v="2017-10-23T00:00:00"/>
    <s v="Mon"/>
    <d v="1899-12-30T17:30:00"/>
    <d v="1899-12-30T21:30:00"/>
    <n v="8.0000000000000036"/>
    <n v="3.9999999999999822"/>
    <n v="3.9999999999999822"/>
    <s v="Normal Working Days before 10pm"/>
    <s v="Total: 885 Policies (Batch 20171020_1433: 129 Policies, Batch 20171020_0017: 357 Policies, Batch 20171023_1111: 177 Policies, Batch 20171023_1440: 222 Policies)"/>
    <n v="1"/>
    <x v="9"/>
  </r>
  <r>
    <x v="0"/>
    <x v="2"/>
    <d v="2017-10-23T00:00:00"/>
    <s v="Mon"/>
    <d v="1899-12-30T17:30:00"/>
    <d v="1899-12-30T21:30:00"/>
    <n v="8.0000000000000036"/>
    <n v="3.9999999999999822"/>
    <n v="3.9999999999999822"/>
    <s v="Normal Working Days before 10pm"/>
    <s v="Total: 885 Policies (Batch 20171020_1433: 129 Policies, Batch 20171020_0017: 357 Policies, Batch 20171023_1111: 177 Policies, Batch 20171023_1440: 222 Policies)"/>
    <n v="1"/>
    <x v="9"/>
  </r>
  <r>
    <x v="0"/>
    <x v="15"/>
    <d v="2017-10-23T00:00:00"/>
    <s v="Mon"/>
    <d v="1899-12-30T17:30:00"/>
    <d v="1899-12-30T21:30:00"/>
    <n v="8.0000000000000036"/>
    <n v="3.9999999999999822"/>
    <n v="3.9999999999999822"/>
    <s v="Normal Working Days before 10pm"/>
    <s v="Total: 885 Policies (Batch 20171020_1433: 129 Policies, Batch 20171020_0017: 357 Policies, Batch 20171023_1111: 177 Policies, Batch 20171023_1440: 222 Policies)"/>
    <n v="1"/>
    <x v="9"/>
  </r>
  <r>
    <x v="0"/>
    <x v="16"/>
    <d v="2017-10-23T00:00:00"/>
    <s v="Mon"/>
    <d v="1899-12-30T17:30:00"/>
    <d v="1899-12-30T21:30:00"/>
    <n v="8.0000000000000036"/>
    <n v="3.9999999999999822"/>
    <n v="3.9999999999999822"/>
    <s v="Normal Working Days before 10pm"/>
    <s v="Total: 885 Policies (Batch 20171020_1433: 129 Policies, Batch 20171020_0017: 357 Policies, Batch 20171023_1111: 177 Policies, Batch 20171023_1440: 222 Policies)"/>
    <n v="1"/>
    <x v="9"/>
  </r>
  <r>
    <x v="1"/>
    <x v="5"/>
    <d v="2017-10-23T00:00:00"/>
    <s v="Mon"/>
    <d v="1899-12-30T08:30:00"/>
    <d v="1899-12-30T21:15:00"/>
    <n v="0"/>
    <n v="11.75"/>
    <n v="11.75"/>
    <s v="Normal Working Days before 10pm"/>
    <s v="Total: 885 Policies (Batch 20171020_1433: 129 Policies, Batch 20171020_0017: 357 Policies, Batch 20171023_1111: 177 Policies, Batch 20171023_1440: 222 Policies)"/>
    <s v=""/>
    <x v="9"/>
  </r>
  <r>
    <x v="1"/>
    <x v="19"/>
    <d v="2017-10-23T00:00:00"/>
    <s v="Mon"/>
    <d v="1899-12-30T12:30:00"/>
    <d v="1899-12-30T21:15:00"/>
    <n v="0"/>
    <n v="8.7500000000000142"/>
    <n v="8.7500000000000142"/>
    <s v="Normal Working Days before 10pm"/>
    <s v="Total: 885 Policies (Batch 20171020_1433: 129 Policies, Batch 20171020_0017: 357 Policies, Batch 20171023_1111: 177 Policies, Batch 20171023_1440: 222 Policies)"/>
    <s v=""/>
    <x v="9"/>
  </r>
  <r>
    <x v="0"/>
    <x v="0"/>
    <d v="2017-10-24T00:00:00"/>
    <s v="Tue"/>
    <d v="1899-12-30T17:30:00"/>
    <d v="1899-12-30T21:30:00"/>
    <n v="8.0000000000000036"/>
    <n v="3.9999999999999822"/>
    <n v="3.9999999999999822"/>
    <s v="Normal Working Days before 10pm"/>
    <s v="Total: 1269 Policies (Batch 20171023_2331: 590 Policies, Batch 20171024_1101: 399 Policies, Batch 20171024_1420: 280 Policies)"/>
    <n v="1"/>
    <x v="9"/>
  </r>
  <r>
    <x v="0"/>
    <x v="2"/>
    <d v="2017-10-24T00:00:00"/>
    <s v="Tue"/>
    <d v="1899-12-30T17:30:00"/>
    <d v="1899-12-30T21:30:00"/>
    <n v="8.0000000000000036"/>
    <n v="3.9999999999999822"/>
    <n v="3.9999999999999822"/>
    <s v="Normal Working Days before 10pm"/>
    <s v="Total: 1269 Policies (Batch 20171023_2331: 590 Policies, Batch 20171024_1101: 399 Policies, Batch 20171024_1420: 280 Policies)"/>
    <n v="1"/>
    <x v="9"/>
  </r>
  <r>
    <x v="0"/>
    <x v="6"/>
    <d v="2017-10-24T00:00:00"/>
    <s v="Tue"/>
    <d v="1899-12-30T17:30:00"/>
    <d v="1899-12-30T21:30:00"/>
    <n v="8.0000000000000036"/>
    <n v="3.9999999999999822"/>
    <n v="3.9999999999999822"/>
    <s v="Normal Working Days before 10pm"/>
    <s v="Total: 1269 Policies (Batch 20171023_2331: 590 Policies, Batch 20171024_1101: 399 Policies, Batch 20171024_1420: 280 Policies)"/>
    <n v="1"/>
    <x v="9"/>
  </r>
  <r>
    <x v="0"/>
    <x v="15"/>
    <d v="2017-10-24T00:00:00"/>
    <s v="Tue"/>
    <d v="1899-12-30T17:30:00"/>
    <d v="1899-12-30T21:30:00"/>
    <n v="8.0000000000000036"/>
    <n v="3.9999999999999822"/>
    <n v="3.9999999999999822"/>
    <s v="Normal Working Days before 10pm"/>
    <s v="Total: 1269 Policies (Batch 20171023_2331: 590 Policies, Batch 20171024_1101: 399 Policies, Batch 20171024_1420: 280 Policies)"/>
    <n v="1"/>
    <x v="9"/>
  </r>
  <r>
    <x v="0"/>
    <x v="16"/>
    <d v="2017-10-24T00:00:00"/>
    <s v="Tue"/>
    <d v="1899-12-30T17:30:00"/>
    <d v="1899-12-30T21:30:00"/>
    <n v="8.0000000000000036"/>
    <n v="3.9999999999999822"/>
    <n v="3.9999999999999822"/>
    <s v="Normal Working Days before 10pm"/>
    <s v="Total: 1269 Policies (Batch 20171023_2331: 590 Policies, Batch 20171024_1101: 399 Policies, Batch 20171024_1420: 280 Policies)"/>
    <n v="1"/>
    <x v="9"/>
  </r>
  <r>
    <x v="1"/>
    <x v="5"/>
    <d v="2017-10-24T00:00:00"/>
    <s v="Tue"/>
    <d v="1899-12-30T08:30:00"/>
    <d v="1899-12-30T21:30:00"/>
    <n v="0"/>
    <n v="11.999999999999986"/>
    <n v="11.999999999999986"/>
    <s v="Normal Working Days before 10pm"/>
    <s v="Total: 1269 Policies (Batch 20171023_2331: 590 Policies, Batch 20171024_1101: 399 Policies, Batch 20171024_1420: 280 Policies)"/>
    <s v=""/>
    <x v="9"/>
  </r>
  <r>
    <x v="0"/>
    <x v="0"/>
    <d v="2017-10-25T00:00:00"/>
    <s v="Wed"/>
    <d v="1899-12-30T17:30:00"/>
    <d v="1899-12-30T21:30:00"/>
    <n v="8.0000000000000036"/>
    <n v="3.9999999999999822"/>
    <n v="3.9999999999999822"/>
    <s v="Normal Working Days before 10pm"/>
    <s v="Total: 1140 Policies (Batch 20171024_2316: 894 Policies, Batch 20171025_1106: 246 Policies)"/>
    <n v="1"/>
    <x v="9"/>
  </r>
  <r>
    <x v="0"/>
    <x v="2"/>
    <d v="2017-10-25T00:00:00"/>
    <s v="Wed"/>
    <d v="1899-12-30T17:30:00"/>
    <d v="1899-12-30T21:30:00"/>
    <n v="8.0000000000000036"/>
    <n v="3.9999999999999822"/>
    <n v="3.9999999999999822"/>
    <s v="Normal Working Days before 10pm"/>
    <s v="Total: 1140 Policies (Batch 20171024_2316: 894 Policies, Batch 20171025_1106: 246 Policies)"/>
    <n v="1"/>
    <x v="9"/>
  </r>
  <r>
    <x v="0"/>
    <x v="6"/>
    <d v="2017-10-25T00:00:00"/>
    <s v="Wed"/>
    <d v="1899-12-30T17:30:00"/>
    <d v="1899-12-30T21:30:00"/>
    <n v="8.0000000000000036"/>
    <n v="3.9999999999999822"/>
    <n v="3.9999999999999822"/>
    <s v="Normal Working Days before 10pm"/>
    <s v="Total: 1140 Policies (Batch 20171024_2316: 894 Policies, Batch 20171025_1106: 246 Policies)"/>
    <n v="1"/>
    <x v="9"/>
  </r>
  <r>
    <x v="0"/>
    <x v="15"/>
    <d v="2017-10-25T00:00:00"/>
    <s v="Wed"/>
    <d v="1899-12-30T17:30:00"/>
    <d v="1899-12-30T21:30:00"/>
    <n v="8.0000000000000036"/>
    <n v="3.9999999999999822"/>
    <n v="3.9999999999999822"/>
    <s v="Normal Working Days before 10pm"/>
    <s v="Total: 1140 Policies (Batch 20171024_2316: 894 Policies, Batch 20171025_1106: 246 Policies)"/>
    <n v="1"/>
    <x v="9"/>
  </r>
  <r>
    <x v="0"/>
    <x v="16"/>
    <d v="2017-10-25T00:00:00"/>
    <s v="Wed"/>
    <d v="1899-12-30T17:30:00"/>
    <d v="1899-12-30T20:00:00"/>
    <n v="8.0000000000000036"/>
    <n v="2.4999999999999805"/>
    <n v="2.4999999999999805"/>
    <s v="Normal Working Days before 10pm"/>
    <s v="Total: 1140 Policies (Batch 20171024_2316: 894 Policies, Batch 20171025_1106: 246 Policies)"/>
    <n v="1"/>
    <x v="9"/>
  </r>
  <r>
    <x v="1"/>
    <x v="5"/>
    <d v="2017-10-25T00:00:00"/>
    <s v="Wed"/>
    <d v="1899-12-30T08:30:00"/>
    <d v="1899-12-30T21:30:00"/>
    <n v="0"/>
    <n v="11.999999999999986"/>
    <n v="11.999999999999986"/>
    <s v="Normal Working Days before 10pm"/>
    <s v="Total: 1140 Policies (Batch 20171024_2316: 894 Policies, Batch 20171025_1106: 246 Policies)"/>
    <s v=""/>
    <x v="9"/>
  </r>
  <r>
    <x v="1"/>
    <x v="19"/>
    <d v="2017-10-25T00:00:00"/>
    <s v="Wed"/>
    <d v="1899-12-30T12:30:00"/>
    <d v="1899-12-30T21:30:00"/>
    <n v="0"/>
    <n v="9"/>
    <n v="9"/>
    <s v="Normal Working Days before 10pm"/>
    <s v="Total: 1140 Policies (Batch 20171024_2316: 894 Policies, Batch 20171025_1106: 246 Policies)"/>
    <s v=""/>
    <x v="9"/>
  </r>
  <r>
    <x v="0"/>
    <x v="0"/>
    <d v="2017-10-26T00:00:00"/>
    <s v="Thu"/>
    <d v="1899-12-30T17:00:00"/>
    <d v="1899-12-30T21:00:00"/>
    <n v="8.0000000000000036"/>
    <n v="4.0000000000000036"/>
    <n v="4.0000000000000036"/>
    <s v="Normal Working Days before 10pm"/>
    <s v="Total: 1265 Policies (Batch 20171025_1430: 253 Policies, Batch 20171025_2142: 557 Policies, Batch 20171026_1112: 142 Policies, Batch 20171026_1426: 313 Policies)"/>
    <n v="1"/>
    <x v="9"/>
  </r>
  <r>
    <x v="0"/>
    <x v="2"/>
    <d v="2017-10-26T00:00:00"/>
    <s v="Thu"/>
    <d v="1899-12-30T17:00:00"/>
    <d v="1899-12-30T21:00:00"/>
    <n v="8.0000000000000036"/>
    <n v="4.0000000000000036"/>
    <n v="4.0000000000000036"/>
    <s v="Normal Working Days before 10pm"/>
    <s v="Total: 1265 Policies (Batch 20171025_1430: 253 Policies, Batch 20171025_2142: 557 Policies, Batch 20171026_1112: 142 Policies, Batch 20171026_1426: 313 Policies)"/>
    <n v="1"/>
    <x v="9"/>
  </r>
  <r>
    <x v="0"/>
    <x v="6"/>
    <d v="2017-10-26T00:00:00"/>
    <s v="Thu"/>
    <d v="1899-12-30T17:00:00"/>
    <d v="1899-12-30T21:00:00"/>
    <n v="8.0000000000000036"/>
    <n v="4.0000000000000036"/>
    <n v="4.0000000000000036"/>
    <s v="Normal Working Days before 10pm"/>
    <s v="Total: 1265 Policies (Batch 20171025_1430: 253 Policies, Batch 20171025_2142: 557 Policies, Batch 20171026_1112: 142 Policies, Batch 20171026_1426: 313 Policies)"/>
    <n v="1"/>
    <x v="9"/>
  </r>
  <r>
    <x v="0"/>
    <x v="15"/>
    <d v="2017-10-26T00:00:00"/>
    <s v="Thu"/>
    <d v="1899-12-30T17:00:00"/>
    <d v="1899-12-30T21:00:00"/>
    <n v="8.0000000000000036"/>
    <n v="4.0000000000000036"/>
    <n v="4.0000000000000036"/>
    <s v="Normal Working Days before 10pm"/>
    <s v="Total: 1265 Policies (Batch 20171025_1430: 253 Policies, Batch 20171025_2142: 557 Policies, Batch 20171026_1112: 142 Policies, Batch 20171026_1426: 313 Policies)"/>
    <n v="1"/>
    <x v="9"/>
  </r>
  <r>
    <x v="0"/>
    <x v="16"/>
    <d v="2017-10-26T00:00:00"/>
    <s v="Thu"/>
    <d v="1899-12-30T17:00:00"/>
    <d v="1899-12-30T21:00:00"/>
    <n v="8.0000000000000036"/>
    <n v="4.0000000000000036"/>
    <n v="4.0000000000000036"/>
    <s v="Normal Working Days before 10pm"/>
    <s v="Total: 1265 Policies (Batch 20171025_1430: 253 Policies, Batch 20171025_2142: 557 Policies, Batch 20171026_1112: 142 Policies, Batch 20171026_1426: 313 Policies)"/>
    <n v="1"/>
    <x v="9"/>
  </r>
  <r>
    <x v="1"/>
    <x v="5"/>
    <d v="2017-10-26T00:00:00"/>
    <s v="Thu"/>
    <d v="1899-12-30T08:00:00"/>
    <d v="1899-12-30T21:00:00"/>
    <n v="0"/>
    <n v="12.000000000000007"/>
    <n v="12.000000000000007"/>
    <s v="Normal Working Days before 10pm"/>
    <s v="Total: 1265 Policies (Batch 20171025_1430: 253 Policies, Batch 20171025_2142: 557 Policies, Batch 20171026_1112: 142 Policies, Batch 20171026_1426: 313 Policies)"/>
    <s v=""/>
    <x v="9"/>
  </r>
  <r>
    <x v="1"/>
    <x v="20"/>
    <d v="2017-10-26T00:00:00"/>
    <s v="Thu"/>
    <d v="1899-12-30T08:00:00"/>
    <d v="1899-12-30T21:00:00"/>
    <n v="0"/>
    <n v="12.000000000000007"/>
    <n v="12.000000000000007"/>
    <s v="Normal Working Days before 10pm"/>
    <s v="Total: 1265 Policies (Batch 20171025_1430: 253 Policies, Batch 20171025_2142: 557 Policies, Batch 20171026_1112: 142 Policies, Batch 20171026_1426: 313 Policies)"/>
    <s v=""/>
    <x v="9"/>
  </r>
  <r>
    <x v="1"/>
    <x v="7"/>
    <d v="2017-10-26T00:00:00"/>
    <s v="Thu"/>
    <d v="1899-12-30T09:30:00"/>
    <d v="1899-12-30T19:00:00"/>
    <n v="0"/>
    <n v="8.500000000000016"/>
    <n v="8.500000000000016"/>
    <s v="Normal Working Days before 10pm"/>
    <s v="Total: 1265 Policies (Batch 20171025_1430: 253 Policies, Batch 20171025_2142: 557 Policies, Batch 20171026_1112: 142 Policies, Batch 20171026_1426: 313 Policies)"/>
    <s v=""/>
    <x v="9"/>
  </r>
  <r>
    <x v="0"/>
    <x v="0"/>
    <d v="2017-10-27T00:00:00"/>
    <s v="Fri"/>
    <d v="1899-12-30T17:00:00"/>
    <d v="1899-12-30T19:30:00"/>
    <n v="8.0000000000000036"/>
    <n v="2.5000000000000053"/>
    <n v="2.5000000000000053"/>
    <s v="Normal Working Days before 10pm"/>
    <s v="Total: 934 Policies (Batch 20171026_2245: 551 Policies, Batch 20171027_1146: 193 Policies, Batch 20171027_1440: 190 Policies)"/>
    <n v="1"/>
    <x v="9"/>
  </r>
  <r>
    <x v="0"/>
    <x v="2"/>
    <d v="2017-10-27T00:00:00"/>
    <s v="Fri"/>
    <d v="1899-12-30T17:00:00"/>
    <d v="1899-12-30T19:30:00"/>
    <n v="8.0000000000000036"/>
    <n v="2.5000000000000053"/>
    <n v="2.5000000000000053"/>
    <s v="Normal Working Days before 10pm"/>
    <s v="Total: 934 Policies (Batch 20171026_2245: 551 Policies, Batch 20171027_1146: 193 Policies, Batch 20171027_1440: 190 Policies)"/>
    <n v="1"/>
    <x v="9"/>
  </r>
  <r>
    <x v="0"/>
    <x v="6"/>
    <d v="2017-10-27T00:00:00"/>
    <s v="Fri"/>
    <d v="1899-12-30T17:00:00"/>
    <d v="1899-12-30T19:30:00"/>
    <n v="8.0000000000000036"/>
    <n v="2.5000000000000053"/>
    <n v="2.5000000000000053"/>
    <s v="Normal Working Days before 10pm"/>
    <s v="Total: 934 Policies (Batch 20171026_2245: 551 Policies, Batch 20171027_1146: 193 Policies, Batch 20171027_1440: 190 Policies)"/>
    <n v="1"/>
    <x v="9"/>
  </r>
  <r>
    <x v="0"/>
    <x v="15"/>
    <d v="2017-10-27T00:00:00"/>
    <s v="Fri"/>
    <d v="1899-12-30T17:00:00"/>
    <d v="1899-12-30T19:30:00"/>
    <n v="8.0000000000000036"/>
    <n v="2.5000000000000053"/>
    <n v="2.5000000000000053"/>
    <s v="Normal Working Days before 10pm"/>
    <s v="Total: 934 Policies (Batch 20171026_2245: 551 Policies, Batch 20171027_1146: 193 Policies, Batch 20171027_1440: 190 Policies)"/>
    <n v="1"/>
    <x v="9"/>
  </r>
  <r>
    <x v="0"/>
    <x v="16"/>
    <d v="2017-10-27T00:00:00"/>
    <s v="Fri"/>
    <d v="1899-12-30T17:00:00"/>
    <d v="1899-12-30T19:30:00"/>
    <n v="8.0000000000000036"/>
    <n v="2.5000000000000053"/>
    <n v="2.5000000000000053"/>
    <s v="Normal Working Days before 10pm"/>
    <s v="Total: 934 Policies (Batch 20171026_2245: 551 Policies, Batch 20171027_1146: 193 Policies, Batch 20171027_1440: 190 Policies)"/>
    <n v="1"/>
    <x v="9"/>
  </r>
  <r>
    <x v="1"/>
    <x v="5"/>
    <d v="2017-10-27T00:00:00"/>
    <s v="Fri"/>
    <d v="1899-12-30T08:00:00"/>
    <d v="1899-12-30T19:30:00"/>
    <n v="0"/>
    <n v="10.500000000000009"/>
    <n v="10.500000000000009"/>
    <s v="Normal Working Days before 10pm"/>
    <s v="Total: 934 Policies (Batch 20171026_2245: 551 Policies, Batch 20171027_1146: 193 Policies, Batch 20171027_1440: 190 Policies)"/>
    <s v=""/>
    <x v="9"/>
  </r>
  <r>
    <x v="1"/>
    <x v="19"/>
    <d v="2017-10-27T00:00:00"/>
    <s v="Fri"/>
    <d v="1899-12-30T08:00:00"/>
    <d v="1899-12-30T19:30:00"/>
    <n v="0"/>
    <n v="10.500000000000009"/>
    <n v="10.500000000000009"/>
    <s v="Normal Working Days before 10pm"/>
    <s v="Total: 934 Policies (Batch 20171026_2245: 551 Policies, Batch 20171027_1146: 193 Policies, Batch 20171027_1440: 190 Policies)"/>
    <s v=""/>
    <x v="9"/>
  </r>
  <r>
    <x v="0"/>
    <x v="0"/>
    <d v="2017-10-28T00:00:00"/>
    <s v="Sat"/>
    <d v="1899-12-30T08:00:00"/>
    <d v="1899-12-30T17:00:00"/>
    <n v="8.0000000000000036"/>
    <n v="0"/>
    <n v="8.0000000000000036"/>
    <s v="Saturday/Sunday (Weekends) before 10pm"/>
    <s v="Total: 1023 Policies (Batch 20171027_2234: 658 Policies, Batch 20171028_1100: 148 Policies, Batch 20171028_1430: 217 Policies)"/>
    <s v=""/>
    <x v="9"/>
  </r>
  <r>
    <x v="0"/>
    <x v="2"/>
    <d v="2017-10-28T00:00:00"/>
    <s v="Sat"/>
    <d v="1899-12-30T17:00:00"/>
    <d v="1899-12-30T19:00:00"/>
    <n v="8.0000000000000036"/>
    <n v="2.0000000000000124"/>
    <n v="10.000000000000016"/>
    <s v="Saturday/Sunday (Weekends) before 10pm"/>
    <s v="Total: 1023 Policies (Batch 20171027_2234: 658 Policies, Batch 20171028_1100: 148 Policies, Batch 20171028_1430: 217 Policies)"/>
    <n v="1"/>
    <x v="9"/>
  </r>
  <r>
    <x v="0"/>
    <x v="6"/>
    <d v="2017-10-28T00:00:00"/>
    <s v="Sat"/>
    <d v="1899-12-30T17:00:00"/>
    <d v="1899-12-30T19:00:00"/>
    <n v="8.0000000000000036"/>
    <n v="2.0000000000000124"/>
    <n v="10.000000000000016"/>
    <s v="Saturday/Sunday (Weekends) before 10pm"/>
    <s v="Total: 1023 Policies (Batch 20171027_2234: 658 Policies, Batch 20171028_1100: 148 Policies, Batch 20171028_1430: 217 Policies)"/>
    <n v="1"/>
    <x v="9"/>
  </r>
  <r>
    <x v="0"/>
    <x v="15"/>
    <d v="2017-10-28T00:00:00"/>
    <s v="Sat"/>
    <d v="1899-12-30T17:00:00"/>
    <d v="1899-12-30T19:00:00"/>
    <n v="8.0000000000000036"/>
    <n v="2.0000000000000124"/>
    <n v="10.000000000000016"/>
    <s v="Saturday/Sunday (Weekends) before 10pm"/>
    <s v="Total: 1023 Policies (Batch 20171027_2234: 658 Policies, Batch 20171028_1100: 148 Policies, Batch 20171028_1430: 217 Policies)"/>
    <n v="1"/>
    <x v="9"/>
  </r>
  <r>
    <x v="0"/>
    <x v="16"/>
    <d v="2017-10-28T00:00:00"/>
    <s v="Sat"/>
    <d v="1899-12-30T17:00:00"/>
    <d v="1899-12-30T19:00:00"/>
    <n v="8.0000000000000036"/>
    <n v="2.0000000000000124"/>
    <n v="10.000000000000016"/>
    <s v="Saturday/Sunday (Weekends) before 10pm"/>
    <s v="Total: 1023 Policies (Batch 20171027_2234: 658 Policies, Batch 20171028_1100: 148 Policies, Batch 20171028_1430: 217 Policies)"/>
    <n v="1"/>
    <x v="9"/>
  </r>
  <r>
    <x v="1"/>
    <x v="5"/>
    <d v="2017-10-28T00:00:00"/>
    <s v="Sat"/>
    <d v="1899-12-30T08:00:00"/>
    <d v="1899-12-30T19:00:00"/>
    <n v="0"/>
    <n v="10.000000000000016"/>
    <n v="10.000000000000016"/>
    <s v="Saturday/Sunday (Weekends) before 10pm"/>
    <s v="Total: 1023 Policies (Batch 20171027_2234: 658 Policies, Batch 20171028_1100: 148 Policies, Batch 20171028_1430: 217 Policies)"/>
    <s v=""/>
    <x v="9"/>
  </r>
  <r>
    <x v="1"/>
    <x v="19"/>
    <d v="2017-10-28T00:00:00"/>
    <s v="Sat"/>
    <d v="1899-12-30T08:00:00"/>
    <d v="1899-12-30T19:00:00"/>
    <n v="0"/>
    <n v="10.000000000000016"/>
    <n v="10.000000000000016"/>
    <s v="Saturday/Sunday (Weekends) before 10pm"/>
    <s v="Total: 1023 Policies (Batch 20171027_2234: 658 Policies, Batch 20171028_1100: 148 Policies, Batch 20171028_1430: 217 Policies)"/>
    <s v=""/>
    <x v="9"/>
  </r>
  <r>
    <x v="1"/>
    <x v="20"/>
    <d v="2017-10-28T00:00:00"/>
    <s v="Sat"/>
    <d v="1899-12-30T08:00:00"/>
    <d v="1899-12-30T19:00:00"/>
    <n v="0"/>
    <n v="10.000000000000016"/>
    <n v="10.000000000000016"/>
    <s v="Saturday/Sunday (Weekends) before 10pm"/>
    <s v="Total: 1023 Policies (Batch 20171027_2234: 658 Policies, Batch 20171028_1100: 148 Policies, Batch 20171028_1430: 217 Policies)"/>
    <s v=""/>
    <x v="9"/>
  </r>
  <r>
    <x v="0"/>
    <x v="0"/>
    <d v="2017-10-30T00:00:00"/>
    <s v="Mon"/>
    <d v="1899-12-30T17:00:00"/>
    <d v="1899-12-30T22:00:00"/>
    <n v="8.0000000000000036"/>
    <n v="5.0000000000000107"/>
    <n v="5.0000000000000107"/>
    <s v="Normal Working Days before 10pm"/>
    <s v="Total: 1305 Policies (Batch 20171028_2337: 1060 Policies, Batch 20171030_1054: 245 Policies)"/>
    <n v="1"/>
    <x v="9"/>
  </r>
  <r>
    <x v="0"/>
    <x v="6"/>
    <d v="2017-10-30T00:00:00"/>
    <s v="Mon"/>
    <d v="1899-12-30T17:00:00"/>
    <d v="1899-12-30T22:00:00"/>
    <n v="8.0000000000000036"/>
    <n v="5.0000000000000107"/>
    <n v="5.0000000000000107"/>
    <s v="Normal Working Days before 10pm"/>
    <s v="Total: 1305 Policies (Batch 20171028_2337: 1060 Policies, Batch 20171030_1054: 245 Policies)"/>
    <n v="1"/>
    <x v="9"/>
  </r>
  <r>
    <x v="0"/>
    <x v="15"/>
    <d v="2017-10-30T00:00:00"/>
    <s v="Mon"/>
    <d v="1899-12-30T17:00:00"/>
    <d v="1899-12-30T22:00:00"/>
    <n v="8.0000000000000036"/>
    <n v="5.0000000000000107"/>
    <n v="5.0000000000000107"/>
    <s v="Normal Working Days before 10pm"/>
    <s v="Total: 1305 Policies (Batch 20171028_2337: 1060 Policies, Batch 20171030_1054: 245 Policies)"/>
    <n v="1"/>
    <x v="9"/>
  </r>
  <r>
    <x v="0"/>
    <x v="16"/>
    <d v="2017-10-30T00:00:00"/>
    <s v="Mon"/>
    <d v="1899-12-30T17:00:00"/>
    <d v="1899-12-30T22:00:00"/>
    <n v="8.0000000000000036"/>
    <n v="5.0000000000000107"/>
    <n v="5.0000000000000107"/>
    <s v="Normal Working Days before 10pm"/>
    <s v="Total: 1305 Policies (Batch 20171028_2337: 1060 Policies, Batch 20171030_1054: 245 Policies)"/>
    <n v="1"/>
    <x v="9"/>
  </r>
  <r>
    <x v="1"/>
    <x v="5"/>
    <d v="2017-10-30T00:00:00"/>
    <s v="Mon"/>
    <d v="1899-12-30T08:00:00"/>
    <d v="1899-12-30T22:00:00"/>
    <n v="0"/>
    <n v="13.000000000000014"/>
    <n v="13.000000000000014"/>
    <s v="Normal Working Days before 10pm"/>
    <s v="Total: 1305 Policies (Batch 20171028_2337: 1060 Policies, Batch 20171030_1054: 245 Policies)"/>
    <s v=""/>
    <x v="9"/>
  </r>
  <r>
    <x v="1"/>
    <x v="12"/>
    <d v="2017-10-30T00:00:00"/>
    <s v="Mon"/>
    <d v="1899-12-30T08:00:00"/>
    <d v="1899-12-30T22:00:00"/>
    <n v="0"/>
    <n v="13.000000000000014"/>
    <n v="13.000000000000014"/>
    <s v="Normal Working Days before 10pm"/>
    <s v="Total: 1305 Policies (Batch 20171028_2337: 1060 Policies, Batch 20171030_1054: 245 Policies)"/>
    <s v=""/>
    <x v="9"/>
  </r>
  <r>
    <x v="1"/>
    <x v="19"/>
    <d v="2017-10-30T00:00:00"/>
    <s v="Mon"/>
    <d v="1899-12-30T09:00:00"/>
    <d v="1899-12-30T22:00:00"/>
    <n v="0"/>
    <n v="12.000000000000007"/>
    <n v="12.000000000000007"/>
    <s v="Normal Working Days before 10pm"/>
    <s v="Total: 1305 Policies (Batch 20171028_2337: 1060 Policies, Batch 20171030_1054: 245 Policies)"/>
    <s v=""/>
    <x v="9"/>
  </r>
  <r>
    <x v="1"/>
    <x v="20"/>
    <d v="2017-10-30T00:00:00"/>
    <s v="Mon"/>
    <d v="1899-12-30T08:00:00"/>
    <d v="1899-12-30T16:00:00"/>
    <n v="0"/>
    <n v="7.000000000000016"/>
    <n v="7.000000000000016"/>
    <s v="Normal Working Days before 10pm"/>
    <s v="Total: 1305 Policies (Batch 20171028_2337: 1060 Policies, Batch 20171030_1054: 245 Policies)"/>
    <s v=""/>
    <x v="9"/>
  </r>
  <r>
    <x v="0"/>
    <x v="0"/>
    <d v="2017-10-31T00:00:00"/>
    <s v="Tue"/>
    <d v="1899-12-30T17:00:00"/>
    <d v="1899-12-30T21:00:00"/>
    <n v="8.0000000000000036"/>
    <n v="4.0000000000000036"/>
    <n v="4.0000000000000036"/>
    <s v="Normal Working Days before 10pm"/>
    <s v="Total: 1624 Policies (Batch 20171030_1442: 247 Policies,Batch 20171030_2331: 1377 Policies)"/>
    <n v="1"/>
    <x v="9"/>
  </r>
  <r>
    <x v="0"/>
    <x v="2"/>
    <d v="2017-10-31T00:00:00"/>
    <s v="Tue"/>
    <d v="1899-12-30T17:00:00"/>
    <d v="1899-12-30T21:00:00"/>
    <n v="8.0000000000000036"/>
    <n v="4.0000000000000036"/>
    <n v="4.0000000000000036"/>
    <s v="Normal Working Days before 10pm"/>
    <s v="Total: 1624 Policies (Batch 20171030_1442: 247 Policies,Batch 20171030_2331: 1377 Policies)"/>
    <n v="1"/>
    <x v="9"/>
  </r>
  <r>
    <x v="0"/>
    <x v="6"/>
    <d v="2017-10-31T00:00:00"/>
    <s v="Tue"/>
    <d v="1899-12-30T17:00:00"/>
    <d v="1899-12-30T21:00:00"/>
    <n v="8.0000000000000036"/>
    <n v="4.0000000000000036"/>
    <n v="4.0000000000000036"/>
    <s v="Normal Working Days before 10pm"/>
    <s v="Total: 1624 Policies (Batch 20171030_1442: 247 Policies,Batch 20171030_2331: 1377 Policies)"/>
    <n v="1"/>
    <x v="9"/>
  </r>
  <r>
    <x v="0"/>
    <x v="15"/>
    <d v="2017-10-31T00:00:00"/>
    <s v="Tue"/>
    <d v="1899-12-30T17:00:00"/>
    <d v="1899-12-30T21:00:00"/>
    <n v="8.0000000000000036"/>
    <n v="4.0000000000000036"/>
    <n v="4.0000000000000036"/>
    <s v="Normal Working Days before 10pm"/>
    <s v="Total: 1624 Policies (Batch 20171030_1442: 247 Policies,Batch 20171030_2331: 1377 Policies)"/>
    <n v="1"/>
    <x v="9"/>
  </r>
  <r>
    <x v="1"/>
    <x v="5"/>
    <d v="2017-10-31T00:00:00"/>
    <s v="Tue"/>
    <d v="1899-12-30T08:00:00"/>
    <d v="1899-12-30T21:00:00"/>
    <n v="0"/>
    <n v="12.000000000000007"/>
    <n v="12.000000000000007"/>
    <s v="Normal Working Days before 10pm"/>
    <s v="Total: 1624 Policies (Batch 20171030_1442: 247 Policies,Batch 20171030_2331: 1377 Policies)"/>
    <s v=""/>
    <x v="9"/>
  </r>
  <r>
    <x v="1"/>
    <x v="12"/>
    <d v="2017-10-31T00:00:00"/>
    <s v="Tue"/>
    <d v="1899-12-30T08:00:00"/>
    <d v="1899-12-30T21:00:00"/>
    <n v="0"/>
    <n v="12.000000000000007"/>
    <n v="12.000000000000007"/>
    <s v="Normal Working Days before 10pm"/>
    <s v="Total: 1624 Policies (Batch 20171030_1442: 247 Policies,Batch 20171030_2331: 1377 Policies)"/>
    <s v=""/>
    <x v="9"/>
  </r>
  <r>
    <x v="1"/>
    <x v="19"/>
    <d v="2017-10-31T00:00:00"/>
    <s v="Tue"/>
    <d v="1899-12-30T08:30:00"/>
    <d v="1899-12-30T21:00:00"/>
    <n v="0"/>
    <n v="11.499999999999993"/>
    <n v="11.499999999999993"/>
    <s v="Normal Working Days before 10pm"/>
    <s v="Total: 1624 Policies (Batch 20171030_1442: 247 Policies,Batch 20171030_2331: 1377 Policies)"/>
    <s v=""/>
    <x v="9"/>
  </r>
  <r>
    <x v="1"/>
    <x v="20"/>
    <d v="2017-10-31T00:00:00"/>
    <s v="Tue"/>
    <d v="1899-12-30T08:00:00"/>
    <d v="1899-12-30T21:00:00"/>
    <n v="0"/>
    <n v="12.000000000000007"/>
    <n v="12.000000000000007"/>
    <s v="Normal Working Days before 10pm"/>
    <s v="Total: 1624 Policies (Batch 20171030_1442: 247 Policies,Batch 20171030_2331: 1377 Policies)"/>
    <s v=""/>
    <x v="9"/>
  </r>
  <r>
    <x v="0"/>
    <x v="0"/>
    <d v="2017-11-01T00:00:00"/>
    <s v="Wed"/>
    <d v="1899-12-30T17:00:00"/>
    <d v="1899-12-30T21:00:00"/>
    <n v="8.0000000000000036"/>
    <n v="4.0000000000000036"/>
    <n v="4.0000000000000036"/>
    <s v="Normal Working Days before 10pm"/>
    <s v="Total: 2124 Policies (Batch 20171031_1144: 535 Policies, Batch 20171031_1559: 356 Policies, Batch 20171031_2241: 1233 Policies)"/>
    <n v="1"/>
    <x v="10"/>
  </r>
  <r>
    <x v="0"/>
    <x v="2"/>
    <d v="2017-11-01T00:00:00"/>
    <s v="Wed"/>
    <d v="1899-12-30T17:00:00"/>
    <d v="1899-12-30T21:00:00"/>
    <n v="8.0000000000000036"/>
    <n v="4.0000000000000036"/>
    <n v="4.0000000000000036"/>
    <s v="Normal Working Days before 10pm"/>
    <s v="Total: 2124 Policies (Batch 20171031_1144: 535 Policies, Batch 20171031_1559: 356 Policies, Batch 20171031_2241: 1233 Policies)"/>
    <n v="1"/>
    <x v="10"/>
  </r>
  <r>
    <x v="0"/>
    <x v="15"/>
    <d v="2017-11-01T00:00:00"/>
    <s v="Wed"/>
    <d v="1899-12-30T17:00:00"/>
    <d v="1899-12-30T21:00:00"/>
    <n v="8.0000000000000036"/>
    <n v="4.0000000000000036"/>
    <n v="4.0000000000000036"/>
    <s v="Normal Working Days before 10pm"/>
    <s v="Total: 2124 Policies (Batch 20171031_1144: 535 Policies, Batch 20171031_1559: 356 Policies, Batch 20171031_2241: 1233 Policies)"/>
    <n v="1"/>
    <x v="10"/>
  </r>
  <r>
    <x v="0"/>
    <x v="16"/>
    <d v="2017-11-01T00:00:00"/>
    <s v="Wed"/>
    <d v="1899-12-30T17:00:00"/>
    <d v="1899-12-30T21:00:00"/>
    <n v="8.0000000000000036"/>
    <n v="4.0000000000000036"/>
    <n v="4.0000000000000036"/>
    <s v="Normal Working Days before 10pm"/>
    <s v="Total: 2124 Policies (Batch 20171031_1144: 535 Policies, Batch 20171031_1559: 356 Policies, Batch 20171031_2241: 1233 Policies)"/>
    <n v="1"/>
    <x v="10"/>
  </r>
  <r>
    <x v="1"/>
    <x v="5"/>
    <d v="2017-11-01T00:00:00"/>
    <s v="Wed"/>
    <d v="1899-12-30T08:00:00"/>
    <d v="1899-12-30T21:00:00"/>
    <n v="0"/>
    <n v="12.000000000000007"/>
    <n v="12.000000000000007"/>
    <s v="Normal Working Days before 10pm"/>
    <s v="Total: 2124 Policies (Batch 20171031_1144: 535 Policies, Batch 20171031_1559: 356 Policies, Batch 20171031_2241: 1233 Policies)"/>
    <s v=""/>
    <x v="10"/>
  </r>
  <r>
    <x v="1"/>
    <x v="12"/>
    <d v="2017-11-01T00:00:00"/>
    <s v="Wed"/>
    <d v="1899-12-30T08:00:00"/>
    <d v="1899-12-30T21:00:00"/>
    <n v="0"/>
    <n v="12.000000000000007"/>
    <n v="12.000000000000007"/>
    <s v="Normal Working Days before 10pm"/>
    <s v="Total: 2124 Policies (Batch 20171031_1144: 535 Policies, Batch 20171031_1559: 356 Policies, Batch 20171031_2241: 1233 Policies)"/>
    <s v=""/>
    <x v="10"/>
  </r>
  <r>
    <x v="1"/>
    <x v="19"/>
    <d v="2017-11-01T00:00:00"/>
    <s v="Wed"/>
    <d v="1899-12-30T08:00:00"/>
    <d v="1899-12-30T21:00:00"/>
    <n v="0"/>
    <n v="12.000000000000007"/>
    <n v="12.000000000000007"/>
    <s v="Normal Working Days before 10pm"/>
    <s v="Total: 2124 Policies (Batch 20171031_1144: 535 Policies, Batch 20171031_1559: 356 Policies, Batch 20171031_2241: 1233 Policies)"/>
    <s v=""/>
    <x v="10"/>
  </r>
  <r>
    <x v="1"/>
    <x v="20"/>
    <d v="2017-11-01T00:00:00"/>
    <s v="Wed"/>
    <d v="1899-12-30T08:00:00"/>
    <d v="1899-12-30T16:00:00"/>
    <n v="0"/>
    <n v="7.000000000000016"/>
    <n v="7.000000000000016"/>
    <s v="Normal Working Days before 10pm"/>
    <s v="Total: 2124 Policies (Batch 20171031_1144: 535 Policies, Batch 20171031_1559: 356 Policies, Batch 20171031_2241: 1233 Policies)"/>
    <s v=""/>
    <x v="10"/>
  </r>
  <r>
    <x v="0"/>
    <x v="0"/>
    <d v="2017-11-02T00:00:00"/>
    <s v="Thu"/>
    <d v="1899-12-30T17:00:00"/>
    <d v="1899-12-30T22:00:00"/>
    <n v="8.0000000000000036"/>
    <n v="5.0000000000000107"/>
    <n v="5.0000000000000107"/>
    <s v="Normal Working Days before 10pm"/>
    <s v="Total: 1868 Policies (Batch 20171031_1047: 1868 Policies)"/>
    <n v="1"/>
    <x v="10"/>
  </r>
  <r>
    <x v="0"/>
    <x v="2"/>
    <d v="2017-11-02T00:00:00"/>
    <s v="Thu"/>
    <d v="1899-12-30T17:00:00"/>
    <d v="1899-12-30T22:00:00"/>
    <n v="8.0000000000000036"/>
    <n v="5.0000000000000107"/>
    <n v="5.0000000000000107"/>
    <s v="Normal Working Days before 10pm"/>
    <s v="Total: 1868 Policies (Batch 20171031_1047: 1868 Policies)"/>
    <n v="1"/>
    <x v="10"/>
  </r>
  <r>
    <x v="0"/>
    <x v="6"/>
    <d v="2017-11-02T00:00:00"/>
    <s v="Thu"/>
    <d v="1899-12-30T17:00:00"/>
    <d v="1899-12-30T22:00:00"/>
    <n v="8.0000000000000036"/>
    <n v="5.0000000000000107"/>
    <n v="5.0000000000000107"/>
    <s v="Normal Working Days before 10pm"/>
    <s v="Total: 1868 Policies (Batch 20171031_1047: 1868 Policies)"/>
    <n v="1"/>
    <x v="10"/>
  </r>
  <r>
    <x v="0"/>
    <x v="15"/>
    <d v="2017-11-02T00:00:00"/>
    <s v="Thu"/>
    <d v="1899-12-30T17:00:00"/>
    <d v="1899-12-30T22:00:00"/>
    <n v="8.0000000000000036"/>
    <n v="5.0000000000000107"/>
    <n v="5.0000000000000107"/>
    <s v="Normal Working Days before 10pm"/>
    <s v="Total: 1868 Policies (Batch 20171031_1047: 1868 Policies)"/>
    <n v="1"/>
    <x v="10"/>
  </r>
  <r>
    <x v="0"/>
    <x v="16"/>
    <d v="2017-11-02T00:00:00"/>
    <s v="Thu"/>
    <d v="1899-12-30T17:00:00"/>
    <d v="1899-12-30T22:00:00"/>
    <n v="8.0000000000000036"/>
    <n v="5.0000000000000107"/>
    <n v="5.0000000000000107"/>
    <s v="Normal Working Days before 10pm"/>
    <s v="Total: 1868 Policies (Batch 20171031_1047: 1868 Policies)"/>
    <n v="1"/>
    <x v="10"/>
  </r>
  <r>
    <x v="1"/>
    <x v="5"/>
    <d v="2017-11-02T00:00:00"/>
    <s v="Thu"/>
    <d v="1899-12-30T08:00:00"/>
    <d v="1899-12-30T21:00:00"/>
    <n v="0"/>
    <n v="12.000000000000007"/>
    <n v="12.000000000000007"/>
    <s v="Normal Working Days before 10pm"/>
    <s v="Total: 1868 Policies (Batch 20171031_1047: 1868 Policies)"/>
    <s v=""/>
    <x v="10"/>
  </r>
  <r>
    <x v="1"/>
    <x v="12"/>
    <d v="2017-11-02T00:00:00"/>
    <s v="Thu"/>
    <d v="1899-12-30T08:30:00"/>
    <d v="1899-12-30T21:00:00"/>
    <n v="0"/>
    <n v="11.499999999999993"/>
    <n v="11.499999999999993"/>
    <s v="Normal Working Days before 10pm"/>
    <s v="Total: 1868 Policies (Batch 20171031_1047: 1868 Policies)"/>
    <s v=""/>
    <x v="10"/>
  </r>
  <r>
    <x v="1"/>
    <x v="19"/>
    <d v="2017-11-02T00:00:00"/>
    <s v="Thu"/>
    <d v="1899-12-30T09:00:00"/>
    <d v="1899-12-30T21:00:00"/>
    <n v="0"/>
    <n v="11"/>
    <n v="11"/>
    <s v="Normal Working Days before 10pm"/>
    <s v="Total: 1868 Policies (Batch 20171031_1047: 1868 Policies)"/>
    <s v=""/>
    <x v="10"/>
  </r>
  <r>
    <x v="1"/>
    <x v="20"/>
    <d v="2017-11-02T00:00:00"/>
    <s v="Thu"/>
    <d v="1899-12-30T08:00:00"/>
    <d v="1899-12-30T22:00:00"/>
    <n v="0"/>
    <n v="13.000000000000014"/>
    <n v="13.000000000000014"/>
    <s v="Normal Working Days before 10pm"/>
    <s v="Total: 1868 Policies (Batch 20171031_1047: 1868 Policies)"/>
    <s v=""/>
    <x v="10"/>
  </r>
  <r>
    <x v="0"/>
    <x v="0"/>
    <d v="2017-11-03T00:00:00"/>
    <s v="Fri"/>
    <d v="1899-12-30T17:00:00"/>
    <d v="1899-12-30T20:45:00"/>
    <n v="8.0000000000000036"/>
    <n v="3.7499999999999964"/>
    <n v="3.7499999999999964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n v="1"/>
    <x v="10"/>
  </r>
  <r>
    <x v="0"/>
    <x v="6"/>
    <d v="2017-11-03T00:00:00"/>
    <s v="Fri"/>
    <d v="1899-12-30T17:00:00"/>
    <d v="1899-12-30T20:45:00"/>
    <n v="8.0000000000000036"/>
    <n v="3.7499999999999964"/>
    <n v="3.7499999999999964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n v="1"/>
    <x v="10"/>
  </r>
  <r>
    <x v="0"/>
    <x v="15"/>
    <d v="2017-11-03T00:00:00"/>
    <s v="Fri"/>
    <d v="1899-12-30T17:00:00"/>
    <d v="1899-12-30T20:45:00"/>
    <n v="8.0000000000000036"/>
    <n v="3.7499999999999964"/>
    <n v="3.7499999999999964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n v="1"/>
    <x v="10"/>
  </r>
  <r>
    <x v="0"/>
    <x v="16"/>
    <d v="2017-11-03T00:00:00"/>
    <s v="Fri"/>
    <d v="1899-12-30T17:00:00"/>
    <d v="1899-12-30T20:45:00"/>
    <n v="8.0000000000000036"/>
    <n v="3.7499999999999964"/>
    <n v="3.7499999999999964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n v="1"/>
    <x v="10"/>
  </r>
  <r>
    <x v="1"/>
    <x v="5"/>
    <d v="2017-11-03T00:00:00"/>
    <s v="Fri"/>
    <d v="1899-12-30T08:30:00"/>
    <d v="1899-12-30T20:45:00"/>
    <n v="0"/>
    <n v="11.249999999999986"/>
    <n v="11.249999999999986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s v=""/>
    <x v="10"/>
  </r>
  <r>
    <x v="1"/>
    <x v="12"/>
    <d v="2017-11-03T00:00:00"/>
    <s v="Fri"/>
    <d v="1899-12-30T08:30:00"/>
    <d v="1899-12-30T20:45:00"/>
    <n v="0"/>
    <n v="11.249999999999986"/>
    <n v="11.249999999999986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s v=""/>
    <x v="10"/>
  </r>
  <r>
    <x v="1"/>
    <x v="19"/>
    <d v="2017-11-03T00:00:00"/>
    <s v="Fri"/>
    <d v="1899-12-30T08:00:00"/>
    <d v="1899-12-30T20:45:00"/>
    <n v="0"/>
    <n v="11.75"/>
    <n v="11.75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s v=""/>
    <x v="10"/>
  </r>
  <r>
    <x v="1"/>
    <x v="20"/>
    <d v="2017-11-03T00:00:00"/>
    <s v="Fri"/>
    <d v="1899-12-30T08:00:00"/>
    <d v="1899-12-30T16:00:00"/>
    <n v="0"/>
    <n v="7.000000000000016"/>
    <n v="7.000000000000016"/>
    <s v="Normal Working Days before 10pm"/>
    <s v="Backlog 300/1868 &amp;Total: 927 Policies (Batch 20171101_0351: 164 Policies, Batch 20171102_1146: 229 Policies, Batch 20171102_1712: 163 Policies, Batch 20171102_2158: 198 Policies, Batch 20171103_1131: 144 Policies, Batch 20171103_1445: 29 Policies)"/>
    <s v=""/>
    <x v="10"/>
  </r>
  <r>
    <x v="1"/>
    <x v="5"/>
    <d v="2017-11-06T00:00:00"/>
    <s v="Mon"/>
    <d v="1899-12-30T08:30:00"/>
    <d v="1899-12-30T17:30:00"/>
    <n v="0"/>
    <n v="7.9999999999999982"/>
    <n v="7.9999999999999982"/>
    <s v="Normal Working Days before 10pm"/>
    <s v="Total: 211 Policies (Batch 20171103_2235: 211 Policies)"/>
    <s v=""/>
    <x v="10"/>
  </r>
  <r>
    <x v="0"/>
    <x v="16"/>
    <d v="2017-11-07T00:00:00"/>
    <s v="Tue"/>
    <d v="1899-12-30T17:30:00"/>
    <d v="1899-12-30T21:30:00"/>
    <n v="8.0000000000000036"/>
    <n v="3.9999999999999822"/>
    <n v="3.9999999999999822"/>
    <s v="Normal Working Days before 10pm"/>
    <s v="7599 Dividend &amp; Total: 550 Policies (Batch 20171106_1047: 159 Policies, Batch 20171106_2127: 190 Policies, Batch 20171107_1139: 101 Policies)"/>
    <n v="1"/>
    <x v="10"/>
  </r>
  <r>
    <x v="1"/>
    <x v="5"/>
    <d v="2017-11-07T00:00:00"/>
    <s v="Tue"/>
    <d v="1899-12-30T08:30:00"/>
    <d v="1899-12-30T17:30:00"/>
    <n v="0"/>
    <n v="7.9999999999999982"/>
    <n v="7.9999999999999982"/>
    <s v="Normal Working Days before 10pm"/>
    <s v="Total: 550 Policies (Batch 20171106_1047: 159 Policies, Batch 20171106_2127: 190 Policies, Batch 20171107_1139: 101 Policies)"/>
    <s v=""/>
    <x v="10"/>
  </r>
  <r>
    <x v="0"/>
    <x v="16"/>
    <d v="2017-11-08T00:00:00"/>
    <s v="Wed"/>
    <d v="1899-12-30T17:30:00"/>
    <d v="1899-12-30T21:30:00"/>
    <n v="8.0000000000000036"/>
    <n v="3.9999999999999822"/>
    <n v="3.9999999999999822"/>
    <s v="Normal Working Days before 10pm"/>
    <s v="10000 Dividend &amp; Total: 593 Policies (Batch 20171107_1457: 173 Policies, Batch 20171107_2054: 139 Policies, Batch 20171108_1112: 96 Policies, Batch 20171108_1420: 185 Policies)"/>
    <n v="1"/>
    <x v="10"/>
  </r>
  <r>
    <x v="1"/>
    <x v="5"/>
    <d v="2017-11-08T00:00:00"/>
    <s v="Wed"/>
    <d v="1899-12-30T08:30:00"/>
    <d v="1899-12-30T17:30:00"/>
    <n v="0"/>
    <n v="7.9999999999999982"/>
    <n v="7.9999999999999982"/>
    <s v="Normal Working Days before 10pm"/>
    <s v="Total: 593 Policies (Batch 20171107_1457: 173 Policies, Batch 20171107_2054: 139 Policies, Batch 20171108_1112: 96 Policies, Batch 20171108_1420: 185 Policies)"/>
    <s v=""/>
    <x v="10"/>
  </r>
  <r>
    <x v="1"/>
    <x v="5"/>
    <d v="2017-11-09T00:00:00"/>
    <s v="Thu"/>
    <d v="1899-12-30T08:30:00"/>
    <d v="1899-12-30T17:30:00"/>
    <n v="0"/>
    <n v="7.9999999999999982"/>
    <n v="7.9999999999999982"/>
    <s v="Normal Working Days before 10pm"/>
    <s v="Total: 490 Policies (Batch 20171108_2312: 285 Policies, Batch 20171109_1126: 150 Policies, Batch 20171109_1444: 55 Policies)"/>
    <s v=""/>
    <x v="10"/>
  </r>
  <r>
    <x v="1"/>
    <x v="5"/>
    <d v="2017-11-10T00:00:00"/>
    <s v="Fri"/>
    <d v="1899-12-30T08:30:00"/>
    <d v="1899-12-30T17:30:00"/>
    <n v="0"/>
    <n v="7.9999999999999982"/>
    <n v="7.9999999999999982"/>
    <s v="Normal Working Days before 10pm"/>
    <s v="Total: 230 Policies (Batch 20171109_0007: 54 Policies, Batch 20171109_2323: 118 Policies, Batch 20171110_1137: 58 Policies)"/>
    <s v=""/>
    <x v="10"/>
  </r>
  <r>
    <x v="0"/>
    <x v="0"/>
    <d v="2017-11-13T00:00:00"/>
    <s v="Mon"/>
    <d v="1899-12-30T17:30:00"/>
    <d v="1899-12-30T20:00:00"/>
    <n v="8.0000000000000036"/>
    <n v="2.4999999999999805"/>
    <n v="2.4999999999999805"/>
    <s v="Normal Working Days before 10pm"/>
    <s v="Total: 876 Policies (Batch 20171110_1518: 149 Policies, Batch 20171110_2206: 311 Policies, Batch 20171113_1103: 209 Policies, Batch 20171113_1458: 207 Policies)"/>
    <n v="1"/>
    <x v="10"/>
  </r>
  <r>
    <x v="0"/>
    <x v="2"/>
    <d v="2017-11-13T00:00:00"/>
    <s v="Mon"/>
    <d v="1899-12-30T17:30:00"/>
    <d v="1899-12-30T20:00:00"/>
    <n v="8.0000000000000036"/>
    <n v="2.4999999999999805"/>
    <n v="2.4999999999999805"/>
    <s v="Normal Working Days before 10pm"/>
    <s v="Total: 876 Policies (Batch 20171110_1518: 149 Policies, Batch 20171110_2206: 311 Policies, Batch 20171113_1103: 209 Policies, Batch 20171113_1458: 207 Policies)"/>
    <n v="1"/>
    <x v="10"/>
  </r>
  <r>
    <x v="0"/>
    <x v="15"/>
    <d v="2017-11-13T00:00:00"/>
    <s v="Mon"/>
    <d v="1899-12-30T17:30:00"/>
    <d v="1899-12-30T20:00:00"/>
    <n v="8.0000000000000036"/>
    <n v="2.4999999999999805"/>
    <n v="2.4999999999999805"/>
    <s v="Normal Working Days before 10pm"/>
    <s v="Total: 876 Policies (Batch 20171110_1518: 149 Policies, Batch 20171110_2206: 311 Policies, Batch 20171113_1103: 209 Policies, Batch 20171113_1458: 207 Policies)"/>
    <n v="1"/>
    <x v="10"/>
  </r>
  <r>
    <x v="0"/>
    <x v="16"/>
    <d v="2017-11-13T00:00:00"/>
    <s v="Mon"/>
    <d v="1899-12-30T17:30:00"/>
    <d v="1899-12-30T20:00:00"/>
    <n v="8.0000000000000036"/>
    <n v="2.4999999999999805"/>
    <n v="2.4999999999999805"/>
    <s v="Normal Working Days before 10pm"/>
    <s v="Total: 876 Policies (Batch 20171110_1518: 149 Policies, Batch 20171110_2206: 311 Policies, Batch 20171113_1103: 209 Policies, Batch 20171113_1458: 207 Policies)"/>
    <n v="1"/>
    <x v="10"/>
  </r>
  <r>
    <x v="1"/>
    <x v="5"/>
    <d v="2017-11-13T00:00:00"/>
    <s v="Mon"/>
    <d v="1899-12-30T08:30:00"/>
    <d v="1899-12-30T20:00:00"/>
    <n v="0"/>
    <n v="10.499999999999984"/>
    <n v="10.499999999999984"/>
    <s v="Normal Working Days before 10pm"/>
    <s v="Total: 876 Policies (Batch 20171110_1518: 149 Policies, Batch 20171110_2206: 311 Policies, Batch 20171113_1103: 209 Policies, Batch 20171113_1458: 207 Policies)"/>
    <s v=""/>
    <x v="10"/>
  </r>
  <r>
    <x v="0"/>
    <x v="0"/>
    <d v="2017-11-14T00:00:00"/>
    <s v="Tue"/>
    <d v="1899-12-30T17:30:00"/>
    <d v="1899-12-30T21:00:00"/>
    <n v="8.0000000000000036"/>
    <n v="3.4999999999999893"/>
    <n v="3.4999999999999893"/>
    <s v="Normal Working Days before 10pm"/>
    <s v="Total: 1005 Policies (Batch 20171113_2214: 554 Policies, Batch 20171114_1128: 289 Policies, Batch 20171114_1459: 162 Policies)"/>
    <n v="1"/>
    <x v="10"/>
  </r>
  <r>
    <x v="0"/>
    <x v="2"/>
    <d v="2017-11-14T00:00:00"/>
    <s v="Tue"/>
    <d v="1899-12-30T17:30:00"/>
    <d v="1899-12-30T19:30:00"/>
    <n v="8.0000000000000036"/>
    <n v="1.9999999999999876"/>
    <n v="1.9999999999999876"/>
    <s v="Normal Working Days before 10pm"/>
    <s v="Total: 1005 Policies (Batch 20171113_2214: 554 Policies, Batch 20171114_1128: 289 Policies, Batch 20171114_1459: 162 Policies)"/>
    <s v=""/>
    <x v="10"/>
  </r>
  <r>
    <x v="0"/>
    <x v="6"/>
    <d v="2017-11-14T00:00:00"/>
    <s v="Tue"/>
    <d v="1899-12-30T17:30:00"/>
    <d v="1899-12-30T21:00:00"/>
    <n v="8.0000000000000036"/>
    <n v="3.4999999999999893"/>
    <n v="3.4999999999999893"/>
    <s v="Normal Working Days before 10pm"/>
    <s v="Total: 1005 Policies (Batch 20171113_2214: 554 Policies, Batch 20171114_1128: 289 Policies, Batch 20171114_1459: 162 Policies)"/>
    <n v="1"/>
    <x v="10"/>
  </r>
  <r>
    <x v="0"/>
    <x v="15"/>
    <d v="2017-11-14T00:00:00"/>
    <s v="Tue"/>
    <d v="1899-12-30T17:30:00"/>
    <d v="1899-12-30T21:00:00"/>
    <n v="8.0000000000000036"/>
    <n v="3.4999999999999893"/>
    <n v="3.4999999999999893"/>
    <s v="Normal Working Days before 10pm"/>
    <s v="Total: 1005 Policies (Batch 20171113_2214: 554 Policies, Batch 20171114_1128: 289 Policies, Batch 20171114_1459: 162 Policies)"/>
    <n v="1"/>
    <x v="10"/>
  </r>
  <r>
    <x v="0"/>
    <x v="16"/>
    <d v="2017-11-14T00:00:00"/>
    <s v="Tue"/>
    <d v="1899-12-30T17:30:00"/>
    <d v="1899-12-30T21:00:00"/>
    <n v="8.0000000000000036"/>
    <n v="3.4999999999999893"/>
    <n v="3.4999999999999893"/>
    <s v="Normal Working Days before 10pm"/>
    <s v="Total: 1005 Policies (Batch 20171113_2214: 554 Policies, Batch 20171114_1128: 289 Policies, Batch 20171114_1459: 162 Policies)"/>
    <n v="1"/>
    <x v="10"/>
  </r>
  <r>
    <x v="1"/>
    <x v="5"/>
    <d v="2017-11-14T00:00:00"/>
    <s v="Tue"/>
    <d v="1899-12-30T08:30:00"/>
    <d v="1899-12-30T21:00:00"/>
    <n v="0"/>
    <n v="11.499999999999993"/>
    <n v="11.499999999999993"/>
    <s v="Normal Working Days before 10pm"/>
    <s v="Total: 1005 Policies (Batch 20171113_2214: 554 Policies, Batch 20171114_1128: 289 Policies, Batch 20171114_1459: 162 Policies)"/>
    <s v=""/>
    <x v="10"/>
  </r>
  <r>
    <x v="0"/>
    <x v="0"/>
    <d v="2017-11-15T00:00:00"/>
    <s v="Wed"/>
    <d v="1899-12-30T18:30:00"/>
    <d v="1899-12-30T21:30:00"/>
    <n v="0"/>
    <n v="3"/>
    <n v="3"/>
    <s v="Normal Working Days before 10pm"/>
    <s v="Total: 960 Policies (Batch 20171114_0329: 542 Policies, Batch 20171115_1113: 201 Policies, Batch 20171115_1422: 217 Policies)"/>
    <s v=""/>
    <x v="10"/>
  </r>
  <r>
    <x v="0"/>
    <x v="2"/>
    <d v="2017-11-15T00:00:00"/>
    <s v="Wed"/>
    <d v="1899-12-30T17:30:00"/>
    <d v="1899-12-30T21:30:00"/>
    <n v="8.0000000000000036"/>
    <n v="3.9999999999999822"/>
    <n v="3.9999999999999822"/>
    <s v="Normal Working Days before 10pm"/>
    <s v="Total: 960 Policies (Batch 20171114_0329: 542 Policies, Batch 20171115_1113: 201 Policies, Batch 20171115_1422: 217 Policies)"/>
    <n v="1"/>
    <x v="10"/>
  </r>
  <r>
    <x v="0"/>
    <x v="6"/>
    <d v="2017-11-15T00:00:00"/>
    <s v="Wed"/>
    <d v="1899-12-30T17:30:00"/>
    <d v="1899-12-30T21:30:00"/>
    <n v="8.0000000000000036"/>
    <n v="3.9999999999999822"/>
    <n v="3.9999999999999822"/>
    <s v="Normal Working Days before 10pm"/>
    <s v="Total: 960 Policies (Batch 20171114_0329: 542 Policies, Batch 20171115_1113: 201 Policies, Batch 20171115_1422: 217 Policies)"/>
    <n v="1"/>
    <x v="10"/>
  </r>
  <r>
    <x v="0"/>
    <x v="15"/>
    <d v="2017-11-15T00:00:00"/>
    <s v="Wed"/>
    <d v="1899-12-30T17:30:00"/>
    <d v="1899-12-30T21:30:00"/>
    <n v="8.0000000000000036"/>
    <n v="3.9999999999999822"/>
    <n v="3.9999999999999822"/>
    <s v="Normal Working Days before 10pm"/>
    <s v="Total: 960 Policies (Batch 20171114_0329: 542 Policies, Batch 20171115_1113: 201 Policies, Batch 20171115_1422: 217 Policies)"/>
    <n v="1"/>
    <x v="10"/>
  </r>
  <r>
    <x v="0"/>
    <x v="16"/>
    <d v="2017-11-15T00:00:00"/>
    <s v="Wed"/>
    <d v="1899-12-30T17:30:00"/>
    <d v="1899-12-30T21:30:00"/>
    <n v="8.0000000000000036"/>
    <n v="3.9999999999999822"/>
    <n v="3.9999999999999822"/>
    <s v="Normal Working Days before 10pm"/>
    <s v="Total: 960 Policies (Batch 20171114_0329: 542 Policies, Batch 20171115_1113: 201 Policies, Batch 20171115_1422: 217 Policies)"/>
    <n v="1"/>
    <x v="10"/>
  </r>
  <r>
    <x v="1"/>
    <x v="5"/>
    <d v="2017-11-15T00:00:00"/>
    <s v="Wed"/>
    <d v="1899-12-30T08:30:00"/>
    <d v="1899-12-30T21:30:00"/>
    <n v="0"/>
    <n v="11.999999999999986"/>
    <n v="11.999999999999986"/>
    <s v="Normal Working Days before 10pm"/>
    <s v="Total: 960 Policies (Batch 20171114_0329: 542 Policies, Batch 20171115_1113: 201 Policies, Batch 20171115_1422: 217 Policies)"/>
    <s v=""/>
    <x v="10"/>
  </r>
  <r>
    <x v="1"/>
    <x v="12"/>
    <d v="2017-11-15T00:00:00"/>
    <s v="Wed"/>
    <d v="1899-12-30T18:30:00"/>
    <d v="1899-12-30T21:30:00"/>
    <n v="0"/>
    <n v="3"/>
    <n v="3"/>
    <s v="Normal Working Days before 10pm"/>
    <s v="Total: 960 Policies (Batch 20171114_0329: 542 Policies, Batch 20171115_1113: 201 Policies, Batch 20171115_1422: 217 Policies)"/>
    <s v=""/>
    <x v="10"/>
  </r>
  <r>
    <x v="1"/>
    <x v="5"/>
    <d v="2017-11-16T00:00:00"/>
    <s v="Thu"/>
    <d v="1899-12-30T08:30:00"/>
    <d v="1899-12-30T17:30:00"/>
    <n v="0"/>
    <n v="7.9999999999999982"/>
    <n v="7.9999999999999982"/>
    <s v="Normal Working Days before 10pm"/>
    <s v="Total: 688 Policies (Batch 20171115_2123: 440 Policies, Batch 20171116_1118: 248 Policies)"/>
    <s v=""/>
    <x v="10"/>
  </r>
  <r>
    <x v="1"/>
    <x v="5"/>
    <d v="2017-11-17T00:00:00"/>
    <s v="Fri"/>
    <d v="1899-12-30T08:30:00"/>
    <d v="1899-12-30T17:30:00"/>
    <n v="0"/>
    <n v="7.9999999999999982"/>
    <n v="7.9999999999999982"/>
    <s v="Normal Working Days before 10pm"/>
    <s v="Total: 627 Policies (Batch 20171116_1434: 195 Policies, Batch 20171116_2210: 303 Policies, Batch 20171117_1118: 129 Policies)"/>
    <s v=""/>
    <x v="10"/>
  </r>
  <r>
    <x v="1"/>
    <x v="19"/>
    <d v="2017-11-17T00:00:00"/>
    <s v="Fri"/>
    <d v="1899-12-30T08:30:00"/>
    <d v="1899-12-30T17:30:00"/>
    <n v="0"/>
    <n v="7.9999999999999982"/>
    <n v="7.9999999999999982"/>
    <s v="Normal Working Days before 10pm"/>
    <s v="Total: 627 Policies (Batch 20171116_1434: 195 Policies, Batch 20171116_2210: 303 Policies, Batch 20171117_1118: 129 Policies)"/>
    <s v=""/>
    <x v="10"/>
  </r>
  <r>
    <x v="1"/>
    <x v="5"/>
    <d v="2017-11-20T00:00:00"/>
    <s v="Mon"/>
    <d v="1899-12-30T08:30:00"/>
    <d v="1899-12-30T17:30:00"/>
    <n v="0"/>
    <n v="7.9999999999999982"/>
    <n v="7.9999999999999982"/>
    <s v="Normal Working Days before 10pm"/>
    <s v="Total: 650 Policies (Batch 20171117_1440: 177 Policies, Batch 20171117_2331: 255 Policies, Batch 20171120_1104: 78 Policies, Batch 20171120_1441: 141 Policies)"/>
    <s v=""/>
    <x v="10"/>
  </r>
  <r>
    <x v="1"/>
    <x v="21"/>
    <d v="2017-11-20T00:00:00"/>
    <s v="Mon"/>
    <d v="1899-12-30T08:30:00"/>
    <d v="1899-12-30T17:30:00"/>
    <n v="0"/>
    <n v="7.9999999999999982"/>
    <n v="7.9999999999999982"/>
    <s v="Normal Working Days before 10pm"/>
    <s v="Train with FXV billable &amp; Total: 650 Policies (Batch 20171117_1440: 177 Policies, Batch 20171117_2331: 255 Policies, Batch 20171120_1104: 78 Policies, Batch 20171120_1441: 141 Policies)"/>
    <s v=""/>
    <x v="10"/>
  </r>
  <r>
    <x v="1"/>
    <x v="22"/>
    <d v="2017-11-20T00:00:00"/>
    <s v="Mon"/>
    <d v="1899-12-30T08:30:00"/>
    <d v="1899-12-30T17:30:00"/>
    <n v="0"/>
    <n v="7.9999999999999982"/>
    <n v="7.9999999999999982"/>
    <s v="Normal Working Days before 10pm"/>
    <s v="Train with FXV billable &amp; Total: 650 Policies (Batch 20171117_1440: 177 Policies, Batch 20171117_2331: 255 Policies, Batch 20171120_1104: 78 Policies, Batch 20171120_1441: 141 Policies)"/>
    <s v=""/>
    <x v="10"/>
  </r>
  <r>
    <x v="0"/>
    <x v="0"/>
    <d v="2017-11-21T00:00:00"/>
    <s v="Tue"/>
    <d v="1899-12-30T17:30:00"/>
    <d v="1899-12-30T20:30:00"/>
    <n v="8.0000000000000036"/>
    <n v="2.9999999999999947"/>
    <n v="2.9999999999999947"/>
    <s v="Normal Working Days before 10pm"/>
    <s v="Total: 1024 Policies (Batch 20171120_2141: 510 Policies, Batch 20171121_1057: 287 Policies, Batch 20171121_1436: 227 Policies)"/>
    <n v="1"/>
    <x v="10"/>
  </r>
  <r>
    <x v="0"/>
    <x v="6"/>
    <d v="2017-11-21T00:00:00"/>
    <s v="Tue"/>
    <d v="1899-12-30T17:30:00"/>
    <d v="1899-12-30T20:30:00"/>
    <n v="8.0000000000000036"/>
    <n v="2.9999999999999947"/>
    <n v="2.9999999999999947"/>
    <s v="Normal Working Days before 10pm"/>
    <s v="Total: 1024 Policies (Batch 20171120_2141: 510 Policies, Batch 20171121_1057: 287 Policies, Batch 20171121_1436: 227 Policies)"/>
    <n v="1"/>
    <x v="10"/>
  </r>
  <r>
    <x v="0"/>
    <x v="15"/>
    <d v="2017-11-21T00:00:00"/>
    <s v="Tue"/>
    <d v="1899-12-30T17:30:00"/>
    <d v="1899-12-30T20:30:00"/>
    <n v="8.0000000000000036"/>
    <n v="2.9999999999999947"/>
    <n v="2.9999999999999947"/>
    <s v="Normal Working Days before 10pm"/>
    <s v="Total: 1024 Policies (Batch 20171120_2141: 510 Policies, Batch 20171121_1057: 287 Policies, Batch 20171121_1436: 227 Policies)"/>
    <n v="1"/>
    <x v="10"/>
  </r>
  <r>
    <x v="0"/>
    <x v="16"/>
    <d v="2017-11-21T00:00:00"/>
    <s v="Tue"/>
    <d v="1899-12-30T17:30:00"/>
    <d v="1899-12-30T20:30:00"/>
    <n v="8.0000000000000036"/>
    <n v="2.9999999999999947"/>
    <n v="2.9999999999999947"/>
    <s v="Normal Working Days before 10pm"/>
    <s v="Total: 1024 Policies (Batch 20171120_2141: 510 Policies, Batch 20171121_1057: 287 Policies, Batch 20171121_1436: 227 Policies)"/>
    <n v="1"/>
    <x v="10"/>
  </r>
  <r>
    <x v="1"/>
    <x v="5"/>
    <d v="2017-11-21T00:00:00"/>
    <s v="Tue"/>
    <d v="1899-12-30T08:30:00"/>
    <d v="1899-12-30T20:30:00"/>
    <n v="0"/>
    <n v="10.999999999999998"/>
    <n v="10.999999999999998"/>
    <s v="Normal Working Days before 10pm"/>
    <s v="Total: 1024 Policies (Batch 20171120_2141: 510 Policies, Batch 20171121_1057: 287 Policies, Batch 20171121_1436: 227 Policies)"/>
    <s v=""/>
    <x v="10"/>
  </r>
  <r>
    <x v="1"/>
    <x v="21"/>
    <d v="2017-11-21T00:00:00"/>
    <s v="Tue"/>
    <d v="1899-12-30T08:30:00"/>
    <d v="1899-12-30T19:30:00"/>
    <n v="0"/>
    <n v="9.9999999999999911"/>
    <n v="9.9999999999999911"/>
    <s v="Normal Working Days before 10pm"/>
    <s v="Train with FXV billable &amp; Total: 1024 Policies (Batch 20171120_2141: 510 Policies, Batch 20171121_1057: 287 Policies, Batch 20171121_1436: 227 Policies)"/>
    <s v=""/>
    <x v="10"/>
  </r>
  <r>
    <x v="1"/>
    <x v="22"/>
    <d v="2017-11-21T00:00:00"/>
    <s v="Tue"/>
    <d v="1899-12-30T08:30:00"/>
    <d v="1899-12-30T17:30:00"/>
    <n v="0"/>
    <n v="7.9999999999999982"/>
    <n v="7.9999999999999982"/>
    <s v="Normal Working Days before 10pm"/>
    <s v="Train with FXV billable &amp; Total: 1024 Policies (Batch 20171120_2141: 510 Policies, Batch 20171121_1057: 287 Policies, Batch 20171121_1436: 227 Policies)"/>
    <s v=""/>
    <x v="10"/>
  </r>
  <r>
    <x v="1"/>
    <x v="5"/>
    <d v="2017-11-22T00:00:00"/>
    <s v="Wed"/>
    <d v="1899-12-30T08:30:00"/>
    <d v="1899-12-30T17:30:00"/>
    <n v="0"/>
    <n v="7.9999999999999982"/>
    <n v="7.9999999999999982"/>
    <s v="Normal Working Days before 10pm"/>
    <s v="Total: 777 Policies (Batch 20171121_2244: 504 Policies, Batch 20171122_1057: 127 Policies, Batch 20171122_1451: 146 Policies)"/>
    <s v=""/>
    <x v="10"/>
  </r>
  <r>
    <x v="1"/>
    <x v="21"/>
    <d v="2017-11-22T00:00:00"/>
    <s v="Wed"/>
    <d v="1899-12-30T08:30:00"/>
    <d v="1899-12-30T17:30:00"/>
    <n v="0"/>
    <n v="7.9999999999999982"/>
    <n v="7.9999999999999982"/>
    <s v="Normal Working Days before 10pm"/>
    <s v="Train with FXV billable &amp; Total: 777 Policies (Batch 20171121_2244: 504 Policies, Batch 20171122_1057: 127 Policies, Batch 20171122_1451: 146 Policies)"/>
    <s v=""/>
    <x v="10"/>
  </r>
  <r>
    <x v="1"/>
    <x v="22"/>
    <d v="2017-11-22T00:00:00"/>
    <s v="Wed"/>
    <d v="1899-12-30T08:30:00"/>
    <d v="1899-12-30T17:30:00"/>
    <n v="0"/>
    <n v="7.9999999999999982"/>
    <n v="7.9999999999999982"/>
    <s v="Normal Working Days before 10pm"/>
    <s v="Train with FXV billable &amp; Total: 777 Policies (Batch 20171121_2244: 504 Policies, Batch 20171122_1057: 127 Policies, Batch 20171122_1451: 146 Policies)"/>
    <s v=""/>
    <x v="10"/>
  </r>
  <r>
    <x v="1"/>
    <x v="5"/>
    <d v="2017-11-23T00:00:00"/>
    <s v="Thu"/>
    <d v="1899-12-30T08:30:00"/>
    <d v="1899-12-30T17:30:00"/>
    <n v="0"/>
    <n v="7.9999999999999982"/>
    <n v="7.9999999999999982"/>
    <s v="Normal Working Days before 10pm"/>
    <s v="Total: 678 Policies (Batch 20171122_2126: 365 Policies, Batch 20171123_1101: 115 Policies, Batch 20171123_1446: 198 Policies)"/>
    <s v=""/>
    <x v="10"/>
  </r>
  <r>
    <x v="1"/>
    <x v="21"/>
    <d v="2017-11-23T00:00:00"/>
    <s v="Thu"/>
    <d v="1899-12-30T08:30:00"/>
    <d v="1899-12-30T17:30:00"/>
    <n v="0"/>
    <n v="7.9999999999999982"/>
    <n v="7.9999999999999982"/>
    <s v="Normal Working Days before 10pm"/>
    <s v="Total: 678 Policies (Batch 20171122_2126: 365 Policies, Batch 20171123_1101: 115 Policies, Batch 20171123_1446: 198 Policies)"/>
    <s v=""/>
    <x v="10"/>
  </r>
  <r>
    <x v="1"/>
    <x v="5"/>
    <d v="2017-11-24T00:00:00"/>
    <s v="Fri"/>
    <d v="1899-12-30T08:30:00"/>
    <d v="1899-12-30T17:30:00"/>
    <n v="0"/>
    <n v="7.9999999999999982"/>
    <n v="7.9999999999999982"/>
    <s v="Normal Working Days before 10pm"/>
    <s v="Total: 437 Policies (Batch 20171123_2318: 362 Policies, Batch 20171124_1112: 75 Policies,)"/>
    <s v=""/>
    <x v="10"/>
  </r>
  <r>
    <x v="1"/>
    <x v="22"/>
    <d v="2017-11-24T00:00:00"/>
    <s v="Fri"/>
    <d v="1899-12-30T08:30:00"/>
    <d v="1899-12-30T17:30:00"/>
    <n v="0"/>
    <n v="7.9999999999999982"/>
    <n v="7.9999999999999982"/>
    <s v="Normal Working Days before 10pm"/>
    <s v="Total: 437 Policies (Batch 20171123_2318: 362 Policies, Batch 20171124_1112: 75 Policies,)"/>
    <s v=""/>
    <x v="10"/>
  </r>
  <r>
    <x v="1"/>
    <x v="5"/>
    <d v="2017-11-27T00:00:00"/>
    <s v="Mon"/>
    <d v="1899-12-30T08:30:00"/>
    <d v="1899-12-30T17:30:00"/>
    <n v="0"/>
    <n v="7.9999999999999982"/>
    <n v="7.9999999999999982"/>
    <s v="Normal Working Days before 10pm"/>
    <s v="Total: 988 Policies (Batch 20171124_1453: 242 Policies, Batch 20171124_2147: 369 Policies, Batch 20171127_1103: 197 Policies, Batch 20171127_1430: 180 Policies,)"/>
    <s v=""/>
    <x v="10"/>
  </r>
  <r>
    <x v="1"/>
    <x v="21"/>
    <d v="2017-11-27T00:00:00"/>
    <s v="Mon"/>
    <d v="1899-12-30T08:30:00"/>
    <d v="1899-12-30T17:30:00"/>
    <n v="0"/>
    <n v="7.9999999999999982"/>
    <n v="7.9999999999999982"/>
    <s v="Normal Working Days before 10pm"/>
    <s v="Total: 988 Policies (Batch 20171124_1453: 242 Policies, Batch 20171124_2147: 369 Policies, Batch 20171127_1103: 197 Policies, Batch 20171127_1430: 180 Policies,)"/>
    <s v=""/>
    <x v="10"/>
  </r>
  <r>
    <x v="1"/>
    <x v="22"/>
    <d v="2017-11-27T00:00:00"/>
    <s v="Mon"/>
    <d v="1899-12-30T08:30:00"/>
    <d v="1899-12-30T17:30:00"/>
    <n v="0"/>
    <n v="7.9999999999999982"/>
    <n v="7.9999999999999982"/>
    <s v="Normal Working Days before 10pm"/>
    <s v="Total: 988 Policies (Batch 20171124_1453: 242 Policies, Batch 20171124_2147: 369 Policies, Batch 20171127_1103: 197 Policies, Batch 20171127_1430: 180 Policies,)"/>
    <s v=""/>
    <x v="10"/>
  </r>
  <r>
    <x v="0"/>
    <x v="2"/>
    <d v="2017-11-28T00:00:00"/>
    <s v="Tue"/>
    <d v="1899-12-30T17:00:00"/>
    <d v="1899-12-30T21:00:00"/>
    <n v="8.0000000000000036"/>
    <n v="4.0000000000000036"/>
    <n v="4.0000000000000036"/>
    <s v="Normal Working Days before 10pm"/>
    <s v="Total: 1306 Policies (Batch 20171127_2210: 916 Policies, Batch 20171128_1130: 390 Policies,)"/>
    <n v="1"/>
    <x v="10"/>
  </r>
  <r>
    <x v="0"/>
    <x v="15"/>
    <d v="2017-11-28T00:00:00"/>
    <s v="Tue"/>
    <d v="1899-12-30T17:00:00"/>
    <d v="1899-12-30T21:00:00"/>
    <n v="8.0000000000000036"/>
    <n v="4.0000000000000036"/>
    <n v="4.0000000000000036"/>
    <s v="Normal Working Days before 10pm"/>
    <s v="Total: 1306 Policies (Batch 20171127_2210: 916 Policies, Batch 20171128_1130: 390 Policies,)"/>
    <n v="1"/>
    <x v="10"/>
  </r>
  <r>
    <x v="0"/>
    <x v="16"/>
    <d v="2017-11-28T00:00:00"/>
    <s v="Tue"/>
    <d v="1899-12-30T17:00:00"/>
    <d v="1899-12-30T21:00:00"/>
    <n v="8.0000000000000036"/>
    <n v="4.0000000000000036"/>
    <n v="4.0000000000000036"/>
    <s v="Normal Working Days before 10pm"/>
    <s v="Total: 1306 Policies (Batch 20171127_2210: 916 Policies, Batch 20171128_1130: 390 Policies,)"/>
    <n v="1"/>
    <x v="10"/>
  </r>
  <r>
    <x v="1"/>
    <x v="5"/>
    <d v="2017-11-28T00:00:00"/>
    <s v="Tue"/>
    <d v="1899-12-30T08:00:00"/>
    <d v="1899-12-30T21:00:00"/>
    <n v="0"/>
    <n v="12.000000000000007"/>
    <n v="12.000000000000007"/>
    <s v="Normal Working Days before 10pm"/>
    <s v="Total: 1306 Policies (Batch 20171127_2210: 916 Policies, Batch 20171128_1130: 390 Policies,)"/>
    <s v=""/>
    <x v="10"/>
  </r>
  <r>
    <x v="1"/>
    <x v="14"/>
    <d v="2017-11-28T00:00:00"/>
    <s v="Tue"/>
    <d v="1899-12-30T08:00:00"/>
    <d v="1899-12-30T12:30:00"/>
    <n v="0"/>
    <n v="4.5000000000000018"/>
    <n v="4.5000000000000018"/>
    <s v="Normal Working Days before 10pm"/>
    <s v="Total: 1306 Policies (Batch 20171127_2210: 916 Policies, Batch 20171128_1130: 390 Policies,)"/>
    <s v=""/>
    <x v="10"/>
  </r>
  <r>
    <x v="1"/>
    <x v="19"/>
    <d v="2017-11-28T00:00:00"/>
    <s v="Tue"/>
    <d v="1899-12-30T08:00:00"/>
    <d v="1899-12-30T21:00:00"/>
    <n v="0"/>
    <n v="12.000000000000007"/>
    <n v="12.000000000000007"/>
    <s v="Normal Working Days before 10pm"/>
    <s v="Total: 1306 Policies (Batch 20171127_2210: 916 Policies, Batch 20171128_1130: 390 Policies,)"/>
    <s v=""/>
    <x v="10"/>
  </r>
  <r>
    <x v="1"/>
    <x v="20"/>
    <d v="2017-11-28T00:00:00"/>
    <s v="Tue"/>
    <d v="1899-12-30T08:00:00"/>
    <d v="1899-12-30T21:00:00"/>
    <n v="0"/>
    <n v="12.000000000000007"/>
    <n v="12.000000000000007"/>
    <s v="Normal Working Days before 10pm"/>
    <s v="Total: 1306 Policies (Batch 20171127_2210: 916 Policies, Batch 20171128_1130: 390 Policies,)"/>
    <s v=""/>
    <x v="10"/>
  </r>
  <r>
    <x v="1"/>
    <x v="21"/>
    <d v="2017-11-28T00:00:00"/>
    <s v="Tue"/>
    <d v="1899-12-30T13:00:00"/>
    <d v="1899-12-30T21:00:00"/>
    <n v="0"/>
    <n v="7.9999999999999929"/>
    <n v="7.9999999999999929"/>
    <s v="Normal Working Days before 10pm"/>
    <s v="Total: 1306 Policies (Batch 20171127_2210: 916 Policies, Batch 20171128_1130: 390 Policies,)"/>
    <s v=""/>
    <x v="10"/>
  </r>
  <r>
    <x v="0"/>
    <x v="0"/>
    <d v="2017-11-29T00:00:00"/>
    <s v="Wed"/>
    <d v="1899-12-30T17:00:00"/>
    <d v="1899-12-30T21:00:00"/>
    <n v="8.0000000000000036"/>
    <n v="4.0000000000000036"/>
    <n v="4.0000000000000036"/>
    <s v="Normal Working Days before 10pm"/>
    <s v="Total: 1634 Policies (Batch 20171128_1447: 283 Policies, Batch 20171128_2131: 937 Policies, Batch 20171129_1121: 414 Policies,)"/>
    <n v="1"/>
    <x v="10"/>
  </r>
  <r>
    <x v="0"/>
    <x v="6"/>
    <d v="2017-11-29T00:00:00"/>
    <s v="Wed"/>
    <d v="1899-12-30T17:00:00"/>
    <d v="1899-12-30T21:00:00"/>
    <n v="8.0000000000000036"/>
    <n v="4.0000000000000036"/>
    <n v="4.0000000000000036"/>
    <s v="Normal Working Days before 10pm"/>
    <s v="Total: 1634 Policies (Batch 20171128_1447: 283 Policies, Batch 20171128_2131: 937 Policies, Batch 20171129_1121: 414 Policies,)"/>
    <n v="1"/>
    <x v="10"/>
  </r>
  <r>
    <x v="0"/>
    <x v="15"/>
    <d v="2017-11-29T00:00:00"/>
    <s v="Wed"/>
    <d v="1899-12-30T17:00:00"/>
    <d v="1899-12-30T21:00:00"/>
    <n v="8.0000000000000036"/>
    <n v="4.0000000000000036"/>
    <n v="4.0000000000000036"/>
    <s v="Normal Working Days before 10pm"/>
    <s v="Total: 1634 Policies (Batch 20171128_1447: 283 Policies, Batch 20171128_2131: 937 Policies, Batch 20171129_1121: 414 Policies,)"/>
    <n v="1"/>
    <x v="10"/>
  </r>
  <r>
    <x v="0"/>
    <x v="16"/>
    <d v="2017-11-29T00:00:00"/>
    <s v="Wed"/>
    <d v="1899-12-30T17:00:00"/>
    <d v="1899-12-30T21:00:00"/>
    <n v="8.0000000000000036"/>
    <n v="4.0000000000000036"/>
    <n v="4.0000000000000036"/>
    <s v="Normal Working Days before 10pm"/>
    <s v="Total: 1634 Policies (Batch 20171128_1447: 283 Policies, Batch 20171128_2131: 937 Policies, Batch 20171129_1121: 414 Policies,)"/>
    <n v="1"/>
    <x v="10"/>
  </r>
  <r>
    <x v="1"/>
    <x v="5"/>
    <d v="2017-11-29T00:00:00"/>
    <s v="Wed"/>
    <d v="1899-12-30T08:00:00"/>
    <d v="1899-12-30T21:00:00"/>
    <n v="0"/>
    <n v="12.000000000000007"/>
    <n v="12.000000000000007"/>
    <s v="Normal Working Days before 10pm"/>
    <s v="Total: 1634 Policies (Batch 20171128_1447: 283 Policies, Batch 20171128_2131: 937 Policies, Batch 20171129_1121: 414 Policies,)"/>
    <s v=""/>
    <x v="10"/>
  </r>
  <r>
    <x v="1"/>
    <x v="14"/>
    <d v="2017-11-29T00:00:00"/>
    <s v="Wed"/>
    <d v="1899-12-30T08:00:00"/>
    <d v="1899-12-30T21:00:00"/>
    <n v="0"/>
    <n v="12.000000000000007"/>
    <n v="12.000000000000007"/>
    <s v="Normal Working Days before 10pm"/>
    <s v="Total: 1634 Policies (Batch 20171128_1447: 283 Policies, Batch 20171128_2131: 937 Policies, Batch 20171129_1121: 414 Policies,)"/>
    <s v=""/>
    <x v="10"/>
  </r>
  <r>
    <x v="1"/>
    <x v="12"/>
    <d v="2017-11-29T00:00:00"/>
    <s v="Wed"/>
    <d v="1899-12-30T08:00:00"/>
    <d v="1899-12-30T21:00:00"/>
    <n v="0"/>
    <n v="12.000000000000007"/>
    <n v="12.000000000000007"/>
    <s v="Normal Working Days before 10pm"/>
    <s v="Total: 1634 Policies (Batch 20171128_1447: 283 Policies, Batch 20171128_2131: 937 Policies, Batch 20171129_1121: 414 Policies,)"/>
    <s v=""/>
    <x v="10"/>
  </r>
  <r>
    <x v="1"/>
    <x v="19"/>
    <d v="2017-11-29T00:00:00"/>
    <s v="Wed"/>
    <d v="1899-12-30T09:00:00"/>
    <d v="1899-12-30T21:00:00"/>
    <n v="0"/>
    <n v="11"/>
    <n v="11"/>
    <s v="Normal Working Days before 10pm"/>
    <s v="Total: 1634 Policies (Batch 20171128_1447: 283 Policies, Batch 20171128_2131: 937 Policies, Batch 20171129_1121: 414 Policies,)"/>
    <s v=""/>
    <x v="10"/>
  </r>
  <r>
    <x v="0"/>
    <x v="0"/>
    <d v="2017-11-30T00:00:00"/>
    <s v="Thu"/>
    <d v="1899-12-30T17:00:00"/>
    <d v="1899-12-30T21:00:00"/>
    <n v="8.0000000000000036"/>
    <n v="4.0000000000000036"/>
    <n v="4.0000000000000036"/>
    <s v="Normal Working Days before 10pm"/>
    <s v="Total: 1107 Policies (Batch 20171129_1428: 339 Policies,Batch 20171129_2230: 768 Policies,)"/>
    <n v="1"/>
    <x v="10"/>
  </r>
  <r>
    <x v="0"/>
    <x v="2"/>
    <d v="2017-11-30T00:00:00"/>
    <s v="Thu"/>
    <d v="1899-12-30T17:00:00"/>
    <d v="1899-12-30T21:00:00"/>
    <n v="8.0000000000000036"/>
    <n v="4.0000000000000036"/>
    <n v="4.0000000000000036"/>
    <s v="Normal Working Days before 10pm"/>
    <s v="Total: 1107 Policies (Batch 20171129_1428: 339 Policies,Batch 20171129_2230: 768 Policies,)"/>
    <n v="1"/>
    <x v="10"/>
  </r>
  <r>
    <x v="0"/>
    <x v="6"/>
    <d v="2017-11-30T00:00:00"/>
    <s v="Thu"/>
    <d v="1899-12-30T17:00:00"/>
    <d v="1899-12-30T21:00:00"/>
    <n v="8.0000000000000036"/>
    <n v="4.0000000000000036"/>
    <n v="4.0000000000000036"/>
    <s v="Normal Working Days before 10pm"/>
    <s v="Total: 1107 Policies (Batch 20171129_1428: 339 Policies,Batch 20171129_2230: 768 Policies,)"/>
    <n v="1"/>
    <x v="10"/>
  </r>
  <r>
    <x v="0"/>
    <x v="15"/>
    <d v="2017-11-30T00:00:00"/>
    <s v="Thu"/>
    <d v="1899-12-30T17:00:00"/>
    <d v="1899-12-30T21:00:00"/>
    <n v="8.0000000000000036"/>
    <n v="4.0000000000000036"/>
    <n v="4.0000000000000036"/>
    <s v="Normal Working Days before 10pm"/>
    <s v="Total: 1107 Policies (Batch 20171129_1428: 339 Policies,Batch 20171129_2230: 768 Policies,)"/>
    <n v="1"/>
    <x v="10"/>
  </r>
  <r>
    <x v="1"/>
    <x v="5"/>
    <d v="2017-11-30T00:00:00"/>
    <s v="Thu"/>
    <d v="1899-12-30T08:00:00"/>
    <d v="1899-12-30T21:00:00"/>
    <n v="0"/>
    <n v="12.000000000000007"/>
    <n v="12.000000000000007"/>
    <s v="Normal Working Days before 10pm"/>
    <s v="Total: 1107 Policies (Batch 20171129_1428: 339 Policies,Batch 20171129_2230: 768 Policies,)"/>
    <s v=""/>
    <x v="10"/>
  </r>
  <r>
    <x v="1"/>
    <x v="11"/>
    <d v="2017-11-30T00:00:00"/>
    <s v="Thu"/>
    <d v="1899-12-30T12:30:00"/>
    <d v="1899-12-30T21:00:00"/>
    <n v="0"/>
    <n v="8.5000000000000071"/>
    <n v="8.5000000000000071"/>
    <s v="Normal Working Days before 10pm"/>
    <s v="Total: 1107 Policies (Batch 20171129_1428: 339 Policies,Batch 20171129_2230: 768 Policies,)"/>
    <s v=""/>
    <x v="10"/>
  </r>
  <r>
    <x v="1"/>
    <x v="12"/>
    <d v="2017-11-30T00:00:00"/>
    <s v="Thu"/>
    <d v="1899-12-30T08:00:00"/>
    <d v="1899-12-30T21:00:00"/>
    <n v="0"/>
    <n v="12.000000000000007"/>
    <n v="12.000000000000007"/>
    <s v="Normal Working Days before 10pm"/>
    <s v="Total: 1107 Policies (Batch 20171129_1428: 339 Policies,Batch 20171129_2230: 768 Policies,)"/>
    <s v=""/>
    <x v="10"/>
  </r>
  <r>
    <x v="1"/>
    <x v="20"/>
    <d v="2017-11-30T00:00:00"/>
    <s v="Thu"/>
    <d v="1899-12-30T08:00:00"/>
    <d v="1899-12-30T21:00:00"/>
    <n v="0"/>
    <n v="12.000000000000007"/>
    <n v="12.000000000000007"/>
    <s v="Normal Working Days before 10pm"/>
    <s v="Total: 1107 Policies (Batch 20171129_1428: 339 Policies,Batch 20171129_2230: 768 Policies,)"/>
    <s v=""/>
    <x v="10"/>
  </r>
  <r>
    <x v="0"/>
    <x v="0"/>
    <d v="2017-12-01T00:00:00"/>
    <s v="Fri"/>
    <d v="1899-12-30T17:00:00"/>
    <d v="1899-12-30T21:30:00"/>
    <n v="8.0000000000000036"/>
    <n v="4.4999999999999964"/>
    <n v="4.4999999999999964"/>
    <s v="Normal Working Days before 10pm"/>
    <s v="Total: 1372 Policies (Batch 20171130_1434: 290 Policies, Batch 20171130_2143: 1082 Policies,)"/>
    <n v="1"/>
    <x v="11"/>
  </r>
  <r>
    <x v="0"/>
    <x v="2"/>
    <d v="2017-12-01T00:00:00"/>
    <s v="Fri"/>
    <d v="1899-12-30T17:00:00"/>
    <d v="1899-12-30T21:30:00"/>
    <n v="8.0000000000000036"/>
    <n v="4.4999999999999964"/>
    <n v="4.4999999999999964"/>
    <s v="Normal Working Days before 10pm"/>
    <s v="Total: 1372 Policies (Batch 20171130_1434: 290 Policies, Batch 20171130_2143: 1082 Policies,)"/>
    <n v="1"/>
    <x v="11"/>
  </r>
  <r>
    <x v="0"/>
    <x v="6"/>
    <d v="2017-12-01T00:00:00"/>
    <s v="Fri"/>
    <d v="1899-12-30T17:00:00"/>
    <d v="1899-12-30T21:30:00"/>
    <n v="8.0000000000000036"/>
    <n v="4.4999999999999964"/>
    <n v="4.4999999999999964"/>
    <s v="Normal Working Days before 10pm"/>
    <s v="Total: 1372 Policies (Batch 20171130_1434: 290 Policies, Batch 20171130_2143: 1082 Policies,)"/>
    <n v="1"/>
    <x v="11"/>
  </r>
  <r>
    <x v="0"/>
    <x v="15"/>
    <d v="2017-12-01T00:00:00"/>
    <s v="Fri"/>
    <d v="1899-12-30T17:00:00"/>
    <d v="1899-12-30T17:30:00"/>
    <n v="8.0000000000000036"/>
    <n v="0.50000000000001243"/>
    <n v="0.50000000000001243"/>
    <s v="Normal Working Days before 10pm"/>
    <s v="Total: 1372 Policies (Batch 20171130_1434: 290 Policies, Batch 20171130_2143: 1082 Policies,)"/>
    <s v=""/>
    <x v="11"/>
  </r>
  <r>
    <x v="0"/>
    <x v="16"/>
    <d v="2017-12-01T00:00:00"/>
    <s v="Fri"/>
    <d v="1899-12-30T17:00:00"/>
    <d v="1899-12-30T21:30:00"/>
    <n v="8.0000000000000036"/>
    <n v="4.4999999999999964"/>
    <n v="4.4999999999999964"/>
    <s v="Normal Working Days before 10pm"/>
    <s v="Total: 1372 Policies (Batch 20171130_1434: 290 Policies, Batch 20171130_2143: 1082 Policies,)"/>
    <n v="1"/>
    <x v="11"/>
  </r>
  <r>
    <x v="1"/>
    <x v="5"/>
    <d v="2017-12-01T00:00:00"/>
    <s v="Fri"/>
    <d v="1899-12-30T08:00:00"/>
    <d v="1899-12-30T21:30:00"/>
    <n v="0"/>
    <n v="12.5"/>
    <n v="12.5"/>
    <s v="Normal Working Days before 10pm"/>
    <s v="Total: 1372 Policies (Batch 20171130_1434: 290 Policies, Batch 20171130_2143: 1082 Policies,)"/>
    <s v=""/>
    <x v="11"/>
  </r>
  <r>
    <x v="1"/>
    <x v="14"/>
    <d v="2017-12-01T00:00:00"/>
    <s v="Fri"/>
    <d v="1899-12-30T14:00:00"/>
    <d v="1899-12-30T21:30:00"/>
    <n v="0"/>
    <n v="7.5"/>
    <n v="7.5"/>
    <s v="Normal Working Days before 10pm"/>
    <s v="Total: 1372 Policies (Batch 20171130_1434: 290 Policies, Batch 20171130_2143: 1082 Policies,)"/>
    <s v=""/>
    <x v="11"/>
  </r>
  <r>
    <x v="1"/>
    <x v="19"/>
    <d v="2017-12-01T00:00:00"/>
    <s v="Fri"/>
    <d v="1899-12-30T08:00:00"/>
    <d v="1899-12-30T21:30:00"/>
    <n v="0"/>
    <n v="12.5"/>
    <n v="12.5"/>
    <s v="Normal Working Days before 10pm"/>
    <s v="Total: 1372 Policies (Batch 20171130_1434: 290 Policies, Batch 20171130_2143: 1082 Policies,)"/>
    <s v=""/>
    <x v="11"/>
  </r>
  <r>
    <x v="1"/>
    <x v="20"/>
    <d v="2017-12-01T00:00:00"/>
    <s v="Fri"/>
    <d v="1899-12-30T08:00:00"/>
    <d v="1899-12-30T14:00:00"/>
    <n v="0"/>
    <n v="5.0000000000000018"/>
    <n v="5.0000000000000018"/>
    <s v="Normal Working Days before 10pm"/>
    <s v="Total: 1372 Policies (Batch 20171130_1434: 290 Policies, Batch 20171130_2143: 1082 Policies,)"/>
    <s v=""/>
    <x v="11"/>
  </r>
  <r>
    <x v="1"/>
    <x v="22"/>
    <d v="2017-12-01T00:00:00"/>
    <s v="Fri"/>
    <d v="1899-12-30T08:00:00"/>
    <d v="1899-12-30T20:30:00"/>
    <n v="0"/>
    <n v="11.500000000000014"/>
    <n v="11.500000000000014"/>
    <s v="Normal Working Days before 10pm"/>
    <s v="Total: 1372 Policies (Batch 20171130_1434: 290 Policies, Batch 20171130_2143: 1082 Policies,)"/>
    <s v=""/>
    <x v="11"/>
  </r>
  <r>
    <x v="0"/>
    <x v="0"/>
    <d v="2017-12-02T00:00:00"/>
    <s v="Sat"/>
    <d v="1899-12-30T17:00:00"/>
    <d v="1899-12-30T21:00:00"/>
    <n v="8.0000000000000036"/>
    <n v="4.0000000000000036"/>
    <n v="12.000000000000007"/>
    <s v="Saturday/Sunday (Weekends) before 10pm"/>
    <s v="Total: 2080 Policies (Batch 20171130_0751: 2080 Policies,)"/>
    <n v="1"/>
    <x v="11"/>
  </r>
  <r>
    <x v="0"/>
    <x v="2"/>
    <d v="2017-12-02T00:00:00"/>
    <s v="Sat"/>
    <d v="1899-12-30T17:00:00"/>
    <d v="1899-12-30T21:00:00"/>
    <n v="8.0000000000000036"/>
    <n v="4.0000000000000036"/>
    <n v="12.000000000000007"/>
    <s v="Saturday/Sunday (Weekends) before 10pm"/>
    <s v="Total: 2080 Policies (Batch 20171130_0751: 2080 Policies,)"/>
    <n v="1"/>
    <x v="11"/>
  </r>
  <r>
    <x v="0"/>
    <x v="6"/>
    <d v="2017-12-02T00:00:00"/>
    <s v="Sat"/>
    <d v="1899-12-30T08:00:00"/>
    <d v="1899-12-30T17:00:00"/>
    <n v="8.0000000000000036"/>
    <n v="0"/>
    <n v="8.0000000000000036"/>
    <s v=""/>
    <s v="Total: 2080 Policies (Batch 20171130_0751: 2080 Policies,)"/>
    <s v=""/>
    <x v="11"/>
  </r>
  <r>
    <x v="0"/>
    <x v="15"/>
    <d v="2017-12-02T00:00:00"/>
    <s v="Sat"/>
    <d v="1899-12-30T17:00:00"/>
    <d v="1899-12-30T21:00:00"/>
    <n v="8.0000000000000036"/>
    <n v="4.0000000000000036"/>
    <n v="12.000000000000007"/>
    <s v="Saturday/Sunday (Weekends) before 10pm"/>
    <s v="Total: 2080 Policies (Batch 20171130_0751: 2080 Policies,)"/>
    <n v="1"/>
    <x v="11"/>
  </r>
  <r>
    <x v="0"/>
    <x v="16"/>
    <d v="2017-12-02T00:00:00"/>
    <s v="Sat"/>
    <d v="1899-12-30T17:00:00"/>
    <d v="1899-12-30T21:00:00"/>
    <n v="8.0000000000000036"/>
    <n v="4.0000000000000036"/>
    <n v="12.000000000000007"/>
    <s v="Saturday/Sunday (Weekends) before 10pm"/>
    <s v="Total: 2080 Policies (Batch 20171130_0751: 2080 Policies,)"/>
    <n v="1"/>
    <x v="11"/>
  </r>
  <r>
    <x v="1"/>
    <x v="5"/>
    <d v="2017-12-02T00:00:00"/>
    <s v="Sat"/>
    <d v="1899-12-30T08:00:00"/>
    <d v="1899-12-30T21:00:00"/>
    <n v="0"/>
    <n v="12.000000000000007"/>
    <n v="12.000000000000007"/>
    <s v="Saturday/Sunday (Weekends) before 10pm"/>
    <s v="Total: 2080 Policies (Batch 20171130_0751: 2080 Policies,)"/>
    <s v=""/>
    <x v="11"/>
  </r>
  <r>
    <x v="1"/>
    <x v="11"/>
    <d v="2017-12-02T00:00:00"/>
    <s v="Sat"/>
    <d v="1899-12-30T08:30:00"/>
    <d v="1899-12-30T21:00:00"/>
    <n v="0"/>
    <n v="11.499999999999993"/>
    <n v="11.499999999999993"/>
    <s v="Saturday/Sunday (Weekends) before 10pm"/>
    <s v="Total: 2080 Policies (Batch 20171130_0751: 2080 Policies,)"/>
    <s v=""/>
    <x v="11"/>
  </r>
  <r>
    <x v="1"/>
    <x v="19"/>
    <d v="2017-12-02T00:00:00"/>
    <s v="Sat"/>
    <d v="1899-12-30T08:00:00"/>
    <d v="1899-12-30T21:00:00"/>
    <n v="0"/>
    <n v="12.000000000000007"/>
    <n v="12.000000000000007"/>
    <s v="Saturday/Sunday (Weekends) before 10pm"/>
    <s v="Total: 2080 Policies (Batch 20171130_0751: 2080 Policies,)"/>
    <s v=""/>
    <x v="11"/>
  </r>
  <r>
    <x v="1"/>
    <x v="20"/>
    <d v="2017-12-02T00:00:00"/>
    <s v="Sat"/>
    <d v="1899-12-30T08:00:00"/>
    <d v="1899-12-30T21:00:00"/>
    <n v="0"/>
    <n v="12.000000000000007"/>
    <n v="12.000000000000007"/>
    <s v="Saturday/Sunday (Weekends) before 10pm"/>
    <s v="Total: 2080 Policies (Batch 20171130_0751: 2080 Policies,)"/>
    <s v=""/>
    <x v="11"/>
  </r>
  <r>
    <x v="1"/>
    <x v="5"/>
    <d v="2017-12-04T00:00:00"/>
    <s v="Mon"/>
    <d v="1899-12-30T08:30:00"/>
    <d v="1899-12-30T17:30:00"/>
    <n v="0"/>
    <n v="7.9999999999999982"/>
    <n v="7.9999999999999982"/>
    <s v="Normal Working Days before 10pm"/>
    <s v="Total: 353 Policies (Batch 20171201_2021: 168 Policies, Batch 20171204_1105: 93 Policies, Batch 20171204_1441: 92 Policies)"/>
    <s v=""/>
    <x v="11"/>
  </r>
  <r>
    <x v="1"/>
    <x v="22"/>
    <d v="2017-12-04T00:00:00"/>
    <s v="Mon"/>
    <d v="1899-12-30T08:30:00"/>
    <d v="1899-12-30T17:30:00"/>
    <n v="0"/>
    <n v="7.9999999999999982"/>
    <n v="7.9999999999999982"/>
    <s v="Normal Working Days before 10pm"/>
    <s v="Total: 353 Policies (Batch 20171201_2021: 168 Policies, Batch 20171204_1105: 93 Policies, Batch 20171204_1441: 92 Policies)"/>
    <s v=""/>
    <x v="11"/>
  </r>
  <r>
    <x v="1"/>
    <x v="5"/>
    <d v="2017-12-05T00:00:00"/>
    <s v="Tue"/>
    <d v="1899-12-30T08:30:00"/>
    <d v="1899-12-30T17:30:00"/>
    <n v="0"/>
    <n v="7.9999999999999982"/>
    <n v="7.9999999999999982"/>
    <s v="Normal Working Days before 10pm"/>
    <s v="Total: 700 Policies (Batch 20171204_2210: 649 Policies)"/>
    <s v=""/>
    <x v="11"/>
  </r>
  <r>
    <x v="1"/>
    <x v="22"/>
    <d v="2017-12-05T00:00:00"/>
    <s v="Tue"/>
    <d v="1899-12-30T09:45:00"/>
    <d v="1899-12-30T17:30:00"/>
    <n v="0"/>
    <n v="6.7500000000000071"/>
    <n v="6.7500000000000071"/>
    <s v="Normal Working Days before 10pm"/>
    <s v="Total: 700 Policies (Batch 20171204_2210: 649 Policies)"/>
    <s v=""/>
    <x v="11"/>
  </r>
  <r>
    <x v="1"/>
    <x v="23"/>
    <d v="2017-12-05T00:00:00"/>
    <s v="Tue"/>
    <d v="1899-12-30T11:00:00"/>
    <d v="1899-12-30T17:30:00"/>
    <n v="0"/>
    <n v="5.500000000000016"/>
    <n v="5.500000000000016"/>
    <s v="Normal Working Days before 10pm"/>
    <s v="Total: 700 Policies (Batch 20171204_2210: 649 Policies)"/>
    <s v=""/>
    <x v="11"/>
  </r>
  <r>
    <x v="1"/>
    <x v="5"/>
    <d v="2017-12-06T00:00:00"/>
    <s v="Wed"/>
    <d v="1899-12-30T08:30:00"/>
    <d v="1899-12-30T17:30:00"/>
    <n v="0"/>
    <n v="7.9999999999999982"/>
    <n v="7.9999999999999982"/>
    <s v="Normal Working Days before 10pm"/>
    <s v="Total: 503 Policies (Batch 20171205_1447: 174 Policies, Batch 20171205_2251: 243 Policies, Batch 20171206_1106: 86 Policies)"/>
    <s v=""/>
    <x v="11"/>
  </r>
  <r>
    <x v="1"/>
    <x v="5"/>
    <d v="2017-12-07T00:00:00"/>
    <s v="Thu"/>
    <d v="1899-12-30T08:30:00"/>
    <d v="1899-12-30T17:30:00"/>
    <n v="0"/>
    <n v="7.9999999999999982"/>
    <n v="7.9999999999999982"/>
    <s v="Normal Working Days before 10pm"/>
    <s v="Total: 573 Policies (Batch 20171206_1430: 156 Policies, Batch 20171206_2212: 290 Policies, Batch 20171207_1143: 75 Policies, Batch 20171207_1426: 52 Policies)"/>
    <s v=""/>
    <x v="11"/>
  </r>
  <r>
    <x v="1"/>
    <x v="5"/>
    <d v="2017-12-08T00:00:00"/>
    <s v="Fri"/>
    <d v="1899-12-30T08:30:00"/>
    <d v="1899-12-30T17:30:00"/>
    <n v="0"/>
    <n v="7.9999999999999982"/>
    <n v="7.9999999999999982"/>
    <s v="Normal Working Days before 10pm"/>
    <s v="Total: 481 Policies (Batch 20171207_2254: 296 Policies, Batch 20171208_1104: 112 Policies, Batch 20171208_1420: 73 Policies)"/>
    <s v=""/>
    <x v="11"/>
  </r>
  <r>
    <x v="1"/>
    <x v="5"/>
    <d v="2017-12-11T00:00:00"/>
    <s v="Mon"/>
    <d v="1899-12-30T08:30:00"/>
    <d v="1899-12-30T17:30:00"/>
    <n v="0"/>
    <n v="7.9999999999999982"/>
    <n v="7.9999999999999982"/>
    <s v="Normal Working Days before 10pm"/>
    <s v="Total: 400 Policies (Batch 20171208_2322: 197 Policies, Batch 20171211_1122: 203 Policies, Batch 20171211_1430: 163 Policies)"/>
    <s v=""/>
    <x v="11"/>
  </r>
  <r>
    <x v="1"/>
    <x v="24"/>
    <d v="2017-12-11T00:00:00"/>
    <s v="Mon"/>
    <d v="1899-12-30T08:30:00"/>
    <d v="1899-12-30T17:30:00"/>
    <n v="0"/>
    <n v="7.9999999999999982"/>
    <n v="7.9999999999999982"/>
    <s v="Normal Working Days before 10pm"/>
    <s v="Train for Peak December &amp; Total: 400 Policies (Batch 20171208_2322: 197 Policies, Batch 20171211_1122: 203 Policies, Batch 20171211_1430: 163 Policies)"/>
    <s v=""/>
    <x v="11"/>
  </r>
  <r>
    <x v="1"/>
    <x v="25"/>
    <d v="2017-12-11T00:00:00"/>
    <s v="Mon"/>
    <d v="1899-12-30T08:30:00"/>
    <d v="1899-12-30T17:30:00"/>
    <n v="0"/>
    <n v="7.9999999999999982"/>
    <n v="7.9999999999999982"/>
    <s v="Normal Working Days before 10pm"/>
    <s v="Train for Peak December &amp; Total: 400 Policies (Batch 20171208_2322: 197 Policies, Batch 20171211_1122: 203 Policies, Batch 20171211_1430: 163 Policies)"/>
    <s v=""/>
    <x v="11"/>
  </r>
  <r>
    <x v="1"/>
    <x v="5"/>
    <d v="2017-12-12T00:00:00"/>
    <s v="Tue"/>
    <d v="1899-12-30T08:30:00"/>
    <d v="1899-12-30T17:30:00"/>
    <n v="0"/>
    <n v="7.9999999999999982"/>
    <n v="7.9999999999999982"/>
    <s v="Normal Working Days before 10pm"/>
    <s v="Total: 701 Policies (Batch 20171211_1430: 163 Policies, Batch 20171211_2250: 254 Policies, Batch 20171212_1117: 284 Policies)"/>
    <s v=""/>
    <x v="11"/>
  </r>
  <r>
    <x v="1"/>
    <x v="24"/>
    <d v="2017-12-12T00:00:00"/>
    <s v="Tue"/>
    <d v="1899-12-30T08:30:00"/>
    <d v="1899-12-30T17:30:00"/>
    <n v="0"/>
    <n v="7.9999999999999982"/>
    <n v="7.9999999999999982"/>
    <s v="Normal Working Days before 10pm"/>
    <s v="Train for Peak December &amp; Total: 701 Policies (Batch 20171211_1430: 163 Policies, Batch 20171211_2250: 254 Policies, Batch 20171212_1117: 284 Policies)"/>
    <s v=""/>
    <x v="11"/>
  </r>
  <r>
    <x v="1"/>
    <x v="25"/>
    <d v="2017-12-12T00:00:00"/>
    <s v="Tue"/>
    <d v="1899-12-30T08:30:00"/>
    <d v="1899-12-30T17:30:00"/>
    <n v="0"/>
    <n v="7.9999999999999982"/>
    <n v="7.9999999999999982"/>
    <s v="Normal Working Days before 10pm"/>
    <s v="Train for Peak December &amp; Total: 701 Policies (Batch 20171211_1430: 163 Policies, Batch 20171211_2250: 254 Policies, Batch 20171212_1117: 284 Policies)"/>
    <s v=""/>
    <x v="11"/>
  </r>
  <r>
    <x v="0"/>
    <x v="0"/>
    <d v="2017-12-13T00:00:00"/>
    <s v="Wed"/>
    <d v="1899-12-30T17:30:00"/>
    <d v="1899-12-30T21:30:00"/>
    <n v="8.0000000000000036"/>
    <n v="3.9999999999999822"/>
    <n v="3.9999999999999822"/>
    <s v="Normal Working Days before 10pm"/>
    <s v="Total: 1096 Policies (Batch 20171212_1424: 200 Policies, Batch 20171212_2222: 570 Policies, Batch 20171213_1127: 138 Policies, Batch 20171213_1439: 188 Policies)"/>
    <n v="1"/>
    <x v="11"/>
  </r>
  <r>
    <x v="0"/>
    <x v="2"/>
    <d v="2017-12-13T00:00:00"/>
    <s v="Wed"/>
    <d v="1899-12-30T17:30:00"/>
    <d v="1899-12-30T21:30:00"/>
    <n v="8.0000000000000036"/>
    <n v="3.9999999999999822"/>
    <n v="3.9999999999999822"/>
    <s v="Normal Working Days before 10pm"/>
    <s v="Total: 1096 Policies (Batch 20171212_1424: 200 Policies, Batch 20171212_2222: 570 Policies, Batch 20171213_1127: 138 Policies, Batch 20171213_1439: 188 Policies)"/>
    <n v="1"/>
    <x v="11"/>
  </r>
  <r>
    <x v="0"/>
    <x v="15"/>
    <d v="2017-12-13T00:00:00"/>
    <s v="Wed"/>
    <d v="1899-12-30T17:30:00"/>
    <d v="1899-12-30T21:30:00"/>
    <n v="8.0000000000000036"/>
    <n v="3.9999999999999822"/>
    <n v="3.9999999999999822"/>
    <s v="Normal Working Days before 10pm"/>
    <s v="Total: 1096 Policies (Batch 20171212_1424: 200 Policies, Batch 20171212_2222: 570 Policies, Batch 20171213_1127: 138 Policies, Batch 20171213_1439: 188 Policies)"/>
    <n v="1"/>
    <x v="11"/>
  </r>
  <r>
    <x v="0"/>
    <x v="16"/>
    <d v="2017-12-13T00:00:00"/>
    <s v="Wed"/>
    <d v="1899-12-30T17:30:00"/>
    <d v="1899-12-30T21:30:00"/>
    <n v="8.0000000000000036"/>
    <n v="3.9999999999999822"/>
    <n v="3.9999999999999822"/>
    <s v="Normal Working Days before 10pm"/>
    <s v="Total: 1096 Policies (Batch 20171212_1424: 200 Policies, Batch 20171212_2222: 570 Policies, Batch 20171213_1127: 138 Policies, Batch 20171213_1439: 188 Policies)"/>
    <n v="1"/>
    <x v="11"/>
  </r>
  <r>
    <x v="1"/>
    <x v="5"/>
    <d v="2017-12-13T00:00:00"/>
    <s v="Wed"/>
    <d v="1899-12-30T08:30:00"/>
    <d v="1899-12-30T21:30:00"/>
    <n v="0"/>
    <n v="11.999999999999986"/>
    <n v="11.999999999999986"/>
    <s v="Normal Working Days before 10pm"/>
    <s v="Total: 1096 Policies (Batch 20171212_1424: 200 Policies, Batch 20171212_2222: 570 Policies, Batch 20171213_1127: 138 Policies, Batch 20171213_1439: 188 Policies)"/>
    <s v=""/>
    <x v="11"/>
  </r>
  <r>
    <x v="1"/>
    <x v="24"/>
    <d v="2017-12-13T00:00:00"/>
    <s v="Wed"/>
    <d v="1899-12-30T08:30:00"/>
    <d v="1899-12-30T17:30:00"/>
    <n v="0"/>
    <n v="7.9999999999999982"/>
    <n v="7.9999999999999982"/>
    <s v="Normal Working Days before 10pm"/>
    <s v="Train for Peak December &amp; Total: 1096 Policies (Batch 20171212_1424: 200 Policies, Batch 20171212_2222: 570 Policies, Batch 20171213_1127: 138 Policies, Batch 20171213_1439: 188 Policies)"/>
    <s v=""/>
    <x v="11"/>
  </r>
  <r>
    <x v="1"/>
    <x v="25"/>
    <d v="2017-12-13T00:00:00"/>
    <s v="Wed"/>
    <d v="1899-12-30T08:30:00"/>
    <d v="1899-12-30T17:30:00"/>
    <n v="0"/>
    <n v="7.9999999999999982"/>
    <n v="7.9999999999999982"/>
    <s v="Normal Working Days before 10pm"/>
    <s v="Train for Peak December &amp; Total: 1096 Policies (Batch 20171212_1424: 200 Policies, Batch 20171212_2222: 570 Policies, Batch 20171213_1127: 138 Policies, Batch 20171213_1439: 188 Policies)"/>
    <s v=""/>
    <x v="11"/>
  </r>
  <r>
    <x v="1"/>
    <x v="5"/>
    <d v="2017-12-14T00:00:00"/>
    <s v="Thu"/>
    <d v="1899-12-30T08:30:00"/>
    <d v="1899-12-30T17:30:00"/>
    <n v="0"/>
    <n v="7.9999999999999982"/>
    <n v="7.9999999999999982"/>
    <s v="Normal Working Days before 10pm"/>
    <s v="Total: 563 Policies (Batch 20171213_2252: 347 Policies, Batch 20171214_1107: 114 Policies, Batch 20171214_1443: 102 Policies)"/>
    <s v=""/>
    <x v="11"/>
  </r>
  <r>
    <x v="1"/>
    <x v="24"/>
    <d v="2017-12-14T00:00:00"/>
    <s v="Thu"/>
    <d v="1899-12-30T08:30:00"/>
    <d v="1899-12-30T17:30:00"/>
    <n v="0"/>
    <n v="7.9999999999999982"/>
    <n v="7.9999999999999982"/>
    <s v="Normal Working Days before 10pm"/>
    <s v="Train for Peak December &amp; Total: 563 Policies (Batch 20171213_2252: 347 Policies, Batch 20171214_1107: 114 Policies, Batch 20171214_1443: 102 Policies)"/>
    <s v=""/>
    <x v="11"/>
  </r>
  <r>
    <x v="1"/>
    <x v="25"/>
    <d v="2017-12-14T00:00:00"/>
    <s v="Thu"/>
    <d v="1899-12-30T08:30:00"/>
    <d v="1899-12-30T17:30:00"/>
    <n v="0"/>
    <n v="7.9999999999999982"/>
    <n v="7.9999999999999982"/>
    <s v="Normal Working Days before 10pm"/>
    <s v="Train for Peak December &amp; Total: 563 Policies (Batch 20171213_2252: 347 Policies, Batch 20171214_1107: 114 Policies, Batch 20171214_1443: 102 Policies)"/>
    <s v=""/>
    <x v="11"/>
  </r>
  <r>
    <x v="1"/>
    <x v="5"/>
    <d v="2017-12-15T00:00:00"/>
    <s v="Fri"/>
    <d v="1899-12-30T08:30:00"/>
    <d v="1899-12-30T17:30:00"/>
    <n v="0"/>
    <n v="7.9999999999999982"/>
    <n v="7.9999999999999982"/>
    <s v="Normal Working Days before 10pm"/>
    <s v="Total: 639 Policies (Batch 20171214_2143: 389 Policies, Batch 20171215_1131: 122 Policies, Batch 20171215_1436: 128 Policies)"/>
    <s v=""/>
    <x v="11"/>
  </r>
  <r>
    <x v="1"/>
    <x v="21"/>
    <d v="2017-12-15T00:00:00"/>
    <s v="Fri"/>
    <d v="1899-12-30T09:30:00"/>
    <d v="1899-12-30T17:30:00"/>
    <n v="0"/>
    <n v="7.000000000000016"/>
    <n v="7.000000000000016"/>
    <s v="Normal Working Days before 10pm"/>
    <s v="Total: 639 Policies (Batch 20171214_2143: 389 Policies, Batch 20171215_1131: 122 Policies, Batch 20171215_1436: 128 Policies)"/>
    <s v=""/>
    <x v="11"/>
  </r>
  <r>
    <x v="1"/>
    <x v="24"/>
    <d v="2017-12-15T00:00:00"/>
    <s v="Fri"/>
    <d v="1899-12-30T08:30:00"/>
    <d v="1899-12-30T17:30:00"/>
    <n v="0"/>
    <n v="7.9999999999999982"/>
    <n v="7.9999999999999982"/>
    <s v="Normal Working Days before 10pm"/>
    <s v="Train for Peak December &amp; Total: 639 Policies (Batch 20171214_2143: 389 Policies, Batch 20171215_1131: 122 Policies, Batch 20171215_1436: 128 Policies)"/>
    <s v=""/>
    <x v="11"/>
  </r>
  <r>
    <x v="1"/>
    <x v="25"/>
    <d v="2017-12-15T00:00:00"/>
    <s v="Fri"/>
    <d v="1899-12-30T08:30:00"/>
    <d v="1899-12-30T17:30:00"/>
    <n v="0"/>
    <n v="7.9999999999999982"/>
    <n v="7.9999999999999982"/>
    <s v="Normal Working Days before 10pm"/>
    <s v="Train for Peak December &amp; Total: 639 Policies (Batch 20171214_2143: 389 Policies, Batch 20171215_1131: 122 Policies, Batch 20171215_1436: 128 Policies)"/>
    <s v=""/>
    <x v="11"/>
  </r>
  <r>
    <x v="1"/>
    <x v="5"/>
    <d v="2017-12-18T00:00:00"/>
    <s v="Mon"/>
    <d v="1899-12-30T08:30:00"/>
    <d v="1899-12-30T17:30:00"/>
    <n v="0"/>
    <n v="7.9999999999999982"/>
    <n v="7.9999999999999982"/>
    <s v="Normal Working Days before 10pm"/>
    <s v="Total: 488 Policies (Batch 20171215_2322: 490 Policies)"/>
    <s v=""/>
    <x v="11"/>
  </r>
  <r>
    <x v="1"/>
    <x v="22"/>
    <d v="2017-12-18T00:00:00"/>
    <s v="Mon"/>
    <d v="1899-12-30T08:30:00"/>
    <d v="1899-12-30T16:45:00"/>
    <n v="0"/>
    <n v="7.2499999999999982"/>
    <n v="7.2499999999999982"/>
    <s v="Normal Working Days before 10pm"/>
    <s v="Total: 488 Policies (Batch 20171215_2322: 490 Policies)"/>
    <s v=""/>
    <x v="11"/>
  </r>
  <r>
    <x v="1"/>
    <x v="23"/>
    <d v="2017-12-18T00:00:00"/>
    <s v="Mon"/>
    <d v="1899-12-30T08:30:00"/>
    <d v="1899-12-30T16:45:00"/>
    <n v="0"/>
    <n v="7.2499999999999982"/>
    <n v="7.2499999999999982"/>
    <s v="Normal Working Days before 10pm"/>
    <s v="Train for Peak December &amp; Total: 488 Policies (Batch 20171215_2322: 490 Policies)"/>
    <s v=""/>
    <x v="11"/>
  </r>
  <r>
    <x v="1"/>
    <x v="26"/>
    <d v="2017-12-18T00:00:00"/>
    <s v="Mon"/>
    <d v="1899-12-30T08:30:00"/>
    <d v="1899-12-30T16:45:00"/>
    <n v="0"/>
    <n v="7.2499999999999982"/>
    <n v="7.2499999999999982"/>
    <s v="Normal Working Days before 10pm"/>
    <s v="Train for Peak December &amp; Total: 488 Policies (Batch 20171215_2322: 490 Policies)"/>
    <s v=""/>
    <x v="11"/>
  </r>
  <r>
    <x v="0"/>
    <x v="0"/>
    <d v="2017-12-19T00:00:00"/>
    <s v="Tue"/>
    <d v="1899-12-30T17:30:00"/>
    <d v="1899-12-30T21:30:00"/>
    <n v="8.0000000000000036"/>
    <n v="3.9999999999999822"/>
    <n v="3.9999999999999822"/>
    <s v="Normal Working Days before 10pm"/>
    <s v="Total: 1441 Policies (Batch 20171218_1508: 288 Policies, Batch 20171218_2256: 752 Policies, Batch 20171219_1247: 401 Policies)"/>
    <n v="1"/>
    <x v="11"/>
  </r>
  <r>
    <x v="0"/>
    <x v="2"/>
    <d v="2017-12-19T00:00:00"/>
    <s v="Tue"/>
    <d v="1899-12-30T17:30:00"/>
    <d v="1899-12-30T21:30:00"/>
    <n v="8.0000000000000036"/>
    <n v="3.9999999999999822"/>
    <n v="3.9999999999999822"/>
    <s v="Normal Working Days before 10pm"/>
    <s v="Total: 1441 Policies (Batch 20171218_1508: 288 Policies, Batch 20171218_2256: 752 Policies, Batch 20171219_1247: 401 Policies)"/>
    <n v="1"/>
    <x v="11"/>
  </r>
  <r>
    <x v="0"/>
    <x v="6"/>
    <d v="2017-12-19T00:00:00"/>
    <s v="Tue"/>
    <d v="1899-12-30T17:30:00"/>
    <d v="1899-12-30T21:30:00"/>
    <n v="8.0000000000000036"/>
    <n v="3.9999999999999822"/>
    <n v="3.9999999999999822"/>
    <s v="Normal Working Days before 10pm"/>
    <s v="Total: 1441 Policies (Batch 20171218_1508: 288 Policies, Batch 20171218_2256: 752 Policies, Batch 20171219_1247: 401 Policies)"/>
    <n v="1"/>
    <x v="11"/>
  </r>
  <r>
    <x v="1"/>
    <x v="5"/>
    <d v="2017-12-19T00:00:00"/>
    <s v="Tue"/>
    <d v="1899-12-30T08:30:00"/>
    <d v="1899-12-30T21:30:00"/>
    <n v="0"/>
    <n v="11.999999999999986"/>
    <n v="11.999999999999986"/>
    <s v="Normal Working Days before 10pm"/>
    <s v="Total: 1441 Policies (Batch 20171218_1508: 288 Policies, Batch 20171218_2256: 752 Policies, Batch 20171219_1247: 401 Policies)"/>
    <s v=""/>
    <x v="11"/>
  </r>
  <r>
    <x v="1"/>
    <x v="22"/>
    <d v="2017-12-19T00:00:00"/>
    <s v="Tue"/>
    <d v="1899-12-30T08:30:00"/>
    <d v="1899-12-30T21:30:00"/>
    <n v="0"/>
    <n v="11.999999999999986"/>
    <n v="11.999999999999986"/>
    <s v="Normal Working Days before 10pm"/>
    <s v="Total: 1441 Policies (Batch 20171218_1508: 288 Policies, Batch 20171218_2256: 752 Policies, Batch 20171219_1247: 401 Policies)"/>
    <s v=""/>
    <x v="11"/>
  </r>
  <r>
    <x v="1"/>
    <x v="23"/>
    <d v="2017-12-19T00:00:00"/>
    <s v="Tue"/>
    <d v="1899-12-30T08:30:00"/>
    <d v="1899-12-30T21:30:00"/>
    <n v="0"/>
    <n v="11.999999999999986"/>
    <n v="11.999999999999986"/>
    <s v="Normal Working Days before 10pm"/>
    <s v="Train for Peak December &amp; Total: 1441 Policies (Batch 20171218_1508: 288 Policies, Batch 20171218_2256: 752 Policies, Batch 20171219_1247: 401 Policies)"/>
    <s v=""/>
    <x v="11"/>
  </r>
  <r>
    <x v="1"/>
    <x v="26"/>
    <d v="2017-12-19T00:00:00"/>
    <s v="Tue"/>
    <d v="1899-12-30T08:30:00"/>
    <d v="1899-12-30T21:30:00"/>
    <n v="0"/>
    <n v="11.999999999999986"/>
    <n v="11.999999999999986"/>
    <s v="Normal Working Days before 10pm"/>
    <s v="Train for Peak December &amp; Total: 1441 Policies (Batch 20171218_1508: 288 Policies, Batch 20171218_2256: 752 Policies, Batch 20171219_1247: 401 Policies)"/>
    <s v=""/>
    <x v="11"/>
  </r>
  <r>
    <x v="0"/>
    <x v="0"/>
    <d v="2017-12-20T00:00:00"/>
    <s v="Wed"/>
    <d v="1899-12-30T17:30:00"/>
    <d v="1899-12-30T21:30:00"/>
    <n v="8.0000000000000036"/>
    <n v="3.9999999999999822"/>
    <n v="3.9999999999999822"/>
    <s v="Normal Working Days before 10pm"/>
    <s v="Total: 1214 Policies (Batch 20171219_1431: 201 Policies, Batch 20171219_2110: 570 Policies, Batch 20171220_1045: 221 Policies, Batch 20171220_1427: 221 Policies)"/>
    <n v="1"/>
    <x v="11"/>
  </r>
  <r>
    <x v="0"/>
    <x v="2"/>
    <d v="2017-12-20T00:00:00"/>
    <s v="Wed"/>
    <d v="1899-12-30T17:30:00"/>
    <d v="1899-12-30T21:30:00"/>
    <n v="8.0000000000000036"/>
    <n v="3.9999999999999822"/>
    <n v="3.9999999999999822"/>
    <s v="Normal Working Days before 10pm"/>
    <s v="Total: 1214 Policies (Batch 20171219_1431: 201 Policies, Batch 20171219_2110: 570 Policies, Batch 20171220_1045: 221 Policies, Batch 20171220_1427: 221 Policies)"/>
    <n v="1"/>
    <x v="11"/>
  </r>
  <r>
    <x v="0"/>
    <x v="6"/>
    <d v="2017-12-20T00:00:00"/>
    <s v="Wed"/>
    <d v="1899-12-30T17:30:00"/>
    <d v="1899-12-30T21:30:00"/>
    <n v="8.0000000000000036"/>
    <n v="3.9999999999999822"/>
    <n v="3.9999999999999822"/>
    <s v="Normal Working Days before 10pm"/>
    <s v="Total: 1214 Policies (Batch 20171219_1431: 201 Policies, Batch 20171219_2110: 570 Policies, Batch 20171220_1045: 221 Policies, Batch 20171220_1427: 221 Policies)"/>
    <n v="1"/>
    <x v="11"/>
  </r>
  <r>
    <x v="0"/>
    <x v="15"/>
    <d v="2017-12-20T00:00:00"/>
    <s v="Wed"/>
    <d v="1899-12-30T17:30:00"/>
    <d v="1899-12-30T21:30:00"/>
    <n v="8.0000000000000036"/>
    <n v="3.9999999999999822"/>
    <n v="3.9999999999999822"/>
    <s v="Normal Working Days before 10pm"/>
    <s v="Total: 1214 Policies (Batch 20171219_1431: 201 Policies, Batch 20171219_2110: 570 Policies, Batch 20171220_1045: 221 Policies, Batch 20171220_1427: 221 Policies)"/>
    <n v="1"/>
    <x v="11"/>
  </r>
  <r>
    <x v="0"/>
    <x v="16"/>
    <d v="2017-12-20T00:00:00"/>
    <s v="Wed"/>
    <d v="1899-12-30T17:30:00"/>
    <d v="1899-12-30T21:30:00"/>
    <n v="8.0000000000000036"/>
    <n v="3.9999999999999822"/>
    <n v="3.9999999999999822"/>
    <s v="Normal Working Days before 10pm"/>
    <s v="Total: 1214 Policies (Batch 20171219_1431: 201 Policies, Batch 20171219_2110: 570 Policies, Batch 20171220_1045: 221 Policies, Batch 20171220_1427: 221 Policies)"/>
    <n v="1"/>
    <x v="11"/>
  </r>
  <r>
    <x v="1"/>
    <x v="5"/>
    <d v="2017-12-20T00:00:00"/>
    <s v="Wed"/>
    <d v="1899-12-30T08:30:00"/>
    <d v="1899-12-30T21:30:00"/>
    <n v="0"/>
    <n v="11.999999999999986"/>
    <n v="11.999999999999986"/>
    <s v="Normal Working Days before 10pm"/>
    <s v="Total: 1214 Policies (Batch 20171219_1431: 201 Policies, Batch 20171219_2110: 570 Policies, Batch 20171220_1045: 221 Policies, Batch 20171220_1427: 221 Policies)"/>
    <s v=""/>
    <x v="11"/>
  </r>
  <r>
    <x v="1"/>
    <x v="23"/>
    <d v="2017-12-20T00:00:00"/>
    <s v="Wed"/>
    <d v="1899-12-30T08:30:00"/>
    <d v="1899-12-30T17:30:00"/>
    <n v="0"/>
    <n v="7.9999999999999982"/>
    <n v="7.9999999999999982"/>
    <s v="Normal Working Days before 10pm"/>
    <s v="Train for Peak December &amp; Total: 1214 Policies (Batch 20171219_1431: 201 Policies, Batch 20171219_2110: 570 Policies, Batch 20171220_1045: 221 Policies, Batch 20171220_1427: 221 Policies)"/>
    <s v=""/>
    <x v="11"/>
  </r>
  <r>
    <x v="1"/>
    <x v="26"/>
    <d v="2017-12-20T00:00:00"/>
    <s v="Wed"/>
    <d v="1899-12-30T08:30:00"/>
    <d v="1899-12-30T17:30:00"/>
    <n v="0"/>
    <n v="7.9999999999999982"/>
    <n v="7.9999999999999982"/>
    <s v="Normal Working Days before 10pm"/>
    <s v="Train for Peak December &amp; Total: 1214 Policies (Batch 20171219_1431: 201 Policies, Batch 20171219_2110: 570 Policies, Batch 20171220_1045: 221 Policies, Batch 20171220_1427: 221 Policies)"/>
    <s v=""/>
    <x v="11"/>
  </r>
  <r>
    <x v="0"/>
    <x v="0"/>
    <d v="2017-12-21T00:00:00"/>
    <s v="Thu"/>
    <d v="1899-12-30T17:30:00"/>
    <d v="1899-12-30T21:00:00"/>
    <n v="8.0000000000000036"/>
    <n v="3.4999999999999893"/>
    <n v="3.4999999999999893"/>
    <s v="Normal Working Days before 10pm"/>
    <s v="Total: 1092 Policies (Batch 20171220_2259: 643 Policies, Batch 20171221_1117: 189 Policies, Batch 20171221_1438: 260 Policies)"/>
    <n v="1"/>
    <x v="11"/>
  </r>
  <r>
    <x v="0"/>
    <x v="2"/>
    <d v="2017-12-21T00:00:00"/>
    <s v="Thu"/>
    <d v="1899-12-30T17:30:00"/>
    <d v="1899-12-30T21:00:00"/>
    <n v="8.0000000000000036"/>
    <n v="3.4999999999999893"/>
    <n v="3.4999999999999893"/>
    <s v="Normal Working Days before 10pm"/>
    <s v="Total: 1092 Policies (Batch 20171220_2259: 643 Policies, Batch 20171221_1117: 189 Policies, Batch 20171221_1438: 260 Policies)"/>
    <n v="1"/>
    <x v="11"/>
  </r>
  <r>
    <x v="0"/>
    <x v="15"/>
    <d v="2017-12-21T00:00:00"/>
    <s v="Thu"/>
    <d v="1899-12-30T17:30:00"/>
    <d v="1899-12-30T21:00:00"/>
    <n v="8.0000000000000036"/>
    <n v="3.4999999999999893"/>
    <n v="3.4999999999999893"/>
    <s v="Normal Working Days before 10pm"/>
    <s v="Total: 1092 Policies (Batch 20171220_2259: 643 Policies, Batch 20171221_1117: 189 Policies, Batch 20171221_1438: 260 Policies)"/>
    <n v="1"/>
    <x v="11"/>
  </r>
  <r>
    <x v="0"/>
    <x v="16"/>
    <d v="2017-12-21T00:00:00"/>
    <s v="Thu"/>
    <d v="1899-12-30T17:30:00"/>
    <d v="1899-12-30T21:00:00"/>
    <n v="8.0000000000000036"/>
    <n v="3.4999999999999893"/>
    <n v="3.4999999999999893"/>
    <s v="Normal Working Days before 10pm"/>
    <s v="Total: 1092 Policies (Batch 20171220_2259: 643 Policies, Batch 20171221_1117: 189 Policies, Batch 20171221_1438: 260 Policies)"/>
    <n v="1"/>
    <x v="11"/>
  </r>
  <r>
    <x v="1"/>
    <x v="5"/>
    <d v="2017-12-21T00:00:00"/>
    <s v="Thu"/>
    <d v="1899-12-30T08:30:00"/>
    <d v="1899-12-30T21:00:00"/>
    <n v="0"/>
    <n v="11.499999999999993"/>
    <n v="11.499999999999993"/>
    <s v="Normal Working Days before 10pm"/>
    <s v="Total: 1092 Policies (Batch 20171220_2259: 643 Policies, Batch 20171221_1117: 189 Policies, Batch 20171221_1438: 260 Policies)"/>
    <s v=""/>
    <x v="11"/>
  </r>
  <r>
    <x v="1"/>
    <x v="23"/>
    <d v="2017-12-21T00:00:00"/>
    <s v="Thu"/>
    <d v="1899-12-30T08:30:00"/>
    <d v="1899-12-30T21:00:00"/>
    <n v="0"/>
    <n v="11.499999999999993"/>
    <n v="11.499999999999993"/>
    <s v="Normal Working Days before 10pm"/>
    <s v="Train for Peak December &amp; Total: 1092 Policies (Batch 20171220_2259: 643 Policies, Batch 20171221_1117: 189 Policies, Batch 20171221_1438: 260 Policies)"/>
    <s v=""/>
    <x v="11"/>
  </r>
  <r>
    <x v="1"/>
    <x v="26"/>
    <d v="2017-12-21T00:00:00"/>
    <s v="Thu"/>
    <d v="1899-12-30T08:30:00"/>
    <d v="1899-12-30T21:00:00"/>
    <n v="0"/>
    <n v="11.499999999999993"/>
    <n v="11.499999999999993"/>
    <s v="Normal Working Days before 10pm"/>
    <s v="Train for Peak December &amp; Total: 1092 Policies (Batch 20171220_2259: 643 Policies, Batch 20171221_1117: 189 Policies, Batch 20171221_1438: 260 Policies)"/>
    <s v=""/>
    <x v="11"/>
  </r>
  <r>
    <x v="1"/>
    <x v="5"/>
    <d v="2017-12-22T00:00:00"/>
    <s v="Fri"/>
    <d v="1899-12-30T08:30:00"/>
    <d v="1899-12-30T17:30:00"/>
    <n v="0"/>
    <n v="7.9999999999999982"/>
    <n v="7.9999999999999982"/>
    <s v="Normal Working Days before 10pm"/>
    <s v="Total: 619 Policies (Batch 20171221_2242: 509 Policies, Batch 20171222_1134: 110 Policies)"/>
    <s v=""/>
    <x v="11"/>
  </r>
  <r>
    <x v="1"/>
    <x v="23"/>
    <d v="2017-12-22T00:00:00"/>
    <s v="Fri"/>
    <d v="1899-12-30T08:30:00"/>
    <d v="1899-12-30T17:30:00"/>
    <n v="0"/>
    <n v="7.9999999999999982"/>
    <n v="7.9999999999999982"/>
    <s v="Normal Working Days before 10pm"/>
    <s v="Train for Peak December &amp; Total: 619 Policies (Batch 20171221_2242: 509 Policies, Batch 20171222_1134: 110 Policies)"/>
    <s v=""/>
    <x v="11"/>
  </r>
  <r>
    <x v="1"/>
    <x v="26"/>
    <d v="2017-12-22T00:00:00"/>
    <s v="Fri"/>
    <d v="1899-12-30T08:30:00"/>
    <d v="1899-12-30T17:30:00"/>
    <n v="0"/>
    <n v="7.9999999999999982"/>
    <n v="7.9999999999999982"/>
    <s v="Normal Working Days before 10pm"/>
    <s v="Train for Peak December &amp; Total: 619 Policies (Batch 20171221_2242: 509 Policies, Batch 20171222_1134: 110 Policies)"/>
    <s v=""/>
    <x v="11"/>
  </r>
  <r>
    <x v="0"/>
    <x v="0"/>
    <d v="2017-12-23T00:00:00"/>
    <s v="Sat"/>
    <d v="1899-12-30T08:00:00"/>
    <d v="1899-12-30T15:00:00"/>
    <n v="6.0000000000000089"/>
    <n v="0"/>
    <n v="6.0000000000000089"/>
    <s v="Saturday/Sunday (Weekends) before 10pm"/>
    <s v="Total: 268 Policies (Batch 20171222_1452: 268 Policies)"/>
    <s v=""/>
    <x v="11"/>
  </r>
  <r>
    <x v="0"/>
    <x v="2"/>
    <d v="2017-12-23T00:00:00"/>
    <s v="Sat"/>
    <d v="1899-12-30T08:00:00"/>
    <d v="1899-12-30T15:00:00"/>
    <n v="6.0000000000000089"/>
    <n v="0"/>
    <n v="6.0000000000000089"/>
    <s v="Saturday/Sunday (Weekends) before 10pm"/>
    <s v="Total: 268 Policies (Batch 20171222_1452: 268 Policies)"/>
    <s v=""/>
    <x v="11"/>
  </r>
  <r>
    <x v="0"/>
    <x v="15"/>
    <d v="2017-12-23T00:00:00"/>
    <s v="Sat"/>
    <d v="1899-12-30T08:00:00"/>
    <d v="1899-12-30T15:00:00"/>
    <n v="6.0000000000000089"/>
    <n v="0"/>
    <n v="6.0000000000000089"/>
    <s v="Saturday/Sunday (Weekends) before 10pm"/>
    <s v="Total: 268 Policies (Batch 20171222_1452: 268 Policies)"/>
    <s v=""/>
    <x v="11"/>
  </r>
  <r>
    <x v="0"/>
    <x v="16"/>
    <d v="2017-12-23T00:00:00"/>
    <s v="Sat"/>
    <d v="1899-12-30T08:00:00"/>
    <d v="1899-12-30T15:00:00"/>
    <n v="6.0000000000000089"/>
    <n v="0"/>
    <n v="6.0000000000000089"/>
    <s v="Saturday/Sunday (Weekends) before 10pm"/>
    <s v="Total: 268 Policies (Batch 20171222_1452: 268 Policies)"/>
    <s v=""/>
    <x v="11"/>
  </r>
  <r>
    <x v="1"/>
    <x v="5"/>
    <d v="2017-12-23T00:00:00"/>
    <s v="Sat"/>
    <d v="1899-12-30T08:00:00"/>
    <d v="1899-12-30T15:00:00"/>
    <n v="0"/>
    <n v="6.0000000000000089"/>
    <n v="6.0000000000000089"/>
    <s v="Saturday/Sunday (Weekends) before 10pm"/>
    <s v="Total: 268 Policies (Batch 20171222_1452: 268 Policies)"/>
    <s v=""/>
    <x v="11"/>
  </r>
  <r>
    <x v="1"/>
    <x v="22"/>
    <d v="2017-12-23T00:00:00"/>
    <s v="Sat"/>
    <d v="1899-12-30T08:00:00"/>
    <d v="1899-12-30T15:00:00"/>
    <n v="0"/>
    <n v="6.0000000000000089"/>
    <n v="6.0000000000000089"/>
    <s v="Saturday/Sunday (Weekends) before 10pm"/>
    <s v="Total: 268 Policies (Batch 20171222_1452: 268 Policies)"/>
    <s v=""/>
    <x v="11"/>
  </r>
  <r>
    <x v="1"/>
    <x v="23"/>
    <d v="2017-12-23T00:00:00"/>
    <s v="Sat"/>
    <d v="1899-12-30T08:00:00"/>
    <d v="1899-12-30T15:00:00"/>
    <n v="0"/>
    <n v="6.0000000000000089"/>
    <n v="6.0000000000000089"/>
    <s v="Saturday/Sunday (Weekends) before 10pm"/>
    <s v="Total: 268 Policies (Batch 20171222_1452: 268 Policies)"/>
    <s v=""/>
    <x v="11"/>
  </r>
  <r>
    <x v="0"/>
    <x v="0"/>
    <d v="2017-12-25T00:00:00"/>
    <s v="Mon"/>
    <d v="1899-12-30T17:30:00"/>
    <d v="1899-12-30T21:30:00"/>
    <n v="8.0000000000000036"/>
    <n v="3.9999999999999822"/>
    <n v="3.9999999999999822"/>
    <s v="Normal Working Days before 10pm"/>
    <s v="Total: 1616 Policies (Batch 20171222_0018: 680 Policies, Batch 20171223_1045: 436 Policies, Batch 20171223_1441: 503 Policies)"/>
    <n v="1"/>
    <x v="11"/>
  </r>
  <r>
    <x v="0"/>
    <x v="2"/>
    <d v="2017-12-25T00:00:00"/>
    <s v="Mon"/>
    <d v="1899-12-30T17:30:00"/>
    <d v="1899-12-30T21:30:00"/>
    <n v="4"/>
    <n v="4"/>
    <n v="4"/>
    <s v="Normal Working Days before 10pm"/>
    <s v="Total: 1616 Policies (Batch 20171222_0018: 680 Policies, Batch 20171223_1045: 436 Policies, Batch 20171223_1441: 503 Policies)"/>
    <s v=""/>
    <x v="11"/>
  </r>
  <r>
    <x v="0"/>
    <x v="6"/>
    <d v="2017-12-25T00:00:00"/>
    <s v="Mon"/>
    <d v="1899-12-30T17:30:00"/>
    <d v="1899-12-30T21:30:00"/>
    <n v="4"/>
    <n v="4"/>
    <n v="4"/>
    <s v="Normal Working Days before 10pm"/>
    <s v="Total: 1616 Policies (Batch 20171222_0018: 680 Policies, Batch 20171223_1045: 436 Policies, Batch 20171223_1441: 503 Policies)"/>
    <s v=""/>
    <x v="11"/>
  </r>
  <r>
    <x v="0"/>
    <x v="15"/>
    <d v="2017-12-25T00:00:00"/>
    <s v="Mon"/>
    <d v="1899-12-30T17:30:00"/>
    <d v="1899-12-30T21:30:00"/>
    <n v="4"/>
    <n v="4"/>
    <n v="4"/>
    <s v="Normal Working Days before 10pm"/>
    <s v="Total: 1616 Policies (Batch 20171222_0018: 680 Policies, Batch 20171223_1045: 436 Policies, Batch 20171223_1441: 503 Policies)"/>
    <s v=""/>
    <x v="11"/>
  </r>
  <r>
    <x v="0"/>
    <x v="16"/>
    <d v="2017-12-25T00:00:00"/>
    <s v="Mon"/>
    <d v="1899-12-30T17:30:00"/>
    <d v="1899-12-30T21:30:00"/>
    <n v="4"/>
    <n v="4"/>
    <n v="4"/>
    <s v="Normal Working Days before 10pm"/>
    <s v="Total: 1616 Policies (Batch 20171222_0018: 680 Policies, Batch 20171223_1045: 436 Policies, Batch 20171223_1441: 503 Policies)"/>
    <s v=""/>
    <x v="11"/>
  </r>
  <r>
    <x v="1"/>
    <x v="5"/>
    <d v="2017-12-25T00:00:00"/>
    <s v="Mon"/>
    <d v="1899-12-30T08:30:00"/>
    <d v="1899-12-30T21:30:00"/>
    <n v="0"/>
    <n v="11.999999999999986"/>
    <n v="11.999999999999986"/>
    <s v="Normal Working Days before 10pm"/>
    <s v="Total: 1616 Policies (Batch 20171222_0018: 680 Policies, Batch 20171223_1045: 436 Policies, Batch 20171223_1441: 503 Policies)"/>
    <s v=""/>
    <x v="11"/>
  </r>
  <r>
    <x v="1"/>
    <x v="12"/>
    <d v="2017-12-25T00:00:00"/>
    <s v="Mon"/>
    <d v="1899-12-30T08:30:00"/>
    <d v="1899-12-30T17:30:00"/>
    <n v="0"/>
    <n v="7.9999999999999982"/>
    <n v="7.9999999999999982"/>
    <s v="Normal Working Days before 10pm"/>
    <s v="Total: 1616 Policies (Batch 20171222_0018: 680 Policies, Batch 20171223_1045: 436 Policies, Batch 20171223_1441: 503 Policies)"/>
    <s v=""/>
    <x v="11"/>
  </r>
  <r>
    <x v="1"/>
    <x v="19"/>
    <d v="2017-12-25T00:00:00"/>
    <s v="Mon"/>
    <d v="1899-12-30T10:00:00"/>
    <d v="1899-12-30T21:00:00"/>
    <n v="0"/>
    <n v="9.9999999999999911"/>
    <n v="9.9999999999999911"/>
    <s v="Normal Working Days before 10pm"/>
    <s v="Total: 1616 Policies (Batch 20171222_0018: 680 Policies, Batch 20171223_1045: 436 Policies, Batch 20171223_1441: 503 Policies)"/>
    <s v=""/>
    <x v="11"/>
  </r>
  <r>
    <x v="1"/>
    <x v="21"/>
    <d v="2017-12-25T00:00:00"/>
    <s v="Mon"/>
    <d v="1899-12-30T18:30:00"/>
    <d v="1899-12-30T21:30:00"/>
    <n v="0"/>
    <n v="3"/>
    <n v="3"/>
    <s v="Normal Working Days before 10pm"/>
    <s v="Total: 1616 Policies (Batch 20171222_0018: 680 Policies, Batch 20171223_1045: 436 Policies, Batch 20171223_1441: 503 Policies)"/>
    <s v=""/>
    <x v="11"/>
  </r>
  <r>
    <x v="1"/>
    <x v="22"/>
    <d v="2017-12-25T00:00:00"/>
    <s v="Mon"/>
    <d v="1899-12-30T08:30:00"/>
    <d v="1899-12-30T17:30:00"/>
    <n v="0"/>
    <n v="7.9999999999999982"/>
    <n v="7.9999999999999982"/>
    <s v="Normal Working Days before 10pm"/>
    <s v="Total: 1616 Policies (Batch 20171222_0018: 680 Policies, Batch 20171223_1045: 436 Policies, Batch 20171223_1441: 503 Policies)"/>
    <s v=""/>
    <x v="11"/>
  </r>
  <r>
    <x v="0"/>
    <x v="15"/>
    <d v="2017-12-26T00:00:00"/>
    <s v="Tue"/>
    <d v="1899-12-30T15:00:00"/>
    <d v="1899-12-30T16:00:00"/>
    <n v="8.0000000000000036"/>
    <n v="1.0000000000000036"/>
    <n v="1.0000000000000036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5"/>
    <d v="2017-12-26T00:00:00"/>
    <s v="Tue"/>
    <d v="1899-12-30T13:00:00"/>
    <d v="1899-12-30T22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12"/>
    <d v="2017-12-26T00:00:00"/>
    <s v="Tue"/>
    <d v="1899-12-30T06:00:00"/>
    <d v="1899-12-30T15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19"/>
    <d v="2017-12-26T00:00:00"/>
    <s v="Tue"/>
    <d v="1899-12-30T06:00:00"/>
    <d v="1899-12-30T11:00:00"/>
    <n v="0"/>
    <n v="4.9999999999999911"/>
    <n v="4.9999999999999911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20"/>
    <d v="2017-12-26T00:00:00"/>
    <s v="Tue"/>
    <d v="1899-12-30T13:00:00"/>
    <d v="1899-12-30T22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7"/>
    <d v="2017-12-26T00:00:00"/>
    <s v="Tue"/>
    <d v="1899-12-30T06:00:00"/>
    <d v="1899-12-30T15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21"/>
    <d v="2017-12-26T00:00:00"/>
    <s v="Tue"/>
    <d v="1899-12-30T06:00:00"/>
    <d v="1899-12-30T15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22"/>
    <d v="2017-12-26T00:00:00"/>
    <s v="Tue"/>
    <d v="1899-12-30T13:00:00"/>
    <d v="1899-12-30T22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23"/>
    <d v="2017-12-26T00:00:00"/>
    <s v="Tue"/>
    <d v="1899-12-30T13:00:00"/>
    <d v="1899-12-30T22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26"/>
    <d v="2017-12-26T00:00:00"/>
    <s v="Tue"/>
    <d v="1899-12-30T13:00:00"/>
    <d v="1899-12-30T22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1"/>
    <x v="18"/>
    <d v="2017-12-26T00:00:00"/>
    <s v="Tue"/>
    <d v="1899-12-30T13:00:00"/>
    <d v="1899-12-30T22:00:00"/>
    <n v="0"/>
    <n v="8"/>
    <n v="8"/>
    <s v="Normal Working Days before 10pm"/>
    <s v="Total: 1671 Policies (Batch 20171223_2318: 988 Policies, Batch 20171224_2241: 28 Policies, Batch 20171225_1111: 8 Policies, Batch 20171226_1055: 144 Policies, Batch 20171226_2335: 56 Policies, Batch 20171226_1435: 447 Policies  )"/>
    <s v=""/>
    <x v="11"/>
  </r>
  <r>
    <x v="0"/>
    <x v="0"/>
    <d v="2017-12-27T00:00:00"/>
    <s v="Wed"/>
    <d v="1899-12-30T15:00:00"/>
    <d v="1899-12-30T16:00:00"/>
    <n v="8.0000000000000036"/>
    <n v="1.0000000000000036"/>
    <n v="1.0000000000000036"/>
    <s v="Normal Working Days before 10pm"/>
    <s v="Total: 1682 Policies (Batch 20171226_0056: 1026 Policies, Batch 20171227_1046: 242 Policies, Batch 20171227_1427: 414 Policies    )"/>
    <s v=""/>
    <x v="11"/>
  </r>
  <r>
    <x v="0"/>
    <x v="2"/>
    <d v="2017-12-27T00:00:00"/>
    <s v="Wed"/>
    <d v="1899-12-30T22:00:00"/>
    <d v="1899-12-30T23:00:00"/>
    <n v="8.0000000000000036"/>
    <n v="0.99999999999998224"/>
    <n v="0.99999999999998224"/>
    <s v="Normal Working Days after 10pm"/>
    <s v="Total: 1682 Policies (Batch 20171226_0056: 1026 Policies, Batch 20171227_1046: 242 Policies, Batch 20171227_1427: 414 Policies    )"/>
    <s v=""/>
    <x v="11"/>
  </r>
  <r>
    <x v="0"/>
    <x v="15"/>
    <d v="2017-12-27T00:00:00"/>
    <s v="Wed"/>
    <d v="1899-12-30T15:00:00"/>
    <d v="1899-12-30T16:00:00"/>
    <n v="8.0000000000000036"/>
    <n v="1.0000000000000036"/>
    <n v="1.0000000000000036"/>
    <s v="Normal Working Days before 10pm"/>
    <s v="Total: 1682 Policies (Batch 20171226_0056: 1026 Policies, Batch 20171227_1046: 242 Policies, Batch 20171227_1427: 414 Policies    )"/>
    <s v=""/>
    <x v="11"/>
  </r>
  <r>
    <x v="0"/>
    <x v="16"/>
    <d v="2017-12-27T00:00:00"/>
    <s v="Wed"/>
    <d v="1899-12-30T22:00:00"/>
    <d v="1899-12-30T23:00:00"/>
    <n v="8.0000000000000036"/>
    <n v="0.99999999999998224"/>
    <n v="0.99999999999998224"/>
    <s v="Normal Working Days after 10pm"/>
    <s v="Total: 1682 Policies (Batch 20171226_0056: 1026 Policies, Batch 20171227_1046: 242 Policies, Batch 20171227_1427: 414 Policies    )"/>
    <s v=""/>
    <x v="11"/>
  </r>
  <r>
    <x v="1"/>
    <x v="5"/>
    <d v="2017-12-27T00:00:00"/>
    <s v="Wed"/>
    <d v="1899-12-30T13:00:00"/>
    <d v="1899-12-30T22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12"/>
    <d v="2017-12-27T00:00:00"/>
    <s v="Wed"/>
    <d v="1899-12-30T13:00:00"/>
    <d v="1899-12-30T22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19"/>
    <d v="2017-12-27T00:00:00"/>
    <s v="Wed"/>
    <d v="1899-12-30T06:00:00"/>
    <d v="1899-12-30T13:30:00"/>
    <n v="0"/>
    <n v="6.5"/>
    <n v="6.5"/>
    <s v="Normal Working Days before 10pm"/>
    <s v="Total: 1682 Policies (Batch 20171226_0056: 1026 Policies, Batch 20171227_1046: 242 Policies, Batch 20171227_1427: 414 Policies    )"/>
    <s v=""/>
    <x v="11"/>
  </r>
  <r>
    <x v="1"/>
    <x v="20"/>
    <d v="2017-12-27T00:00:00"/>
    <s v="Wed"/>
    <d v="1899-12-30T06:00:00"/>
    <d v="1899-12-30T15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7"/>
    <d v="2017-12-27T00:00:00"/>
    <s v="Wed"/>
    <d v="1899-12-30T06:00:00"/>
    <d v="1899-12-30T15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21"/>
    <d v="2017-12-27T00:00:00"/>
    <s v="Wed"/>
    <d v="1899-12-30T13:00:00"/>
    <d v="1899-12-30T22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22"/>
    <d v="2017-12-27T00:00:00"/>
    <s v="Wed"/>
    <d v="1899-12-30T13:00:00"/>
    <d v="1899-12-30T22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23"/>
    <d v="2017-12-27T00:00:00"/>
    <s v="Wed"/>
    <d v="1899-12-30T13:00:00"/>
    <d v="1899-12-30T22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26"/>
    <d v="2017-12-27T00:00:00"/>
    <s v="Wed"/>
    <d v="1899-12-30T13:00:00"/>
    <d v="1899-12-30T22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1"/>
    <x v="18"/>
    <d v="2017-12-27T00:00:00"/>
    <s v="Wed"/>
    <d v="1899-12-30T06:00:00"/>
    <d v="1899-12-30T15:00:00"/>
    <n v="0"/>
    <n v="8"/>
    <n v="8"/>
    <s v="Normal Working Days before 10pm"/>
    <s v="Total: 1682 Policies (Batch 20171226_0056: 1026 Policies, Batch 20171227_1046: 242 Policies, Batch 20171227_1427: 414 Policies    )"/>
    <s v=""/>
    <x v="11"/>
  </r>
  <r>
    <x v="0"/>
    <x v="2"/>
    <d v="2017-12-28T00:00:00"/>
    <s v="Thu"/>
    <d v="1899-12-30T22:00:00"/>
    <d v="1899-12-30T22:30:00"/>
    <n v="8.0000000000000036"/>
    <n v="0.49999999999998934"/>
    <n v="0.49999999999998934"/>
    <s v="Normal Working Days after 10pm"/>
    <s v="Total: 1915 Policies (Batch 20171227_2233: 960 Policies, Batch 20171228_1107: 419 Policies ;Batch 20171228_1438: 536 Policies)"/>
    <s v=""/>
    <x v="11"/>
  </r>
  <r>
    <x v="0"/>
    <x v="16"/>
    <d v="2017-12-28T00:00:00"/>
    <s v="Thu"/>
    <d v="1899-12-30T18:00:00"/>
    <d v="1899-12-30T22:30:00"/>
    <n v="8.0000000000000036"/>
    <n v="4.4999999999999964"/>
    <n v="4.4999999999999964"/>
    <s v="Normal Working Days after 10pm"/>
    <s v="Total: 1915 Policies (Batch 20171227_2233: 960 Policies, Batch 20171228_1107: 419 Policies ;Batch 20171228_1438: 536 Policies)"/>
    <n v="1"/>
    <x v="11"/>
  </r>
  <r>
    <x v="1"/>
    <x v="5"/>
    <d v="2017-12-28T00:00:00"/>
    <s v="Thu"/>
    <d v="1899-12-30T13:00:00"/>
    <d v="1899-12-30T22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1"/>
    <x v="12"/>
    <d v="2017-12-28T00:00:00"/>
    <s v="Thu"/>
    <d v="1899-12-30T09:00:00"/>
    <d v="1899-12-30T15:00:00"/>
    <n v="0"/>
    <n v="5"/>
    <n v="5"/>
    <s v="Normal Working Days before 10pm"/>
    <s v="Total: 1915 Policies (Batch 20171227_2233: 960 Policies, Batch 20171228_1107: 419 Policies ;Batch 20171228_1438: 536 Policies)"/>
    <s v=""/>
    <x v="11"/>
  </r>
  <r>
    <x v="1"/>
    <x v="19"/>
    <d v="2017-12-28T00:00:00"/>
    <s v="Thu"/>
    <d v="1899-12-30T06:00:00"/>
    <d v="1899-12-30T13:30:00"/>
    <n v="0"/>
    <n v="6.5"/>
    <n v="6.5"/>
    <s v="Normal Working Days before 10pm"/>
    <s v="Total: 1915 Policies (Batch 20171227_2233: 960 Policies, Batch 20171228_1107: 419 Policies ;Batch 20171228_1438: 536 Policies)"/>
    <s v=""/>
    <x v="11"/>
  </r>
  <r>
    <x v="1"/>
    <x v="20"/>
    <d v="2017-12-28T00:00:00"/>
    <s v="Thu"/>
    <d v="1899-12-30T06:00:00"/>
    <d v="1899-12-30T15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1"/>
    <x v="7"/>
    <d v="2017-12-28T00:00:00"/>
    <s v="Thu"/>
    <d v="1899-12-30T06:00:00"/>
    <d v="1899-12-30T15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1"/>
    <x v="21"/>
    <d v="2017-12-28T00:00:00"/>
    <s v="Thu"/>
    <d v="1899-12-30T13:00:00"/>
    <d v="1899-12-30T22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1"/>
    <x v="22"/>
    <d v="2017-12-28T00:00:00"/>
    <s v="Thu"/>
    <d v="1899-12-30T13:00:00"/>
    <d v="1899-12-30T22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1"/>
    <x v="23"/>
    <d v="2017-12-28T00:00:00"/>
    <s v="Thu"/>
    <d v="1899-12-30T13:00:00"/>
    <d v="1899-12-30T22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1"/>
    <x v="26"/>
    <d v="2017-12-28T00:00:00"/>
    <s v="Thu"/>
    <d v="1899-12-30T13:00:00"/>
    <d v="1899-12-30T22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1"/>
    <x v="18"/>
    <d v="2017-12-28T00:00:00"/>
    <s v="Thu"/>
    <d v="1899-12-30T13:00:00"/>
    <d v="1899-12-30T22:00:00"/>
    <n v="0"/>
    <n v="8"/>
    <n v="8"/>
    <s v="Normal Working Days before 10pm"/>
    <s v="Total: 1915 Policies (Batch 20171227_2233: 960 Policies, Batch 20171228_1107: 419 Policies ;Batch 20171228_1438: 536 Policies)"/>
    <s v=""/>
    <x v="11"/>
  </r>
  <r>
    <x v="0"/>
    <x v="0"/>
    <d v="2017-12-29T00:00:00"/>
    <s v="Fri"/>
    <d v="1899-12-30T15:00:00"/>
    <d v="1899-12-30T16:30:00"/>
    <n v="8.0000000000000036"/>
    <n v="1.4999999999999964"/>
    <n v="1.4999999999999964"/>
    <s v="Normal Working Days before 10pm"/>
    <s v="Total: 1769 Policies (Batch 20171228_0003: 871 Policies; Batch 20171229_1145: 898 Policies)"/>
    <s v=""/>
    <x v="11"/>
  </r>
  <r>
    <x v="0"/>
    <x v="2"/>
    <d v="2017-12-29T00:00:00"/>
    <s v="Fri"/>
    <d v="1899-12-30T22:00:00"/>
    <d v="1899-12-30T23:30:00"/>
    <n v="8.0000000000000036"/>
    <n v="1.4999999999999964"/>
    <n v="1.4999999999999964"/>
    <s v="Normal Working Days after 10pm"/>
    <s v="Total: 1769 Policies (Batch 20171228_0003: 871 Policies; Batch 20171229_1145: 898 Policies)"/>
    <s v=""/>
    <x v="11"/>
  </r>
  <r>
    <x v="0"/>
    <x v="15"/>
    <d v="2017-12-29T00:00:00"/>
    <s v="Fri"/>
    <d v="1899-12-30T15:00:00"/>
    <d v="1899-12-30T21:30:00"/>
    <n v="8.0000000000000036"/>
    <n v="6.4999999999999893"/>
    <n v="6.4999999999999893"/>
    <s v="Normal Working Days before 10pm"/>
    <s v="Total: 1769 Policies (Batch 20171228_0003: 871 Policies; Batch 20171229_1145: 898 Policies)"/>
    <n v="1"/>
    <x v="11"/>
  </r>
  <r>
    <x v="0"/>
    <x v="16"/>
    <d v="2017-12-29T00:00:00"/>
    <s v="Fri"/>
    <d v="1899-12-30T22:00:00"/>
    <d v="1899-12-30T23:30:00"/>
    <n v="8.0000000000000036"/>
    <n v="1.4999999999999964"/>
    <n v="1.4999999999999964"/>
    <s v="Normal Working Days after 10pm"/>
    <s v="Total: 1769 Policies (Batch 20171228_0003: 871 Policies; Batch 20171229_1145: 898 Policies)"/>
    <s v=""/>
    <x v="11"/>
  </r>
  <r>
    <x v="1"/>
    <x v="5"/>
    <d v="2017-12-29T00:00:00"/>
    <s v="Fri"/>
    <d v="1899-12-30T09:00:00"/>
    <d v="1899-12-30T22:00:00"/>
    <n v="0"/>
    <n v="12.000000000000007"/>
    <n v="12.000000000000007"/>
    <s v="Normal Working Days before 10pm"/>
    <s v="Total: 1769 Policies (Batch 20171228_0003: 871 Policies; Batch 20171229_1145: 898 Policies)"/>
    <s v=""/>
    <x v="11"/>
  </r>
  <r>
    <x v="1"/>
    <x v="12"/>
    <d v="2017-12-29T00:00:00"/>
    <s v="Fri"/>
    <d v="1899-12-30T06:00:00"/>
    <d v="1899-12-30T15:00:00"/>
    <n v="0"/>
    <n v="8"/>
    <n v="8"/>
    <s v="Normal Working Days before 10pm"/>
    <s v="Total: 1769 Policies (Batch 20171228_0003: 871 Policies; Batch 20171229_1145: 898 Policies)"/>
    <s v=""/>
    <x v="11"/>
  </r>
  <r>
    <x v="1"/>
    <x v="19"/>
    <d v="2017-12-29T00:00:00"/>
    <s v="Fri"/>
    <d v="1899-12-30T06:00:00"/>
    <d v="1899-12-30T13:30:00"/>
    <n v="0"/>
    <n v="6.5"/>
    <n v="6.5"/>
    <s v="Normal Working Days before 10pm"/>
    <s v="Total: 1769 Policies (Batch 20171228_0003: 871 Policies; Batch 20171229_1145: 898 Policies)"/>
    <s v=""/>
    <x v="11"/>
  </r>
  <r>
    <x v="1"/>
    <x v="20"/>
    <d v="2017-12-29T00:00:00"/>
    <s v="Fri"/>
    <d v="1899-12-30T06:00:00"/>
    <d v="1899-12-30T15:00:00"/>
    <n v="0"/>
    <n v="8"/>
    <n v="8"/>
    <s v="Normal Working Days before 10pm"/>
    <s v="Total: 1769 Policies (Batch 20171228_0003: 871 Policies; Batch 20171229_1145: 898 Policies)"/>
    <s v=""/>
    <x v="11"/>
  </r>
  <r>
    <x v="1"/>
    <x v="7"/>
    <d v="2017-12-29T00:00:00"/>
    <s v="Fri"/>
    <d v="1899-12-30T06:00:00"/>
    <d v="1899-12-30T15:00:00"/>
    <n v="0"/>
    <n v="8"/>
    <n v="8"/>
    <s v="Normal Working Days before 10pm"/>
    <s v="Total: 1769 Policies (Batch 20171228_0003: 871 Policies; Batch 20171229_1145: 898 Policies)"/>
    <s v=""/>
    <x v="11"/>
  </r>
  <r>
    <x v="1"/>
    <x v="21"/>
    <d v="2017-12-29T00:00:00"/>
    <s v="Fri"/>
    <d v="1899-12-30T18:00:00"/>
    <d v="1899-12-30T22:00:00"/>
    <n v="0"/>
    <n v="4.0000000000000071"/>
    <n v="4.0000000000000071"/>
    <s v="Normal Working Days before 10pm"/>
    <s v="Total: 1769 Policies (Batch 20171228_0003: 871 Policies; Batch 20171229_1145: 898 Policies)"/>
    <s v=""/>
    <x v="11"/>
  </r>
  <r>
    <x v="1"/>
    <x v="22"/>
    <d v="2017-12-29T00:00:00"/>
    <s v="Fri"/>
    <d v="1899-12-30T13:00:00"/>
    <d v="1899-12-30T22:00:00"/>
    <n v="0"/>
    <n v="8"/>
    <n v="8"/>
    <s v="Normal Working Days before 10pm"/>
    <s v="Total: 1769 Policies (Batch 20171228_0003: 871 Policies; Batch 20171229_1145: 898 Policies)"/>
    <s v=""/>
    <x v="11"/>
  </r>
  <r>
    <x v="1"/>
    <x v="23"/>
    <d v="2017-12-29T00:00:00"/>
    <s v="Fri"/>
    <d v="1899-12-30T13:00:00"/>
    <d v="1899-12-30T22:00:00"/>
    <n v="0"/>
    <n v="8"/>
    <n v="8"/>
    <s v="Normal Working Days before 10pm"/>
    <s v="Total: 1769 Policies (Batch 20171228_0003: 871 Policies; Batch 20171229_1145: 898 Policies)"/>
    <s v=""/>
    <x v="11"/>
  </r>
  <r>
    <x v="1"/>
    <x v="26"/>
    <d v="2017-12-29T00:00:00"/>
    <s v="Fri"/>
    <d v="1899-12-30T13:00:00"/>
    <d v="1899-12-30T22:00:00"/>
    <n v="0"/>
    <n v="8"/>
    <n v="8"/>
    <s v="Normal Working Days before 10pm"/>
    <s v="Total: 1769 Policies (Batch 20171228_0003: 871 Policies; Batch 20171229_1145: 898 Policies)"/>
    <s v=""/>
    <x v="11"/>
  </r>
  <r>
    <x v="1"/>
    <x v="18"/>
    <d v="2017-12-29T00:00:00"/>
    <s v="Fri"/>
    <d v="1899-12-30T13:00:00"/>
    <d v="1899-12-30T22:00:00"/>
    <n v="0"/>
    <n v="8"/>
    <n v="8"/>
    <s v="Normal Working Days before 10pm"/>
    <s v="Total: 1769 Policies (Batch 20171228_0003: 871 Policies; Batch 20171229_1145: 898 Policies)"/>
    <s v=""/>
    <x v="11"/>
  </r>
  <r>
    <x v="0"/>
    <x v="0"/>
    <d v="2017-12-30T00:00:00"/>
    <s v="Sat"/>
    <d v="1899-12-30T15:00:00"/>
    <d v="1899-12-30T16:00:00"/>
    <n v="8.0000000000000036"/>
    <n v="1.0000000000000036"/>
    <n v="9.0000000000000071"/>
    <s v="Saturday/Sunday (Weekends) before 10pm"/>
    <s v="Total: 1635 Policies (Batch 20171229_1808: 891 Policies; Batch 20171229_2202: 744 Policies;)"/>
    <s v=""/>
    <x v="11"/>
  </r>
  <r>
    <x v="0"/>
    <x v="2"/>
    <d v="2017-12-30T00:00:00"/>
    <s v="Sat"/>
    <d v="1899-12-30T19:00:00"/>
    <d v="1899-12-30T23:00:00"/>
    <n v="8.0000000000000036"/>
    <n v="3.9999999999999822"/>
    <n v="11.999999999999986"/>
    <s v="Saturday/Sunday (Weekends) after 10pm"/>
    <s v="Total: 1635 Policies (Batch 20171229_1808: 891 Policies; Batch 20171229_2202: 744 Policies; Batch 20171230_0940: 526 Policies)"/>
    <n v="1"/>
    <x v="11"/>
  </r>
  <r>
    <x v="0"/>
    <x v="6"/>
    <d v="2017-12-30T00:00:00"/>
    <s v="Sat"/>
    <d v="1899-12-30T15:00:00"/>
    <d v="1899-12-30T16:00:00"/>
    <n v="8.0000000000000036"/>
    <n v="1.0000000000000036"/>
    <n v="9.0000000000000071"/>
    <s v="Saturday/Sunday (Weekends) before 10pm"/>
    <s v="Total: 1635 Policies (Batch 20171229_1808: 891 Policies; Batch 20171229_2202: 744 Policies; Batch 20171230_0940: 526 Policies)"/>
    <s v=""/>
    <x v="11"/>
  </r>
  <r>
    <x v="0"/>
    <x v="15"/>
    <d v="2017-12-30T00:00:00"/>
    <s v="Sat"/>
    <d v="1899-12-30T15:00:00"/>
    <d v="1899-12-30T16:00:00"/>
    <n v="8.0000000000000036"/>
    <n v="1.0000000000000036"/>
    <n v="9.0000000000000071"/>
    <s v="Saturday/Sunday (Weekends) before 10pm"/>
    <s v="Total: 1635 Policies (Batch 20171229_1808: 891 Policies; Batch 20171229_2202: 744 Policies; Batch 20171230_0940: 526 Policies)"/>
    <s v=""/>
    <x v="11"/>
  </r>
  <r>
    <x v="0"/>
    <x v="16"/>
    <d v="2017-12-30T00:00:00"/>
    <s v="Sat"/>
    <d v="1899-12-30T18:00:00"/>
    <d v="1899-12-30T23:00:00"/>
    <n v="8.0000000000000036"/>
    <n v="4.9999999999999893"/>
    <n v="12.999999999999993"/>
    <s v="Saturday/Sunday (Weekends) after 10pm"/>
    <s v="Total: 1635 Policies (Batch 20171229_1808: 891 Policies; Batch 20171229_2202: 744 Policies; Batch 20171230_0940: 526 Policies)"/>
    <n v="1"/>
    <x v="11"/>
  </r>
  <r>
    <x v="1"/>
    <x v="5"/>
    <d v="2017-12-30T00:00:00"/>
    <s v="Sat"/>
    <d v="1899-12-30T13:00:00"/>
    <d v="1899-12-30T22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1"/>
    <x v="19"/>
    <d v="2017-12-30T00:00:00"/>
    <s v="Sat"/>
    <d v="1899-12-30T07:00:00"/>
    <d v="1899-12-30T14:00:00"/>
    <n v="0"/>
    <n v="5.999999999999984"/>
    <n v="5.999999999999984"/>
    <s v="Saturday/Sunday (Weekends) before 10pm"/>
    <s v="Total: 1635 Policies (Batch 20171229_1808: 891 Policies; Batch 20171229_2202: 744 Policies; Batch 20171230_0940: 526 Policies)"/>
    <s v=""/>
    <x v="11"/>
  </r>
  <r>
    <x v="1"/>
    <x v="20"/>
    <d v="2017-12-30T00:00:00"/>
    <s v="Sat"/>
    <d v="1899-12-30T13:00:00"/>
    <d v="1899-12-30T22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1"/>
    <x v="7"/>
    <d v="2017-12-30T00:00:00"/>
    <s v="Sat"/>
    <d v="1899-12-30T13:00:00"/>
    <d v="1899-12-30T22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1"/>
    <x v="21"/>
    <d v="2017-12-30T00:00:00"/>
    <s v="Sat"/>
    <d v="1899-12-30T06:00:00"/>
    <d v="1899-12-30T15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1"/>
    <x v="22"/>
    <d v="2017-12-30T00:00:00"/>
    <s v="Sat"/>
    <d v="1899-12-30T13:00:00"/>
    <d v="1899-12-30T22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1"/>
    <x v="24"/>
    <d v="2017-12-30T00:00:00"/>
    <s v="Sat"/>
    <d v="1899-12-30T06:00:00"/>
    <d v="1899-12-30T15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1"/>
    <x v="18"/>
    <d v="2017-12-30T00:00:00"/>
    <s v="Sat"/>
    <d v="1899-12-30T13:00:00"/>
    <d v="1899-12-30T22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1"/>
    <x v="27"/>
    <d v="2017-12-30T00:00:00"/>
    <s v="Sat"/>
    <d v="1899-12-30T13:00:00"/>
    <d v="1899-12-30T22:00:00"/>
    <n v="0"/>
    <n v="8"/>
    <n v="8"/>
    <s v="Saturday/Sunday (Weekends) before 10pm"/>
    <s v="Total: 1635 Policies (Batch 20171229_1808: 891 Policies; Batch 20171229_2202: 744 Policies; Batch 20171230_0940: 526 Policies)"/>
    <s v=""/>
    <x v="11"/>
  </r>
  <r>
    <x v="0"/>
    <x v="0"/>
    <d v="2017-12-31T00:00:00"/>
    <s v="Sun"/>
    <d v="1899-12-30T11:00:00"/>
    <d v="1899-12-30T19:00:00"/>
    <s v=""/>
    <n v="7.000000000000016"/>
    <n v="7.000000000000016"/>
    <s v="Saturday/Sunday (Weekends) before 10pm"/>
    <s v="Total: 1998 Policies ( Batch 20171230_0940: 526 Policies; Batch 20171230_1429: 891 Policies; Batch 20171230_2025: 581 Policies)"/>
    <s v=""/>
    <x v="11"/>
  </r>
  <r>
    <x v="0"/>
    <x v="2"/>
    <d v="2017-12-31T00:00:00"/>
    <s v="Sun"/>
    <d v="1899-12-30T10:00:00"/>
    <d v="1899-12-30T19:00:00"/>
    <s v=""/>
    <n v="7.9999999999999982"/>
    <n v="7.9999999999999982"/>
    <s v="Saturday/Sunday (Weekends) before 10pm"/>
    <s v="Total: 1998 Policies ( Batch 20171230_0940: 526 Policies; Batch 20171230_1429: 891 Policies; Batch 20171230_2025: 581 Policies)"/>
    <s v=""/>
    <x v="11"/>
  </r>
  <r>
    <x v="0"/>
    <x v="6"/>
    <d v="2017-12-31T00:00:00"/>
    <s v="Sun"/>
    <d v="1899-12-30T06:00:00"/>
    <d v="1899-12-30T19:00:00"/>
    <s v=""/>
    <n v="12.000000000000007"/>
    <n v="12.000000000000007"/>
    <s v="Saturday/Sunday (Weekends) before 10pm"/>
    <s v="Total: 1998 Policies ( Batch 20171230_0940: 526 Policies; Batch 20171230_1429: 891 Policies; Batch 20171230_2025: 581 Policies)"/>
    <s v=""/>
    <x v="11"/>
  </r>
  <r>
    <x v="0"/>
    <x v="15"/>
    <d v="2017-12-31T00:00:00"/>
    <s v="Sun"/>
    <d v="1899-12-30T06:00:00"/>
    <d v="1899-12-30T19:00:00"/>
    <s v=""/>
    <n v="12.000000000000007"/>
    <n v="12.000000000000007"/>
    <s v="Saturday/Sunday (Weekends) before 10pm"/>
    <s v="Total: 1998 Policies ( Batch 20171230_0940: 526 Policies; Batch 20171230_1429: 891 Policies; Batch 20171230_2025: 581 Policies)"/>
    <s v=""/>
    <x v="11"/>
  </r>
  <r>
    <x v="0"/>
    <x v="16"/>
    <d v="2017-12-31T00:00:00"/>
    <s v="Sun"/>
    <d v="1899-12-30T09:00:00"/>
    <d v="1899-12-30T19:00:00"/>
    <s v=""/>
    <n v="9.0000000000000071"/>
    <n v="9.0000000000000071"/>
    <s v="Saturday/Sunday (Weekends) before 10pm"/>
    <s v="Total: 1998 Policies ( Batch 20171230_0940: 526 Policies; Batch 20171230_1429: 891 Policies; Batch 20171230_2025: 581 Policies)"/>
    <s v=""/>
    <x v="11"/>
  </r>
  <r>
    <x v="1"/>
    <x v="5"/>
    <d v="2017-12-31T00:00:00"/>
    <s v="Sun"/>
    <d v="1899-12-30T09:00:00"/>
    <d v="1899-12-30T19:00:00"/>
    <s v=""/>
    <n v="9.0000000000000071"/>
    <n v="9.0000000000000071"/>
    <s v="Saturday/Sunday (Weekends) before 10pm"/>
    <s v="Total: 1998 Policies ( Batch 20171230_0940: 526 Policies; Batch 20171230_1429: 891 Policies; Batch 20171230_2025: 581 Policies)"/>
    <s v=""/>
    <x v="11"/>
  </r>
  <r>
    <x v="1"/>
    <x v="19"/>
    <d v="2017-12-31T00:00:00"/>
    <s v="Sun"/>
    <d v="1899-12-30T07:30:00"/>
    <d v="1899-12-30T14:30:00"/>
    <s v=""/>
    <n v="6.0000000000000071"/>
    <n v="6.0000000000000071"/>
    <s v="Saturday/Sunday (Weekends) before 10pm"/>
    <s v="Total: 1998 Policies ( Batch 20171230_0940: 526 Policies; Batch 20171230_1429: 891 Policies; Batch 20171230_2025: 581 Policies)"/>
    <s v=""/>
    <x v="11"/>
  </r>
  <r>
    <x v="1"/>
    <x v="20"/>
    <d v="2017-12-31T00:00:00"/>
    <s v="Sun"/>
    <d v="1899-12-30T13:00:00"/>
    <d v="1899-12-30T19:00:00"/>
    <s v=""/>
    <n v="5"/>
    <n v="5"/>
    <s v="Saturday/Sunday (Weekends) before 10pm"/>
    <s v="Total: 1998 Policies ( Batch 20171230_0940: 526 Policies; Batch 20171230_1429: 891 Policies; Batch 20171230_2025: 581 Policies)"/>
    <s v=""/>
    <x v="11"/>
  </r>
  <r>
    <x v="1"/>
    <x v="7"/>
    <d v="2017-12-31T00:00:00"/>
    <s v="Sun"/>
    <d v="1899-12-30T06:00:00"/>
    <d v="1899-12-30T15:00:00"/>
    <s v=""/>
    <n v="8"/>
    <n v="8"/>
    <s v="Saturday/Sunday (Weekends) before 10pm"/>
    <s v="Total: 1998 Policies ( Batch 20171230_0940: 526 Policies; Batch 20171230_1429: 891 Policies; Batch 20171230_2025: 581 Policies)"/>
    <s v=""/>
    <x v="11"/>
  </r>
  <r>
    <x v="1"/>
    <x v="21"/>
    <d v="2017-12-31T00:00:00"/>
    <s v="Sun"/>
    <d v="1899-12-30T06:00:00"/>
    <d v="1899-12-30T15:00:00"/>
    <s v=""/>
    <n v="8"/>
    <n v="8"/>
    <s v="Saturday/Sunday (Weekends) before 10pm"/>
    <s v="Total: 1998 Policies ( Batch 20171230_0940: 526 Policies; Batch 20171230_1429: 891 Policies; Batch 20171230_2025: 581 Policies)"/>
    <s v=""/>
    <x v="11"/>
  </r>
  <r>
    <x v="1"/>
    <x v="22"/>
    <d v="2017-12-31T00:00:00"/>
    <s v="Sun"/>
    <d v="1899-12-30T13:00:00"/>
    <d v="1899-12-30T19:00:00"/>
    <s v=""/>
    <n v="5"/>
    <n v="5"/>
    <s v="Saturday/Sunday (Weekends) before 10pm"/>
    <s v="Total: 1998 Policies ( Batch 20171230_0940: 526 Policies; Batch 20171230_1429: 891 Policies; Batch 20171230_2025: 581 Policies)"/>
    <s v=""/>
    <x v="11"/>
  </r>
  <r>
    <x v="1"/>
    <x v="24"/>
    <d v="2017-12-31T00:00:00"/>
    <s v="Sun"/>
    <d v="1899-12-30T13:00:00"/>
    <d v="1899-12-30T19:00:00"/>
    <s v=""/>
    <n v="5"/>
    <n v="5"/>
    <s v="Saturday/Sunday (Weekends) before 10pm"/>
    <s v="Total: 1998 Policies ( Batch 20171230_0940: 526 Policies; Batch 20171230_1429: 891 Policies; Batch 20171230_2025: 581 Policies)"/>
    <s v=""/>
    <x v="11"/>
  </r>
  <r>
    <x v="1"/>
    <x v="18"/>
    <d v="2017-12-31T00:00:00"/>
    <s v="Sun"/>
    <d v="1899-12-30T13:00:00"/>
    <d v="1899-12-30T19:00:00"/>
    <s v=""/>
    <n v="5"/>
    <n v="5"/>
    <s v="Saturday/Sunday (Weekends) before 10pm"/>
    <s v="Total: 1998 Policies ( Batch 20171230_0940: 526 Policies; Batch 20171230_1429: 891 Policies; Batch 20171230_2025: 581 Policies)"/>
    <s v=""/>
    <x v="11"/>
  </r>
  <r>
    <x v="1"/>
    <x v="27"/>
    <d v="2017-12-31T00:00:00"/>
    <s v="Sun"/>
    <d v="1899-12-30T13:00:00"/>
    <d v="1899-12-30T19:00:00"/>
    <s v=""/>
    <n v="5"/>
    <n v="5"/>
    <s v="Saturday/Sunday (Weekends) before 10pm"/>
    <s v="Total: 1998 Policies ( Batch 20171230_0940: 526 Policies; Batch 20171230_1429: 891 Policies; Batch 20171230_2025: 581 Policies)"/>
    <s v=""/>
    <x v="11"/>
  </r>
  <r>
    <x v="0"/>
    <x v="0"/>
    <d v="2018-01-02T00:00:00"/>
    <s v="Tue"/>
    <d v="1899-12-30T22:00:00"/>
    <d v="1899-12-30T23:00:00"/>
    <n v="8.0000000000000036"/>
    <n v="0.99999999999998224"/>
    <n v="0.99999999999998224"/>
    <s v="Normal Working Days after 10pm"/>
    <s v="Total: 1817 Policies ( Batch 20171231_1033: 1817 Policies)"/>
    <s v=""/>
    <x v="12"/>
  </r>
  <r>
    <x v="0"/>
    <x v="2"/>
    <d v="2018-01-02T00:00:00"/>
    <s v="Tue"/>
    <d v="1899-12-30T15:00:00"/>
    <d v="1899-12-30T16:00:00"/>
    <n v="8.0000000000000036"/>
    <n v="1.0000000000000036"/>
    <n v="1.0000000000000036"/>
    <s v="Normal Working Days before 10pm"/>
    <s v="Total: 1817 Policies ( Batch 20171231_1033: 1817 Policies)"/>
    <s v=""/>
    <x v="12"/>
  </r>
  <r>
    <x v="0"/>
    <x v="6"/>
    <d v="2018-01-02T00:00:00"/>
    <s v="Tue"/>
    <d v="1899-12-30T22:00:00"/>
    <d v="1899-12-30T23:00:00"/>
    <n v="8.0000000000000036"/>
    <n v="0.99999999999998224"/>
    <n v="0.99999999999998224"/>
    <s v="Normal Working Days after 10pm"/>
    <s v="Total: 1817 Policies ( Batch 20171231_1033: 1817 Policies)"/>
    <s v=""/>
    <x v="12"/>
  </r>
  <r>
    <x v="0"/>
    <x v="16"/>
    <d v="2018-01-02T00:00:00"/>
    <s v="Tue"/>
    <d v="1899-12-30T15:00:00"/>
    <d v="1899-12-30T16:00:00"/>
    <n v="8.0000000000000036"/>
    <n v="1.0000000000000036"/>
    <n v="1.0000000000000036"/>
    <s v="Normal Working Days before 10pm"/>
    <s v="Total: 1817 Policies ( Batch 20171231_1033: 1817 Policies)"/>
    <s v=""/>
    <x v="12"/>
  </r>
  <r>
    <x v="1"/>
    <x v="5"/>
    <d v="2018-01-02T00:00:00"/>
    <s v="Tue"/>
    <d v="1899-12-30T06:00:00"/>
    <d v="1899-12-30T15:00:00"/>
    <n v="0"/>
    <n v="8"/>
    <n v="8"/>
    <s v="Normal Working Days before 10pm"/>
    <s v="Total: 1817 Policies ( Batch 20171231_1033: 1817 Policies)"/>
    <s v=""/>
    <x v="12"/>
  </r>
  <r>
    <x v="1"/>
    <x v="11"/>
    <d v="2018-01-02T00:00:00"/>
    <s v="Tue"/>
    <d v="1899-12-30T06:00:00"/>
    <d v="1899-12-30T14:00:00"/>
    <n v="0"/>
    <n v="7.9999999999999929"/>
    <n v="7.9999999999999929"/>
    <s v="Normal Working Days before 10pm"/>
    <s v="Total: 1817 Policies ( Batch 20171231_1033: 1817 Policies)"/>
    <s v=""/>
    <x v="12"/>
  </r>
  <r>
    <x v="1"/>
    <x v="19"/>
    <d v="2018-01-02T00:00:00"/>
    <s v="Tue"/>
    <d v="1899-12-30T06:00:00"/>
    <d v="1899-12-30T14:00:00"/>
    <n v="0"/>
    <n v="7.9999999999999929"/>
    <n v="7.9999999999999929"/>
    <s v="Normal Working Days before 10pm"/>
    <s v="Total: 1817 Policies ( Batch 20171231_1033: 1817 Policies)"/>
    <s v=""/>
    <x v="12"/>
  </r>
  <r>
    <x v="1"/>
    <x v="20"/>
    <d v="2018-01-02T00:00:00"/>
    <s v="Tue"/>
    <d v="1899-12-30T06:00:00"/>
    <d v="1899-12-30T14:00:00"/>
    <n v="0"/>
    <n v="7.9999999999999929"/>
    <n v="7.9999999999999929"/>
    <s v="Normal Working Days before 10pm"/>
    <s v="Total: 1817 Policies ( Batch 20171231_1033: 1817 Policies)"/>
    <s v=""/>
    <x v="12"/>
  </r>
  <r>
    <x v="1"/>
    <x v="7"/>
    <d v="2018-01-02T00:00:00"/>
    <s v="Tue"/>
    <d v="1899-12-30T13:00:00"/>
    <d v="1899-12-30T22:00:00"/>
    <n v="0"/>
    <n v="8"/>
    <n v="8"/>
    <s v="Normal Working Days before 10pm"/>
    <s v="Total: 1817 Policies ( Batch 20171231_1033: 1817 Policies)"/>
    <s v=""/>
    <x v="12"/>
  </r>
  <r>
    <x v="1"/>
    <x v="21"/>
    <d v="2018-01-02T00:00:00"/>
    <s v="Tue"/>
    <d v="1899-12-30T13:00:00"/>
    <d v="1899-12-30T22:00:00"/>
    <n v="0"/>
    <n v="8"/>
    <n v="8"/>
    <s v="Normal Working Days before 10pm"/>
    <s v="Total: 1817 Policies ( Batch 20171231_1033: 1817 Policies)"/>
    <s v=""/>
    <x v="12"/>
  </r>
  <r>
    <x v="1"/>
    <x v="22"/>
    <d v="2018-01-02T00:00:00"/>
    <s v="Tue"/>
    <d v="1899-12-30T13:00:00"/>
    <d v="1899-12-30T22:00:00"/>
    <n v="0"/>
    <n v="8"/>
    <n v="8"/>
    <s v="Normal Working Days before 10pm"/>
    <s v="Total: 1817 Policies ( Batch 20171231_1033: 1817 Policies)"/>
    <s v=""/>
    <x v="12"/>
  </r>
  <r>
    <x v="1"/>
    <x v="23"/>
    <d v="2018-01-02T00:00:00"/>
    <s v="Tue"/>
    <d v="1899-12-30T06:00:00"/>
    <d v="1899-12-30T13:00:00"/>
    <n v="0"/>
    <n v="7.0000000000000071"/>
    <n v="7.0000000000000071"/>
    <s v="Normal Working Days before 10pm"/>
    <s v="Total: 1817 Policies ( Batch 20171231_1033: 1817 Policies)"/>
    <s v=""/>
    <x v="12"/>
  </r>
  <r>
    <x v="1"/>
    <x v="24"/>
    <d v="2018-01-02T00:00:00"/>
    <s v="Tue"/>
    <d v="1899-12-30T06:00:00"/>
    <d v="1899-12-30T15:00:00"/>
    <n v="0"/>
    <n v="8"/>
    <n v="8"/>
    <s v="Normal Working Days before 10pm"/>
    <s v="Total: 1817 Policies ( Batch 20171231_1033: 1817 Policies)"/>
    <s v=""/>
    <x v="12"/>
  </r>
  <r>
    <x v="1"/>
    <x v="18"/>
    <d v="2018-01-02T00:00:00"/>
    <s v="Tue"/>
    <d v="1899-12-30T13:00:00"/>
    <d v="1899-12-30T22:00:00"/>
    <n v="0"/>
    <n v="8"/>
    <n v="8"/>
    <s v="Normal Working Days before 10pm"/>
    <s v="Total: 1817 Policies ( Batch 20171231_1033: 1817 Policies)"/>
    <s v=""/>
    <x v="12"/>
  </r>
  <r>
    <x v="1"/>
    <x v="27"/>
    <d v="2018-01-02T00:00:00"/>
    <s v="Tue"/>
    <d v="1899-12-30T13:00:00"/>
    <d v="1899-12-30T17:00:00"/>
    <n v="0"/>
    <n v="3.9999999999999858"/>
    <n v="3.9999999999999858"/>
    <s v="Normal Working Days before 10pm"/>
    <s v="Total: 1817 Policies ( Batch 20171231_1033: 1817 Policies)"/>
    <s v=""/>
    <x v="12"/>
  </r>
  <r>
    <x v="0"/>
    <x v="0"/>
    <d v="2018-01-03T00:00:00"/>
    <s v="Wed"/>
    <d v="1899-12-30T22:00:00"/>
    <d v="1899-12-30T23:00:00"/>
    <n v="8.0000000000000036"/>
    <n v="0.99999999999998224"/>
    <n v="0.99999999999998224"/>
    <s v="Normal Working Days after 10pm"/>
    <s v="Total: 2626 Policies ( Batch 20171231_0723: 2626 Policies)"/>
    <s v=""/>
    <x v="12"/>
  </r>
  <r>
    <x v="0"/>
    <x v="2"/>
    <d v="2018-01-03T00:00:00"/>
    <s v="Wed"/>
    <d v="1899-12-30T15:00:00"/>
    <d v="1899-12-30T16:00:00"/>
    <n v="8.0000000000000036"/>
    <n v="1.0000000000000036"/>
    <n v="1.0000000000000036"/>
    <s v="Normal Working Days before 10pm"/>
    <s v="Total: 2626 Policies ( Batch 20171231_0723: 2626 Policies)"/>
    <s v=""/>
    <x v="12"/>
  </r>
  <r>
    <x v="0"/>
    <x v="6"/>
    <d v="2018-01-03T00:00:00"/>
    <s v="Wed"/>
    <d v="1899-12-30T22:00:00"/>
    <d v="1899-12-30T23:00:00"/>
    <n v="8.0000000000000036"/>
    <n v="0.99999999999998224"/>
    <n v="0.99999999999998224"/>
    <s v="Normal Working Days after 10pm"/>
    <s v="Total: 2626 Policies ( Batch 20171231_0723: 2626 Policies)"/>
    <s v=""/>
    <x v="12"/>
  </r>
  <r>
    <x v="0"/>
    <x v="16"/>
    <d v="2018-01-03T00:00:00"/>
    <s v="Wed"/>
    <d v="1899-12-30T15:00:00"/>
    <d v="1899-12-30T16:00:00"/>
    <n v="8.0000000000000036"/>
    <n v="1.0000000000000036"/>
    <n v="1.0000000000000036"/>
    <s v="Normal Working Days before 10pm"/>
    <s v="Total: 2626 Policies ( Batch 20171231_0723: 2626 Policies)"/>
    <s v=""/>
    <x v="12"/>
  </r>
  <r>
    <x v="1"/>
    <x v="5"/>
    <d v="2018-01-03T00:00:00"/>
    <s v="Wed"/>
    <d v="1899-12-30T06:00:00"/>
    <d v="1899-12-30T15:00:00"/>
    <n v="0"/>
    <n v="8"/>
    <n v="8"/>
    <s v="Normal Working Days before 10pm"/>
    <s v="Total: 2626 Policies ( Batch 20171231_0723: 2626 Policies)"/>
    <s v=""/>
    <x v="12"/>
  </r>
  <r>
    <x v="1"/>
    <x v="11"/>
    <d v="2018-01-03T00:00:00"/>
    <s v="Wed"/>
    <d v="1899-12-30T06:00:00"/>
    <d v="1899-12-30T11:00:00"/>
    <n v="0"/>
    <n v="4.9999999999999911"/>
    <n v="4.9999999999999911"/>
    <s v="Normal Working Days before 10pm"/>
    <s v="Total: 2626 Policies ( Batch 20171231_0723: 2626 Policies)"/>
    <s v=""/>
    <x v="12"/>
  </r>
  <r>
    <x v="1"/>
    <x v="12"/>
    <d v="2018-01-03T00:00:00"/>
    <s v="Wed"/>
    <d v="1899-12-30T06:00:00"/>
    <d v="1899-12-30T14:00:00"/>
    <n v="0"/>
    <n v="7.9999999999999929"/>
    <n v="7.9999999999999929"/>
    <s v="Normal Working Days before 10pm"/>
    <s v="Total: 2626 Policies ( Batch 20171231_0723: 2626 Policies)"/>
    <s v=""/>
    <x v="12"/>
  </r>
  <r>
    <x v="1"/>
    <x v="19"/>
    <d v="2018-01-03T00:00:00"/>
    <s v="Wed"/>
    <d v="1899-12-30T06:00:00"/>
    <d v="1899-12-30T13:00:00"/>
    <n v="0"/>
    <n v="7.0000000000000071"/>
    <n v="7.0000000000000071"/>
    <s v="Normal Working Days before 10pm"/>
    <s v="Total: 2626 Policies ( Batch 20171231_0723: 2626 Policies)"/>
    <s v=""/>
    <x v="12"/>
  </r>
  <r>
    <x v="1"/>
    <x v="20"/>
    <d v="2018-01-03T00:00:00"/>
    <s v="Wed"/>
    <d v="1899-12-30T06:00:00"/>
    <d v="1899-12-30T15:00:00"/>
    <n v="0"/>
    <n v="8"/>
    <n v="8"/>
    <s v="Normal Working Days before 10pm"/>
    <s v="Total: 2626 Policies ( Batch 20171231_0723: 2626 Policies)"/>
    <s v=""/>
    <x v="12"/>
  </r>
  <r>
    <x v="1"/>
    <x v="7"/>
    <d v="2018-01-03T00:00:00"/>
    <s v="Wed"/>
    <d v="1899-12-30T06:00:00"/>
    <d v="1899-12-30T15:00:00"/>
    <n v="0"/>
    <n v="8"/>
    <n v="8"/>
    <s v="Normal Working Days before 10pm"/>
    <s v="Total: 2626 Policies ( Batch 20171231_0723: 2626 Policies)"/>
    <s v=""/>
    <x v="12"/>
  </r>
  <r>
    <x v="1"/>
    <x v="21"/>
    <d v="2018-01-03T00:00:00"/>
    <s v="Wed"/>
    <d v="1899-12-30T13:00:00"/>
    <d v="1899-12-30T22:00:00"/>
    <n v="0"/>
    <n v="8"/>
    <n v="8"/>
    <s v="Normal Working Days before 10pm"/>
    <s v="Total: 2626 Policies ( Batch 20171231_0723: 2626 Policies)"/>
    <s v=""/>
    <x v="12"/>
  </r>
  <r>
    <x v="1"/>
    <x v="22"/>
    <d v="2018-01-03T00:00:00"/>
    <s v="Wed"/>
    <d v="1899-12-30T13:00:00"/>
    <d v="1899-12-30T22:00:00"/>
    <n v="0"/>
    <n v="8"/>
    <n v="8"/>
    <s v="Normal Working Days before 10pm"/>
    <s v="Total: 2626 Policies ( Batch 20171231_0723: 2626 Policies)"/>
    <s v=""/>
    <x v="12"/>
  </r>
  <r>
    <x v="1"/>
    <x v="24"/>
    <d v="2018-01-03T00:00:00"/>
    <s v="Wed"/>
    <d v="1899-12-30T13:00:00"/>
    <d v="1899-12-30T21:00:00"/>
    <n v="0"/>
    <n v="7.9999999999999929"/>
    <n v="7.9999999999999929"/>
    <s v="Normal Working Days before 10pm"/>
    <s v="Total: 2626 Policies ( Batch 20171231_0723: 2626 Policies)"/>
    <s v=""/>
    <x v="12"/>
  </r>
  <r>
    <x v="1"/>
    <x v="18"/>
    <d v="2018-01-03T00:00:00"/>
    <s v="Wed"/>
    <d v="1899-12-30T13:00:00"/>
    <d v="1899-12-30T22:00:00"/>
    <n v="0"/>
    <n v="8"/>
    <n v="8"/>
    <s v="Normal Working Days before 10pm"/>
    <s v="Total: 2626 Policies ( Batch 20171231_0723: 2626 Policies)"/>
    <s v=""/>
    <x v="12"/>
  </r>
  <r>
    <x v="0"/>
    <x v="2"/>
    <d v="2018-01-04T00:00:00"/>
    <s v="Thu"/>
    <d v="1899-12-30T15:00:00"/>
    <d v="1899-12-30T16:00:00"/>
    <n v="8.0000000000000036"/>
    <n v="1.0000000000000036"/>
    <n v="1.0000000000000036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0"/>
    <x v="6"/>
    <d v="2018-01-04T00:00:00"/>
    <s v="Thu"/>
    <d v="1899-12-30T21:00:00"/>
    <d v="1899-12-30T22:00:00"/>
    <n v="8.0000000000000036"/>
    <n v="1.0000000000000036"/>
    <n v="1.0000000000000036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0"/>
    <x v="15"/>
    <d v="2018-01-04T00:00:00"/>
    <s v="Thu"/>
    <d v="1899-12-30T15:00:00"/>
    <d v="1899-12-30T17:00:00"/>
    <n v="8.0000000000000036"/>
    <n v="1.9999999999999893"/>
    <n v="1.9999999999999893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5"/>
    <d v="2018-01-04T00:00:00"/>
    <s v="Thu"/>
    <d v="1899-12-30T13:00:00"/>
    <d v="1899-12-30T22:00:00"/>
    <n v="0"/>
    <n v="8"/>
    <n v="8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11"/>
    <d v="2018-01-04T00:00:00"/>
    <s v="Thu"/>
    <d v="1899-12-30T07:00:00"/>
    <d v="1899-12-30T14:00:00"/>
    <n v="0"/>
    <n v="6.999999999999984"/>
    <n v="6.999999999999984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12"/>
    <d v="2018-01-04T00:00:00"/>
    <s v="Thu"/>
    <d v="1899-12-30T13:00:00"/>
    <d v="1899-12-30T22:00:00"/>
    <n v="0"/>
    <n v="8"/>
    <n v="8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19"/>
    <d v="2018-01-04T00:00:00"/>
    <s v="Thu"/>
    <d v="1899-12-30T06:30:00"/>
    <d v="1899-12-30T10:00:00"/>
    <n v="0"/>
    <n v="3.5000000000000169"/>
    <n v="3.5000000000000169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20"/>
    <d v="2018-01-04T00:00:00"/>
    <s v="Thu"/>
    <d v="1899-12-30T06:00:00"/>
    <d v="1899-12-30T14:00:00"/>
    <n v="0"/>
    <n v="7.9999999999999929"/>
    <n v="7.9999999999999929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7"/>
    <d v="2018-01-04T00:00:00"/>
    <s v="Thu"/>
    <d v="1899-12-30T06:00:00"/>
    <d v="1899-12-30T14:00:00"/>
    <n v="0"/>
    <n v="7.9999999999999929"/>
    <n v="7.9999999999999929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21"/>
    <d v="2018-01-04T00:00:00"/>
    <s v="Thu"/>
    <d v="1899-12-30T13:00:00"/>
    <d v="1899-12-30T22:00:00"/>
    <n v="0"/>
    <n v="8"/>
    <n v="8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22"/>
    <d v="2018-01-04T00:00:00"/>
    <s v="Thu"/>
    <d v="1899-12-30T13:00:00"/>
    <d v="1899-12-30T22:00:00"/>
    <n v="0"/>
    <n v="8"/>
    <n v="8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25"/>
    <d v="2018-01-04T00:00:00"/>
    <s v="Thu"/>
    <d v="1899-12-30T06:00:00"/>
    <d v="1899-12-30T15:00:00"/>
    <n v="0"/>
    <n v="8"/>
    <n v="8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26"/>
    <d v="2018-01-04T00:00:00"/>
    <s v="Thu"/>
    <d v="1899-12-30T06:00:00"/>
    <d v="1899-12-30T15:00:00"/>
    <n v="0"/>
    <n v="8"/>
    <n v="8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1"/>
    <x v="27"/>
    <d v="2018-01-04T00:00:00"/>
    <s v="Thu"/>
    <d v="1899-12-30T13:00:00"/>
    <d v="1899-12-30T22:00:00"/>
    <n v="0"/>
    <n v="8"/>
    <n v="8"/>
    <s v="Normal Working Days before 10pm"/>
    <s v="Total: 2392 Policies ( Batch 20180102_0902: 1156 Policies, Batch 20180102_1723: 342 Policies, Batch 20180102_2337: 85 Policies, Batch 20180103_1109: 285 Policies, Batch 20180103_1450: 74 Policies, Batch 20180103_2224: 450 Policies)"/>
    <s v=""/>
    <x v="12"/>
  </r>
  <r>
    <x v="0"/>
    <x v="0"/>
    <d v="2018-01-05T00:00:00"/>
    <s v="Fri"/>
    <d v="1899-12-30T15:00:00"/>
    <d v="1899-12-30T17:30:00"/>
    <n v="8.0000000000000036"/>
    <n v="2.5000000000000036"/>
    <n v="2.5000000000000036"/>
    <s v="Normal Working Days before 10pm"/>
    <s v="Total: 625 Policies (Batch 20180104_1100: 154 Policies, Batch 20180104_1420: 111 Policies, Batch 20180104_2300: 360 Policies)"/>
    <n v="1"/>
    <x v="12"/>
  </r>
  <r>
    <x v="0"/>
    <x v="2"/>
    <d v="2018-01-05T00:00:00"/>
    <s v="Fri"/>
    <d v="1899-12-30T15:00:00"/>
    <d v="1899-12-30T17:30:00"/>
    <n v="8.0000000000000036"/>
    <n v="2.5000000000000036"/>
    <n v="2.5000000000000036"/>
    <s v="Normal Working Days before 10pm"/>
    <s v="Total: 625 Policies (Batch 20180104_1100: 154 Policies, Batch 20180104_1420: 111 Policies, Batch 20180104_2300: 360 Policies)"/>
    <n v="1"/>
    <x v="12"/>
  </r>
  <r>
    <x v="0"/>
    <x v="6"/>
    <d v="2018-01-05T00:00:00"/>
    <s v="Fri"/>
    <d v="1899-12-30T15:00:00"/>
    <d v="1899-12-30T17:30:00"/>
    <n v="8.0000000000000036"/>
    <n v="2.5000000000000036"/>
    <n v="2.5000000000000036"/>
    <s v="Normal Working Days before 10pm"/>
    <s v="Total: 625 Policies (Batch 20180104_1100: 154 Policies, Batch 20180104_1420: 111 Policies, Batch 20180104_2300: 360 Policies)"/>
    <n v="1"/>
    <x v="12"/>
  </r>
  <r>
    <x v="0"/>
    <x v="15"/>
    <d v="2018-01-05T00:00:00"/>
    <s v="Fri"/>
    <d v="1899-12-30T15:00:00"/>
    <d v="1899-12-30T17:30:00"/>
    <n v="8.0000000000000036"/>
    <n v="2.5000000000000036"/>
    <n v="2.5000000000000036"/>
    <s v="Normal Working Days before 10pm"/>
    <s v="Total: 625 Policies (Batch 20180104_1100: 154 Policies, Batch 20180104_1420: 111 Policies, Batch 20180104_2300: 360 Policies)"/>
    <n v="1"/>
    <x v="12"/>
  </r>
  <r>
    <x v="1"/>
    <x v="5"/>
    <d v="2018-01-05T00:00:00"/>
    <s v="Fri"/>
    <d v="1899-12-30T06:00:00"/>
    <d v="1899-12-30T17:00:00"/>
    <n v="0"/>
    <n v="9.9999999999999929"/>
    <n v="9.9999999999999929"/>
    <s v="Normal Working Days before 10pm"/>
    <s v="Total: 625 Policies (Batch 20180104_1100: 154 Policies, Batch 20180104_1420: 111 Policies, Batch 20180104_2300: 360 Policies)"/>
    <s v=""/>
    <x v="12"/>
  </r>
  <r>
    <x v="1"/>
    <x v="11"/>
    <d v="2018-01-05T00:00:00"/>
    <s v="Fri"/>
    <d v="1899-12-30T06:00:00"/>
    <d v="1899-12-30T12:30:00"/>
    <n v="0"/>
    <n v="6.4999999999999929"/>
    <n v="6.4999999999999929"/>
    <s v="Normal Working Days before 10pm"/>
    <s v="Total: 625 Policies (Batch 20180104_1100: 154 Policies, Batch 20180104_1420: 111 Policies, Batch 20180104_2300: 360 Policies)"/>
    <s v=""/>
    <x v="12"/>
  </r>
  <r>
    <x v="1"/>
    <x v="21"/>
    <d v="2018-01-05T00:00:00"/>
    <s v="Fri"/>
    <d v="1899-12-30T06:00:00"/>
    <d v="1899-12-30T16:30:00"/>
    <n v="0"/>
    <n v="9.5"/>
    <n v="9.5"/>
    <s v="Normal Working Days before 10pm"/>
    <s v="Total: 625 Policies (Batch 20180104_1100: 154 Policies, Batch 20180104_1420: 111 Policies, Batch 20180104_2300: 360 Policies)"/>
    <s v=""/>
    <x v="12"/>
  </r>
  <r>
    <x v="1"/>
    <x v="22"/>
    <d v="2018-01-05T00:00:00"/>
    <s v="Fri"/>
    <d v="1899-12-30T06:00:00"/>
    <d v="1899-12-30T16:30:00"/>
    <n v="0"/>
    <n v="9.5"/>
    <n v="9.5"/>
    <s v="Normal Working Days before 10pm"/>
    <s v="Total: 625 Policies (Batch 20180104_1100: 154 Policies, Batch 20180104_1420: 111 Policies, Batch 20180104_2300: 360 Policies)"/>
    <s v=""/>
    <x v="12"/>
  </r>
  <r>
    <x v="1"/>
    <x v="27"/>
    <d v="2018-01-05T00:00:00"/>
    <s v="Fri"/>
    <d v="1899-12-30T08:30:00"/>
    <d v="1899-12-30T16:30:00"/>
    <n v="0"/>
    <n v="6.9999999999999911"/>
    <n v="6.9999999999999911"/>
    <s v="Normal Working Days before 10pm"/>
    <s v="Total: 625 Policies (Batch 20180104_1100: 154 Policies, Batch 20180104_1420: 111 Policies, Batch 20180104_2300: 360 Policies)"/>
    <s v=""/>
    <x v="12"/>
  </r>
  <r>
    <x v="1"/>
    <x v="5"/>
    <d v="2018-01-08T00:00:00"/>
    <s v="Mon"/>
    <d v="1899-12-30T08:30:00"/>
    <d v="1899-12-30T17:30:00"/>
    <n v="0"/>
    <n v="7.9999999999999982"/>
    <n v="7.9999999999999982"/>
    <s v="Normal Working Days before 10pm"/>
    <s v="Total: 447 Policies (Batch 20180105_1102: 60 Policies, Batch 20180106_1422: 91 Policies, Batch 20180108_1058: 20 Policies, Batch 20180108_1059: 22 Policies, Batch 20180108_1100: 23 Policies)"/>
    <s v=""/>
    <x v="12"/>
  </r>
  <r>
    <x v="1"/>
    <x v="5"/>
    <d v="2018-01-09T00:00:00"/>
    <s v="Tue"/>
    <d v="1899-12-30T08:30:00"/>
    <d v="1899-12-30T17:30:00"/>
    <n v="0"/>
    <n v="7.9999999999999982"/>
    <n v="7.9999999999999982"/>
    <s v="Normal Working Days before 10pm"/>
    <s v="Total: 458 Policies (Batch 20180108_1431: 146 Policies, Batch 20180108_2354: 233 Policies, Batch 20180109_1052: 79 Policies)"/>
    <s v=""/>
    <x v="12"/>
  </r>
  <r>
    <x v="1"/>
    <x v="5"/>
    <d v="2018-01-10T00:00:00"/>
    <s v="Wed"/>
    <d v="1899-12-30T08:30:00"/>
    <d v="1899-12-30T17:30:00"/>
    <n v="0"/>
    <n v="7.9999999999999982"/>
    <n v="7.9999999999999982"/>
    <s v="Normal Working Days before 10pm"/>
    <s v="Total: 490 Policies (Batch 20180109_1440: 177 Policies,Batch 20180109_0012: 237 Policies, Batch 20180110_1117: 76 Policies)"/>
    <s v=""/>
    <x v="12"/>
  </r>
  <r>
    <x v="1"/>
    <x v="5"/>
    <d v="2018-01-11T00:00:00"/>
    <s v="Thu"/>
    <d v="1899-12-30T08:30:00"/>
    <d v="1899-12-30T17:30:00"/>
    <n v="0"/>
    <n v="7.9999999999999982"/>
    <n v="7.9999999999999982"/>
    <s v="Normal Working Days before 10pm"/>
    <s v="Total: 328 Policies (Batch 20180110_1431: 78 Policies, Batch 20180110_2238: 166 Policies, Batch 20180111_1051: 84 Policies)"/>
    <s v=""/>
    <x v="12"/>
  </r>
  <r>
    <x v="1"/>
    <x v="7"/>
    <d v="2018-01-11T00:00:00"/>
    <s v="Thu"/>
    <d v="1899-12-30T08:30:00"/>
    <d v="1899-12-30T17:30:00"/>
    <n v="0"/>
    <n v="7.9999999999999982"/>
    <n v="7.9999999999999982"/>
    <s v="Normal Working Days before 10pm"/>
    <s v="Total: 328 Policies (Batch 20180110_1431: 78 Policies, Batch 20180110_2238: 166 Policies, Batch 20180111_1051: 84 Policies)"/>
    <s v=""/>
    <x v="12"/>
  </r>
  <r>
    <x v="1"/>
    <x v="5"/>
    <d v="2018-01-12T00:00:00"/>
    <s v="Fri"/>
    <d v="1899-12-30T08:30:00"/>
    <d v="1899-12-30T17:30:00"/>
    <n v="0"/>
    <n v="7.9999999999999982"/>
    <n v="7.9999999999999982"/>
    <s v="Normal Working Days before 10pm"/>
    <s v="Total: 451 Policies (Batch 20180111_1434: 107 Policies, Batch 20180111_2310: 241 Policies, Batch 20180112_1053: 103 Policies)"/>
    <s v=""/>
    <x v="12"/>
  </r>
  <r>
    <x v="1"/>
    <x v="5"/>
    <d v="2018-01-15T00:00:00"/>
    <s v="Mon"/>
    <d v="1899-12-30T08:30:00"/>
    <d v="1899-12-30T17:30:00"/>
    <n v="0"/>
    <n v="7.9999999999999982"/>
    <n v="7.9999999999999982"/>
    <s v="Normal Working Days before 10pm"/>
    <s v="Total: 308 Policies (Batch 20180112_1433: 116 Policies,Batch 20180112_2339: 27 Policies, Batch 20180115_1045: 90 Policies, Batch 20180115_1433: 75 Policies)"/>
    <s v=""/>
    <x v="12"/>
  </r>
  <r>
    <x v="1"/>
    <x v="5"/>
    <d v="2018-01-16T00:00:00"/>
    <s v="Tue"/>
    <d v="1899-12-30T08:30:00"/>
    <d v="1899-12-30T17:30:00"/>
    <n v="0"/>
    <n v="7.9999999999999982"/>
    <n v="7.9999999999999982"/>
    <s v="Normal Working Days before 10pm"/>
    <s v="Total: 572 Policies (Batch 20180115_2329: 290 Policies; Batch 20180116_1117: 282 Policies)"/>
    <s v=""/>
    <x v="12"/>
  </r>
  <r>
    <x v="1"/>
    <x v="5"/>
    <d v="2018-01-17T00:00:00"/>
    <s v="Wed"/>
    <d v="1899-12-30T08:30:00"/>
    <d v="1899-12-30T17:30:00"/>
    <n v="0"/>
    <n v="7.9999999999999982"/>
    <n v="7.9999999999999982"/>
    <s v="Normal Working Days before 10pm"/>
    <s v="Total: 732 Policies (Batch 20180116_1439: 103 Policies; Batch 20180116_2321 : 357 Policies; Batch 20180117_1100 :107 Policies; Batch 20180117_1420: 165 Policies)"/>
    <s v=""/>
    <x v="12"/>
  </r>
  <r>
    <x v="1"/>
    <x v="7"/>
    <d v="2018-01-17T00:00:00"/>
    <s v="Wed"/>
    <d v="1899-12-30T10:00:00"/>
    <d v="1899-12-30T16:00:00"/>
    <n v="0"/>
    <n v="4.9999999999999982"/>
    <n v="4.9999999999999982"/>
    <s v="Normal Working Days before 10pm"/>
    <s v="Total: 732 Policies (Batch 20180116_1439: 103 Policies; Batch 20180116_2321 : 357 Policies; Batch 20180117_1100 :107 Policies; Batch 20180117_1420: 165 Policies)"/>
    <s v=""/>
    <x v="12"/>
  </r>
  <r>
    <x v="1"/>
    <x v="5"/>
    <d v="2018-01-18T00:00:00"/>
    <s v="Thu"/>
    <d v="1899-12-30T08:30:00"/>
    <d v="1899-12-30T17:30:00"/>
    <n v="0"/>
    <n v="7.9999999999999982"/>
    <n v="7.9999999999999982"/>
    <s v="Normal Working Days before 10pm"/>
    <s v="Total: 535 Policies (Batch 20180117_2359 : 342Policies, Batch 20180118_1128 : 141 Policies; 20180118_1429: 52 Policies)"/>
    <s v=""/>
    <x v="12"/>
  </r>
  <r>
    <x v="1"/>
    <x v="22"/>
    <d v="2018-01-18T00:00:00"/>
    <s v="Thu"/>
    <d v="1899-12-30T08:30:00"/>
    <d v="1899-12-30T17:30:00"/>
    <n v="0"/>
    <n v="7.9999999999999982"/>
    <n v="7.9999999999999982"/>
    <s v="Normal Working Days before 10pm"/>
    <s v="Total: 535 Policies (Batch 20180117_2359 : 342Policies, Batch 20180118_1128 : 141 Policies; 20180118_1429: 52 Policies)"/>
    <s v=""/>
    <x v="12"/>
  </r>
  <r>
    <x v="1"/>
    <x v="5"/>
    <d v="2018-01-19T00:00:00"/>
    <s v="Fri"/>
    <d v="1899-12-30T08:30:00"/>
    <d v="1899-12-30T17:30:00"/>
    <n v="0"/>
    <n v="7.9999999999999982"/>
    <n v="7.9999999999999982"/>
    <s v="Normal Working Days before 10pm"/>
    <s v="Total: 486 Policies (Batch 20180118_0052: 159 Policies, Batch 20180118_0005: 124 Policies, Batch 20180119_1113: 85 Policies, Batch 20180119_1434: 118 Policies)"/>
    <s v=""/>
    <x v="12"/>
  </r>
  <r>
    <x v="1"/>
    <x v="12"/>
    <d v="2018-01-19T00:00:00"/>
    <s v="Fri"/>
    <d v="1899-12-30T08:30:00"/>
    <d v="1899-12-30T17:30:00"/>
    <n v="0"/>
    <n v="7.9999999999999982"/>
    <n v="7.9999999999999982"/>
    <s v="Normal Working Days before 10pm"/>
    <s v="Total: 486 Policies (Batch 20180118_0052: 159 Policies, Batch 20180118_0005: 124 Policies, Batch 20180119_1113: 85 Policies, Batch 20180119_1434: 118 Policies)"/>
    <s v=""/>
    <x v="12"/>
  </r>
  <r>
    <x v="1"/>
    <x v="22"/>
    <d v="2018-01-19T00:00:00"/>
    <s v="Fri"/>
    <d v="1899-12-30T08:30:00"/>
    <d v="1899-12-30T17:30:00"/>
    <n v="0"/>
    <n v="7.9999999999999982"/>
    <n v="7.9999999999999982"/>
    <s v="Normal Working Days before 10pm"/>
    <s v="Total: 486 Policies (Batch 20180118_0052: 159 Policies, Batch 20180118_0005: 124 Policies, Batch 20180119_1113: 85 Policies, Batch 20180119_1434: 118 Policies)"/>
    <s v=""/>
    <x v="12"/>
  </r>
  <r>
    <x v="1"/>
    <x v="5"/>
    <d v="2018-01-22T00:00:00"/>
    <s v="Mon"/>
    <d v="1899-12-30T08:30:00"/>
    <d v="1899-12-30T17:30:00"/>
    <n v="0"/>
    <n v="7.9999999999999982"/>
    <n v="7.9999999999999982"/>
    <s v="Normal Working Days before 10pm"/>
    <s v="Total: 413 Policies (Batch 20180119_2355: 356 Policies, Batch 20180122_1108: 57 Policies)"/>
    <s v=""/>
    <x v="12"/>
  </r>
  <r>
    <x v="1"/>
    <x v="22"/>
    <d v="2018-01-22T00:00:00"/>
    <s v="Mon"/>
    <d v="1899-12-30T08:30:00"/>
    <d v="1899-12-30T17:30:00"/>
    <n v="0"/>
    <n v="7.9999999999999982"/>
    <n v="7.9999999999999982"/>
    <s v="Normal Working Days before 10pm"/>
    <s v="Total: 413 Policies (Batch 20180119_2355: 356 Policies, Batch 20180122_1108: 57 Policies)"/>
    <s v=""/>
    <x v="12"/>
  </r>
  <r>
    <x v="1"/>
    <x v="23"/>
    <d v="2018-01-22T00:00:00"/>
    <s v="Mon"/>
    <d v="1899-12-30T08:30:00"/>
    <d v="1899-12-30T17:30:00"/>
    <n v="0"/>
    <n v="7.9999999999999982"/>
    <n v="7.9999999999999982"/>
    <s v="Normal Working Days before 10pm"/>
    <s v="Total: 413 Policies (Batch 20180119_2355: 356 Policies, Batch 20180122_1108: 57 Policies)"/>
    <s v=""/>
    <x v="12"/>
  </r>
  <r>
    <x v="1"/>
    <x v="5"/>
    <d v="2018-01-23T00:00:00"/>
    <s v="Tue"/>
    <d v="1899-12-30T08:30:00"/>
    <d v="1899-12-30T17:30:00"/>
    <n v="0"/>
    <n v="7.9999999999999982"/>
    <n v="7.9999999999999982"/>
    <s v="Normal Working Days before 10pm"/>
    <s v="Total: 635 Policies (Batch 20180122_1537: 201 Policies, Batch 20180122_2322: 314 Policies, Batch 20180123_1104: 120 Policies)"/>
    <s v=""/>
    <x v="12"/>
  </r>
  <r>
    <x v="1"/>
    <x v="22"/>
    <d v="2018-01-23T00:00:00"/>
    <s v="Tue"/>
    <d v="1899-12-30T08:30:00"/>
    <d v="1899-12-30T17:30:00"/>
    <n v="0"/>
    <n v="7.9999999999999982"/>
    <n v="7.9999999999999982"/>
    <s v="Normal Working Days before 10pm"/>
    <s v="Total: 635 Policies (Batch 20180122_1537: 201 Policies, Batch 20180122_2322: 314 Policies, Batch 20180123_1104: 120 Policies)"/>
    <s v=""/>
    <x v="12"/>
  </r>
  <r>
    <x v="0"/>
    <x v="0"/>
    <d v="2018-01-24T00:00:00"/>
    <s v="Wed"/>
    <d v="1899-12-30T17:30:00"/>
    <d v="1899-12-30T20:30:00"/>
    <n v="8.0000000000000036"/>
    <n v="2.9999999999999947"/>
    <n v="2.9999999999999947"/>
    <s v="Normal Working Days before 10pm"/>
    <s v="Total: 1112 Policies (Batch 20180123_1427: 264 Policies, Batch 20180123_2250: 450 Policies, Batch 20180124_1130: 192 Policies)"/>
    <n v="1"/>
    <x v="12"/>
  </r>
  <r>
    <x v="0"/>
    <x v="2"/>
    <d v="2018-01-24T00:00:00"/>
    <s v="Wed"/>
    <d v="1899-12-30T17:30:00"/>
    <d v="1899-12-30T20:30:00"/>
    <n v="8.0000000000000036"/>
    <n v="2.9999999999999947"/>
    <n v="2.9999999999999947"/>
    <s v="Normal Working Days before 10pm"/>
    <s v="Total: 1112 Policies (Batch 20180123_1427: 264 Policies, Batch 20180123_2250: 450 Policies, Batch 20180124_1130: 192 Policies)"/>
    <n v="1"/>
    <x v="12"/>
  </r>
  <r>
    <x v="0"/>
    <x v="6"/>
    <d v="2018-01-24T00:00:00"/>
    <s v="Wed"/>
    <d v="1899-12-30T17:30:00"/>
    <d v="1899-12-30T20:30:00"/>
    <n v="8.0000000000000036"/>
    <n v="2.9999999999999947"/>
    <n v="2.9999999999999947"/>
    <s v="Normal Working Days before 10pm"/>
    <s v="Total: 1112 Policies (Batch 20180123_1427: 264 Policies, Batch 20180123_2250: 450 Policies, Batch 20180124_1130: 192 Policies)"/>
    <n v="1"/>
    <x v="12"/>
  </r>
  <r>
    <x v="0"/>
    <x v="16"/>
    <d v="2018-01-24T00:00:00"/>
    <s v="Wed"/>
    <d v="1899-12-30T17:30:00"/>
    <d v="1899-12-30T20:00:00"/>
    <n v="8.0000000000000036"/>
    <n v="2.4999999999999805"/>
    <n v="2.4999999999999805"/>
    <s v="Normal Working Days before 10pm"/>
    <s v="Total: 1112 Policies (Batch 20180123_1427: 264 Policies, Batch 20180123_2250: 450 Policies, Batch 20180124_1130: 192 Policies)"/>
    <n v="1"/>
    <x v="12"/>
  </r>
  <r>
    <x v="1"/>
    <x v="5"/>
    <d v="2018-01-24T00:00:00"/>
    <s v="Wed"/>
    <d v="1899-12-30T08:30:00"/>
    <d v="1899-12-30T20:30:00"/>
    <n v="0"/>
    <n v="10.999999999999998"/>
    <n v="10.999999999999998"/>
    <s v="Normal Working Days before 10pm"/>
    <s v="Total: 1112 Policies (Batch 20180123_1427: 264 Policies, Batch 20180123_2250: 450 Policies, Batch 20180124_1130: 192 Policies)"/>
    <s v=""/>
    <x v="12"/>
  </r>
  <r>
    <x v="1"/>
    <x v="22"/>
    <d v="2018-01-24T00:00:00"/>
    <s v="Wed"/>
    <d v="1899-12-30T08:30:00"/>
    <d v="1899-12-30T20:30:00"/>
    <n v="0"/>
    <n v="10.999999999999998"/>
    <n v="10.999999999999998"/>
    <s v="Normal Working Days before 10pm"/>
    <s v="Total: 1112 Policies (Batch 20180123_1427: 264 Policies, Batch 20180123_2250: 450 Policies, Batch 20180124_1130: 192 Policies)"/>
    <s v=""/>
    <x v="12"/>
  </r>
  <r>
    <x v="1"/>
    <x v="5"/>
    <d v="2018-01-25T00:00:00"/>
    <s v="Thu"/>
    <d v="1899-12-30T08:30:00"/>
    <d v="1899-12-30T17:30:00"/>
    <n v="0"/>
    <n v="7.9999999999999982"/>
    <n v="7.9999999999999982"/>
    <s v="Normal Working Days before 10pm"/>
    <s v="Total: 550 Policies (Batch 20180124_2339: 411 Policies, Batch 20180125_1143: 139 Policies)"/>
    <s v=""/>
    <x v="12"/>
  </r>
  <r>
    <x v="1"/>
    <x v="22"/>
    <d v="2018-01-25T00:00:00"/>
    <s v="Thu"/>
    <d v="1899-12-30T08:30:00"/>
    <d v="1899-12-30T17:30:00"/>
    <n v="0"/>
    <n v="7.9999999999999982"/>
    <n v="7.9999999999999982"/>
    <s v="Normal Working Days before 10pm"/>
    <s v="Total: 550 Policies (Batch 20180124_2339: 411 Policies, Batch 20180125_1143: 139 Policies)"/>
    <s v=""/>
    <x v="12"/>
  </r>
  <r>
    <x v="0"/>
    <x v="0"/>
    <d v="2018-01-26T00:00:00"/>
    <s v="Fri"/>
    <d v="1899-12-30T17:00:00"/>
    <d v="1899-12-30T17:30:00"/>
    <n v="8.0000000000000036"/>
    <n v="0.50000000000001243"/>
    <n v="0.50000000000001243"/>
    <s v="Normal Working Days before 10pm"/>
    <s v="Total: 889 Policies (Batch 20180125_1429: 152 Policies, Batch 20180125_2308: 453 Policies, Batch 20180126_1113: 152 Policies, Batch 20180126_1426: 132 Policies)"/>
    <s v=""/>
    <x v="12"/>
  </r>
  <r>
    <x v="0"/>
    <x v="2"/>
    <d v="2018-01-26T00:00:00"/>
    <s v="Fri"/>
    <d v="1899-12-30T17:00:00"/>
    <d v="1899-12-30T17:30:00"/>
    <n v="8.0000000000000036"/>
    <n v="0.50000000000001243"/>
    <n v="0.50000000000001243"/>
    <s v="Normal Working Days before 10pm"/>
    <s v="Total: 889 Policies (Batch 20180125_1429: 152 Policies, Batch 20180125_2308: 453 Policies, Batch 20180126_1113: 152 Policies, Batch 20180126_1426: 132 Policies)"/>
    <s v=""/>
    <x v="12"/>
  </r>
  <r>
    <x v="0"/>
    <x v="6"/>
    <d v="2018-01-26T00:00:00"/>
    <s v="Fri"/>
    <d v="1899-12-30T17:00:00"/>
    <d v="1899-12-30T17:30:00"/>
    <n v="8.0000000000000036"/>
    <n v="0.50000000000001243"/>
    <n v="0.50000000000001243"/>
    <s v="Normal Working Days before 10pm"/>
    <s v="Total: 889 Policies (Batch 20180125_1429: 152 Policies, Batch 20180125_2308: 453 Policies, Batch 20180126_1113: 152 Policies, Batch 20180126_1426: 132 Policies)"/>
    <s v=""/>
    <x v="12"/>
  </r>
  <r>
    <x v="1"/>
    <x v="5"/>
    <d v="2018-01-26T00:00:00"/>
    <s v="Fri"/>
    <d v="1899-12-30T08:00:00"/>
    <d v="1899-12-30T17:30:00"/>
    <n v="0"/>
    <n v="8.500000000000016"/>
    <n v="8.500000000000016"/>
    <s v="Normal Working Days before 10pm"/>
    <s v="Total: 889 Policies (Batch 20180125_1429: 152 Policies, Batch 20180125_2308: 453 Policies, Batch 20180126_1113: 152 Policies, Batch 20180126_1426: 132 Policies)"/>
    <s v=""/>
    <x v="12"/>
  </r>
  <r>
    <x v="1"/>
    <x v="20"/>
    <d v="2018-01-26T00:00:00"/>
    <s v="Fri"/>
    <d v="1899-12-30T08:00:00"/>
    <d v="1899-12-30T17:30:00"/>
    <n v="0"/>
    <n v="8.500000000000016"/>
    <n v="8.500000000000016"/>
    <s v="Normal Working Days before 10pm"/>
    <s v="Total: 889 Policies (Batch 20180125_1429: 152 Policies, Batch 20180125_2308: 453 Policies, Batch 20180126_1113: 152 Policies, Batch 20180126_1426: 132 Policies)"/>
    <s v=""/>
    <x v="12"/>
  </r>
  <r>
    <x v="1"/>
    <x v="21"/>
    <d v="2018-01-26T00:00:00"/>
    <s v="Fri"/>
    <d v="1899-12-30T08:00:00"/>
    <d v="1899-12-30T17:30:00"/>
    <n v="0"/>
    <n v="8.500000000000016"/>
    <n v="8.500000000000016"/>
    <s v="Normal Working Days before 10pm"/>
    <s v="Total: 889 Policies (Batch 20180125_1429: 152 Policies, Batch 20180125_2308: 453 Policies, Batch 20180126_1113: 152 Policies, Batch 20180126_1426: 132 Policies)"/>
    <s v=""/>
    <x v="12"/>
  </r>
  <r>
    <x v="1"/>
    <x v="22"/>
    <d v="2018-01-26T00:00:00"/>
    <s v="Fri"/>
    <d v="1899-12-30T08:00:00"/>
    <d v="1899-12-30T17:30:00"/>
    <n v="0"/>
    <n v="8.500000000000016"/>
    <n v="8.500000000000016"/>
    <s v="Normal Working Days before 10pm"/>
    <s v="Total: 889 Policies (Batch 20180125_1429: 152 Policies, Batch 20180125_2308: 453 Policies, Batch 20180126_1113: 152 Policies, Batch 20180126_1426: 132 Policies)"/>
    <s v=""/>
    <x v="12"/>
  </r>
  <r>
    <x v="0"/>
    <x v="0"/>
    <d v="2018-01-29T00:00:00"/>
    <s v="Mon"/>
    <d v="1899-12-30T17:00:00"/>
    <d v="1899-12-30T17:30:00"/>
    <n v="8.0000000000000036"/>
    <n v="0.50000000000001243"/>
    <n v="0.50000000000001243"/>
    <s v="Normal Working Days before 10pm"/>
    <s v="Total: 1367 Policies (Batch 20180126_2139: 257 Policies, Batch 20180127_1031: 459 Policies, Batch 20180127_1417: 314 Policies, Batch 20180127_2151: 133 Policies, Batch 20180128_2127: 32 Policies)"/>
    <s v=""/>
    <x v="12"/>
  </r>
  <r>
    <x v="0"/>
    <x v="2"/>
    <d v="2018-01-29T00:00:00"/>
    <s v="Mon"/>
    <d v="1899-12-30T17:00:00"/>
    <d v="1899-12-30T21:00:00"/>
    <n v="8.0000000000000036"/>
    <n v="4.0000000000000036"/>
    <n v="4.0000000000000036"/>
    <s v="Normal Working Days before 10pm"/>
    <s v="Total: 1367 Policies (Batch 20180126_2139: 257 Policies, Batch 20180127_1031: 459 Policies, Batch 20180127_1417: 314 Policies, Batch 20180127_2151: 133 Policies, Batch 20180128_2127: 32 Policies)"/>
    <n v="1"/>
    <x v="12"/>
  </r>
  <r>
    <x v="0"/>
    <x v="6"/>
    <d v="2018-01-29T00:00:00"/>
    <s v="Mon"/>
    <d v="1899-12-30T17:00:00"/>
    <d v="1899-12-30T21:00:00"/>
    <n v="8.0000000000000036"/>
    <n v="4.0000000000000036"/>
    <n v="4.0000000000000036"/>
    <s v="Normal Working Days before 10pm"/>
    <s v="Total: 1367 Policies (Batch 20180126_2139: 257 Policies, Batch 20180127_1031: 459 Policies, Batch 20180127_1417: 314 Policies, Batch 20180127_2151: 133 Policies, Batch 20180128_2127: 32 Policies)"/>
    <n v="1"/>
    <x v="12"/>
  </r>
  <r>
    <x v="1"/>
    <x v="5"/>
    <d v="2018-01-29T00:00:00"/>
    <s v="Mon"/>
    <d v="1899-12-30T08:00:00"/>
    <d v="1899-12-30T21:00:00"/>
    <n v="0"/>
    <n v="12.000000000000007"/>
    <n v="12.000000000000007"/>
    <s v="Normal Working Days before 10pm"/>
    <s v="Total: 1367 Policies (Batch 20180126_2139: 257 Policies, Batch 20180127_1031: 459 Policies, Batch 20180127_1417: 314 Policies, Batch 20180127_2151: 133 Policies, Batch 20180128_2127: 32 Policies)"/>
    <s v=""/>
    <x v="12"/>
  </r>
  <r>
    <x v="1"/>
    <x v="11"/>
    <d v="2018-01-29T00:00:00"/>
    <s v="Mon"/>
    <d v="1899-12-30T08:00:00"/>
    <d v="1899-12-30T21:00:00"/>
    <n v="0"/>
    <n v="12.000000000000007"/>
    <n v="12.000000000000007"/>
    <s v="Normal Working Days before 10pm"/>
    <s v="Total: 1367 Policies (Batch 20180126_2139: 257 Policies, Batch 20180127_1031: 459 Policies, Batch 20180127_1417: 314 Policies, Batch 20180127_2151: 133 Policies, Batch 20180128_2127: 32 Policies)"/>
    <s v=""/>
    <x v="12"/>
  </r>
  <r>
    <x v="1"/>
    <x v="20"/>
    <d v="2018-01-29T00:00:00"/>
    <s v="Mon"/>
    <d v="1899-12-30T08:00:00"/>
    <d v="1899-12-30T21:00:00"/>
    <n v="0"/>
    <n v="12.000000000000007"/>
    <n v="12.000000000000007"/>
    <s v="Normal Working Days before 10pm"/>
    <s v="Total: 1367 Policies (Batch 20180126_2139: 257 Policies, Batch 20180127_1031: 459 Policies, Batch 20180127_1417: 314 Policies, Batch 20180127_2151: 133 Policies, Batch 20180128_2127: 32 Policies)"/>
    <s v=""/>
    <x v="12"/>
  </r>
  <r>
    <x v="1"/>
    <x v="21"/>
    <d v="2018-01-29T00:00:00"/>
    <s v="Mon"/>
    <d v="1899-12-30T08:00:00"/>
    <d v="1899-12-30T21:00:00"/>
    <n v="0"/>
    <n v="12.000000000000007"/>
    <n v="12.000000000000007"/>
    <s v="Normal Working Days before 10pm"/>
    <s v="Total: 1367 Policies (Batch 20180126_2139: 257 Policies, Batch 20180127_1031: 459 Policies, Batch 20180127_1417: 314 Policies, Batch 20180127_2151: 133 Policies, Batch 20180128_2127: 32 Policies)"/>
    <s v=""/>
    <x v="12"/>
  </r>
  <r>
    <x v="1"/>
    <x v="23"/>
    <d v="2018-01-29T00:00:00"/>
    <s v="Mon"/>
    <d v="1899-12-30T08:00:00"/>
    <d v="1899-12-30T17:30:00"/>
    <n v="0"/>
    <n v="8.500000000000016"/>
    <n v="8.500000000000016"/>
    <s v="Normal Working Days before 10pm"/>
    <s v="Total: 1367 Policies (Batch 20180126_2139: 257 Policies, Batch 20180127_1031: 459 Policies, Batch 20180127_1417: 314 Policies, Batch 20180127_2151: 133 Policies, Batch 20180128_2127: 32 Policies)"/>
    <s v=""/>
    <x v="12"/>
  </r>
  <r>
    <x v="1"/>
    <x v="27"/>
    <d v="2018-01-29T00:00:00"/>
    <s v="Mon"/>
    <d v="1899-12-30T09:00:00"/>
    <d v="1899-12-30T21:00:00"/>
    <n v="0"/>
    <n v="11"/>
    <n v="11"/>
    <s v="Normal Working Days before 10pm"/>
    <s v="Total: 1367 Policies (Batch 20180126_2139: 257 Policies, Batch 20180127_1031: 459 Policies, Batch 20180127_1417: 314 Policies, Batch 20180127_2151: 133 Policies, Batch 20180128_2127: 32 Policies)"/>
    <s v=""/>
    <x v="12"/>
  </r>
  <r>
    <x v="0"/>
    <x v="0"/>
    <d v="2018-01-30T00:00:00"/>
    <s v="Tue"/>
    <d v="1899-12-30T18:00:00"/>
    <d v="1899-12-30T20:30:00"/>
    <n v="8.0000000000000036"/>
    <n v="2.5000000000000036"/>
    <n v="2.5000000000000036"/>
    <s v="Normal Working Days before 10pm"/>
    <s v="Total: 1026 Policies (Batch 20180129_2352: 623 Policies, Batch 20180130_1053: 131 Policies, Batch 20180130_1435: 272 Policies)"/>
    <n v="1"/>
    <x v="12"/>
  </r>
  <r>
    <x v="0"/>
    <x v="2"/>
    <d v="2018-01-30T00:00:00"/>
    <s v="Tue"/>
    <d v="1899-12-30T17:00:00"/>
    <d v="1899-12-30T20:30:00"/>
    <n v="8.0000000000000036"/>
    <n v="3.5000000000000107"/>
    <n v="3.5000000000000107"/>
    <s v="Normal Working Days before 10pm"/>
    <s v="Total: 1026 Policies (Batch 20180129_2352: 623 Policies, Batch 20180130_1053: 131 Policies, Batch 20180130_1435: 272 Policies)"/>
    <n v="1"/>
    <x v="12"/>
  </r>
  <r>
    <x v="0"/>
    <x v="6"/>
    <d v="2018-01-30T00:00:00"/>
    <s v="Tue"/>
    <d v="1899-12-30T17:00:00"/>
    <d v="1899-12-30T20:30:00"/>
    <n v="8.0000000000000036"/>
    <n v="3.5000000000000107"/>
    <n v="3.5000000000000107"/>
    <s v="Normal Working Days before 10pm"/>
    <s v="Total: 1026 Policies (Batch 20180129_2352: 623 Policies, Batch 20180130_1053: 131 Policies, Batch 20180130_1435: 272 Policies)"/>
    <n v="1"/>
    <x v="12"/>
  </r>
  <r>
    <x v="1"/>
    <x v="5"/>
    <d v="2018-01-30T00:00:00"/>
    <s v="Tue"/>
    <d v="1899-12-30T08:00:00"/>
    <d v="1899-12-30T20:30:00"/>
    <n v="0"/>
    <n v="11.500000000000014"/>
    <n v="11.500000000000014"/>
    <s v="Normal Working Days before 10pm"/>
    <s v="Total: 1026 Policies (Batch 20180129_2352: 623 Policies, Batch 20180130_1053: 131 Policies, Batch 20180130_1435: 272 Policies)"/>
    <s v=""/>
    <x v="12"/>
  </r>
  <r>
    <x v="1"/>
    <x v="11"/>
    <d v="2018-01-30T00:00:00"/>
    <s v="Tue"/>
    <d v="1899-12-30T08:00:00"/>
    <d v="1899-12-30T20:30:00"/>
    <n v="0"/>
    <n v="11.500000000000014"/>
    <n v="11.500000000000014"/>
    <s v="Normal Working Days before 10pm"/>
    <s v="Total: 1026 Policies (Batch 20180129_2352: 623 Policies, Batch 20180130_1053: 131 Policies, Batch 20180130_1435: 272 Policies)"/>
    <s v=""/>
    <x v="12"/>
  </r>
  <r>
    <x v="1"/>
    <x v="12"/>
    <d v="2018-01-30T00:00:00"/>
    <s v="Tue"/>
    <d v="1899-12-30T12:30:00"/>
    <d v="1899-12-30T20:30:00"/>
    <n v="0"/>
    <n v="8.0000000000000142"/>
    <n v="8.0000000000000142"/>
    <s v="Normal Working Days before 10pm"/>
    <s v="Total: 1026 Policies (Batch 20180129_2352: 623 Policies, Batch 20180130_1053: 131 Policies, Batch 20180130_1435: 272 Policies)"/>
    <s v=""/>
    <x v="12"/>
  </r>
  <r>
    <x v="1"/>
    <x v="20"/>
    <d v="2018-01-30T00:00:00"/>
    <s v="Tue"/>
    <d v="1899-12-30T08:00:00"/>
    <d v="1899-12-30T20:30:00"/>
    <n v="0"/>
    <n v="11.500000000000014"/>
    <n v="11.500000000000014"/>
    <s v="Normal Working Days before 10pm"/>
    <s v="Total: 1026 Policies (Batch 20180129_2352: 623 Policies, Batch 20180130_1053: 131 Policies, Batch 20180130_1435: 272 Policies)"/>
    <s v=""/>
    <x v="12"/>
  </r>
  <r>
    <x v="1"/>
    <x v="7"/>
    <d v="2018-01-30T00:00:00"/>
    <s v="Tue"/>
    <d v="1899-12-30T08:00:00"/>
    <d v="1899-12-30T20:30:00"/>
    <n v="0"/>
    <n v="11.500000000000014"/>
    <n v="11.500000000000014"/>
    <s v="Normal Working Days before 10pm"/>
    <s v="Total: 1026 Policies (Batch 20180129_2352: 623 Policies, Batch 20180130_1053: 131 Policies, Batch 20180130_1435: 272 Policies)"/>
    <s v=""/>
    <x v="12"/>
  </r>
  <r>
    <x v="1"/>
    <x v="22"/>
    <d v="2018-01-30T00:00:00"/>
    <s v="Tue"/>
    <d v="1899-12-30T08:00:00"/>
    <d v="1899-12-30T20:30:00"/>
    <n v="0"/>
    <n v="11.500000000000014"/>
    <n v="11.500000000000014"/>
    <s v="Normal Working Days before 10pm"/>
    <s v="Total: 1026 Policies (Batch 20180129_2352: 623 Policies, Batch 20180130_1053: 131 Policies, Batch 20180130_1435: 272 Policies)"/>
    <s v=""/>
    <x v="12"/>
  </r>
  <r>
    <x v="0"/>
    <x v="0"/>
    <d v="2018-01-31T00:00:00"/>
    <s v="Wed"/>
    <d v="1899-12-30T17:00:00"/>
    <d v="1899-12-30T21:00:00"/>
    <n v="8.0000000000000036"/>
    <n v="4.0000000000000036"/>
    <n v="4.0000000000000036"/>
    <s v="Normal Working Days before 10pm"/>
    <s v="Total: 1204 Policies (Batch 20180130_2216: 1204 Policies, Batch 20180131_1114: 256 Policies)"/>
    <n v="1"/>
    <x v="12"/>
  </r>
  <r>
    <x v="0"/>
    <x v="2"/>
    <d v="2018-01-31T00:00:00"/>
    <s v="Wed"/>
    <d v="1899-12-30T17:00:00"/>
    <d v="1899-12-30T20:00:00"/>
    <n v="8.0000000000000036"/>
    <n v="2.9999999999999964"/>
    <n v="2.9999999999999964"/>
    <s v="Normal Working Days before 10pm"/>
    <s v="Total: 1204 Policies (Batch 20180130_2216: 1204 Policies, Batch 20180131_1114: 256 Policies)"/>
    <n v="1"/>
    <x v="12"/>
  </r>
  <r>
    <x v="0"/>
    <x v="6"/>
    <d v="2018-01-31T00:00:00"/>
    <s v="Wed"/>
    <d v="1899-12-30T17:00:00"/>
    <d v="1899-12-30T21:00:00"/>
    <n v="8.0000000000000036"/>
    <n v="4.0000000000000036"/>
    <n v="4.0000000000000036"/>
    <s v="Normal Working Days before 10pm"/>
    <s v="Total: 1204 Policies (Batch 20180130_2216: 1204 Policies, Batch 20180131_1114: 256 Policies)"/>
    <n v="1"/>
    <x v="12"/>
  </r>
  <r>
    <x v="1"/>
    <x v="5"/>
    <d v="2018-01-31T00:00:00"/>
    <s v="Wed"/>
    <d v="1899-12-30T08:00:00"/>
    <d v="1899-12-30T21:00:00"/>
    <n v="0"/>
    <n v="12.000000000000007"/>
    <n v="12.000000000000007"/>
    <s v="Normal Working Days before 10pm"/>
    <s v="Total: 1204 Policies (Batch 20180130_2216: 1204 Policies, Batch 20180131_1114: 256 Policies)"/>
    <s v=""/>
    <x v="12"/>
  </r>
  <r>
    <x v="1"/>
    <x v="11"/>
    <d v="2018-01-31T00:00:00"/>
    <s v="Wed"/>
    <d v="1899-12-30T08:00:00"/>
    <d v="1899-12-30T21:00:00"/>
    <n v="0"/>
    <n v="12.000000000000007"/>
    <n v="12.000000000000007"/>
    <s v="Normal Working Days before 10pm"/>
    <s v="Total: 1204 Policies (Batch 20180130_2216: 1204 Policies, Batch 20180131_1114: 256 Policies)"/>
    <s v=""/>
    <x v="12"/>
  </r>
  <r>
    <x v="1"/>
    <x v="12"/>
    <d v="2018-01-31T00:00:00"/>
    <s v="Wed"/>
    <d v="1899-12-30T12:30:00"/>
    <d v="1899-12-30T21:00:00"/>
    <n v="0"/>
    <n v="8.5000000000000071"/>
    <n v="8.5000000000000071"/>
    <s v="Normal Working Days before 10pm"/>
    <s v="Total: 1204 Policies (Batch 20180130_2216: 1204 Policies, Batch 20180131_1114: 256 Policies)"/>
    <s v=""/>
    <x v="12"/>
  </r>
  <r>
    <x v="1"/>
    <x v="20"/>
    <d v="2018-01-31T00:00:00"/>
    <s v="Wed"/>
    <d v="1899-12-30T08:00:00"/>
    <d v="1899-12-30T21:00:00"/>
    <n v="0"/>
    <n v="12.000000000000007"/>
    <n v="12.000000000000007"/>
    <s v="Normal Working Days before 10pm"/>
    <s v="Total: 1204 Policies (Batch 20180130_2216: 1204 Policies, Batch 20180131_1114: 256 Policies)"/>
    <s v=""/>
    <x v="12"/>
  </r>
  <r>
    <x v="1"/>
    <x v="21"/>
    <d v="2018-01-31T00:00:00"/>
    <s v="Wed"/>
    <d v="1899-12-30T08:00:00"/>
    <d v="1899-12-30T21:00:00"/>
    <n v="0"/>
    <n v="12.000000000000007"/>
    <n v="12.000000000000007"/>
    <s v="Normal Working Days before 10pm"/>
    <s v="Total: 1204 Policies (Batch 20180130_2216: 1204 Policies, Batch 20180131_1114: 256 Policies)"/>
    <s v=""/>
    <x v="12"/>
  </r>
  <r>
    <x v="1"/>
    <x v="22"/>
    <d v="2018-01-31T00:00:00"/>
    <s v="Wed"/>
    <d v="1899-12-30T08:00:00"/>
    <d v="1899-12-30T21:00:00"/>
    <n v="0"/>
    <n v="12.000000000000007"/>
    <n v="12.000000000000007"/>
    <s v="Normal Working Days before 10pm"/>
    <s v="Total: 1204 Policies (Batch 20180130_2216: 1204 Policies, Batch 20180131_1114: 256 Policies)"/>
    <s v=""/>
    <x v="12"/>
  </r>
  <r>
    <x v="0"/>
    <x v="0"/>
    <d v="2018-02-01T00:00:00"/>
    <s v="Thu"/>
    <d v="1899-12-30T17:00:00"/>
    <d v="1899-12-30T21:00:00"/>
    <n v="8.0000000000000036"/>
    <n v="4.0000000000000036"/>
    <n v="4.0000000000000036"/>
    <s v="Normal Working Days before 10pm"/>
    <s v="Total: 1599 Policies (Batch 20180131_1429: 390 Policies, Batch 20180131_2105: 1209 Policies)"/>
    <n v="1"/>
    <x v="13"/>
  </r>
  <r>
    <x v="0"/>
    <x v="2"/>
    <d v="2018-02-01T00:00:00"/>
    <s v="Thu"/>
    <d v="1899-12-30T17:00:00"/>
    <d v="1899-12-30T21:00:00"/>
    <n v="8.0000000000000036"/>
    <n v="4.0000000000000036"/>
    <n v="4.0000000000000036"/>
    <s v="Normal Working Days before 10pm"/>
    <s v="Total: 1599 Policies (Batch 20180131_1429: 390 Policies, Batch 20180131_2105: 1209 Policies)"/>
    <n v="1"/>
    <x v="13"/>
  </r>
  <r>
    <x v="0"/>
    <x v="6"/>
    <d v="2018-02-01T00:00:00"/>
    <s v="Thu"/>
    <d v="1899-12-30T17:00:00"/>
    <d v="1899-12-30T20:00:00"/>
    <n v="8.0000000000000036"/>
    <n v="2.9999999999999964"/>
    <n v="2.9999999999999964"/>
    <s v="Normal Working Days before 10pm"/>
    <s v="Total: 1599 Policies (Batch 20180131_1429: 390 Policies, Batch 20180131_2105: 1209 Policies)"/>
    <n v="1"/>
    <x v="13"/>
  </r>
  <r>
    <x v="0"/>
    <x v="15"/>
    <d v="2018-02-01T00:00:00"/>
    <s v="Thu"/>
    <d v="1899-12-30T17:00:00"/>
    <d v="1899-12-30T21:00:00"/>
    <n v="8.0000000000000036"/>
    <n v="4.0000000000000036"/>
    <n v="4.0000000000000036"/>
    <s v="Normal Working Days before 10pm"/>
    <s v="Total: 1599 Policies (Batch 20180131_1429: 390 Policies, Batch 20180131_2105: 1209 Policies)"/>
    <n v="1"/>
    <x v="13"/>
  </r>
  <r>
    <x v="0"/>
    <x v="16"/>
    <d v="2018-02-01T00:00:00"/>
    <s v="Thu"/>
    <d v="1899-12-30T17:00:00"/>
    <d v="1899-12-30T21:00:00"/>
    <n v="8.0000000000000036"/>
    <n v="4.0000000000000036"/>
    <n v="4.0000000000000036"/>
    <s v="Normal Working Days before 10pm"/>
    <s v="Total: 1599 Policies (Batch 20180131_1429: 390 Policies, Batch 20180131_2105: 1209 Policies)"/>
    <n v="1"/>
    <x v="13"/>
  </r>
  <r>
    <x v="1"/>
    <x v="5"/>
    <d v="2018-02-01T00:00:00"/>
    <s v="Thu"/>
    <d v="1899-12-30T08:00:00"/>
    <d v="1899-12-30T21:00:00"/>
    <n v="0"/>
    <n v="12.000000000000007"/>
    <n v="12.000000000000007"/>
    <s v="Normal Working Days before 10pm"/>
    <s v="Total: 1599 Policies (Batch 20180131_1429: 390 Policies, Batch 20180131_2105: 1209 Policies)"/>
    <s v=""/>
    <x v="13"/>
  </r>
  <r>
    <x v="1"/>
    <x v="11"/>
    <d v="2018-02-01T00:00:00"/>
    <s v="Thu"/>
    <d v="1899-12-30T08:00:00"/>
    <d v="1899-12-30T20:00:00"/>
    <n v="0"/>
    <n v="11"/>
    <n v="11"/>
    <s v="Normal Working Days before 10pm"/>
    <s v="Total: 1599 Policies (Batch 20180131_1429: 390 Policies, Batch 20180131_2105: 1209 Policies)"/>
    <s v=""/>
    <x v="13"/>
  </r>
  <r>
    <x v="1"/>
    <x v="7"/>
    <d v="2018-02-01T00:00:00"/>
    <s v="Thu"/>
    <d v="1899-12-30T08:00:00"/>
    <d v="1899-12-30T13:00:00"/>
    <n v="0"/>
    <n v="5.000000000000016"/>
    <n v="5.000000000000016"/>
    <s v="Normal Working Days before 10pm"/>
    <s v="Total: 1599 Policies (Batch 20180131_1429: 390 Policies, Batch 20180131_2105: 1209 Policies)"/>
    <s v=""/>
    <x v="13"/>
  </r>
  <r>
    <x v="1"/>
    <x v="21"/>
    <d v="2018-02-01T00:00:00"/>
    <s v="Thu"/>
    <d v="1899-12-30T08:00:00"/>
    <d v="1899-12-30T21:00:00"/>
    <n v="0"/>
    <n v="12.000000000000007"/>
    <n v="12.000000000000007"/>
    <s v="Normal Working Days before 10pm"/>
    <s v="Total: 1599 Policies (Batch 20180131_1429: 390 Policies, Batch 20180131_2105: 1209 Policies)"/>
    <s v=""/>
    <x v="13"/>
  </r>
  <r>
    <x v="0"/>
    <x v="0"/>
    <d v="2018-02-02T00:00:00"/>
    <s v="Fri"/>
    <d v="1899-12-30T17:00:00"/>
    <d v="1899-12-30T18:30:00"/>
    <n v="8.0000000000000036"/>
    <n v="1.4999999999999982"/>
    <n v="1.4999999999999982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0"/>
    <x v="2"/>
    <d v="2018-02-02T00:00:00"/>
    <s v="Fri"/>
    <d v="1899-12-30T17:00:00"/>
    <d v="1899-12-30T18:30:00"/>
    <n v="8.0000000000000036"/>
    <n v="1.4999999999999982"/>
    <n v="1.4999999999999982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0"/>
    <x v="6"/>
    <d v="2018-02-02T00:00:00"/>
    <s v="Fri"/>
    <d v="1899-12-30T17:00:00"/>
    <d v="1899-12-30T18:30:00"/>
    <n v="8.0000000000000036"/>
    <n v="1.4999999999999982"/>
    <n v="1.4999999999999982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0"/>
    <x v="15"/>
    <d v="2018-02-02T00:00:00"/>
    <s v="Fri"/>
    <d v="1899-12-30T17:00:00"/>
    <d v="1899-12-30T18:30:00"/>
    <n v="8.0000000000000036"/>
    <n v="1.4999999999999982"/>
    <n v="1.4999999999999982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0"/>
    <x v="16"/>
    <d v="2018-02-02T00:00:00"/>
    <s v="Fri"/>
    <d v="1899-12-30T17:00:00"/>
    <d v="1899-12-30T18:30:00"/>
    <n v="8.0000000000000036"/>
    <n v="1.4999999999999982"/>
    <n v="1.4999999999999982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1"/>
    <x v="5"/>
    <d v="2018-02-02T00:00:00"/>
    <s v="Fri"/>
    <d v="1899-12-30T08:00:00"/>
    <d v="1899-12-30T18:30:00"/>
    <n v="0"/>
    <n v="9.5000000000000018"/>
    <n v="9.5000000000000018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1"/>
    <x v="12"/>
    <d v="2018-02-02T00:00:00"/>
    <s v="Fri"/>
    <d v="1899-12-30T12:30:00"/>
    <d v="1899-12-30T17:30:00"/>
    <n v="0"/>
    <n v="5.0000000000000142"/>
    <n v="5.0000000000000142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1"/>
    <x v="22"/>
    <d v="2018-02-02T00:00:00"/>
    <s v="Fri"/>
    <d v="1899-12-30T08:00:00"/>
    <d v="1899-12-30T18:30:00"/>
    <n v="0"/>
    <n v="9.5000000000000018"/>
    <n v="9.5000000000000018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1"/>
    <x v="23"/>
    <d v="2018-02-02T00:00:00"/>
    <s v="Fri"/>
    <d v="1899-12-30T08:00:00"/>
    <d v="1899-12-30T18:30:00"/>
    <n v="0"/>
    <n v="9.5000000000000018"/>
    <n v="9.5000000000000018"/>
    <s v="Normal Working Days before 10pm"/>
    <s v="Total: 1442 Policies (Batch 20180131_0443: 1156 Policies, Batch 2018201_1434: 14 Policies, Batch 2018201_2230: 148 Policies, Batch 2018202_1111: 40 Policies, Batch 2018202_1427: 84 Policies)"/>
    <s v=""/>
    <x v="13"/>
  </r>
  <r>
    <x v="1"/>
    <x v="5"/>
    <d v="2018-02-05T00:00:00"/>
    <s v="Mon"/>
    <d v="1899-12-30T08:30:00"/>
    <d v="1899-12-30T17:30:00"/>
    <n v="0"/>
    <n v="7.9999999999999982"/>
    <n v="7.9999999999999982"/>
    <s v="Normal Working Days before 10pm"/>
    <s v="Total: 639 Policies (Batch 20180202_2220: 454 Policies, Batch 20180205_1108: 101 Policies, Batch 20180205_1423: 84 Policies)"/>
    <s v=""/>
    <x v="13"/>
  </r>
  <r>
    <x v="1"/>
    <x v="5"/>
    <d v="2018-02-06T00:00:00"/>
    <s v="Tue"/>
    <d v="1899-12-30T08:30:00"/>
    <d v="1899-12-30T17:30:00"/>
    <n v="0"/>
    <n v="7.9999999999999982"/>
    <n v="7.9999999999999982"/>
    <s v="Normal Working Days before 10pm"/>
    <s v="Total: 424 Policies (Batch 20180205_2155: 244 Policies, Batch 20180206_1105: 59 Policies, Batch 20170206_1439: 121 Policies)"/>
    <s v=""/>
    <x v="13"/>
  </r>
  <r>
    <x v="1"/>
    <x v="21"/>
    <d v="2018-02-06T00:00:00"/>
    <s v="Tue"/>
    <d v="1899-12-30T08:30:00"/>
    <d v="1899-12-30T11:30:00"/>
    <n v="0"/>
    <n v="3"/>
    <n v="3"/>
    <s v="Normal Working Days before 10pm"/>
    <s v="Total: 424 Policies (Batch 20180205_2155: 244 Policies, Batch 20180206_1105: 59 Policies, Batch 20170206_1439: 121 Policies)"/>
    <s v=""/>
    <x v="13"/>
  </r>
  <r>
    <x v="1"/>
    <x v="5"/>
    <d v="2018-02-07T00:00:00"/>
    <s v="Wed"/>
    <d v="1899-12-30T08:30:00"/>
    <d v="1899-12-30T17:30:00"/>
    <n v="0"/>
    <n v="7.9999999999999982"/>
    <n v="7.9999999999999982"/>
    <s v="Normal Working Days before 10pm"/>
    <s v="Total: 404 Policies (Batch 20180206_0040: 216 Policies, Batch 20180207_1102: 52 Policies, Batch 20180207_1428: 136 Policies)"/>
    <s v=""/>
    <x v="13"/>
  </r>
  <r>
    <x v="1"/>
    <x v="5"/>
    <d v="2018-02-08T00:00:00"/>
    <s v="Thu"/>
    <d v="1899-12-30T08:30:00"/>
    <d v="1899-12-30T17:30:00"/>
    <n v="0"/>
    <n v="7.9999999999999982"/>
    <n v="7.9999999999999982"/>
    <s v="Normal Working Days before 10pm"/>
    <s v="Total: 433 Policies (Batch 20180207_2340: 239 Policies, Batch 20180208_1052: 51 Policies, Batch 20180208_1433: 143 Policies)"/>
    <s v=""/>
    <x v="13"/>
  </r>
  <r>
    <x v="1"/>
    <x v="5"/>
    <d v="2018-02-09T00:00:00"/>
    <s v="Fri"/>
    <d v="1899-12-30T08:30:00"/>
    <d v="1899-12-30T17:30:00"/>
    <n v="0"/>
    <n v="7.9999999999999982"/>
    <n v="7.9999999999999982"/>
    <s v="Normal Working Days before 10pm"/>
    <s v="Total: 418 Policies (Batch 20180208_2313: 253 Policies, Batch 20180209_1100: 55 Policies, Batch 20180209_1426: 110 Policies)"/>
    <s v=""/>
    <x v="13"/>
  </r>
  <r>
    <x v="1"/>
    <x v="5"/>
    <d v="2018-02-12T00:00:00"/>
    <s v="Mon"/>
    <d v="1899-12-30T08:30:00"/>
    <d v="1899-12-30T17:30:00"/>
    <n v="0"/>
    <n v="7.9999999999999982"/>
    <n v="7.9999999999999982"/>
    <s v="Normal Working Days before 10pm"/>
    <s v="Total: 467 Policies (Batch 20180209_0025: 259 Policies, Batch 20180212_1120: 83 Policies, Batch 20180212_1433: 125 Policies)"/>
    <s v=""/>
    <x v="13"/>
  </r>
  <r>
    <x v="1"/>
    <x v="11"/>
    <d v="2018-02-12T00:00:00"/>
    <s v="Mon"/>
    <d v="1899-12-30T08:30:00"/>
    <d v="1899-12-30T17:30:00"/>
    <n v="0"/>
    <n v="7.9999999999999982"/>
    <n v="7.9999999999999982"/>
    <s v="Normal Working Days before 10pm"/>
    <s v="Total: 467 Policies (Batch 20180209_0025: 259 Policies, Batch 20180212_1120: 83 Policies, Batch 20180212_1433: 125 Policies)"/>
    <s v=""/>
    <x v="13"/>
  </r>
  <r>
    <x v="1"/>
    <x v="5"/>
    <d v="2018-02-13T00:00:00"/>
    <s v="Tue"/>
    <d v="1899-12-30T08:30:00"/>
    <d v="1899-12-30T15:30:00"/>
    <n v="0"/>
    <n v="5.999999999999984"/>
    <n v="5.999999999999984"/>
    <s v="Normal Working Days before 10pm"/>
    <s v="Total: 489 Policies (Batch 20180212_2311: 361 Policies, Batch 20180213_11: 128 Policies)"/>
    <s v=""/>
    <x v="13"/>
  </r>
  <r>
    <x v="1"/>
    <x v="11"/>
    <d v="2018-02-13T00:00:00"/>
    <s v="Tue"/>
    <d v="1899-12-30T08:30:00"/>
    <d v="1899-12-30T15:30:00"/>
    <n v="0"/>
    <n v="5.999999999999984"/>
    <n v="5.999999999999984"/>
    <s v="Normal Working Days before 10pm"/>
    <s v="Total: 489 Policies (Batch 20180212_2311: 361 Policies, Batch 20180213_11: 128 Policies)"/>
    <s v=""/>
    <x v="13"/>
  </r>
  <r>
    <x v="1"/>
    <x v="5"/>
    <d v="2018-02-21T00:00:00"/>
    <s v="Wed"/>
    <d v="1899-12-30T08:30:00"/>
    <d v="1899-12-30T17:30:00"/>
    <n v="0"/>
    <n v="7.9999999999999982"/>
    <n v="7.9999999999999982"/>
    <s v="Normal Working Days before 10pm"/>
    <s v="Total: 578 Policies (Batch 20180213_2211: 338 Policies, Batch 20180221_1133: 97 Policies, Batch 20180221_1450: 143 Policies)"/>
    <s v=""/>
    <x v="13"/>
  </r>
  <r>
    <x v="0"/>
    <x v="0"/>
    <d v="2018-02-22T00:00:00"/>
    <s v="Thu"/>
    <d v="1899-12-30T17:30:00"/>
    <d v="1899-12-30T20:15:00"/>
    <n v="8.0000000000000036"/>
    <n v="2.7499999999999876"/>
    <n v="2.7499999999999876"/>
    <s v="Normal Working Days before 10pm"/>
    <s v="Total: 849 Policies (Batch 20180221_2155: 411 Policies, Batch 20180222_1132: 320 Policies, Batch 20180222_1432: 136 Policies)"/>
    <n v="1"/>
    <x v="13"/>
  </r>
  <r>
    <x v="0"/>
    <x v="2"/>
    <d v="2018-02-22T00:00:00"/>
    <s v="Thu"/>
    <d v="1899-12-30T17:30:00"/>
    <d v="1899-12-30T20:15:00"/>
    <n v="8.0000000000000036"/>
    <n v="2.7499999999999876"/>
    <n v="2.7499999999999876"/>
    <s v="Normal Working Days before 10pm"/>
    <s v="Total: 849 Policies (Batch 20180221_2155: 411 Policies, Batch 20180222_1132: 320 Policies, Batch 20180222_1432: 136 Policies)"/>
    <n v="1"/>
    <x v="13"/>
  </r>
  <r>
    <x v="0"/>
    <x v="15"/>
    <d v="2018-02-22T00:00:00"/>
    <s v="Thu"/>
    <d v="1899-12-30T17:30:00"/>
    <d v="1899-12-30T20:15:00"/>
    <n v="8.0000000000000036"/>
    <n v="2.7499999999999876"/>
    <n v="2.7499999999999876"/>
    <s v="Normal Working Days before 10pm"/>
    <s v="Total: 849 Policies (Batch 20180221_2155: 411 Policies, Batch 20180222_1132: 320 Policies, Batch 20180222_1432: 136 Policies)"/>
    <n v="1"/>
    <x v="13"/>
  </r>
  <r>
    <x v="0"/>
    <x v="16"/>
    <d v="2018-02-22T00:00:00"/>
    <s v="Thu"/>
    <d v="1899-12-30T17:30:00"/>
    <d v="1899-12-30T20:15:00"/>
    <n v="8.0000000000000036"/>
    <n v="2.7499999999999876"/>
    <n v="2.7499999999999876"/>
    <s v="Normal Working Days before 10pm"/>
    <s v="Total: 849 Policies (Batch 20180221_2155: 411 Policies, Batch 20180222_1132: 320 Policies, Batch 20180222_1432: 136 Policies)"/>
    <n v="1"/>
    <x v="13"/>
  </r>
  <r>
    <x v="1"/>
    <x v="5"/>
    <d v="2018-02-22T00:00:00"/>
    <s v="Thu"/>
    <d v="1899-12-30T08:30:00"/>
    <d v="1899-12-30T20:15:00"/>
    <n v="0"/>
    <n v="10.749999999999991"/>
    <n v="10.749999999999991"/>
    <s v="Normal Working Days before 10pm"/>
    <s v="Total: 849 Policies (Batch 20180221_2155: 411 Policies, Batch 20180222_1132: 320 Policies, Batch 20180222_1432: 136 Policies)"/>
    <s v=""/>
    <x v="13"/>
  </r>
  <r>
    <x v="1"/>
    <x v="5"/>
    <d v="2018-02-23T00:00:00"/>
    <s v="Fri"/>
    <d v="1899-12-30T08:30:00"/>
    <d v="1899-12-30T17:30:00"/>
    <n v="0"/>
    <n v="7.9999999999999982"/>
    <n v="7.9999999999999982"/>
    <s v="Normal Working Days before 10pm"/>
    <s v="Total: 497 Policies (Batch 20180222_2305: 351 Policies, Batch 20180223_1136: 146 Policies, Batch 20180223_1514: 97 Policies)"/>
    <s v=""/>
    <x v="13"/>
  </r>
  <r>
    <x v="0"/>
    <x v="0"/>
    <d v="2018-02-26T00:00:00"/>
    <s v="Mon"/>
    <d v="1899-12-30T19:00:00"/>
    <d v="1899-12-30T21:00:00"/>
    <n v="8.0000000000000036"/>
    <n v="1.9999999999999876"/>
    <n v="1.9999999999999876"/>
    <s v="Normal Working Days before 10pm"/>
    <s v="Total: 1416 Policies (Batch 20180223_2229: 393 Policies, Batch 20180224_2133: 101 Policies, Batch 20180225_2120: 508 Policies, Batch 20180226_1049: 165 Policies, Batch 20180226_1412: 249 Policies)"/>
    <s v=""/>
    <x v="13"/>
  </r>
  <r>
    <x v="0"/>
    <x v="2"/>
    <d v="2018-02-26T00:00:00"/>
    <s v="Mon"/>
    <d v="1899-12-30T17:00:00"/>
    <d v="1899-12-30T21:00:00"/>
    <n v="8.0000000000000036"/>
    <n v="4.0000000000000036"/>
    <n v="4.0000000000000036"/>
    <s v="Normal Working Days before 10pm"/>
    <s v="Total: 1416 Policies (Batch 20180223_2229: 393 Policies, Batch 20180224_2133: 101 Policies, Batch 20180225_2120: 508 Policies, Batch 20180226_1049: 165 Policies, Batch 20180226_1412: 249 Policies)"/>
    <n v="1"/>
    <x v="13"/>
  </r>
  <r>
    <x v="0"/>
    <x v="6"/>
    <d v="2018-02-26T00:00:00"/>
    <s v="Mon"/>
    <d v="1899-12-30T17:00:00"/>
    <d v="1899-12-30T21:00:00"/>
    <n v="8.0000000000000036"/>
    <n v="4.0000000000000036"/>
    <n v="4.0000000000000036"/>
    <s v="Normal Working Days before 10pm"/>
    <s v="Total: 1416 Policies (Batch 20180223_2229: 393 Policies, Batch 20180224_2133: 101 Policies, Batch 20180225_2120: 508 Policies, Batch 20180226_1049: 165 Policies, Batch 20180226_1412: 249 Policies)"/>
    <n v="1"/>
    <x v="13"/>
  </r>
  <r>
    <x v="0"/>
    <x v="15"/>
    <d v="2018-02-26T00:00:00"/>
    <s v="Mon"/>
    <d v="1899-12-30T17:00:00"/>
    <d v="1899-12-30T21:00:00"/>
    <n v="8.0000000000000036"/>
    <n v="4.0000000000000036"/>
    <n v="4.0000000000000036"/>
    <s v="Normal Working Days before 10pm"/>
    <s v="Total: 1416 Policies (Batch 20180223_2229: 393 Policies, Batch 20180224_2133: 101 Policies, Batch 20180225_2120: 508 Policies, Batch 20180226_1049: 165 Policies, Batch 20180226_1412: 249 Policies)"/>
    <n v="1"/>
    <x v="13"/>
  </r>
  <r>
    <x v="0"/>
    <x v="16"/>
    <d v="2018-02-26T00:00:00"/>
    <s v="Mon"/>
    <d v="1899-12-30T17:00:00"/>
    <d v="1899-12-30T21:00:00"/>
    <n v="8.0000000000000036"/>
    <n v="4.0000000000000036"/>
    <n v="4.0000000000000036"/>
    <s v="Normal Working Days before 10pm"/>
    <s v="Total: 1416 Policies (Batch 20180223_2229: 393 Policies, Batch 20180224_2133: 101 Policies, Batch 20180225_2120: 508 Policies, Batch 20180226_1049: 165 Policies, Batch 20180226_1412: 249 Policies)"/>
    <n v="1"/>
    <x v="13"/>
  </r>
  <r>
    <x v="1"/>
    <x v="5"/>
    <d v="2018-02-26T00:00:00"/>
    <s v="Mon"/>
    <d v="1899-12-30T08:00:00"/>
    <d v="1899-12-30T21:00:00"/>
    <n v="0"/>
    <n v="12.000000000000007"/>
    <n v="12.000000000000007"/>
    <s v="Normal Working Days before 10pm"/>
    <s v="Total: 1416 Policies (Batch 20180223_2229: 393 Policies, Batch 20180224_2133: 101 Policies, Batch 20180225_2120: 508 Policies, Batch 20180226_1049: 165 Policies, Batch 20180226_1412: 249 Policies)"/>
    <s v=""/>
    <x v="13"/>
  </r>
  <r>
    <x v="1"/>
    <x v="11"/>
    <d v="2018-02-26T00:00:00"/>
    <s v="Mon"/>
    <d v="1899-12-30T16:30:00"/>
    <d v="1899-12-30T21:00:00"/>
    <n v="0"/>
    <n v="4.5"/>
    <n v="4.5"/>
    <s v="Normal Working Days before 10pm"/>
    <s v="Total: 1416 Policies (Batch 20180223_2229: 393 Policies, Batch 20180224_2133: 101 Policies, Batch 20180225_2120: 508 Policies, Batch 20180226_1049: 165 Policies, Batch 20180226_1412: 249 Policies)"/>
    <s v=""/>
    <x v="13"/>
  </r>
  <r>
    <x v="1"/>
    <x v="19"/>
    <d v="2018-02-26T00:00:00"/>
    <s v="Mon"/>
    <d v="1899-12-30T08:00:00"/>
    <d v="1899-12-30T21:00:00"/>
    <n v="0"/>
    <n v="12.000000000000007"/>
    <n v="12.000000000000007"/>
    <s v="Normal Working Days before 10pm"/>
    <s v="Total: 1416 Policies (Batch 20180223_2229: 393 Policies, Batch 20180224_2133: 101 Policies, Batch 20180225_2120: 508 Policies, Batch 20180226_1049: 165 Policies, Batch 20180226_1412: 249 Policies)"/>
    <s v=""/>
    <x v="13"/>
  </r>
  <r>
    <x v="1"/>
    <x v="21"/>
    <d v="2018-02-26T00:00:00"/>
    <s v="Mon"/>
    <d v="1899-12-30T08:00:00"/>
    <d v="1899-12-30T21:00:00"/>
    <n v="0"/>
    <n v="12.000000000000007"/>
    <n v="12.000000000000007"/>
    <s v="Normal Working Days before 10pm"/>
    <s v="Total: 1416 Policies (Batch 20180223_2229: 393 Policies, Batch 20180224_2133: 101 Policies, Batch 20180225_2120: 508 Policies, Batch 20180226_1049: 165 Policies, Batch 20180226_1412: 249 Policies)"/>
    <s v=""/>
    <x v="13"/>
  </r>
  <r>
    <x v="0"/>
    <x v="0"/>
    <d v="2018-02-27T00:00:00"/>
    <s v="Tue"/>
    <d v="1899-12-30T19:00:00"/>
    <d v="1899-12-30T21:00:00"/>
    <n v="8.0000000000000036"/>
    <n v="1.9999999999999876"/>
    <n v="1.9999999999999876"/>
    <s v="Normal Working Days before 10pm"/>
    <s v="Total: 1275 Policies (Batch 20180226_2232: 862 Policies, Batch 20180227_1112: 99 Policies, Batch 20180227_1440: 314 Policies)"/>
    <s v=""/>
    <x v="13"/>
  </r>
  <r>
    <x v="0"/>
    <x v="2"/>
    <d v="2018-02-27T00:00:00"/>
    <s v="Tue"/>
    <d v="1899-12-30T17:00:00"/>
    <d v="1899-12-30T21:00:00"/>
    <n v="8.0000000000000036"/>
    <n v="4.0000000000000036"/>
    <n v="4.0000000000000036"/>
    <s v="Normal Working Days before 10pm"/>
    <s v="Total: 1275 Policies (Batch 20180226_2232: 862 Policies, Batch 20180227_1112: 99 Policies, Batch 20180227_1440: 314 Policies)"/>
    <n v="1"/>
    <x v="13"/>
  </r>
  <r>
    <x v="0"/>
    <x v="15"/>
    <d v="2018-02-27T00:00:00"/>
    <s v="Tue"/>
    <d v="1899-12-30T17:00:00"/>
    <d v="1899-12-30T21:00:00"/>
    <n v="8.0000000000000036"/>
    <n v="4.0000000000000036"/>
    <n v="4.0000000000000036"/>
    <s v="Normal Working Days before 10pm"/>
    <s v="Total: 1275 Policies (Batch 20180226_2232: 862 Policies, Batch 20180227_1112: 99 Policies, Batch 20180227_1440: 314 Policies)"/>
    <n v="1"/>
    <x v="13"/>
  </r>
  <r>
    <x v="0"/>
    <x v="16"/>
    <d v="2018-02-27T00:00:00"/>
    <s v="Tue"/>
    <d v="1899-12-30T17:00:00"/>
    <d v="1899-12-30T21:00:00"/>
    <n v="8.0000000000000036"/>
    <n v="4.0000000000000036"/>
    <n v="4.0000000000000036"/>
    <s v="Normal Working Days before 10pm"/>
    <s v="Total: 1275 Policies (Batch 20180226_2232: 862 Policies, Batch 20180227_1112: 99 Policies, Batch 20180227_1440: 314 Policies)"/>
    <n v="1"/>
    <x v="13"/>
  </r>
  <r>
    <x v="1"/>
    <x v="5"/>
    <d v="2018-02-27T00:00:00"/>
    <s v="Tue"/>
    <d v="1899-12-30T08:00:00"/>
    <d v="1899-12-30T21:00:00"/>
    <n v="0"/>
    <n v="12.000000000000007"/>
    <n v="12.000000000000007"/>
    <s v="Normal Working Days before 10pm"/>
    <s v="Total: 1275 Policies (Batch 20180226_2232: 862 Policies, Batch 20180227_1112: 99 Policies, Batch 20180227_1440: 314 Policies)"/>
    <s v=""/>
    <x v="13"/>
  </r>
  <r>
    <x v="1"/>
    <x v="19"/>
    <d v="2018-02-27T00:00:00"/>
    <s v="Tue"/>
    <d v="1899-12-30T08:00:00"/>
    <d v="1899-12-30T21:00:00"/>
    <n v="0"/>
    <n v="12.000000000000007"/>
    <n v="12.000000000000007"/>
    <s v="Normal Working Days before 10pm"/>
    <s v="Total: 1275 Policies (Batch 20180226_2232: 862 Policies, Batch 20180227_1112: 99 Policies, Batch 20180227_1440: 314 Policies)"/>
    <s v=""/>
    <x v="13"/>
  </r>
  <r>
    <x v="1"/>
    <x v="7"/>
    <d v="2018-02-27T00:00:00"/>
    <s v="Tue"/>
    <d v="1899-12-30T08:00:00"/>
    <d v="1899-12-30T21:00:00"/>
    <n v="0"/>
    <n v="12.000000000000007"/>
    <n v="12.000000000000007"/>
    <s v="Normal Working Days before 10pm"/>
    <s v="Total: 1275 Policies (Batch 20180226_2232: 862 Policies, Batch 20180227_1112: 99 Policies, Batch 20180227_1440: 314 Policies)"/>
    <s v=""/>
    <x v="13"/>
  </r>
  <r>
    <x v="1"/>
    <x v="21"/>
    <d v="2018-02-27T00:00:00"/>
    <s v="Tue"/>
    <d v="1899-12-30T08:00:00"/>
    <d v="1899-12-30T21:00:00"/>
    <n v="0"/>
    <n v="12.000000000000007"/>
    <n v="12.000000000000007"/>
    <s v="Normal Working Days before 10pm"/>
    <s v="Total: 1275 Policies (Batch 20180226_2232: 862 Policies, Batch 20180227_1112: 99 Policies, Batch 20180227_1440: 314 Policies)"/>
    <s v=""/>
    <x v="13"/>
  </r>
  <r>
    <x v="0"/>
    <x v="0"/>
    <d v="2018-02-28T00:00:00"/>
    <s v="Wed"/>
    <d v="1899-12-30T18:00:00"/>
    <d v="1899-12-30T21:00:00"/>
    <n v="8.0000000000000036"/>
    <n v="2.9999999999999964"/>
    <n v="2.9999999999999964"/>
    <s v="Normal Working Days before 10pm"/>
    <s v="Total: 1263 Policies (Batch 20180227_0138: 862 Policies)"/>
    <n v="1"/>
    <x v="13"/>
  </r>
  <r>
    <x v="0"/>
    <x v="6"/>
    <d v="2018-02-28T00:00:00"/>
    <s v="Wed"/>
    <d v="1899-12-30T17:00:00"/>
    <d v="1899-12-30T21:00:00"/>
    <n v="8.0000000000000036"/>
    <n v="4.0000000000000036"/>
    <n v="4.0000000000000036"/>
    <s v="Normal Working Days before 10pm"/>
    <s v="Total: 1263 Policies (Batch 20180227_0138: 862 Policies, Batch 20180228_1128: 363 Policies)"/>
    <n v="1"/>
    <x v="13"/>
  </r>
  <r>
    <x v="0"/>
    <x v="15"/>
    <d v="2018-02-28T00:00:00"/>
    <s v="Wed"/>
    <d v="1899-12-30T17:00:00"/>
    <d v="1899-12-30T21:00:00"/>
    <n v="8.0000000000000036"/>
    <n v="4.0000000000000036"/>
    <n v="4.0000000000000036"/>
    <s v="Normal Working Days before 10pm"/>
    <s v="Total: 1263 Policies (Batch 20180227_0138: 862 Policies, Batch 20180228_1128: 363 Policies)"/>
    <n v="1"/>
    <x v="13"/>
  </r>
  <r>
    <x v="0"/>
    <x v="16"/>
    <d v="2018-02-28T00:00:00"/>
    <s v="Wed"/>
    <d v="1899-12-30T17:00:00"/>
    <d v="1899-12-30T21:00:00"/>
    <n v="8.0000000000000036"/>
    <n v="4.0000000000000036"/>
    <n v="4.0000000000000036"/>
    <s v="Normal Working Days before 10pm"/>
    <s v="Total: 1263 Policies (Batch 20180227_0138: 862 Policies, Batch 20180228_1128: 363 Policies)"/>
    <n v="1"/>
    <x v="13"/>
  </r>
  <r>
    <x v="1"/>
    <x v="5"/>
    <d v="2018-02-28T00:00:00"/>
    <s v="Wed"/>
    <d v="1899-12-30T08:00:00"/>
    <d v="1899-12-30T21:00:00"/>
    <n v="0"/>
    <n v="12.000000000000007"/>
    <n v="12.000000000000007"/>
    <s v="Normal Working Days before 10pm"/>
    <s v="Total: 1263 Policies (Batch 20180227_0138: 862 Policies, Batch 20180228_1128: 363 Policies)"/>
    <s v=""/>
    <x v="13"/>
  </r>
  <r>
    <x v="1"/>
    <x v="11"/>
    <d v="2018-02-28T00:00:00"/>
    <s v="Wed"/>
    <d v="1899-12-30T12:30:00"/>
    <d v="1899-12-30T21:00:00"/>
    <n v="0"/>
    <n v="8.5000000000000071"/>
    <n v="8.5000000000000071"/>
    <s v="Normal Working Days before 10pm"/>
    <s v="Total: 1263 Policies (Batch 20180227_0138: 862 Policies, Batch 20180228_1128: 363 Policies)"/>
    <s v=""/>
    <x v="13"/>
  </r>
  <r>
    <x v="1"/>
    <x v="7"/>
    <d v="2018-02-28T00:00:00"/>
    <s v="Wed"/>
    <d v="1899-12-30T08:00:00"/>
    <d v="1899-12-30T15:00:00"/>
    <n v="0"/>
    <n v="6.0000000000000089"/>
    <n v="6.0000000000000089"/>
    <s v="Normal Working Days before 10pm"/>
    <s v="Total: 1263 Policies (Batch 20180227_0138: 862 Policies, Batch 20180228_1128: 363 Policies)"/>
    <s v=""/>
    <x v="13"/>
  </r>
  <r>
    <x v="1"/>
    <x v="21"/>
    <d v="2018-02-28T00:00:00"/>
    <s v="Wed"/>
    <d v="1899-12-30T08:00:00"/>
    <d v="1899-12-30T19:00:00"/>
    <n v="0"/>
    <n v="10.000000000000016"/>
    <n v="10.000000000000016"/>
    <s v="Normal Working Days before 10pm"/>
    <s v="Total: 1263 Policies (Batch 20180227_0138: 862 Policies, Batch 20180228_1128: 363 Policies)"/>
    <s v=""/>
    <x v="13"/>
  </r>
  <r>
    <x v="0"/>
    <x v="2"/>
    <d v="2018-03-01T00:00:00"/>
    <s v="Thu"/>
    <d v="1899-12-30T17:00:00"/>
    <d v="1899-12-30T21:00:00"/>
    <n v="8.0000000000000036"/>
    <n v="3.9999999999999982"/>
    <n v="3.9999999999999982"/>
    <s v="Normal Working Days before 10pm"/>
    <s v="Total: 1873 Policies (Batch 20180228_1128: 363 Policies, Batch 20180228_1446: 259 Policies, Batch 20180228_2237: 1251 Policies)"/>
    <n v="1"/>
    <x v="14"/>
  </r>
  <r>
    <x v="0"/>
    <x v="6"/>
    <d v="2018-03-01T00:00:00"/>
    <s v="Thu"/>
    <d v="1899-12-30T17:00:00"/>
    <d v="1899-12-30T21:00:00"/>
    <n v="8.0000000000000036"/>
    <n v="3.9999999999999982"/>
    <n v="3.9999999999999982"/>
    <s v="Normal Working Days before 10pm"/>
    <s v="Total: 1873 Policies (Batch 20180228_1128: 363 Policies, Batch 20180228_1446: 259 Policies, Batch 20180228_2237: 1251 Policies)"/>
    <n v="1"/>
    <x v="14"/>
  </r>
  <r>
    <x v="0"/>
    <x v="15"/>
    <d v="2018-03-01T00:00:00"/>
    <s v="Thu"/>
    <d v="1899-12-30T17:00:00"/>
    <d v="1899-12-30T21:00:00"/>
    <n v="8.0000000000000036"/>
    <n v="3.9999999999999982"/>
    <n v="3.9999999999999982"/>
    <s v="Normal Working Days before 10pm"/>
    <s v="Total: 1873 Policies (Batch 20180228_1128: 363 Policies, Batch 20180228_1446: 259 Policies, Batch 20180228_2237: 1251 Policies)"/>
    <n v="1"/>
    <x v="14"/>
  </r>
  <r>
    <x v="0"/>
    <x v="16"/>
    <d v="2018-03-01T00:00:00"/>
    <s v="Thu"/>
    <d v="1899-12-30T17:00:00"/>
    <d v="1899-12-30T21:00:00"/>
    <n v="8.0000000000000036"/>
    <n v="3.9999999999999982"/>
    <n v="3.9999999999999982"/>
    <s v="Normal Working Days before 10pm"/>
    <s v="Total: 1873 Policies (Batch 20180228_1128: 363 Policies, Batch 20180228_1446: 259 Policies, Batch 20180228_2237: 1251 Policies)"/>
    <n v="1"/>
    <x v="14"/>
  </r>
  <r>
    <x v="1"/>
    <x v="5"/>
    <d v="2018-03-01T00:00:00"/>
    <s v="Thu"/>
    <d v="1899-12-30T08:00:00"/>
    <d v="1899-12-30T21:00:00"/>
    <n v="0"/>
    <n v="12.000000000000002"/>
    <n v="12.000000000000002"/>
    <s v="Normal Working Days before 10pm"/>
    <s v="Total: 1873 Policies (Batch 20180228_1128: 363 Policies, Batch 20180228_1446: 259 Policies, Batch 20180228_2237: 1251 Policies)"/>
    <s v=""/>
    <x v="14"/>
  </r>
  <r>
    <x v="1"/>
    <x v="11"/>
    <d v="2018-03-01T00:00:00"/>
    <s v="Thu"/>
    <d v="1899-12-30T12:30:00"/>
    <d v="1899-12-30T21:00:00"/>
    <n v="0"/>
    <n v="7.5"/>
    <n v="7.5"/>
    <s v="Normal Working Days before 10pm"/>
    <s v="Total: 1873 Policies (Batch 20180228_1128: 363 Policies, Batch 20180228_1446: 259 Policies, Batch 20180228_2237: 1251 Policies)"/>
    <s v=""/>
    <x v="14"/>
  </r>
  <r>
    <x v="1"/>
    <x v="19"/>
    <d v="2018-03-01T00:00:00"/>
    <s v="Thu"/>
    <d v="1899-12-30T08:00:00"/>
    <d v="1899-12-30T21:00:00"/>
    <n v="0"/>
    <n v="12.000000000000002"/>
    <n v="12.000000000000002"/>
    <s v="Normal Working Days before 10pm"/>
    <s v="Total: 1873 Policies (Batch 20180228_1128: 363 Policies, Batch 20180228_1446: 259 Policies, Batch 20180228_2237: 1251 Policies)"/>
    <s v=""/>
    <x v="14"/>
  </r>
  <r>
    <x v="1"/>
    <x v="7"/>
    <d v="2018-03-01T00:00:00"/>
    <s v="Thu"/>
    <d v="1899-12-30T08:00:00"/>
    <d v="1899-12-30T15:00:00"/>
    <n v="0"/>
    <n v="6"/>
    <n v="6"/>
    <s v="Normal Working Days before 10pm"/>
    <s v="Total: 1873 Policies (Batch 20180228_1128: 363 Policies, Batch 20180228_1446: 259 Policies, Batch 20180228_2237: 1251 Policies)"/>
    <s v=""/>
    <x v="14"/>
  </r>
  <r>
    <x v="0"/>
    <x v="0"/>
    <d v="2018-03-02T00:00:00"/>
    <s v="Fri"/>
    <d v="1899-12-30T17:00:00"/>
    <d v="1899-12-30T17:30:00"/>
    <n v="8.0000000000000036"/>
    <n v="0.49999999999999822"/>
    <n v="0.49999999999999822"/>
    <s v="Normal Working Days before 10pm"/>
    <s v="Total: 809 Policies (Batch 20180228_0435: 630 Policies, Batch 20180301_0253: 178 Policies, Batch 20180301_1128: 1 Policies)"/>
    <s v=""/>
    <x v="14"/>
  </r>
  <r>
    <x v="0"/>
    <x v="2"/>
    <d v="2018-03-02T00:00:00"/>
    <s v="Fri"/>
    <d v="1899-12-30T17:00:00"/>
    <d v="1899-12-30T17:30:00"/>
    <n v="8.0000000000000036"/>
    <n v="0.49999999999999822"/>
    <n v="0.49999999999999822"/>
    <s v="Normal Working Days before 10pm"/>
    <s v="Total: 809 Policies (Batch 20180228_0435: 630 Policies, Batch 20180301_0253: 178 Policies, Batch 20180301_1128: 1 Policies)"/>
    <s v=""/>
    <x v="14"/>
  </r>
  <r>
    <x v="0"/>
    <x v="6"/>
    <d v="2018-03-02T00:00:00"/>
    <s v="Fri"/>
    <d v="1899-12-30T17:00:00"/>
    <d v="1899-12-30T17:30:00"/>
    <n v="8.0000000000000036"/>
    <n v="0.49999999999999822"/>
    <n v="0.49999999999999822"/>
    <s v="Normal Working Days before 10pm"/>
    <s v="Total: 809 Policies (Batch 20180228_0435: 630 Policies, Batch 20180301_0253: 178 Policies, Batch 20180301_1128: 1 Policies)"/>
    <s v=""/>
    <x v="14"/>
  </r>
  <r>
    <x v="0"/>
    <x v="15"/>
    <d v="2018-03-02T00:00:00"/>
    <s v="Fri"/>
    <d v="1899-12-30T17:00:00"/>
    <d v="1899-12-30T17:30:00"/>
    <n v="8.0000000000000036"/>
    <n v="0.49999999999999822"/>
    <n v="0.49999999999999822"/>
    <s v="Normal Working Days before 10pm"/>
    <s v="Total: 809 Policies (Batch 20180228_0435: 630 Policies, Batch 20180301_0253: 178 Policies, Batch 20180301_1128: 1 Policies)"/>
    <s v=""/>
    <x v="14"/>
  </r>
  <r>
    <x v="0"/>
    <x v="16"/>
    <d v="2018-03-02T00:00:00"/>
    <s v="Fri"/>
    <d v="1899-12-30T17:00:00"/>
    <d v="1899-12-30T17:30:00"/>
    <n v="8.0000000000000036"/>
    <n v="0.49999999999999822"/>
    <n v="0.49999999999999822"/>
    <s v="Normal Working Days before 10pm"/>
    <s v="Total: 809 Policies (Batch 20180228_0435: 630 Policies, Batch 20180301_0253: 178 Policies, Batch 20180301_1128: 1 Policies)"/>
    <s v=""/>
    <x v="14"/>
  </r>
  <r>
    <x v="1"/>
    <x v="5"/>
    <d v="2018-03-02T00:00:00"/>
    <s v="Fri"/>
    <d v="1899-12-30T08:00:00"/>
    <d v="1899-12-30T17:30:00"/>
    <n v="0"/>
    <n v="8.5000000000000018"/>
    <n v="8.5000000000000018"/>
    <s v="Normal Working Days before 10pm"/>
    <s v="Total: 809 Policies (Batch 20180228_0435: 630 Policies, Batch 20180301_0253: 178 Policies, Batch 20180301_1128: 1 Policies)"/>
    <s v=""/>
    <x v="14"/>
  </r>
  <r>
    <x v="1"/>
    <x v="11"/>
    <d v="2018-03-02T00:00:00"/>
    <s v="Fri"/>
    <d v="1899-12-30T08:00:00"/>
    <d v="1899-12-30T17:30:00"/>
    <n v="0"/>
    <n v="8.5000000000000018"/>
    <n v="8.5000000000000018"/>
    <s v="Normal Working Days before 10pm"/>
    <s v="Total: 809 Policies (Batch 20180228_0435: 630 Policies, Batch 20180301_0253: 178 Policies, Batch 20180301_1128: 1 Policies)"/>
    <s v=""/>
    <x v="14"/>
  </r>
  <r>
    <x v="1"/>
    <x v="19"/>
    <d v="2018-03-02T00:00:00"/>
    <s v="Fri"/>
    <d v="1899-12-30T08:00:00"/>
    <d v="1899-12-30T17:30:00"/>
    <n v="0"/>
    <n v="8.5000000000000018"/>
    <n v="8.5000000000000018"/>
    <s v="Normal Working Days before 10pm"/>
    <s v="Total: 809 Policies (Batch 20180228_0435: 630 Policies, Batch 20180301_0253: 178 Policies, Batch 20180301_1128: 1 Policies)"/>
    <s v=""/>
    <x v="14"/>
  </r>
  <r>
    <x v="1"/>
    <x v="7"/>
    <d v="2018-03-02T00:00:00"/>
    <s v="Fri"/>
    <d v="1899-12-30T08:00:00"/>
    <d v="1899-12-30T17:30:00"/>
    <n v="0"/>
    <n v="8.5000000000000018"/>
    <n v="8.5000000000000018"/>
    <s v="Normal Working Days before 10pm"/>
    <s v="Total: 809 Policies (Batch 20180228_0435: 630 Policies, Batch 20180301_0253: 178 Policies, Batch 20180301_1128: 1 Policies)"/>
    <s v=""/>
    <x v="14"/>
  </r>
  <r>
    <x v="1"/>
    <x v="21"/>
    <d v="2018-03-02T00:00:00"/>
    <s v="Fri"/>
    <d v="1899-12-30T09:00:00"/>
    <d v="1899-12-30T17:30:00"/>
    <n v="0"/>
    <n v="7.5000000000000018"/>
    <n v="7.5000000000000018"/>
    <s v="Normal Working Days before 10pm"/>
    <s v="Total: 809 Policies (Batch 20180228_0435: 630 Policies, Batch 20180301_0253: 178 Policies, Batch 20180301_1128: 1 Policies)"/>
    <s v=""/>
    <x v="14"/>
  </r>
  <r>
    <x v="1"/>
    <x v="5"/>
    <d v="2018-03-05T00:00:00"/>
    <s v="Mon"/>
    <d v="1899-12-30T08:30:00"/>
    <d v="1899-12-30T17:30:00"/>
    <n v="0"/>
    <n v="8.0000000000000036"/>
    <n v="8.0000000000000036"/>
    <s v="Normal Working Days before 10pm"/>
    <s v="Total: 650 Policies (Batch 20180302_1433: 169 Policies, Batch 20180302_2110: 440 Policies, Batch 20180305_1106: 41 Policies)"/>
    <s v=""/>
    <x v="14"/>
  </r>
  <r>
    <x v="1"/>
    <x v="7"/>
    <d v="2018-03-05T00:00:00"/>
    <s v="Mon"/>
    <d v="1899-12-30T10:00:00"/>
    <d v="1899-12-30T15:00:00"/>
    <n v="0"/>
    <n v="4"/>
    <n v="4"/>
    <s v="Normal Working Days before 10pm"/>
    <s v="Total: 650 Policies (Batch 20180302_1433: 169 Policies, Batch 20180302_2110: 440 Policies, Batch 20180305_1106: 41 Policies)"/>
    <s v=""/>
    <x v="14"/>
  </r>
  <r>
    <x v="1"/>
    <x v="5"/>
    <d v="2018-03-06T00:00:00"/>
    <s v="Tue"/>
    <d v="1899-12-30T08:30:00"/>
    <d v="1899-12-30T17:30:00"/>
    <n v="0"/>
    <n v="8.0000000000000036"/>
    <n v="8.0000000000000036"/>
    <s v="Normal Working Days before 10pm"/>
    <s v="Total: 562 Policies (Batch 20180305_1443: 144 Policies, Batch 20180305_2325: 367 policies, Batch 20180306_1123: 51 Policies)"/>
    <s v=""/>
    <x v="14"/>
  </r>
  <r>
    <x v="1"/>
    <x v="19"/>
    <d v="2018-03-06T00:00:00"/>
    <s v="Tue"/>
    <d v="1899-12-30T08:30:00"/>
    <d v="1899-12-30T16:00:00"/>
    <n v="0"/>
    <n v="6.5"/>
    <n v="6.5"/>
    <s v="Normal Working Days before 10pm"/>
    <s v="Total: 562 Policies (Batch 20180305_1443: 144 Policies, Batch 20180305_2325: 367 policies, Batch 20180306_1123: 51 Policies)"/>
    <s v=""/>
    <x v="14"/>
  </r>
  <r>
    <x v="1"/>
    <x v="5"/>
    <d v="2018-03-07T00:00:00"/>
    <s v="Wed"/>
    <d v="1899-12-30T08:30:00"/>
    <d v="1899-12-30T17:30:00"/>
    <n v="0"/>
    <n v="8.0000000000000036"/>
    <n v="8.0000000000000036"/>
    <s v="Normal Working Days before 10pm"/>
    <s v="Total: 608 Policies (Batch 20180306_1421: 136 Policies)"/>
    <s v=""/>
    <x v="14"/>
  </r>
  <r>
    <x v="1"/>
    <x v="21"/>
    <d v="2018-03-07T00:00:00"/>
    <s v="Wed"/>
    <d v="1899-12-30T08:30:00"/>
    <d v="1899-12-30T17:30:00"/>
    <n v="0"/>
    <n v="8.0000000000000036"/>
    <n v="8.0000000000000036"/>
    <s v="Normal Working Days before 10pm"/>
    <s v="Total: 608 Policies (Batch 20180306_1421: 136 Policies)"/>
    <s v=""/>
    <x v="14"/>
  </r>
  <r>
    <x v="0"/>
    <x v="2"/>
    <d v="2018-03-08T00:00:00"/>
    <s v="Thu"/>
    <d v="1899-12-30T17:30:00"/>
    <d v="1899-12-30T21:00:00"/>
    <n v="8.0000000000000036"/>
    <n v="3.4999999999999964"/>
    <n v="3.4999999999999964"/>
    <s v="Normal Working Days before 10pm"/>
    <s v="Annual Statement &amp; Total: 422 Policies (Batch 20180307_1432: 82 Policies, Batch 20180307_2215: 295 Policies, Batch 20180308_1106 : 45 Policies)"/>
    <n v="1"/>
    <x v="14"/>
  </r>
  <r>
    <x v="1"/>
    <x v="5"/>
    <d v="2018-03-08T00:00:00"/>
    <s v="Thu"/>
    <d v="1899-12-30T08:30:00"/>
    <d v="1899-12-30T17:30:00"/>
    <n v="0"/>
    <n v="8.0000000000000036"/>
    <n v="8.0000000000000036"/>
    <s v="Normal Working Days before 10pm"/>
    <s v="Total: 422 Policies (Batch 20180307_1432: 82 Policies, Batch 20180307_2215: 295 Policies, Batch 20180308_1106 : 45 Policies)"/>
    <s v=""/>
    <x v="14"/>
  </r>
  <r>
    <x v="1"/>
    <x v="19"/>
    <d v="2018-03-08T00:00:00"/>
    <s v="Thu"/>
    <d v="1899-12-30T08:30:00"/>
    <d v="1899-12-30T17:30:00"/>
    <n v="0"/>
    <n v="8.0000000000000036"/>
    <n v="8.0000000000000036"/>
    <s v="Normal Working Days before 10pm"/>
    <s v="Total: 422 Policies (Batch 20180307_1432: 82 Policies, Batch 20180307_2215: 295 Policies, Batch 20180308_1106 : 45 Policies)"/>
    <s v=""/>
    <x v="14"/>
  </r>
  <r>
    <x v="1"/>
    <x v="5"/>
    <d v="2018-03-09T00:00:00"/>
    <s v="Fri"/>
    <d v="1899-12-30T08:30:00"/>
    <d v="1899-12-30T17:30:00"/>
    <n v="0"/>
    <n v="8.0000000000000036"/>
    <n v="8.0000000000000036"/>
    <s v="Normal Working Days before 10pm"/>
    <s v="Total: 514 Policies (Batch 20180308_1454: 149 Policies , Batch 20180308_2309: 266 Policies; Batch 20180309_1103: 99 Policies)"/>
    <s v=""/>
    <x v="14"/>
  </r>
  <r>
    <x v="1"/>
    <x v="19"/>
    <d v="2018-03-09T00:00:00"/>
    <s v="Fri"/>
    <d v="1899-12-30T08:30:00"/>
    <d v="1899-12-30T17:30:00"/>
    <n v="0"/>
    <n v="8.0000000000000036"/>
    <n v="8.0000000000000036"/>
    <s v="Normal Working Days before 10pm"/>
    <s v="Total: 514 Policies (Batch 20180308_1454: 149 Policies , Batch 20180308_2309: 266 Policies; Batch 20180309_1103: 99 Policies)"/>
    <s v=""/>
    <x v="14"/>
  </r>
  <r>
    <x v="0"/>
    <x v="16"/>
    <d v="2018-03-12T00:00:00"/>
    <s v="Mon"/>
    <d v="1899-12-30T17:30:00"/>
    <d v="1899-12-30T21:30:00"/>
    <n v="8.0000000000000036"/>
    <n v="3.9999999999999982"/>
    <n v="3.9999999999999982"/>
    <s v="Normal Working Days before 10pm"/>
    <s v="Annual Statement &amp; Total: 582 Policies (Batch 20180309_1455: 132 Policies , Batch 20180309_2327: 370 Policies, Batch 20180312_1059: 80 Policies, Batch 20180312_1427: 105 Policies)"/>
    <n v="1"/>
    <x v="14"/>
  </r>
  <r>
    <x v="1"/>
    <x v="5"/>
    <d v="2018-03-12T00:00:00"/>
    <s v="Mon"/>
    <d v="1899-12-30T08:30:00"/>
    <d v="1899-12-30T17:30:00"/>
    <n v="0"/>
    <n v="8.0000000000000036"/>
    <n v="8.0000000000000036"/>
    <s v="Normal Working Days before 10pm"/>
    <s v="Total: 582 Policies (Batch 20180309_1455: 132 Policies , Batch 20180309_2327: 370 Policies, Batch 20180312_1059: 80 Policies, Batch 20180312_1427: 105 Policies)"/>
    <s v=""/>
    <x v="14"/>
  </r>
  <r>
    <x v="1"/>
    <x v="7"/>
    <d v="2018-03-12T00:00:00"/>
    <s v="Mon"/>
    <d v="1899-12-30T12:30:00"/>
    <d v="1899-12-30T17:30:00"/>
    <n v="0"/>
    <n v="5.0000000000000009"/>
    <n v="5.0000000000000009"/>
    <s v="Normal Working Days before 10pm"/>
    <s v="Total: 582 Policies (Batch 20180309_1455: 132 Policies , Batch 20180309_2327: 370 Policies, Batch 20180312_1059: 80 Policies, Batch 20180312_1427: 105 Policies)"/>
    <s v=""/>
    <x v="14"/>
  </r>
  <r>
    <x v="0"/>
    <x v="2"/>
    <d v="2018-03-13T00:00:00"/>
    <s v="Tue"/>
    <d v="1899-12-30T17:30:00"/>
    <d v="1899-12-30T21:30:00"/>
    <n v="8.0000000000000036"/>
    <n v="3.9999999999999982"/>
    <n v="3.9999999999999982"/>
    <s v="Normal Working Days before 10pm"/>
    <s v="Annual Statement &amp; Total: 1115 Policies ( Batch 20180312_1427: 105 Policies,  Batch 20180312_2252: 545 Policies, Batch 20180313_1100: 240 Policies, Batch 20180313_1432: 225 Policies,)"/>
    <n v="1"/>
    <x v="14"/>
  </r>
  <r>
    <x v="0"/>
    <x v="6"/>
    <d v="2018-03-13T00:00:00"/>
    <s v="Tue"/>
    <d v="1899-12-30T17:30:00"/>
    <d v="1899-12-30T21:30:00"/>
    <n v="8.0000000000000036"/>
    <n v="3.9999999999999982"/>
    <n v="3.9999999999999982"/>
    <s v="Normal Working Days before 10pm"/>
    <s v="Total: 1115 Policies ( Batch 20180312_1427: 105 Policies,  Batch 20180312_2252: 545 Policies, Batch 20180313_1100: 240 Policies, Batch 20180313_1432: 225 Policies,)"/>
    <n v="1"/>
    <x v="14"/>
  </r>
  <r>
    <x v="0"/>
    <x v="15"/>
    <d v="2018-03-13T00:00:00"/>
    <s v="Tue"/>
    <d v="1899-12-30T17:30:00"/>
    <d v="1899-12-30T21:30:00"/>
    <n v="8.0000000000000036"/>
    <n v="3.9999999999999982"/>
    <n v="3.9999999999999982"/>
    <s v="Normal Working Days before 10pm"/>
    <s v="Total: 1115 Policies ( Batch 20180312_1427: 105 Policies,  Batch 20180312_2252: 545 Policies, Batch 20180313_1100: 240 Policies, Batch 20180313_1432: 225 Policies,)"/>
    <n v="1"/>
    <x v="14"/>
  </r>
  <r>
    <x v="0"/>
    <x v="16"/>
    <d v="2018-03-13T00:00:00"/>
    <s v="Tue"/>
    <d v="1899-12-30T17:30:00"/>
    <d v="1899-12-30T21:30:00"/>
    <n v="8.0000000000000036"/>
    <n v="3.9999999999999982"/>
    <n v="3.9999999999999982"/>
    <s v="Normal Working Days before 10pm"/>
    <s v="Total: 1115 Policies ( Batch 20180312_1427: 105 Policies,  Batch 20180312_2252: 545 Policies, Batch 20180313_1100: 240 Policies, Batch 20180313_1432: 225 Policies,)"/>
    <n v="1"/>
    <x v="14"/>
  </r>
  <r>
    <x v="1"/>
    <x v="5"/>
    <d v="2018-03-13T00:00:00"/>
    <s v="Tue"/>
    <d v="1899-12-30T08:30:00"/>
    <d v="1899-12-30T21:30:00"/>
    <n v="0"/>
    <n v="12.000000000000002"/>
    <n v="12.000000000000002"/>
    <s v="Normal Working Days before 10pm"/>
    <s v="Total: 1115 Policies ( Batch 20180312_1427: 105 Policies,  Batch 20180312_2252: 545 Policies, Batch 20180313_1100: 240 Policies, Batch 20180313_1432: 225 Policies,)"/>
    <s v=""/>
    <x v="14"/>
  </r>
  <r>
    <x v="1"/>
    <x v="12"/>
    <d v="2018-03-13T00:00:00"/>
    <s v="Tue"/>
    <d v="1899-12-30T12:00:00"/>
    <d v="1899-12-30T21:30:00"/>
    <n v="0"/>
    <n v="8.5"/>
    <n v="8.5"/>
    <s v="Normal Working Days before 10pm"/>
    <s v="Total: 1115 Policies ( Batch 20180312_1427: 105 Policies,  Batch 20180312_2252: 545 Policies, Batch 20180313_1100: 240 Policies, Batch 20180313_1432: 225 Policies,)"/>
    <s v=""/>
    <x v="14"/>
  </r>
  <r>
    <x v="1"/>
    <x v="7"/>
    <d v="2018-03-13T00:00:00"/>
    <s v="Tue"/>
    <d v="1899-12-30T08:30:00"/>
    <d v="1899-12-30T16:00:00"/>
    <n v="0"/>
    <n v="6.5"/>
    <n v="6.5"/>
    <s v="Normal Working Days before 10pm"/>
    <s v="Total: 1115 Policies ( Batch 20180312_1427: 105 Policies,  Batch 20180312_2252: 545 Policies, Batch 20180313_1100: 240 Policies, Batch 20180313_1432: 225 Policies,)"/>
    <s v=""/>
    <x v="14"/>
  </r>
  <r>
    <x v="0"/>
    <x v="6"/>
    <d v="2018-03-14T00:00:00"/>
    <s v="Wed"/>
    <d v="1899-12-30T17:30:00"/>
    <d v="1899-12-30T21:00:00"/>
    <n v="8.0000000000000036"/>
    <n v="3.4999999999999964"/>
    <n v="3.4999999999999964"/>
    <s v="Normal Working Days before 10pm"/>
    <s v="Annual Statement &amp; Total: 687 Policies ( Batch 20180313_2328: 594 Policies,  Batch 20180314_1105: 93 Policies)"/>
    <n v="1"/>
    <x v="14"/>
  </r>
  <r>
    <x v="1"/>
    <x v="5"/>
    <d v="2018-03-14T00:00:00"/>
    <s v="Wed"/>
    <d v="1899-12-30T08:30:00"/>
    <d v="1899-12-30T17:30:00"/>
    <n v="0"/>
    <n v="8.0000000000000036"/>
    <n v="8.0000000000000036"/>
    <s v="Normal Working Days before 10pm"/>
    <s v="Total: 687 Policies ( Batch 20180313_2328: 594 Policies,  Batch 20180314_1105: 93 Policies)"/>
    <s v=""/>
    <x v="14"/>
  </r>
  <r>
    <x v="1"/>
    <x v="7"/>
    <d v="2018-03-14T00:00:00"/>
    <s v="Wed"/>
    <d v="1899-12-30T08:30:00"/>
    <d v="1899-12-30T17:30:00"/>
    <n v="0"/>
    <n v="8.0000000000000036"/>
    <n v="8.0000000000000036"/>
    <s v="Normal Working Days before 10pm"/>
    <s v="Total: 687 Policies ( Batch 20180313_2328: 594 Policies,  Batch 20180314_1105: 93 Policies)"/>
    <s v=""/>
    <x v="14"/>
  </r>
  <r>
    <x v="0"/>
    <x v="2"/>
    <d v="2018-03-15T00:00:00"/>
    <s v="Thu"/>
    <d v="1899-12-30T17:30:00"/>
    <d v="1899-12-30T21:30:00"/>
    <n v="8.0000000000000036"/>
    <n v="3.9999999999999982"/>
    <n v="3.9999999999999982"/>
    <s v="Normal Working Days before 10pm"/>
    <s v="Total: 1393 Policies ( Batch 20180314_1442: 258 Policies,  Batch 20180314_2307: 614 Policies, Batch 20180315_1130: 229 Policies, Batch 20180315_1510: 292 Policies)"/>
    <n v="1"/>
    <x v="14"/>
  </r>
  <r>
    <x v="0"/>
    <x v="6"/>
    <d v="2018-03-15T00:00:00"/>
    <s v="Thu"/>
    <d v="1899-12-30T17:30:00"/>
    <d v="1899-12-30T21:00:00"/>
    <n v="8.0000000000000036"/>
    <n v="3.4999999999999964"/>
    <n v="3.4999999999999964"/>
    <s v="Normal Working Days before 10pm"/>
    <s v="Total: 1393 Policies ( Batch 20180314_1442: 258 Policies,  Batch 20180314_2307: 614 Policies, Batch 20180315_1130: 229 Policies, Batch 20180315_1510: 292 Policies)"/>
    <n v="1"/>
    <x v="14"/>
  </r>
  <r>
    <x v="0"/>
    <x v="15"/>
    <d v="2018-03-15T00:00:00"/>
    <s v="Thu"/>
    <d v="1899-12-30T17:30:00"/>
    <d v="1899-12-30T21:00:00"/>
    <n v="8.0000000000000036"/>
    <n v="3.4999999999999964"/>
    <n v="3.4999999999999964"/>
    <s v="Normal Working Days before 10pm"/>
    <s v="Total: 1393 Policies ( Batch 20180314_1442: 258 Policies,  Batch 20180314_2307: 614 Policies, Batch 20180315_1130: 229 Policies, Batch 20180315_1510: 292 Policies)"/>
    <n v="1"/>
    <x v="14"/>
  </r>
  <r>
    <x v="0"/>
    <x v="16"/>
    <d v="2018-03-15T00:00:00"/>
    <s v="Thu"/>
    <d v="1899-12-30T17:30:00"/>
    <d v="1899-12-30T21:00:00"/>
    <n v="8.0000000000000036"/>
    <n v="3.4999999999999964"/>
    <n v="3.4999999999999964"/>
    <s v="Normal Working Days before 10pm"/>
    <s v="Annual Statement &amp; Total: 1393 Policies ( Batch 20180314_1442: 258 Policies,  Batch 20180314_2307: 614 Policies, Batch 20180315_1130: 229 Policies, Batch 20180315_1510: 292 Policies)"/>
    <n v="1"/>
    <x v="14"/>
  </r>
  <r>
    <x v="1"/>
    <x v="5"/>
    <d v="2018-03-15T00:00:00"/>
    <s v="Thu"/>
    <d v="1899-12-30T08:30:00"/>
    <d v="1899-12-30T21:00:00"/>
    <n v="0"/>
    <n v="11.5"/>
    <n v="11.5"/>
    <s v="Normal Working Days before 10pm"/>
    <s v="Total: 1393 Policies ( Batch 20180314_1442: 258 Policies,  Batch 20180314_2307: 614 Policies, Batch 20180315_1130: 229 Policies, Batch 20180315_1510: 292 Policies)"/>
    <s v=""/>
    <x v="14"/>
  </r>
  <r>
    <x v="1"/>
    <x v="12"/>
    <d v="2018-03-15T00:00:00"/>
    <s v="Thu"/>
    <d v="1899-12-30T16:00:00"/>
    <d v="1899-12-30T21:00:00"/>
    <n v="0"/>
    <n v="5.0000000000000009"/>
    <n v="5.0000000000000009"/>
    <s v="Normal Working Days before 10pm"/>
    <s v="Total: 1393 Policies ( Batch 20180314_1442: 258 Policies,  Batch 20180314_2307: 614 Policies, Batch 20180315_1130: 229 Policies, Batch 20180315_1510: 292 Policies)"/>
    <s v=""/>
    <x v="14"/>
  </r>
  <r>
    <x v="1"/>
    <x v="19"/>
    <d v="2018-03-15T00:00:00"/>
    <s v="Thu"/>
    <d v="1899-12-30T12:30:00"/>
    <d v="1899-12-30T19:00:00"/>
    <n v="0"/>
    <n v="6.4999999999999982"/>
    <n v="6.4999999999999982"/>
    <s v="Normal Working Days before 10pm"/>
    <s v="Total: 1393 Policies ( Batch 20180314_1442: 258 Policies,  Batch 20180314_2307: 614 Policies, Batch 20180315_1130: 229 Policies, Batch 20180315_1510: 292 Policies)"/>
    <s v=""/>
    <x v="14"/>
  </r>
  <r>
    <x v="1"/>
    <x v="7"/>
    <d v="2018-03-15T00:00:00"/>
    <s v="Thu"/>
    <d v="1899-12-30T08:30:00"/>
    <d v="1899-12-30T15:00:00"/>
    <n v="0"/>
    <n v="5.5000000000000009"/>
    <n v="5.5000000000000009"/>
    <s v="Normal Working Days before 10pm"/>
    <s v="Total: 1393 Policies ( Batch 20180314_1442: 258 Policies,  Batch 20180314_2307: 614 Policies, Batch 20180315_1130: 229 Policies, Batch 20180315_1510: 292 Policies)"/>
    <s v=""/>
    <x v="14"/>
  </r>
  <r>
    <x v="0"/>
    <x v="0"/>
    <d v="2018-03-16T00:00:00"/>
    <s v="Fri"/>
    <d v="1899-12-30T17:30:00"/>
    <d v="1899-12-30T21:30:00"/>
    <n v="8.0000000000000036"/>
    <n v="3.9999999999999982"/>
    <n v="3.9999999999999982"/>
    <s v="Normal Working Days before 10pm"/>
    <s v="Total: 950 Policies (Batch 20180315_2309: 624 Policies, Batch 20180316_1053: 101 Policies, Batch 20180316_1429: 225 Policies)"/>
    <n v="1"/>
    <x v="14"/>
  </r>
  <r>
    <x v="0"/>
    <x v="2"/>
    <d v="2018-03-16T00:00:00"/>
    <s v="Fri"/>
    <d v="1899-12-30T17:30:00"/>
    <d v="1899-12-30T21:30:00"/>
    <n v="8.0000000000000036"/>
    <n v="3.9999999999999982"/>
    <n v="3.9999999999999982"/>
    <s v="Normal Working Days before 10pm"/>
    <s v="Annual Statement &amp; Total: 950 Policies (Batch 20180315_2309: 624 Policies, Batch 20180316_1053: 101 Policies, Batch 20180316_1429: 225 Policies)"/>
    <n v="1"/>
    <x v="14"/>
  </r>
  <r>
    <x v="0"/>
    <x v="6"/>
    <d v="2018-03-16T00:00:00"/>
    <s v="Fri"/>
    <d v="1899-12-30T17:30:00"/>
    <d v="1899-12-30T19:30:00"/>
    <n v="8.0000000000000036"/>
    <n v="1.9999999999999964"/>
    <n v="1.9999999999999964"/>
    <s v="Normal Working Days before 10pm"/>
    <s v="Total: 950 Policies (Batch 20180315_2309: 624 Policies, Batch 20180316_1053: 101 Policies, Batch 20180316_1429: 225 Policies)"/>
    <n v="1"/>
    <x v="14"/>
  </r>
  <r>
    <x v="0"/>
    <x v="15"/>
    <d v="2018-03-16T00:00:00"/>
    <s v="Fri"/>
    <d v="1899-12-30T17:30:00"/>
    <d v="1899-12-30T21:30:00"/>
    <n v="8.0000000000000036"/>
    <n v="3.9999999999999982"/>
    <n v="3.9999999999999982"/>
    <s v="Normal Working Days before 10pm"/>
    <s v="Total: 950 Policies (Batch 20180315_2309: 624 Policies, Batch 20180316_1053: 101 Policies, Batch 20180316_1429: 225 Policies)"/>
    <n v="1"/>
    <x v="14"/>
  </r>
  <r>
    <x v="0"/>
    <x v="16"/>
    <d v="2018-03-16T00:00:00"/>
    <s v="Fri"/>
    <d v="1899-12-30T17:30:00"/>
    <d v="1899-12-30T21:30:00"/>
    <n v="8.0000000000000036"/>
    <n v="3.9999999999999982"/>
    <n v="3.9999999999999982"/>
    <s v="Normal Working Days before 10pm"/>
    <s v="Total: 950 Policies (Batch 20180315_2309: 624 Policies, Batch 20180316_1053: 101 Policies, Batch 20180316_1429: 225 Policies)"/>
    <n v="1"/>
    <x v="14"/>
  </r>
  <r>
    <x v="1"/>
    <x v="5"/>
    <d v="2018-03-16T00:00:00"/>
    <s v="Fri"/>
    <d v="1899-12-30T08:30:00"/>
    <d v="1899-12-30T21:30:00"/>
    <n v="0"/>
    <n v="12.000000000000002"/>
    <n v="12.000000000000002"/>
    <s v="Normal Working Days before 10pm"/>
    <s v="Total: 950 Policies (Batch 20180315_2309: 624 Policies, Batch 20180316_1053: 101 Policies, Batch 20180316_1429: 225 Policies)"/>
    <s v=""/>
    <x v="14"/>
  </r>
  <r>
    <x v="1"/>
    <x v="12"/>
    <d v="2018-03-16T00:00:00"/>
    <s v="Fri"/>
    <d v="1899-12-30T12:30:00"/>
    <d v="1899-12-30T21:30:00"/>
    <n v="0"/>
    <n v="9"/>
    <n v="9"/>
    <s v="Normal Working Days before 10pm"/>
    <s v="Total: 950 Policies (Batch 20180315_2309: 624 Policies, Batch 20180316_1053: 101 Policies, Batch 20180316_1429: 225 Policies)"/>
    <s v=""/>
    <x v="14"/>
  </r>
  <r>
    <x v="1"/>
    <x v="28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16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0"/>
    <x v="2"/>
    <d v="2018-03-18T00:00:00"/>
    <s v="Sun"/>
    <d v="1899-12-30T09:30:00"/>
    <d v="1899-12-30T12:00:00"/>
    <s v=""/>
    <n v="2.5000000000000004"/>
    <n v="2.5000000000000004"/>
    <s v="Saturday/Sunday (Weekends) before 10pm"/>
    <s v="Annual Statement 2018 (Phrase 2: Brochure Manual Insertion)"/>
    <s v=""/>
    <x v="14"/>
  </r>
  <r>
    <x v="0"/>
    <x v="16"/>
    <d v="2018-03-18T00:00:00"/>
    <s v="Sun"/>
    <d v="1899-12-30T07:30:00"/>
    <d v="1899-12-30T12:00:00"/>
    <s v=""/>
    <n v="4.5"/>
    <n v="4.5"/>
    <s v="Saturday/Sunday (Weekends) before 10pm"/>
    <s v="Annual Statement 2018 (Phrase 2: Brochure Manual Insertion)"/>
    <s v=""/>
    <x v="14"/>
  </r>
  <r>
    <x v="0"/>
    <x v="0"/>
    <d v="2018-03-19T00:00:00"/>
    <s v="Mon"/>
    <d v="1899-12-30T17:30:00"/>
    <d v="1899-12-30T21:30:00"/>
    <n v="8.0000000000000036"/>
    <n v="3.9999999999999982"/>
    <n v="3.9999999999999982"/>
    <s v="Normal Working Days before 10pm"/>
    <s v="Total: 1054 Policies (Batch 20180316_2331: 334 Policies, Batch 20180319_1122: 472 Policies, Batch 20180319_1428: 248 Policies)"/>
    <n v="1"/>
    <x v="14"/>
  </r>
  <r>
    <x v="0"/>
    <x v="2"/>
    <d v="2018-03-19T00:00:00"/>
    <s v="Mon"/>
    <d v="1899-12-30T17:30:00"/>
    <d v="1899-12-30T21:00:00"/>
    <n v="8.0000000000000036"/>
    <n v="3.4999999999999964"/>
    <n v="3.4999999999999964"/>
    <s v="Normal Working Days before 10pm"/>
    <s v="Total: 1054 Policies (Batch 20180316_2331: 334 Policies, Batch 20180319_1122: 472 Policies, Batch 20180319_1428: 248 Policies)"/>
    <n v="1"/>
    <x v="14"/>
  </r>
  <r>
    <x v="0"/>
    <x v="6"/>
    <d v="2018-03-19T00:00:00"/>
    <s v="Mon"/>
    <d v="1899-12-30T17:30:00"/>
    <d v="1899-12-30T20:30:00"/>
    <n v="8.0000000000000036"/>
    <n v="3"/>
    <n v="3"/>
    <s v="Normal Working Days before 10pm"/>
    <s v="Total: 1054 Policies (Batch 20180316_2331: 334 Policies)"/>
    <n v="1"/>
    <x v="14"/>
  </r>
  <r>
    <x v="0"/>
    <x v="15"/>
    <d v="2018-03-19T00:00:00"/>
    <s v="Mon"/>
    <d v="1899-12-30T17:30:00"/>
    <d v="1899-12-30T21:30:00"/>
    <n v="8.0000000000000036"/>
    <n v="3.9999999999999982"/>
    <n v="3.9999999999999982"/>
    <s v="Normal Working Days before 10pm"/>
    <s v="Total: 1054 Policies (Batch 20180316_2331: 334 Policies, Batch 20180319_1122: 472 Policies, Batch 20180319_1428: 248 Policies)"/>
    <n v="1"/>
    <x v="14"/>
  </r>
  <r>
    <x v="0"/>
    <x v="16"/>
    <d v="2018-03-19T00:00:00"/>
    <s v="Mon"/>
    <d v="1899-12-30T17:30:00"/>
    <d v="1899-12-30T21:30:00"/>
    <n v="8.0000000000000036"/>
    <n v="3.9999999999999982"/>
    <n v="3.9999999999999982"/>
    <s v="Normal Working Days before 10pm"/>
    <s v="Total: 1054 Policies (Batch 20180316_2331: 334 Policies, Batch 20180319_1122: 472 Policies, Batch 20180319_1428: 248 Policies)"/>
    <n v="1"/>
    <x v="14"/>
  </r>
  <r>
    <x v="1"/>
    <x v="5"/>
    <d v="2018-03-19T00:00:00"/>
    <s v="Mon"/>
    <d v="1899-12-30T08:30:00"/>
    <d v="1899-12-30T21:30:00"/>
    <n v="0"/>
    <n v="12.000000000000002"/>
    <n v="12.000000000000002"/>
    <s v="Normal Working Days before 10pm"/>
    <s v="Total: 1054 Policies (Batch 20180316_2331: 334 Policies, Batch 20180319_1122: 472 Policies, Batch 20180319_1428: 248 Policies)"/>
    <s v=""/>
    <x v="14"/>
  </r>
  <r>
    <x v="1"/>
    <x v="19"/>
    <d v="2018-03-19T00:00:00"/>
    <s v="Mon"/>
    <d v="1899-12-30T08:30:00"/>
    <d v="1899-12-30T16:00:00"/>
    <n v="0"/>
    <n v="6.5"/>
    <n v="6.5"/>
    <s v="Normal Working Days before 10pm"/>
    <s v="Annual Statement 2018 (Phrase 2: Brochure Manual Insertion)"/>
    <s v=""/>
    <x v="14"/>
  </r>
  <r>
    <x v="1"/>
    <x v="20"/>
    <d v="2018-03-19T00:00:00"/>
    <s v="Mon"/>
    <d v="1899-12-30T08:30:00"/>
    <d v="1899-12-30T16:30:00"/>
    <n v="0"/>
    <n v="7"/>
    <n v="7"/>
    <s v="Normal Working Days before 10pm"/>
    <s v="Annual Statement 2018 (Phrase 2: Brochure Manual Insertion)"/>
    <s v=""/>
    <x v="14"/>
  </r>
  <r>
    <x v="1"/>
    <x v="7"/>
    <d v="2018-03-19T00:00:00"/>
    <s v="Mon"/>
    <d v="1899-12-30T08:30:00"/>
    <d v="1899-12-30T16:00:00"/>
    <n v="0"/>
    <n v="6.5"/>
    <n v="6.5"/>
    <s v="Normal Working Days before 10pm"/>
    <s v="Annual Statement 2018 (Phrase 2: Brochure Manual Insertion)"/>
    <s v=""/>
    <x v="14"/>
  </r>
  <r>
    <x v="1"/>
    <x v="21"/>
    <d v="2018-03-19T00:00:00"/>
    <s v="Mon"/>
    <d v="1899-12-30T14:00:00"/>
    <d v="1899-12-30T17:30:00"/>
    <n v="0"/>
    <n v="3.5000000000000009"/>
    <n v="3.5000000000000009"/>
    <s v="Normal Working Days before 10pm"/>
    <s v="Annual Statement 2018 (Phrase 2: Brochure Manual Insertion)"/>
    <s v=""/>
    <x v="14"/>
  </r>
  <r>
    <x v="1"/>
    <x v="28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19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9"/>
    <d v="2018-03-19T00:00:00"/>
    <s v="Mon"/>
    <d v="1899-12-30T13:00:00"/>
    <d v="1899-12-30T17:30:00"/>
    <n v="0"/>
    <n v="4.5000000000000027"/>
    <n v="4.5000000000000027"/>
    <s v="Normal Working Days before 10pm"/>
    <s v="Annual Statement 2018 (Phrase 2: Brochure Manual Insertion)"/>
    <s v=""/>
    <x v="14"/>
  </r>
  <r>
    <x v="0"/>
    <x v="0"/>
    <d v="2018-03-20T00:00:00"/>
    <s v="Tue"/>
    <d v="1899-12-30T17:30:00"/>
    <d v="1899-12-30T21:00:00"/>
    <n v="8.0000000000000036"/>
    <n v="3.4999999999999964"/>
    <n v="3.4999999999999964"/>
    <s v="Normal Working Days before 10pm"/>
    <s v="Total: 1166 Policies (Batch 20180319_2109: 690 Policies, Batch 20180320_1114: 205 Policies, Batch 20180320_1422: 271 Policies)"/>
    <n v="1"/>
    <x v="14"/>
  </r>
  <r>
    <x v="0"/>
    <x v="2"/>
    <d v="2018-03-20T00:00:00"/>
    <s v="Tue"/>
    <d v="1899-12-30T17:30:00"/>
    <d v="1899-12-30T23:00:00"/>
    <n v="8.0000000000000036"/>
    <n v="5.4999999999999982"/>
    <n v="5.4999999999999982"/>
    <s v="Normal Working Days after 10pm"/>
    <s v="Annual Statement 2018 (Phrase 2: Brochure Manual Insertion) Total: 1166 Policies (Batch 20180319_2109: 690 Policies, Batch 20180320_1114: 205 Policies, Batch 20180320_1422: 271 Policies)"/>
    <n v="1"/>
    <x v="14"/>
  </r>
  <r>
    <x v="0"/>
    <x v="15"/>
    <d v="2018-03-20T00:00:00"/>
    <s v="Tue"/>
    <d v="1899-12-30T17:30:00"/>
    <d v="1899-12-30T21:00:00"/>
    <n v="8.0000000000000036"/>
    <n v="3.4999999999999964"/>
    <n v="3.4999999999999964"/>
    <s v="Normal Working Days before 10pm"/>
    <s v="Total: 1166 Policies (Batch 20180319_2109: 690 Policies, Batch 20180320_1114: 205 Policies, Batch 20180320_1422: 271 Policies)"/>
    <n v="1"/>
    <x v="14"/>
  </r>
  <r>
    <x v="0"/>
    <x v="16"/>
    <d v="2018-03-20T00:00:00"/>
    <s v="Tue"/>
    <d v="1899-12-30T17:30:00"/>
    <d v="1899-12-30T21:30:00"/>
    <n v="8.0000000000000036"/>
    <n v="3.9999999999999982"/>
    <n v="3.9999999999999982"/>
    <s v="Normal Working Days before 10pm"/>
    <s v="Total: 1166 Policies (Batch 20180319_2109: 690 Policies, Batch 20180320_1114: 205 Policies, Batch 20180320_1422: 271 Policies)"/>
    <n v="1"/>
    <x v="14"/>
  </r>
  <r>
    <x v="1"/>
    <x v="5"/>
    <d v="2018-03-20T00:00:00"/>
    <s v="Tue"/>
    <d v="1899-12-30T08:30:00"/>
    <d v="1899-12-30T21:00:00"/>
    <n v="0"/>
    <n v="11.5"/>
    <n v="11.5"/>
    <s v="Normal Working Days before 10pm"/>
    <s v="Total: 1166 Policies (Batch 20180319_2109: 690 Policies, Batch 20180320_1114: 205 Policies, Batch 20180320_1422: 271 Policies)"/>
    <s v=""/>
    <x v="14"/>
  </r>
  <r>
    <x v="1"/>
    <x v="12"/>
    <d v="2018-03-20T00:00:00"/>
    <s v="Tue"/>
    <d v="1899-12-30T12:30:00"/>
    <d v="1899-12-30T21:00:00"/>
    <n v="0"/>
    <n v="8.5"/>
    <n v="8.5"/>
    <s v="Normal Working Days before 10pm"/>
    <s v="Total: 1166 Policies (Batch 20180319_2109: 690 Policies, Batch 20180320_1114: 205 Policies, Batch 20180320_1422: 271 Policies)"/>
    <s v=""/>
    <x v="14"/>
  </r>
  <r>
    <x v="1"/>
    <x v="19"/>
    <d v="2018-03-20T00:00:00"/>
    <s v="Tue"/>
    <d v="1899-12-30T08:30:00"/>
    <d v="1899-12-30T21:00:00"/>
    <n v="0"/>
    <n v="11.5"/>
    <n v="11.5"/>
    <s v="Normal Working Days before 10pm"/>
    <s v="Total: 1166 Policies (Batch 20180319_2109: 690 Policies, Batch 20180320_1114: 205 Policies, Batch 20180320_1422: 271 Policies)"/>
    <s v=""/>
    <x v="14"/>
  </r>
  <r>
    <x v="1"/>
    <x v="20"/>
    <d v="2018-03-20T00:00:00"/>
    <s v="Tue"/>
    <d v="1899-12-30T08:30:00"/>
    <d v="1899-12-30T21:00:00"/>
    <n v="0"/>
    <n v="11.5"/>
    <n v="11.5"/>
    <s v="Normal Working Days before 10pm"/>
    <s v="Total: 1166 Policies (Batch 20180319_2109: 690 Policies, Batch 20180320_1114: 205 Policies, Batch 20180320_1422: 271 Policies)"/>
    <s v=""/>
    <x v="14"/>
  </r>
  <r>
    <x v="1"/>
    <x v="7"/>
    <d v="2018-03-20T00:00:00"/>
    <s v="Tue"/>
    <d v="1899-12-30T08:30:00"/>
    <d v="1899-12-30T17:30:00"/>
    <n v="0"/>
    <n v="8.0000000000000036"/>
    <n v="8.0000000000000036"/>
    <s v="Normal Working Days before 10pm"/>
    <s v="Total: 1166 Policies (Annual Statement 2018 (Phrase 2: Brochure Manual Insertion))"/>
    <s v=""/>
    <x v="14"/>
  </r>
  <r>
    <x v="1"/>
    <x v="21"/>
    <d v="2018-03-20T00:00:00"/>
    <s v="Tue"/>
    <d v="1899-12-30T08:30:00"/>
    <d v="1899-12-30T17:30:00"/>
    <n v="0"/>
    <n v="8.0000000000000036"/>
    <n v="8.0000000000000036"/>
    <s v="Normal Working Days before 10pm"/>
    <s v="Total: 1166 Policies (Annual Statement 2018 (Phrase 2: Brochure Manual Insertion))"/>
    <s v=""/>
    <x v="14"/>
  </r>
  <r>
    <x v="1"/>
    <x v="28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9"/>
    <d v="2018-03-20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0"/>
    <x v="0"/>
    <d v="2018-03-21T00:00:00"/>
    <s v="Wed"/>
    <d v="1899-12-30T17:30:00"/>
    <d v="1899-12-30T20:00:00"/>
    <n v="8.0000000000000036"/>
    <n v="2.4999999999999982"/>
    <n v="2.4999999999999982"/>
    <s v="Normal Working Days before 10pm"/>
    <s v="Total: 655 Policies (Batch 20180320_2206: 545 Policies, Batch 20180321_9999: 2 Policies, Batch 20180321_1112: 108 Policies)"/>
    <n v="1"/>
    <x v="14"/>
  </r>
  <r>
    <x v="0"/>
    <x v="2"/>
    <d v="2018-03-21T00:00:00"/>
    <s v="Wed"/>
    <d v="1899-12-30T14:00:00"/>
    <d v="1899-12-30T22:00:00"/>
    <n v="8.0000000000000036"/>
    <n v="7.9999999999999964"/>
    <n v="7.9999999999999964"/>
    <s v="Normal Working Days before 10pm"/>
    <s v="Annual Statement 2018 (Phrase 2: Brochure Manual Insertion) Total: 655 Policies (Batch 20180320_2206: 545 Policies, Batch 20180321_9999: 2 Policies, Batch 20180321_1112: 108 Policies)"/>
    <n v="1"/>
    <x v="14"/>
  </r>
  <r>
    <x v="0"/>
    <x v="15"/>
    <d v="2018-03-21T00:00:00"/>
    <s v="Wed"/>
    <d v="1899-12-30T17:30:00"/>
    <d v="1899-12-30T20:00:00"/>
    <n v="8.0000000000000036"/>
    <n v="2.4999999999999982"/>
    <n v="2.4999999999999982"/>
    <s v="Normal Working Days before 10pm"/>
    <s v="Total: 655 Policies (Batch 20180320_2206: 545 Policies, Batch 20180321_9999: 2 Policies, Batch 20180321_1112: 108 Policies)"/>
    <n v="1"/>
    <x v="14"/>
  </r>
  <r>
    <x v="0"/>
    <x v="16"/>
    <d v="2018-03-21T00:00:00"/>
    <s v="Wed"/>
    <d v="1899-12-30T14:00:00"/>
    <d v="1899-12-30T22:00:00"/>
    <n v="8.0000000000000036"/>
    <n v="7.9999999999999964"/>
    <n v="7.9999999999999964"/>
    <s v="Normal Working Days before 10pm"/>
    <s v="Annual Statement 2018 (Phrase 2: Brochure Manual Insertion) Total: 655 Policies (Batch 20180320_2206: 545 Policies, Batch 20180321_9999: 2 Policies, Batch 20180321_1112: 108 Policies)"/>
    <n v="1"/>
    <x v="14"/>
  </r>
  <r>
    <x v="1"/>
    <x v="5"/>
    <d v="2018-03-21T00:00:00"/>
    <s v="Wed"/>
    <d v="1899-12-30T08:30:00"/>
    <d v="1899-12-30T20:00:00"/>
    <n v="0"/>
    <n v="10.500000000000002"/>
    <n v="10.500000000000002"/>
    <s v="Normal Working Days before 10pm"/>
    <s v="Total: 655 Policies (Batch 20180320_2206: 545 Policies, Batch 20180321_9999: 2 Policies, Batch 20180321_1112: 108 Policies)"/>
    <s v=""/>
    <x v="14"/>
  </r>
  <r>
    <x v="1"/>
    <x v="19"/>
    <d v="2018-03-21T00:00:00"/>
    <s v="Wed"/>
    <d v="1899-12-30T08:30:00"/>
    <d v="1899-12-30T16:00:00"/>
    <n v="0"/>
    <n v="6.5"/>
    <n v="6.5"/>
    <s v="Normal Working Days before 10pm"/>
    <s v="Annual Statement 2018 (Phrase 2: Brochure Manual Insertion)"/>
    <s v=""/>
    <x v="14"/>
  </r>
  <r>
    <x v="1"/>
    <x v="20"/>
    <d v="2018-03-21T00:00:00"/>
    <s v="Wed"/>
    <d v="1899-12-30T08:30:00"/>
    <d v="1899-12-30T16:00:00"/>
    <n v="0"/>
    <n v="6.5"/>
    <n v="6.5"/>
    <s v="Normal Working Days before 10pm"/>
    <s v="Annual Statement 2018 (Phrase 2: Brochure Manual Insertion)"/>
    <s v=""/>
    <x v="14"/>
  </r>
  <r>
    <x v="1"/>
    <x v="7"/>
    <d v="2018-03-21T00:00:00"/>
    <s v="Wed"/>
    <d v="1899-12-30T08:30:00"/>
    <d v="1899-12-30T16:30:00"/>
    <n v="0"/>
    <n v="7"/>
    <n v="7"/>
    <s v="Normal Working Days before 10pm"/>
    <s v="Annual Statement 2018 (Phrase 2: Brochure Manual Insertion)"/>
    <s v=""/>
    <x v="14"/>
  </r>
  <r>
    <x v="1"/>
    <x v="21"/>
    <d v="2018-03-21T00:00:00"/>
    <s v="Wed"/>
    <d v="1899-12-30T08:30:00"/>
    <d v="1899-12-30T20:00:00"/>
    <n v="0"/>
    <n v="10.500000000000002"/>
    <n v="10.500000000000002"/>
    <s v="Normal Working Days before 10pm"/>
    <s v="Annual Statement 2018 (Phrase 2: Brochure Manual Insertion)"/>
    <s v=""/>
    <x v="14"/>
  </r>
  <r>
    <x v="1"/>
    <x v="28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9"/>
    <d v="2018-03-21T00:00:00"/>
    <s v="Wed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0"/>
    <x v="0"/>
    <d v="2018-03-22T00:00:00"/>
    <s v="Thu"/>
    <d v="1899-12-30T17:30:00"/>
    <d v="1899-12-30T19:00:00"/>
    <n v="8.0000000000000036"/>
    <n v="1.4999999999999964"/>
    <n v="1.4999999999999964"/>
    <s v="Normal Working Days before 10pm"/>
    <s v="Total: 1160 Policies (Batch 20180321_1434: 220 Policies, Batch 20180321_2306: 590 Policies, Batch 20180322_1046: 115 Policies, Batch 20180322_1427: 235 Policies)"/>
    <s v=""/>
    <x v="14"/>
  </r>
  <r>
    <x v="0"/>
    <x v="2"/>
    <d v="2018-03-22T00:00:00"/>
    <s v="Thu"/>
    <d v="1899-12-30T17:30:00"/>
    <d v="1899-12-30T21:30:00"/>
    <n v="8.0000000000000036"/>
    <n v="3.9999999999999982"/>
    <n v="3.9999999999999982"/>
    <s v="Normal Working Days before 10pm"/>
    <s v="Total: 1160 Policies (Batch 20180321_1434: 220 Policies, Batch 20180321_2306: 590 Policies, Batch 20180322_1046: 115 Policies, Batch 20180322_1427: 235 Policies)"/>
    <n v="1"/>
    <x v="14"/>
  </r>
  <r>
    <x v="0"/>
    <x v="6"/>
    <d v="2018-03-22T00:00:00"/>
    <s v="Thu"/>
    <d v="1899-12-30T17:30:00"/>
    <d v="1899-12-30T21:30:00"/>
    <n v="8.0000000000000036"/>
    <n v="3.9999999999999982"/>
    <n v="3.9999999999999982"/>
    <s v="Normal Working Days before 10pm"/>
    <s v="Total: 1160 Policies (Batch 20180321_1434: 220 Policies, Batch 20180321_2306: 590 Policies, Batch 20180322_1046: 115 Policies, Batch 20180322_1427: 235 Policies)"/>
    <n v="1"/>
    <x v="14"/>
  </r>
  <r>
    <x v="0"/>
    <x v="15"/>
    <d v="2018-03-22T00:00:00"/>
    <s v="Thu"/>
    <d v="1899-12-30T17:30:00"/>
    <d v="1899-12-30T21:30:00"/>
    <n v="8.0000000000000036"/>
    <n v="3.9999999999999982"/>
    <n v="3.9999999999999982"/>
    <s v="Normal Working Days before 10pm"/>
    <s v="Total: 1160 Policies (Batch 20180321_1434: 220 Policies, Batch 20180321_2306: 590 Policies, Batch 20180322_1046: 115 Policies, Batch 20180322_1427: 235 Policies)"/>
    <n v="1"/>
    <x v="14"/>
  </r>
  <r>
    <x v="0"/>
    <x v="16"/>
    <d v="2018-03-22T00:00:00"/>
    <s v="Thu"/>
    <d v="1899-12-30T15:30:00"/>
    <d v="1899-12-30T20:30:00"/>
    <n v="8.0000000000000036"/>
    <n v="5"/>
    <n v="5"/>
    <s v="Normal Working Days before 10pm"/>
    <s v="Total: 1160 Policies (Batch 20180321_1434: 220 Policies, Batch 20180321_2306: 590 Policies, Batch 20180322_1046: 115 Policies, Batch 20180322_1427: 235 Policies)"/>
    <n v="1"/>
    <x v="14"/>
  </r>
  <r>
    <x v="1"/>
    <x v="5"/>
    <d v="2018-03-22T00:00:00"/>
    <s v="Thu"/>
    <d v="1899-12-30T08:30:00"/>
    <d v="1899-12-30T21:30:00"/>
    <n v="0"/>
    <n v="12.000000000000002"/>
    <n v="12.000000000000002"/>
    <s v="Normal Working Days before 10pm"/>
    <s v="Total: 1160 Policies (Batch 20180321_1434: 220 Policies, Batch 20180321_2306: 590 Policies, Batch 20180322_1046: 115 Policies, Batch 20180322_1427: 235 Policies)"/>
    <s v=""/>
    <x v="14"/>
  </r>
  <r>
    <x v="1"/>
    <x v="12"/>
    <d v="2018-03-22T00:00:00"/>
    <s v="Thu"/>
    <d v="1899-12-30T15:00:00"/>
    <d v="1899-12-30T21:30:00"/>
    <n v="0"/>
    <n v="6.5000000000000009"/>
    <n v="6.5000000000000009"/>
    <s v="Normal Working Days before 10pm"/>
    <s v="Total: 1160 Policies (Batch 20180321_1434: 220 Policies, Batch 20180321_2306: 590 Policies, Batch 20180322_1046: 115 Policies, Batch 20180322_1427: 235 Policies)"/>
    <s v=""/>
    <x v="14"/>
  </r>
  <r>
    <x v="1"/>
    <x v="19"/>
    <d v="2018-03-22T00:00:00"/>
    <s v="Thu"/>
    <d v="1899-12-30T08:30:00"/>
    <d v="1899-12-30T21:30:00"/>
    <n v="0"/>
    <n v="12.000000000000002"/>
    <n v="12.000000000000002"/>
    <s v="Normal Working Days before 10pm"/>
    <s v="Annual Statement 2018 (Phrase 2: Brochure Manual Insertion)"/>
    <s v=""/>
    <x v="14"/>
  </r>
  <r>
    <x v="1"/>
    <x v="20"/>
    <d v="2018-03-22T00:00:00"/>
    <s v="Thu"/>
    <d v="1899-12-30T08:30:00"/>
    <d v="1899-12-30T21:30:00"/>
    <n v="0"/>
    <n v="12.000000000000002"/>
    <n v="12.000000000000002"/>
    <s v="Normal Working Days before 10pm"/>
    <s v="Annual Statement 2018 (Phrase 2: Brochure Manual Insertion)"/>
    <s v=""/>
    <x v="14"/>
  </r>
  <r>
    <x v="1"/>
    <x v="7"/>
    <d v="2018-03-22T00:00:00"/>
    <s v="Thu"/>
    <d v="1899-12-30T08:30:00"/>
    <d v="1899-12-30T21:30:00"/>
    <n v="0"/>
    <n v="12.000000000000002"/>
    <n v="12.000000000000002"/>
    <s v="Normal Working Days before 10pm"/>
    <s v="Total: 1160 Policies (Batch 20180321_1434: 220 Policies, Batch 20180321_2306: 590 Policies, Batch 20180322_1046: 115 Policies, Batch 20180322_1427: 235 Policies)"/>
    <s v=""/>
    <x v="14"/>
  </r>
  <r>
    <x v="1"/>
    <x v="21"/>
    <d v="2018-03-22T00:00:00"/>
    <s v="Thu"/>
    <d v="1899-12-30T13:15:00"/>
    <d v="1899-12-30T17:30:00"/>
    <n v="0"/>
    <n v="4.2500000000000036"/>
    <n v="4.2500000000000036"/>
    <s v="Normal Working Days before 10pm"/>
    <s v="Total: 1160 Policies (Batch 20180321_1434: 220 Policies, Batch 20180321_2306: 590 Policies, Batch 20180322_1046: 115 Policies, Batch 20180322_1427: 235 Policies)"/>
    <s v=""/>
    <x v="14"/>
  </r>
  <r>
    <x v="1"/>
    <x v="28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9"/>
    <d v="2018-03-22T00:00:00"/>
    <s v="Thu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0"/>
    <x v="0"/>
    <d v="2018-03-23T00:00:00"/>
    <s v="Fri"/>
    <d v="1899-12-30T17:30:00"/>
    <d v="1899-12-30T21:00:00"/>
    <n v="8.0000000000000036"/>
    <n v="3.4999999999999964"/>
    <n v="3.4999999999999964"/>
    <s v="Normal Working Days before 10pm"/>
    <s v="Total: 897 Policies (Batch 20180322_2316: 559 Policies, Batch 20180323_1045: 68 Policies, Batch 20180323_1423: 270 Policies)"/>
    <n v="1"/>
    <x v="14"/>
  </r>
  <r>
    <x v="0"/>
    <x v="2"/>
    <d v="2018-03-23T00:00:00"/>
    <s v="Fri"/>
    <d v="1899-12-30T17:00:00"/>
    <d v="1899-12-30T20:00:00"/>
    <n v="8.0000000000000036"/>
    <n v="2.9999999999999964"/>
    <n v="2.9999999999999964"/>
    <s v="Normal Working Days before 10pm"/>
    <s v="Total: 897 Policies (Batch 20180322_2316: 559 Policies, Batch 20180323_1045: 68 Policies, Batch 20180323_1423: 270 Policies)"/>
    <n v="1"/>
    <x v="14"/>
  </r>
  <r>
    <x v="0"/>
    <x v="6"/>
    <d v="2018-03-23T00:00:00"/>
    <s v="Fri"/>
    <d v="1899-12-30T15:30:00"/>
    <d v="1899-12-30T21:00:00"/>
    <n v="0"/>
    <n v="5.5"/>
    <n v="5.5"/>
    <s v="Normal Working Days before 10pm"/>
    <s v="Total: 897 Policies (Batch 20180322_2316: 559 Policies, Batch 20180323_1045: 68 Policies, Batch 20180323_1423: 270 Policies)"/>
    <s v=""/>
    <x v="14"/>
  </r>
  <r>
    <x v="0"/>
    <x v="15"/>
    <d v="2018-03-23T00:00:00"/>
    <s v="Fri"/>
    <d v="1899-12-30T17:30:00"/>
    <d v="1899-12-30T21:00:00"/>
    <n v="8.0000000000000036"/>
    <n v="3.4999999999999964"/>
    <n v="3.4999999999999964"/>
    <s v="Normal Working Days before 10pm"/>
    <s v="Total: 897 Policies (Batch 20180322_2316: 559 Policies, Batch 20180323_1045: 68 Policies, Batch 20180323_1423: 270 Policies)"/>
    <n v="1"/>
    <x v="14"/>
  </r>
  <r>
    <x v="0"/>
    <x v="16"/>
    <d v="2018-03-23T00:00:00"/>
    <s v="Fri"/>
    <d v="1899-12-30T16:30:00"/>
    <d v="1899-12-30T21:30:00"/>
    <n v="8.0000000000000036"/>
    <n v="4.9999999999999964"/>
    <n v="4.9999999999999964"/>
    <s v="Normal Working Days before 10pm"/>
    <s v="Total: 897 Policies (Batch 20180322_2316: 559 Policies, Batch 20180323_1045: 68 Policies, Batch 20180323_1423: 270 Policies)"/>
    <n v="1"/>
    <x v="14"/>
  </r>
  <r>
    <x v="1"/>
    <x v="5"/>
    <d v="2018-03-23T00:00:00"/>
    <s v="Fri"/>
    <d v="1899-12-30T08:30:00"/>
    <d v="1899-12-30T21:00:00"/>
    <n v="0"/>
    <n v="11.5"/>
    <n v="11.5"/>
    <s v="Normal Working Days before 10pm"/>
    <s v="Total: 897 Policies (Batch 20180322_2316: 559 Policies, Batch 20180323_1045: 68 Policies, Batch 20180323_1423: 270 Policies)"/>
    <s v=""/>
    <x v="14"/>
  </r>
  <r>
    <x v="1"/>
    <x v="12"/>
    <d v="2018-03-23T00:00:00"/>
    <s v="Fri"/>
    <d v="1899-12-30T13:00:00"/>
    <d v="1899-12-30T21:00:00"/>
    <n v="0"/>
    <n v="8"/>
    <n v="8"/>
    <s v="Normal Working Days before 10pm"/>
    <s v="Annual Statement 2018 (Phrase 2: Brochure Manual Insertion)"/>
    <s v=""/>
    <x v="14"/>
  </r>
  <r>
    <x v="1"/>
    <x v="20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7"/>
    <d v="2018-03-23T00:00:00"/>
    <s v="Fri"/>
    <d v="1899-12-30T08:30:00"/>
    <d v="1899-12-30T17:30:00"/>
    <n v="0"/>
    <n v="8.0000000000000036"/>
    <n v="8.0000000000000036"/>
    <s v="Normal Working Days before 10pm"/>
    <s v="Total: 897 Policies"/>
    <s v=""/>
    <x v="14"/>
  </r>
  <r>
    <x v="1"/>
    <x v="21"/>
    <d v="2018-03-23T00:00:00"/>
    <s v="Fri"/>
    <d v="1899-12-30T08:30:00"/>
    <d v="1899-12-30T17:30:00"/>
    <n v="0"/>
    <n v="8.0000000000000036"/>
    <n v="8.0000000000000036"/>
    <s v="Normal Working Days before 10pm"/>
    <s v="Total: 897 Policies"/>
    <s v=""/>
    <x v="14"/>
  </r>
  <r>
    <x v="1"/>
    <x v="28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9"/>
    <d v="2018-03-23T00:00:00"/>
    <s v="Fri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0"/>
    <x v="0"/>
    <d v="2018-03-24T00:00:00"/>
    <s v="Sat"/>
    <d v="1899-12-30T17:30:00"/>
    <d v="1899-12-30T21:30:00"/>
    <n v="8.0000000000000036"/>
    <n v="3.9999999999999982"/>
    <n v="12.000000000000002"/>
    <s v="Saturday/Sunday (Weekends) before 10pm"/>
    <s v="Annual Statement 2018 (Phrase 2: Brochure Manual Insertion)"/>
    <n v="1"/>
    <x v="14"/>
  </r>
  <r>
    <x v="0"/>
    <x v="2"/>
    <d v="2018-03-24T00:00:00"/>
    <s v="Sat"/>
    <d v="1899-12-30T17:30:00"/>
    <d v="1899-12-30T20:30:00"/>
    <n v="8.0000000000000036"/>
    <n v="3"/>
    <n v="11.000000000000004"/>
    <s v="Saturday/Sunday (Weekends) before 10pm"/>
    <s v="Annual Statement 2018 (Phrase 2: Brochure Manual Insertion)"/>
    <n v="1"/>
    <x v="14"/>
  </r>
  <r>
    <x v="0"/>
    <x v="6"/>
    <d v="2018-03-24T00:00:00"/>
    <s v="Sat"/>
    <d v="1899-12-30T17:30:00"/>
    <d v="1899-12-30T21:30:00"/>
    <n v="8.0000000000000036"/>
    <n v="3.9999999999999982"/>
    <n v="12.000000000000002"/>
    <s v="Saturday/Sunday (Weekends) before 10pm"/>
    <s v="Annual Statement 2018 (Phrase 2: Brochure Manual Insertion)"/>
    <n v="1"/>
    <x v="14"/>
  </r>
  <r>
    <x v="0"/>
    <x v="15"/>
    <d v="2018-03-24T00:00:00"/>
    <s v="Sat"/>
    <d v="1899-12-30T17:30:00"/>
    <d v="1899-12-30T21:30:00"/>
    <n v="8.0000000000000036"/>
    <n v="3.9999999999999982"/>
    <n v="12.000000000000002"/>
    <s v="Saturday/Sunday (Weekends) before 10pm"/>
    <s v="Annual Statement 2018 (Phrase 2: Brochure Manual Insertion)"/>
    <n v="1"/>
    <x v="14"/>
  </r>
  <r>
    <x v="0"/>
    <x v="16"/>
    <d v="2018-03-24T00:00:00"/>
    <s v="Sat"/>
    <d v="1899-12-30T16:30:00"/>
    <d v="1899-12-30T21:30:00"/>
    <n v="8.0000000000000036"/>
    <n v="4.9999999999999964"/>
    <n v="13"/>
    <s v="Saturday/Sunday (Weekends) before 10pm"/>
    <s v="Annual Statement 2018 (Phrase 2: Brochure Manual Insertion)"/>
    <n v="1"/>
    <x v="14"/>
  </r>
  <r>
    <x v="1"/>
    <x v="5"/>
    <d v="2018-03-24T00:00:00"/>
    <s v="Sat"/>
    <d v="1899-12-30T08:30:00"/>
    <d v="1899-12-30T21:30:00"/>
    <n v="0"/>
    <n v="12.000000000000002"/>
    <n v="12.000000000000002"/>
    <s v="Saturday/Sunday (Weekends) before 10pm"/>
    <s v="Annual Statement 2018 (Phrase 2: Brochure Manual Insertion)"/>
    <s v=""/>
    <x v="14"/>
  </r>
  <r>
    <x v="1"/>
    <x v="12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1"/>
    <x v="19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1"/>
    <x v="20"/>
    <d v="2018-03-24T00:00:00"/>
    <s v="Sat"/>
    <d v="1899-12-30T08:30:00"/>
    <d v="1899-12-30T21:30:00"/>
    <n v="0"/>
    <n v="12.000000000000002"/>
    <n v="12.000000000000002"/>
    <s v="Saturday/Sunday (Weekends) before 10pm"/>
    <s v="Annual Statement 2018 (Phrase 2: Brochure Manual Insertion)"/>
    <s v=""/>
    <x v="14"/>
  </r>
  <r>
    <x v="1"/>
    <x v="7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1"/>
    <x v="21"/>
    <d v="2018-03-24T00:00:00"/>
    <s v="Sat"/>
    <d v="1899-12-30T08:30:00"/>
    <d v="1899-12-30T20:00:00"/>
    <n v="0"/>
    <n v="10.500000000000002"/>
    <n v="10.500000000000002"/>
    <s v="Saturday/Sunday (Weekends) before 10pm"/>
    <s v="Annual Statement 2018 (Phrase 2: Brochure Manual Insertion)"/>
    <s v=""/>
    <x v="14"/>
  </r>
  <r>
    <x v="1"/>
    <x v="29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1"/>
    <x v="34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1"/>
    <x v="35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1"/>
    <x v="37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1"/>
    <x v="38"/>
    <d v="2018-03-24T00:00:00"/>
    <s v="Sat"/>
    <d v="1899-12-30T08:30:00"/>
    <d v="1899-12-30T17:30:00"/>
    <n v="0"/>
    <n v="8.0000000000000036"/>
    <n v="8.0000000000000036"/>
    <s v="Saturday/Sunday (Weekends) before 10pm"/>
    <s v="Annual Statement 2018 (Phrase 2: Brochure Manual Insertion)"/>
    <s v=""/>
    <x v="14"/>
  </r>
  <r>
    <x v="0"/>
    <x v="0"/>
    <d v="2018-03-25T00:00:00"/>
    <s v="Sun"/>
    <d v="1899-12-30T09:00:00"/>
    <d v="1899-12-30T17:30:00"/>
    <s v=""/>
    <n v="7.5000000000000018"/>
    <n v="7.5000000000000018"/>
    <s v="Saturday/Sunday (Weekends) before 10pm"/>
    <s v="Annual Statement 2018 (Phrase 2: Brochure Manual Insertion)"/>
    <s v=""/>
    <x v="14"/>
  </r>
  <r>
    <x v="0"/>
    <x v="2"/>
    <d v="2018-03-25T00:00:00"/>
    <s v="Sun"/>
    <d v="1899-12-30T07:30:00"/>
    <d v="1899-12-30T19:30:00"/>
    <s v=""/>
    <n v="11"/>
    <n v="11"/>
    <s v="Saturday/Sunday (Weekends) before 10pm"/>
    <s v="Annual Statement 2018 (Phrase 2: Brochure Manual Insertion)"/>
    <s v=""/>
    <x v="14"/>
  </r>
  <r>
    <x v="0"/>
    <x v="6"/>
    <d v="2018-03-25T00:00:00"/>
    <s v="Sun"/>
    <d v="1899-12-30T05:30:00"/>
    <d v="1899-12-30T21:30:00"/>
    <s v=""/>
    <n v="15"/>
    <n v="15"/>
    <s v="Saturday/Sunday (Weekends) before 10pm"/>
    <s v="Annual Statement 2018 (Phrase 2: Brochure Manual Insertion)"/>
    <s v=""/>
    <x v="14"/>
  </r>
  <r>
    <x v="0"/>
    <x v="15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0"/>
    <x v="16"/>
    <d v="2018-03-25T00:00:00"/>
    <s v="Sun"/>
    <d v="1899-12-30T07:30:00"/>
    <d v="1899-12-30T22:00:00"/>
    <s v=""/>
    <n v="13.5"/>
    <n v="13.5"/>
    <s v="Saturday/Sunday (Weekends) before 10pm"/>
    <s v="Annual Statement 2018 (Phrase 2: Brochure Manual Insertion)"/>
    <s v=""/>
    <x v="14"/>
  </r>
  <r>
    <x v="1"/>
    <x v="5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12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19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20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7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21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28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29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33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36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1"/>
    <x v="37"/>
    <d v="2018-03-25T00:00:00"/>
    <s v="Sun"/>
    <d v="1899-12-30T08:30:00"/>
    <d v="1899-12-30T17:30:00"/>
    <s v=""/>
    <n v="8.0000000000000036"/>
    <n v="8.0000000000000036"/>
    <s v="Saturday/Sunday (Weekends) before 10pm"/>
    <s v="Annual Statement 2018 (Phrase 2: Brochure Manual Insertion)"/>
    <s v=""/>
    <x v="14"/>
  </r>
  <r>
    <x v="0"/>
    <x v="0"/>
    <d v="2018-03-26T00:00:00"/>
    <s v="Mon"/>
    <d v="1899-12-30T17:00:00"/>
    <d v="1899-12-30T17:30:00"/>
    <n v="8.0000000000000036"/>
    <n v="0.49999999999999822"/>
    <n v="0.49999999999999822"/>
    <s v="Normal Working Days before 10pm"/>
    <s v="Total: 625 Policies (Batch 20180323_2128: 625 Policies)"/>
    <s v=""/>
    <x v="14"/>
  </r>
  <r>
    <x v="0"/>
    <x v="2"/>
    <d v="2018-03-26T00:00:00"/>
    <s v="Mon"/>
    <d v="1899-12-30T15:30:00"/>
    <d v="1899-12-30T20:30:00"/>
    <n v="8.0000000000000036"/>
    <n v="5"/>
    <n v="5"/>
    <s v="Normal Working Days before 10pm"/>
    <s v="Total: 625 Policies (Batch 20180323_2128: 625 Policies)"/>
    <n v="1"/>
    <x v="14"/>
  </r>
  <r>
    <x v="0"/>
    <x v="6"/>
    <d v="2018-03-26T00:00:00"/>
    <s v="Mon"/>
    <d v="1899-12-30T16:00:00"/>
    <d v="1899-12-30T22:00:00"/>
    <n v="8.0000000000000036"/>
    <n v="5.9999999999999964"/>
    <n v="5.9999999999999964"/>
    <s v="Normal Working Days before 10pm"/>
    <s v="Total: 625 Policies (Batch 20180323_2128: 625 Policies)"/>
    <n v="1"/>
    <x v="14"/>
  </r>
  <r>
    <x v="0"/>
    <x v="15"/>
    <d v="2018-03-26T00:00:00"/>
    <s v="Mon"/>
    <d v="1899-12-30T17:00:00"/>
    <d v="1899-12-30T17:30:00"/>
    <n v="8.0000000000000036"/>
    <n v="0.49999999999999822"/>
    <n v="0.49999999999999822"/>
    <s v="Normal Working Days before 10pm"/>
    <s v="Total: 625 Policies (Batch 20180323_2128: 625 Policies)"/>
    <s v=""/>
    <x v="14"/>
  </r>
  <r>
    <x v="0"/>
    <x v="16"/>
    <d v="2018-03-26T00:00:00"/>
    <s v="Mon"/>
    <d v="1899-12-30T14:30:00"/>
    <d v="1899-12-30T22:30:00"/>
    <n v="8.0000000000000036"/>
    <n v="7.9999999999999964"/>
    <n v="7.9999999999999964"/>
    <s v="Normal Working Days after 10pm"/>
    <s v="Total: 625 Policies (Batch 20180323_2128: 625 Policies)"/>
    <n v="1"/>
    <x v="14"/>
  </r>
  <r>
    <x v="1"/>
    <x v="5"/>
    <d v="2018-03-26T00:00:00"/>
    <s v="Mon"/>
    <d v="1899-12-30T08:00:00"/>
    <d v="1899-12-30T17:30:00"/>
    <n v="0"/>
    <n v="8.5000000000000018"/>
    <n v="8.5000000000000018"/>
    <s v="Normal Working Days before 10pm"/>
    <s v="Total: 625 Policies (Batch 20180323_2128: 625 Policies)"/>
    <s v=""/>
    <x v="14"/>
  </r>
  <r>
    <x v="1"/>
    <x v="19"/>
    <d v="2018-03-26T00:00:00"/>
    <s v="Mon"/>
    <d v="1899-12-30T08:00:00"/>
    <d v="1899-12-30T17:30:00"/>
    <n v="0"/>
    <n v="8.5000000000000018"/>
    <n v="8.5000000000000018"/>
    <s v="Normal Working Days before 10pm"/>
    <s v="Total: 625 Policies (Batch 20180323_2128: 625 Policies)"/>
    <s v=""/>
    <x v="14"/>
  </r>
  <r>
    <x v="1"/>
    <x v="7"/>
    <d v="2018-03-26T00:00:00"/>
    <s v="Mon"/>
    <d v="1899-12-30T08:00:00"/>
    <d v="1899-12-30T17:30:00"/>
    <n v="0"/>
    <n v="8.5000000000000018"/>
    <n v="8.5000000000000018"/>
    <s v="Normal Working Days before 10pm"/>
    <s v="Total: 625 Policies (Batch 20180323_2128: 625 Policies)"/>
    <s v=""/>
    <x v="14"/>
  </r>
  <r>
    <x v="1"/>
    <x v="28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26T00:00:00"/>
    <s v="Mon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0"/>
    <x v="0"/>
    <d v="2018-03-27T00:00:00"/>
    <s v="Tue"/>
    <d v="1899-12-30T17:00:00"/>
    <d v="1899-12-30T21:00:00"/>
    <n v="8.0000000000000036"/>
    <n v="3.9999999999999982"/>
    <n v="3.9999999999999982"/>
    <s v="Normal Working Days before 10pm"/>
    <s v="Total: 1520 Policies (Batch 20180326_1500: 400 Policies, Batch 20180326_2340: 681 Policies, Batch 20180327_1112: 150 Policies, Batch 20180324_2215: 272 Policies, Batch 20180325_2152: 17 Policies)"/>
    <n v="1"/>
    <x v="14"/>
  </r>
  <r>
    <x v="0"/>
    <x v="2"/>
    <d v="2018-03-27T00:00:00"/>
    <s v="Tue"/>
    <d v="1899-12-30T17:00:00"/>
    <d v="1899-12-30T20:00:00"/>
    <n v="8.0000000000000036"/>
    <n v="2.9999999999999964"/>
    <n v="2.9999999999999964"/>
    <s v="Normal Working Days before 10pm"/>
    <s v="Total: 1520 Policies (Batch 20180326_1500: 400 Policies, Batch 20180326_2340: 681 Policies, Batch 20180327_1112: 197 Policies)"/>
    <n v="1"/>
    <x v="14"/>
  </r>
  <r>
    <x v="0"/>
    <x v="6"/>
    <d v="2018-03-27T00:00:00"/>
    <s v="Tue"/>
    <d v="1899-12-30T17:00:00"/>
    <d v="1899-12-30T21:00:00"/>
    <n v="8.0000000000000036"/>
    <n v="3.9999999999999982"/>
    <n v="3.9999999999999982"/>
    <s v="Normal Working Days before 10pm"/>
    <s v="Total: 1520 Policies (Batch 20180326_1500: 400 Policies, Batch 20180326_2340: 681 Policies, Batch 20180327_1112: 197 Policies)"/>
    <n v="1"/>
    <x v="14"/>
  </r>
  <r>
    <x v="0"/>
    <x v="15"/>
    <d v="2018-03-27T00:00:00"/>
    <s v="Tue"/>
    <d v="1899-12-30T17:00:00"/>
    <d v="1899-12-30T21:00:00"/>
    <n v="8.0000000000000036"/>
    <n v="3.9999999999999982"/>
    <n v="3.9999999999999982"/>
    <s v="Normal Working Days before 10pm"/>
    <s v="Total: 1520 Policies (Batch 20180326_1500: 400 Policies, Batch 20180326_2340: 681 Policies, Batch 20180327_1112: 197 Policies)"/>
    <n v="1"/>
    <x v="14"/>
  </r>
  <r>
    <x v="0"/>
    <x v="16"/>
    <d v="2018-03-27T00:00:00"/>
    <s v="Tue"/>
    <d v="1899-12-30T17:00:00"/>
    <d v="1899-12-30T21:00:00"/>
    <n v="8.0000000000000036"/>
    <n v="3.9999999999999982"/>
    <n v="3.9999999999999982"/>
    <s v="Normal Working Days before 10pm"/>
    <s v="Total: 1520 Policies (Batch 20180326_1500: 400 Policies, Batch 20180326_2340: 681 Policies, Batch 20180327_1112: 197 Policies)"/>
    <n v="1"/>
    <x v="14"/>
  </r>
  <r>
    <x v="1"/>
    <x v="5"/>
    <d v="2018-03-27T00:00:00"/>
    <s v="Tue"/>
    <d v="1899-12-30T08:00:00"/>
    <d v="1899-12-30T21:00:00"/>
    <n v="0"/>
    <n v="12.000000000000002"/>
    <n v="12.000000000000002"/>
    <s v="Normal Working Days before 10pm"/>
    <s v="Total: 1520 Policies (Batch 20180326_1500: 400 Policies, Batch 20180326_2340: 681 Policies, Batch 20180327_1112: 197 Policies)"/>
    <s v=""/>
    <x v="14"/>
  </r>
  <r>
    <x v="1"/>
    <x v="12"/>
    <d v="2018-03-27T00:00:00"/>
    <s v="Tue"/>
    <d v="1899-12-30T12:30:00"/>
    <d v="1899-12-30T21:00:00"/>
    <n v="0"/>
    <n v="8.5"/>
    <n v="8.5"/>
    <s v="Normal Working Days before 10pm"/>
    <s v="Annual Statement 2018 (Phrase 2: Brochure Manual Insertion)"/>
    <s v=""/>
    <x v="14"/>
  </r>
  <r>
    <x v="1"/>
    <x v="19"/>
    <d v="2018-03-27T00:00:00"/>
    <s v="Tue"/>
    <d v="1899-12-30T08:00:00"/>
    <d v="1899-12-30T21:00:00"/>
    <n v="0"/>
    <n v="12.000000000000002"/>
    <n v="12.000000000000002"/>
    <s v="Normal Working Days before 10pm"/>
    <s v="Total: 1520 Policies (Batch 20180326_1500: 400 Policies, Batch 20180326_2340: 681 Policies, Batch 20180327_1112: 197 Policies)"/>
    <s v=""/>
    <x v="14"/>
  </r>
  <r>
    <x v="1"/>
    <x v="20"/>
    <d v="2018-03-27T00:00:00"/>
    <s v="Tue"/>
    <d v="1899-12-30T08:00:00"/>
    <d v="1899-12-30T21:00:00"/>
    <n v="0"/>
    <n v="12.000000000000002"/>
    <n v="12.000000000000002"/>
    <s v="Normal Working Days before 10pm"/>
    <s v="Total: 1520 Policies (Batch 20180326_1500: 400 Policies, Batch 20180326_2340: 681 Policies, Batch 20180327_1112: 197 Policies)"/>
    <s v=""/>
    <x v="14"/>
  </r>
  <r>
    <x v="1"/>
    <x v="7"/>
    <d v="2018-03-27T00:00:00"/>
    <s v="Tue"/>
    <d v="1899-12-30T08:00:00"/>
    <d v="1899-12-30T21:00:00"/>
    <n v="0"/>
    <n v="12.000000000000002"/>
    <n v="12.000000000000002"/>
    <s v="Normal Working Days before 10pm"/>
    <s v="Annual Statement 2018 (Phrase 2: Brochure Manual Insertion)"/>
    <s v=""/>
    <x v="14"/>
  </r>
  <r>
    <x v="1"/>
    <x v="21"/>
    <d v="2018-03-27T00:00:00"/>
    <s v="Tue"/>
    <d v="1899-12-30T08:00:00"/>
    <d v="1899-12-30T21:00:00"/>
    <n v="0"/>
    <n v="12.000000000000002"/>
    <n v="12.000000000000002"/>
    <s v="Normal Working Days before 10pm"/>
    <s v="Annual Statement 2018 (Phrase 2: Brochure Manual Insertion)"/>
    <s v=""/>
    <x v="14"/>
  </r>
  <r>
    <x v="1"/>
    <x v="28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29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0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1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2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3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4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5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6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7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8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1"/>
    <x v="39"/>
    <d v="2018-03-27T00:00:00"/>
    <s v="Tue"/>
    <d v="1899-12-30T08:30:00"/>
    <d v="1899-12-30T17:30:00"/>
    <n v="0"/>
    <n v="8.0000000000000036"/>
    <n v="8.0000000000000036"/>
    <s v="Normal Working Days before 10pm"/>
    <s v="Annual Statement 2018 (Phrase 2: Brochure Manual Insertion)"/>
    <s v=""/>
    <x v="14"/>
  </r>
  <r>
    <x v="0"/>
    <x v="0"/>
    <d v="2018-03-28T00:00:00"/>
    <s v="Wed"/>
    <d v="1899-12-30T17:00:00"/>
    <d v="1899-12-30T21:00:00"/>
    <n v="8.0000000000000036"/>
    <n v="3.9999999999999982"/>
    <n v="3.9999999999999982"/>
    <s v="Normal Working Days before 10pm"/>
    <s v="Total: 1164 Policies (Batch 20180327_1444: 432 Policies, Batch 20180327_2310: 732 Policies)"/>
    <n v="1"/>
    <x v="14"/>
  </r>
  <r>
    <x v="0"/>
    <x v="2"/>
    <d v="2018-03-28T00:00:00"/>
    <s v="Wed"/>
    <d v="1899-12-30T17:00:00"/>
    <d v="1899-12-30T21:00:00"/>
    <n v="8.0000000000000036"/>
    <n v="3.9999999999999982"/>
    <n v="3.9999999999999982"/>
    <s v="Normal Working Days before 10pm"/>
    <s v="Total: 1164 Policies (Batch 20180327_1444: 432 Policies, Batch 20180327_2310: 732 Policies)"/>
    <n v="1"/>
    <x v="14"/>
  </r>
  <r>
    <x v="0"/>
    <x v="6"/>
    <d v="2018-03-28T00:00:00"/>
    <s v="Wed"/>
    <d v="1899-12-30T17:00:00"/>
    <d v="1899-12-30T21:00:00"/>
    <n v="8.0000000000000036"/>
    <n v="3.9999999999999982"/>
    <n v="3.9999999999999982"/>
    <s v="Normal Working Days before 10pm"/>
    <s v="Total: 1164 Policies (Batch 20180327_1444: 432 Policies, Batch 20180327_2310: 732 Policies)"/>
    <n v="1"/>
    <x v="14"/>
  </r>
  <r>
    <x v="0"/>
    <x v="15"/>
    <d v="2018-03-28T00:00:00"/>
    <s v="Wed"/>
    <d v="1899-12-30T17:00:00"/>
    <d v="1899-12-30T20:00:00"/>
    <n v="8.0000000000000036"/>
    <n v="2.9999999999999964"/>
    <n v="2.9999999999999964"/>
    <s v="Normal Working Days before 10pm"/>
    <s v="Total: 1164 Policies (Batch 20180327_1444: 432 Policies, Batch 20180327_2310: 732 Policies)"/>
    <n v="1"/>
    <x v="14"/>
  </r>
  <r>
    <x v="0"/>
    <x v="16"/>
    <d v="2018-03-28T00:00:00"/>
    <s v="Wed"/>
    <d v="1899-12-30T17:00:00"/>
    <d v="1899-12-30T21:00:00"/>
    <n v="8.0000000000000036"/>
    <n v="3.9999999999999982"/>
    <n v="3.9999999999999982"/>
    <s v="Normal Working Days before 10pm"/>
    <s v="Total: 1164 Policies (Batch 20180327_1444: 432 Policies, Batch 20180327_2310: 732 Policies)"/>
    <n v="1"/>
    <x v="14"/>
  </r>
  <r>
    <x v="1"/>
    <x v="5"/>
    <d v="2018-03-28T00:00:00"/>
    <s v="Wed"/>
    <d v="1899-12-30T08:00:00"/>
    <d v="1899-12-30T21:00:00"/>
    <n v="0"/>
    <n v="12.000000000000002"/>
    <n v="12.000000000000002"/>
    <s v="Normal Working Days before 10pm"/>
    <s v="Total: 1164 Policies (Batch 20180327_1444: 432 Policies, Batch 20180327_2310: 732 Policies)"/>
    <s v=""/>
    <x v="14"/>
  </r>
  <r>
    <x v="1"/>
    <x v="19"/>
    <d v="2018-03-28T00:00:00"/>
    <s v="Wed"/>
    <d v="1899-12-30T08:30:00"/>
    <d v="1899-12-30T16:00:00"/>
    <n v="0"/>
    <n v="6.5"/>
    <n v="6.5"/>
    <s v="Normal Working Days before 10pm"/>
    <s v="Total: 1164 Policies (Batch 20180327_1444: 432 Policies, Batch 20180327_2310: 732 Policies)"/>
    <s v=""/>
    <x v="14"/>
  </r>
  <r>
    <x v="1"/>
    <x v="20"/>
    <d v="2018-03-28T00:00:00"/>
    <s v="Wed"/>
    <d v="1899-12-30T08:00:00"/>
    <d v="1899-12-30T16:30:00"/>
    <n v="0"/>
    <n v="7.5"/>
    <n v="7.5"/>
    <s v="Normal Working Days before 10pm"/>
    <s v="Total: 1164 Policies (Batch 20180327_1444: 432 Policies, Batch 20180327_2310: 732 Policies)"/>
    <s v=""/>
    <x v="14"/>
  </r>
  <r>
    <x v="1"/>
    <x v="21"/>
    <d v="2018-03-28T00:00:00"/>
    <s v="Wed"/>
    <d v="1899-12-30T10:00:00"/>
    <d v="1899-12-30T20:00:00"/>
    <n v="0"/>
    <n v="9"/>
    <n v="9"/>
    <s v="Normal Working Days before 10pm"/>
    <s v="Total: 1164 Policies (Batch 20180327_1444: 432 Policies, Batch 20180327_2310: 732 Policies)"/>
    <s v=""/>
    <x v="14"/>
  </r>
  <r>
    <x v="0"/>
    <x v="0"/>
    <d v="2018-03-29T00:00:00"/>
    <s v="Thu"/>
    <d v="1899-12-30T17:00:00"/>
    <d v="1899-12-30T21:00:00"/>
    <n v="8.0000000000000036"/>
    <n v="3.9999999999999982"/>
    <n v="3.9999999999999982"/>
    <s v="Normal Working Days before 10pm"/>
    <s v="Backlog Batch 732 &amp; Total: 740 Policies (Batch 20180328_1038: 321 Policies, Batch 20180328_1443: 419 Policies)"/>
    <n v="1"/>
    <x v="14"/>
  </r>
  <r>
    <x v="0"/>
    <x v="2"/>
    <d v="2018-03-29T00:00:00"/>
    <s v="Thu"/>
    <d v="1899-12-30T17:00:00"/>
    <d v="1899-12-30T21:00:00"/>
    <n v="8.0000000000000036"/>
    <n v="3.9999999999999982"/>
    <n v="3.9999999999999982"/>
    <s v="Normal Working Days before 10pm"/>
    <s v="Backlog Batch 732 &amp; Total: 740 Policies (Batch 20180328_1038: 321 Policies, Batch 20180328_1443: 419 Policies)"/>
    <n v="1"/>
    <x v="14"/>
  </r>
  <r>
    <x v="0"/>
    <x v="6"/>
    <d v="2018-03-29T00:00:00"/>
    <s v="Thu"/>
    <d v="1899-12-30T17:00:00"/>
    <d v="1899-12-30T20:00:00"/>
    <n v="8.0000000000000036"/>
    <n v="2.9999999999999964"/>
    <n v="2.9999999999999964"/>
    <s v="Normal Working Days before 10pm"/>
    <s v="Backlog Batch 732 &amp; Total: 740 Policies (Batch 20180328_1038: 321 Policies, Batch 20180328_1443: 419 Policies)"/>
    <n v="1"/>
    <x v="14"/>
  </r>
  <r>
    <x v="0"/>
    <x v="15"/>
    <d v="2018-03-29T00:00:00"/>
    <s v="Thu"/>
    <d v="1899-12-30T17:00:00"/>
    <d v="1899-12-30T21:00:00"/>
    <n v="8.0000000000000036"/>
    <n v="3.9999999999999982"/>
    <n v="3.9999999999999982"/>
    <s v="Normal Working Days before 10pm"/>
    <s v="Backlog Batch 732 &amp; Total: 740 Policies (Batch 20180328_1038: 321 Policies, Batch 20180328_1443: 419 Policies)"/>
    <n v="1"/>
    <x v="14"/>
  </r>
  <r>
    <x v="0"/>
    <x v="16"/>
    <d v="2018-03-29T00:00:00"/>
    <s v="Thu"/>
    <d v="1899-12-30T17:00:00"/>
    <d v="1899-12-30T21:00:00"/>
    <n v="8.0000000000000036"/>
    <n v="3.9999999999999982"/>
    <n v="3.9999999999999982"/>
    <s v="Normal Working Days before 10pm"/>
    <s v="Backlog Batch 732 &amp; Total: 740 Policies (Batch 20180328_1038: 321 Policies, Batch 20180328_1443: 419 Policies)"/>
    <n v="1"/>
    <x v="14"/>
  </r>
  <r>
    <x v="1"/>
    <x v="5"/>
    <d v="2018-03-29T00:00:00"/>
    <s v="Thu"/>
    <d v="1899-12-30T08:00:00"/>
    <d v="1899-12-30T21:00:00"/>
    <n v="0"/>
    <n v="12.000000000000002"/>
    <n v="12.000000000000002"/>
    <s v="Normal Working Days before 10pm"/>
    <s v="Backlog Batch 732 &amp; Total: 740 Policies (Batch 20180328_1038: 321 Policies, Batch 20180328_1443: 419 Policies)"/>
    <s v=""/>
    <x v="14"/>
  </r>
  <r>
    <x v="1"/>
    <x v="19"/>
    <d v="2018-03-29T00:00:00"/>
    <s v="Thu"/>
    <d v="1899-12-30T08:00:00"/>
    <d v="1899-12-30T21:00:00"/>
    <n v="0"/>
    <n v="12.000000000000002"/>
    <n v="12.000000000000002"/>
    <s v="Normal Working Days before 10pm"/>
    <s v="Backlog Batch 732 &amp; Total: 740 Policies (Batch 20180328_1038: 321 Policies, Batch 20180328_1443: 419 Policies)"/>
    <s v=""/>
    <x v="14"/>
  </r>
  <r>
    <x v="1"/>
    <x v="20"/>
    <d v="2018-03-29T00:00:00"/>
    <s v="Thu"/>
    <d v="1899-12-30T08:00:00"/>
    <d v="1899-12-30T21:00:00"/>
    <n v="0"/>
    <n v="12.000000000000002"/>
    <n v="12.000000000000002"/>
    <s v="Normal Working Days before 10pm"/>
    <s v="Backlog Batch 732 &amp; Total: 740 Policies (Batch 20180328_1038: 321 Policies, Batch 20180328_1443: 419 Policies)"/>
    <s v=""/>
    <x v="14"/>
  </r>
  <r>
    <x v="1"/>
    <x v="7"/>
    <d v="2018-03-29T00:00:00"/>
    <s v="Thu"/>
    <d v="1899-12-30T08:00:00"/>
    <d v="1899-12-30T21:00:00"/>
    <n v="0"/>
    <n v="12.000000000000002"/>
    <n v="12.000000000000002"/>
    <s v="Normal Working Days before 10pm"/>
    <s v="Backlog Batch 732 &amp; Total: 740 Policies (Batch 20180328_1038: 321 Policies, Batch 20180328_1443: 419 Policies)"/>
    <s v=""/>
    <x v="14"/>
  </r>
  <r>
    <x v="0"/>
    <x v="0"/>
    <d v="2018-03-30T00:00:00"/>
    <s v="Fri"/>
    <d v="1899-12-30T17:00:00"/>
    <d v="1899-12-30T21:00:00"/>
    <n v="8.0000000000000036"/>
    <n v="3.9999999999999982"/>
    <n v="3.9999999999999982"/>
    <s v="Normal Working Days before 10pm"/>
    <s v="Total: 1550 Policies (Batch 20180328_0151: 983 Policies, Batch 20180329_1120: 152 Policies, Batch 20180329_1425: 415 Policies)"/>
    <n v="1"/>
    <x v="14"/>
  </r>
  <r>
    <x v="0"/>
    <x v="6"/>
    <d v="2018-03-30T00:00:00"/>
    <s v="Fri"/>
    <d v="1899-12-30T17:00:00"/>
    <d v="1899-12-30T21:00:00"/>
    <n v="8.0000000000000036"/>
    <n v="3.9999999999999982"/>
    <n v="3.9999999999999982"/>
    <s v="Normal Working Days before 10pm"/>
    <s v="Total: 1550 Policies (Batch 20180328_0151: 983 Policies, Batch 20180329_1120: 152 Policies, Batch 20180329_1425: 415 Policies)"/>
    <n v="1"/>
    <x v="14"/>
  </r>
  <r>
    <x v="0"/>
    <x v="15"/>
    <d v="2018-03-30T00:00:00"/>
    <s v="Fri"/>
    <d v="1899-12-30T17:00:00"/>
    <d v="1899-12-30T21:00:00"/>
    <n v="8.0000000000000036"/>
    <n v="3.9999999999999982"/>
    <n v="3.9999999999999982"/>
    <s v="Normal Working Days before 10pm"/>
    <s v="Total: 1550 Policies (Batch 20180328_0151: 983 Policies, Batch 20180329_1120: 152 Policies, Batch 20180329_1425: 415 Policies)"/>
    <n v="1"/>
    <x v="14"/>
  </r>
  <r>
    <x v="0"/>
    <x v="16"/>
    <d v="2018-03-30T00:00:00"/>
    <s v="Fri"/>
    <d v="1899-12-30T17:00:00"/>
    <d v="1899-12-30T21:00:00"/>
    <n v="8.0000000000000036"/>
    <n v="3.9999999999999982"/>
    <n v="3.9999999999999982"/>
    <s v="Normal Working Days before 10pm"/>
    <s v="Total: 1550 Policies (Batch 20180328_0151: 983 Policies, Batch 20180329_1120: 152 Policies, Batch 20180329_1425: 415 Policies)"/>
    <n v="1"/>
    <x v="14"/>
  </r>
  <r>
    <x v="1"/>
    <x v="5"/>
    <d v="2018-03-30T00:00:00"/>
    <s v="Fri"/>
    <d v="1899-12-30T08:00:00"/>
    <d v="1899-12-30T21:00:00"/>
    <n v="0"/>
    <n v="12.000000000000002"/>
    <n v="12.000000000000002"/>
    <s v="Normal Working Days before 10pm"/>
    <s v="Total: 1550 Policies (Batch 20180328_0151: 983 Policies, Batch 20180329_1120: 152 Policies, Batch 20180329_1425: 415 Policies)"/>
    <s v=""/>
    <x v="14"/>
  </r>
  <r>
    <x v="1"/>
    <x v="12"/>
    <d v="2018-03-30T00:00:00"/>
    <s v="Fri"/>
    <d v="1899-12-30T08:30:00"/>
    <d v="1899-12-30T21:00:00"/>
    <n v="0"/>
    <n v="11.5"/>
    <n v="11.5"/>
    <s v="Normal Working Days before 10pm"/>
    <s v="Total: 1550 Policies (Batch 20180328_0151: 983 Policies, Batch 20180329_1120: 152 Policies, Batch 20180329_1425: 415 Policies)"/>
    <s v=""/>
    <x v="14"/>
  </r>
  <r>
    <x v="1"/>
    <x v="19"/>
    <d v="2018-03-30T00:00:00"/>
    <s v="Fri"/>
    <d v="1899-12-30T08:00:00"/>
    <d v="1899-12-30T21:00:00"/>
    <n v="0"/>
    <n v="12.000000000000002"/>
    <n v="12.000000000000002"/>
    <s v="Normal Working Days before 10pm"/>
    <s v="Total: 1550 Policies (Batch 20180328_0151: 983 Policies, Batch 20180329_1120: 152 Policies, Batch 20180329_1425: 415 Policies)"/>
    <s v=""/>
    <x v="14"/>
  </r>
  <r>
    <x v="1"/>
    <x v="7"/>
    <d v="2018-03-30T00:00:00"/>
    <s v="Fri"/>
    <d v="1899-12-30T08:00:00"/>
    <d v="1899-12-30T21:00:00"/>
    <n v="0"/>
    <n v="12.000000000000002"/>
    <n v="12.000000000000002"/>
    <s v="Normal Working Days before 10pm"/>
    <s v="Total: 1550 Policies (Batch 20180328_0151: 983 Policies, Batch 20180329_1120: 152 Policies, Batch 20180329_1425: 415 Policies)"/>
    <s v=""/>
    <x v="14"/>
  </r>
  <r>
    <x v="0"/>
    <x v="0"/>
    <d v="2018-04-02T00:00:00"/>
    <s v="Mon"/>
    <d v="1899-12-30T17:00:00"/>
    <d v="1899-12-30T21:00:00"/>
    <n v="8.0000000000000036"/>
    <n v="4.0000000000000036"/>
    <n v="4.0000000000000036"/>
    <s v="Normal Working Days before 10pm"/>
    <s v="Total: 1278 Policies (Batch 20180329_0352: 1278 Policies, Batch 20180330_1443: 689 Policies)"/>
    <n v="1"/>
    <x v="15"/>
  </r>
  <r>
    <x v="0"/>
    <x v="2"/>
    <d v="2018-04-02T00:00:00"/>
    <s v="Mon"/>
    <d v="1899-12-30T17:00:00"/>
    <d v="1899-12-30T21:00:00"/>
    <n v="8.0000000000000036"/>
    <n v="4.0000000000000036"/>
    <n v="4.0000000000000036"/>
    <s v="Normal Working Days before 10pm"/>
    <s v="Total: 1278 Policies (Batch 20180329_0352: 1278 Policies, Batch 20180330_1443: 689 Policies)"/>
    <n v="1"/>
    <x v="15"/>
  </r>
  <r>
    <x v="0"/>
    <x v="6"/>
    <d v="2018-04-02T00:00:00"/>
    <s v="Mon"/>
    <d v="1899-12-30T17:00:00"/>
    <d v="1899-12-30T21:00:00"/>
    <n v="8.0000000000000036"/>
    <n v="4.0000000000000036"/>
    <n v="4.0000000000000036"/>
    <s v="Normal Working Days before 10pm"/>
    <s v="Total: 1278 Policies (Batch 20180329_0352: 1278 Policies, Batch 20180330_1443: 689 Policies)"/>
    <n v="1"/>
    <x v="15"/>
  </r>
  <r>
    <x v="0"/>
    <x v="15"/>
    <d v="2018-04-02T00:00:00"/>
    <s v="Mon"/>
    <d v="1899-12-30T17:00:00"/>
    <d v="1899-12-30T21:00:00"/>
    <n v="8.0000000000000036"/>
    <n v="4.0000000000000036"/>
    <n v="4.0000000000000036"/>
    <s v="Normal Working Days before 10pm"/>
    <s v="Total: 1278 Policies (Batch 20180329_0352: 1278 Policies, Batch 20180330_1443: 689 Policies)"/>
    <n v="1"/>
    <x v="15"/>
  </r>
  <r>
    <x v="0"/>
    <x v="16"/>
    <d v="2018-04-02T00:00:00"/>
    <s v="Mon"/>
    <d v="1899-12-30T17:00:00"/>
    <d v="1899-12-30T21:00:00"/>
    <n v="8.0000000000000036"/>
    <n v="4.0000000000000036"/>
    <n v="4.0000000000000036"/>
    <s v="Normal Working Days before 10pm"/>
    <s v="Total: 1278 Policies (Batch 20180329_0352: 1278 Policies, Batch 20180330_1443: 689 Policies)"/>
    <n v="1"/>
    <x v="15"/>
  </r>
  <r>
    <x v="1"/>
    <x v="5"/>
    <d v="2018-04-02T00:00:00"/>
    <s v="Mon"/>
    <d v="1899-12-30T08:00:00"/>
    <d v="1899-12-30T21:00:00"/>
    <n v="0"/>
    <n v="12.000000000000007"/>
    <n v="12.000000000000007"/>
    <s v="Normal Working Days before 10pm"/>
    <s v="Total: 1278 Policies (Batch 20180329_0352: 1278 Policies, Batch 20180330_1443: 689 Policies)"/>
    <s v=""/>
    <x v="15"/>
  </r>
  <r>
    <x v="1"/>
    <x v="19"/>
    <d v="2018-04-02T00:00:00"/>
    <s v="Mon"/>
    <d v="1899-12-30T08:00:00"/>
    <d v="1899-12-30T16:00:00"/>
    <n v="0"/>
    <n v="7.000000000000016"/>
    <n v="7.000000000000016"/>
    <s v="Normal Working Days before 10pm"/>
    <s v="Total: 1278 Policies (Batch 20180329_0352: 1278 Policies, Batch 20180330_1443: 689 Policies)"/>
    <s v=""/>
    <x v="15"/>
  </r>
  <r>
    <x v="1"/>
    <x v="20"/>
    <d v="2018-04-02T00:00:00"/>
    <s v="Mon"/>
    <d v="1899-12-30T08:00:00"/>
    <d v="1899-12-30T16:30:00"/>
    <n v="0"/>
    <n v="7.5000000000000089"/>
    <n v="7.5000000000000089"/>
    <s v="Normal Working Days before 10pm"/>
    <s v="Total: 1278 Policies (Batch 20180329_0352: 1278 Policies, Batch 20180330_1443: 689 Policies)"/>
    <s v=""/>
    <x v="15"/>
  </r>
  <r>
    <x v="1"/>
    <x v="7"/>
    <d v="2018-04-02T00:00:00"/>
    <s v="Mon"/>
    <d v="1899-12-30T08:00:00"/>
    <d v="1899-12-30T17:00:00"/>
    <n v="0"/>
    <n v="8.0000000000000018"/>
    <n v="8.0000000000000018"/>
    <s v="Normal Working Days before 10pm"/>
    <s v="Total: 1278 Policies (Batch 20180329_0352: 1278 Policies, Batch 20180330_1443: 689 Policies)"/>
    <s v=""/>
    <x v="15"/>
  </r>
  <r>
    <x v="1"/>
    <x v="36"/>
    <d v="2018-04-02T00:00:00"/>
    <s v="Mon"/>
    <d v="1899-12-30T18:30:00"/>
    <d v="1899-12-30T21:00:00"/>
    <n v="0"/>
    <n v="2.5000000000000071"/>
    <n v="2.5000000000000071"/>
    <s v="Normal Working Days before 10pm"/>
    <s v="Total: 1278 Policies (Batch 20180329_0352: 1278 Policies, Batch 20180330_1443: 689 Policies)"/>
    <s v=""/>
    <x v="15"/>
  </r>
  <r>
    <x v="1"/>
    <x v="37"/>
    <d v="2018-04-02T00:00:00"/>
    <s v="Mon"/>
    <d v="1899-12-30T18:30:00"/>
    <d v="1899-12-30T21:00:00"/>
    <n v="0"/>
    <n v="2.5000000000000071"/>
    <n v="2.5000000000000071"/>
    <s v="Normal Working Days before 10pm"/>
    <s v="Total: 1278 Policies (Batch 20180329_0352: 1278 Policies, Batch 20180330_1443: 689 Policies)"/>
    <s v=""/>
    <x v="15"/>
  </r>
  <r>
    <x v="0"/>
    <x v="0"/>
    <d v="2018-04-03T00:00:00"/>
    <s v="Tue"/>
    <d v="1899-12-30T17:00:00"/>
    <d v="1899-12-30T21:00:00"/>
    <n v="8.0000000000000036"/>
    <n v="4.0000000000000036"/>
    <n v="4.0000000000000036"/>
    <s v="Normal Working Days before 10pm"/>
    <s v="Total: 1888 Policies (Batch 20180330_1443: 689 Policies, Batch 20180330_2240: 1199 Policies)"/>
    <n v="1"/>
    <x v="15"/>
  </r>
  <r>
    <x v="0"/>
    <x v="2"/>
    <d v="2018-04-03T00:00:00"/>
    <s v="Tue"/>
    <d v="1899-12-30T17:00:00"/>
    <d v="1899-12-30T21:00:00"/>
    <n v="8.0000000000000036"/>
    <n v="4.0000000000000036"/>
    <n v="4.0000000000000036"/>
    <s v="Normal Working Days before 10pm"/>
    <s v="Total: 1888 Policies (Batch 20180330_1443: 689 Policies, Batch 20180330_2240: 1199 Policies)"/>
    <n v="1"/>
    <x v="15"/>
  </r>
  <r>
    <x v="0"/>
    <x v="6"/>
    <d v="2018-04-03T00:00:00"/>
    <s v="Tue"/>
    <d v="1899-12-30T16:30:00"/>
    <d v="1899-12-30T20:30:00"/>
    <n v="8.0000000000000036"/>
    <n v="4.0000000000000036"/>
    <n v="4.0000000000000036"/>
    <s v="Normal Working Days before 10pm"/>
    <s v="Total: 1888 Policies (Batch 20180330_1443: 689 Policies, Batch 20180330_2240: 1199 Policies)"/>
    <n v="1"/>
    <x v="15"/>
  </r>
  <r>
    <x v="0"/>
    <x v="15"/>
    <d v="2018-04-03T00:00:00"/>
    <s v="Tue"/>
    <d v="1899-12-30T17:00:00"/>
    <d v="1899-12-30T21:00:00"/>
    <n v="8.0000000000000036"/>
    <n v="4.0000000000000036"/>
    <n v="4.0000000000000036"/>
    <s v="Normal Working Days before 10pm"/>
    <s v="Total: 1888 Policies (Batch 20180330_1443: 689 Policies, Batch 20180330_2240: 1199 Policies)"/>
    <n v="1"/>
    <x v="15"/>
  </r>
  <r>
    <x v="0"/>
    <x v="16"/>
    <d v="2018-04-03T00:00:00"/>
    <s v="Tue"/>
    <d v="1899-12-30T17:00:00"/>
    <d v="1899-12-30T18:00:00"/>
    <n v="8.0000000000000036"/>
    <n v="1.0000000000000053"/>
    <n v="1.0000000000000053"/>
    <s v="Normal Working Days before 10pm"/>
    <s v="Total: 1888 Policies (Batch 20180330_1443: 689 Policies, Batch 20180330_2240: 1199 Policies)"/>
    <s v=""/>
    <x v="15"/>
  </r>
  <r>
    <x v="1"/>
    <x v="5"/>
    <d v="2018-04-03T00:00:00"/>
    <s v="Tue"/>
    <d v="1899-12-30T08:00:00"/>
    <d v="1899-12-30T21:00:00"/>
    <n v="0"/>
    <n v="12.000000000000007"/>
    <n v="12.000000000000007"/>
    <s v="Normal Working Days before 10pm"/>
    <s v="Total: 1888 Policies (Batch 20180330_1443: 689 Policies, Batch 20180330_2240: 1199 Policies)"/>
    <s v=""/>
    <x v="15"/>
  </r>
  <r>
    <x v="1"/>
    <x v="12"/>
    <d v="2018-04-03T00:00:00"/>
    <s v="Tue"/>
    <d v="1899-12-30T12:30:00"/>
    <d v="1899-12-30T21:00:00"/>
    <n v="0"/>
    <n v="7.5000000000000071"/>
    <n v="7.5000000000000071"/>
    <s v="Normal Working Days before 10pm"/>
    <s v="Total: 1888 Policies (Batch 20180330_1443: 689 Policies, Batch 20180330_2240: 1199 Policies)"/>
    <s v=""/>
    <x v="15"/>
  </r>
  <r>
    <x v="1"/>
    <x v="19"/>
    <d v="2018-04-03T00:00:00"/>
    <s v="Tue"/>
    <d v="1899-12-30T08:00:00"/>
    <d v="1899-12-30T21:00:00"/>
    <n v="0"/>
    <n v="12.000000000000007"/>
    <n v="12.000000000000007"/>
    <s v="Normal Working Days before 10pm"/>
    <s v="Total: 1888 Policies (Batch 20180330_1443: 689 Policies, Batch 20180330_2240: 1199 Policies)"/>
    <s v=""/>
    <x v="15"/>
  </r>
  <r>
    <x v="1"/>
    <x v="7"/>
    <d v="2018-04-03T00:00:00"/>
    <s v="Tue"/>
    <d v="1899-12-30T08:00:00"/>
    <d v="1899-12-30T21:00:00"/>
    <n v="0"/>
    <n v="12.000000000000007"/>
    <n v="12.000000000000007"/>
    <s v="Normal Working Days before 10pm"/>
    <s v="Total: 1888 Policies (Batch 20180330_1443: 689 Policies, Batch 20180330_2240: 1199 Policies)"/>
    <s v=""/>
    <x v="15"/>
  </r>
  <r>
    <x v="0"/>
    <x v="0"/>
    <d v="2018-04-04T00:00:00"/>
    <s v="Wed"/>
    <d v="1899-12-30T17:00:00"/>
    <d v="1899-12-30T21:00:00"/>
    <n v="8.0000000000000036"/>
    <n v="4.0000000000000036"/>
    <n v="4.0000000000000036"/>
    <s v="Normal Working Days before 10pm"/>
    <s v="Backlog 771/1199 Policies &amp; Total: 2001 Policies (Batch 20180331_0814: 99 Policies, Batch 20180331_1334: 509 Policies, Batch 20180331_2024: 1393 Policies)"/>
    <n v="1"/>
    <x v="15"/>
  </r>
  <r>
    <x v="0"/>
    <x v="2"/>
    <d v="2018-04-04T00:00:00"/>
    <s v="Wed"/>
    <d v="1899-12-30T17:00:00"/>
    <d v="1899-12-30T21:00:00"/>
    <n v="8.0000000000000036"/>
    <n v="4.0000000000000036"/>
    <n v="4.0000000000000036"/>
    <s v="Normal Working Days before 10pm"/>
    <s v="Backlog 771/1199 Policies &amp; Total: 2001 Policies (Batch 20180331_0814: 99 Policies, Batch 20180331_1334: 509 Policies, Batch 20180331_2024: 1393 Policies)"/>
    <n v="1"/>
    <x v="15"/>
  </r>
  <r>
    <x v="0"/>
    <x v="15"/>
    <d v="2018-04-04T00:00:00"/>
    <s v="Wed"/>
    <d v="1899-12-30T17:00:00"/>
    <d v="1899-12-30T20:00:00"/>
    <n v="8.0000000000000036"/>
    <n v="2.9999999999999964"/>
    <n v="2.9999999999999964"/>
    <s v="Normal Working Days before 10pm"/>
    <s v="Backlog 771/1199 Policies &amp; Total: 2001 Policies (Batch 20180331_0814: 99 Policies, Batch 20180331_1334: 509 Policies, Batch 20180331_2024: 1393 Policies)"/>
    <n v="1"/>
    <x v="15"/>
  </r>
  <r>
    <x v="0"/>
    <x v="16"/>
    <d v="2018-04-04T00:00:00"/>
    <s v="Wed"/>
    <d v="1899-12-30T16:00:00"/>
    <d v="1899-12-30T21:00:00"/>
    <n v="8.0000000000000036"/>
    <n v="4.9999999999999893"/>
    <n v="4.9999999999999893"/>
    <s v="Normal Working Days before 10pm"/>
    <s v="Backlog 771/1199 Policies &amp; Total: 2001 Policies (Batch 20180331_0814: 99 Policies, Batch 20180331_1334: 509 Policies, Batch 20180331_2024: 1393 Policies)"/>
    <n v="1"/>
    <x v="15"/>
  </r>
  <r>
    <x v="1"/>
    <x v="5"/>
    <d v="2018-04-04T00:00:00"/>
    <s v="Wed"/>
    <d v="1899-12-30T08:00:00"/>
    <d v="1899-12-30T21:00:00"/>
    <n v="0"/>
    <n v="12.000000000000007"/>
    <n v="12.000000000000007"/>
    <s v="Normal Working Days before 10pm"/>
    <s v="Backlog 771/1199 Policies &amp; Total: 2001 Policies (Batch 20180331_0814: 99 Policies, Batch 20180331_1334: 509 Policies, Batch 20180331_2024: 1393 Policies)"/>
    <s v=""/>
    <x v="15"/>
  </r>
  <r>
    <x v="1"/>
    <x v="19"/>
    <d v="2018-04-04T00:00:00"/>
    <s v="Wed"/>
    <d v="1899-12-30T08:00:00"/>
    <d v="1899-12-30T16:00:00"/>
    <n v="0"/>
    <n v="7.000000000000016"/>
    <n v="7.000000000000016"/>
    <s v="Normal Working Days before 10pm"/>
    <s v="Backlog 771/1199 Policies &amp; Total: 2001 Policies (Batch 20180331_0814: 99 Policies, Batch 20180331_1334: 509 Policies, Batch 20180331_2024: 1393 Policies)"/>
    <s v=""/>
    <x v="15"/>
  </r>
  <r>
    <x v="1"/>
    <x v="20"/>
    <d v="2018-04-04T00:00:00"/>
    <s v="Wed"/>
    <d v="1899-12-30T08:00:00"/>
    <d v="1899-12-30T16:30:00"/>
    <n v="0"/>
    <n v="7.5000000000000089"/>
    <n v="7.5000000000000089"/>
    <s v="Normal Working Days before 10pm"/>
    <s v="Backlog 771/1199 Policies &amp; Total: 2001 Policies (Batch 20180331_0814: 99 Policies, Batch 20180331_1334: 509 Policies, Batch 20180331_2024: 1393 Policies)"/>
    <s v=""/>
    <x v="15"/>
  </r>
  <r>
    <x v="1"/>
    <x v="28"/>
    <d v="2018-04-04T00:00:00"/>
    <s v="Wed"/>
    <d v="1899-12-30T18:30:00"/>
    <d v="1899-12-30T21:00:00"/>
    <n v="0"/>
    <n v="2.5000000000000071"/>
    <n v="2.5000000000000071"/>
    <s v="Normal Working Days before 10pm"/>
    <s v="Total: 2001 Policies"/>
    <s v=""/>
    <x v="15"/>
  </r>
  <r>
    <x v="1"/>
    <x v="29"/>
    <d v="2018-04-04T00:00:00"/>
    <s v="Wed"/>
    <d v="1899-12-30T08:00:00"/>
    <d v="1899-12-30T17:00:00"/>
    <n v="0"/>
    <n v="8.0000000000000018"/>
    <n v="8.0000000000000018"/>
    <s v="Normal Working Days before 10pm"/>
    <s v="Backlog 771/1199 Policies &amp; Total: 2001 Policies (Batch 20180331_0814: 99 Policies, Batch 20180331_1334: 509 Policies, Batch 20180331_2024: 1393 Policies)"/>
    <s v=""/>
    <x v="15"/>
  </r>
  <r>
    <x v="1"/>
    <x v="34"/>
    <d v="2018-04-04T00:00:00"/>
    <s v="Wed"/>
    <d v="1899-12-30T08:00:00"/>
    <d v="1899-12-30T21:00:00"/>
    <n v="0"/>
    <n v="12.000000000000007"/>
    <n v="12.000000000000007"/>
    <s v="Normal Working Days before 10pm"/>
    <s v="Backlog 771/1199 Policies &amp; Total: 2001 Policies (Batch 20180331_0814: 99 Policies, Batch 20180331_1334: 509 Policies, Batch 20180331_2024: 1393 Policies)"/>
    <s v=""/>
    <x v="15"/>
  </r>
  <r>
    <x v="1"/>
    <x v="36"/>
    <d v="2018-04-04T00:00:00"/>
    <s v="Wed"/>
    <d v="1899-12-30T18:30:00"/>
    <d v="1899-12-30T21:00:00"/>
    <n v="0"/>
    <n v="2.5000000000000071"/>
    <n v="2.5000000000000071"/>
    <s v="Normal Working Days before 10pm"/>
    <s v="Backlog 771/1199 Policies &amp; Total: 2001 Policies (Batch 20180331_0814: 99 Policies, Batch 20180331_1334: 509 Policies, Batch 20180331_2024: 1393 Policies)"/>
    <s v=""/>
    <x v="15"/>
  </r>
  <r>
    <x v="1"/>
    <x v="37"/>
    <d v="2018-04-04T00:00:00"/>
    <s v="Wed"/>
    <d v="1899-12-30T18:30:00"/>
    <d v="1899-12-30T21:00:00"/>
    <n v="0"/>
    <n v="2.5000000000000071"/>
    <n v="2.5000000000000071"/>
    <s v="Normal Working Days before 10pm"/>
    <s v="Backlog 771/1199 Policies &amp; Total: 2001 Policies (Batch 20180331_0814: 99 Policies, Batch 20180331_1334: 509 Policies, Batch 20180331_2024: 1393 Policies)"/>
    <s v=""/>
    <x v="15"/>
  </r>
  <r>
    <x v="0"/>
    <x v="6"/>
    <d v="2018-04-05T00:00:00"/>
    <s v="Thu"/>
    <d v="1899-12-30T16:00:00"/>
    <d v="1899-12-30T20:00:00"/>
    <n v="8.0000000000000036"/>
    <n v="3.9999999999999822"/>
    <n v="3.9999999999999822"/>
    <s v="Normal Working Days before 10pm"/>
    <s v="Backlog 1000/1393 Policies &amp; Total: 927 Policies (Batch 20180331_1144: 927 Policies, Batch 20180331_1729: 675 Policies)"/>
    <n v="1"/>
    <x v="15"/>
  </r>
  <r>
    <x v="0"/>
    <x v="15"/>
    <d v="2018-04-05T00:00:00"/>
    <s v="Thu"/>
    <d v="1899-12-30T17:00:00"/>
    <d v="1899-12-30T21:00:00"/>
    <n v="8.0000000000000036"/>
    <n v="4.0000000000000036"/>
    <n v="4.0000000000000036"/>
    <s v="Normal Working Days before 10pm"/>
    <s v="Backlog 1000/1393 Policies &amp; Total: 927 Policies (Batch 20180331_1144: 927 Policies, Batch 20180331_1729: 675 Policies)"/>
    <n v="1"/>
    <x v="15"/>
  </r>
  <r>
    <x v="0"/>
    <x v="16"/>
    <d v="2018-04-05T00:00:00"/>
    <s v="Thu"/>
    <d v="1899-12-30T17:00:00"/>
    <d v="1899-12-30T21:00:00"/>
    <n v="8.0000000000000036"/>
    <n v="4.0000000000000036"/>
    <n v="4.0000000000000036"/>
    <s v="Normal Working Days before 10pm"/>
    <s v="Backlog 1000/1393 Policies &amp; Total: 927 Policies (Batch 20180331_1144: 927 Policies, Batch 20180331_1729: 675 Policies)"/>
    <n v="1"/>
    <x v="15"/>
  </r>
  <r>
    <x v="1"/>
    <x v="5"/>
    <d v="2018-04-05T00:00:00"/>
    <s v="Thu"/>
    <d v="1899-12-30T08:00:00"/>
    <d v="1899-12-30T21:00:00"/>
    <n v="0"/>
    <n v="12.000000000000007"/>
    <n v="12.000000000000007"/>
    <s v="Normal Working Days before 10pm"/>
    <s v="Backlog 1000/1393 Policies &amp; Total: 927 Policies (Batch 20180331_1144: 927 Policies, Batch 20180331_1729: 675 Policies)"/>
    <s v=""/>
    <x v="15"/>
  </r>
  <r>
    <x v="1"/>
    <x v="12"/>
    <d v="2018-04-05T00:00:00"/>
    <s v="Thu"/>
    <d v="1899-12-30T15:00:00"/>
    <d v="1899-12-30T21:00:00"/>
    <n v="0"/>
    <n v="5"/>
    <n v="5"/>
    <s v="Normal Working Days before 10pm"/>
    <s v="Backlog 1000/1393 Policies &amp; Total: 927 Policies (Batch 20180331_1144: 927 Policies, Batch 20180331_1729: 675 Policies)"/>
    <s v=""/>
    <x v="15"/>
  </r>
  <r>
    <x v="1"/>
    <x v="19"/>
    <d v="2018-04-05T00:00:00"/>
    <s v="Thu"/>
    <d v="1899-12-30T08:00:00"/>
    <d v="1899-12-30T21:00:00"/>
    <n v="0"/>
    <n v="12.000000000000007"/>
    <n v="12.000000000000007"/>
    <s v="Normal Working Days before 10pm"/>
    <s v="Backlog 1000/1393 Policies &amp; Total: 927 Policies (Batch 20180331_1144: 927 Policies, Batch 20180331_1729: 675 Policies)"/>
    <s v=""/>
    <x v="15"/>
  </r>
  <r>
    <x v="1"/>
    <x v="20"/>
    <d v="2018-04-05T00:00:00"/>
    <s v="Thu"/>
    <d v="1899-12-30T08:00:00"/>
    <d v="1899-12-30T21:00:00"/>
    <n v="0"/>
    <n v="12.000000000000007"/>
    <n v="12.000000000000007"/>
    <s v="Normal Working Days before 10pm"/>
    <s v="Backlog 1000/1393 Policies &amp; Total: 927 Policies (Batch 20180331_1144: 927 Policies, Batch 20180331_1729: 675 Policies)"/>
    <s v=""/>
    <x v="15"/>
  </r>
  <r>
    <x v="1"/>
    <x v="7"/>
    <d v="2018-04-05T00:00:00"/>
    <s v="Thu"/>
    <d v="1899-12-30T08:00:00"/>
    <d v="1899-12-30T21:00:00"/>
    <n v="0"/>
    <n v="12.000000000000007"/>
    <n v="12.000000000000007"/>
    <s v="Normal Working Days before 10pm"/>
    <s v="Backlog 1000/1393 Policies &amp; Total: 927 Policies (Batch 20180331_1144: 927 Policies, Batch 20180331_1729: 675 Policies)"/>
    <s v=""/>
    <x v="15"/>
  </r>
  <r>
    <x v="1"/>
    <x v="29"/>
    <d v="2018-04-05T00:00:00"/>
    <s v="Thu"/>
    <d v="1899-12-30T08:00:00"/>
    <d v="1899-12-30T17:00:00"/>
    <n v="0"/>
    <n v="8.0000000000000018"/>
    <n v="8.0000000000000018"/>
    <s v="Normal Working Days before 10pm"/>
    <s v="Backlog 1000/1393 Policies &amp; Total: 927 Policies (Batch 20180331_1144: 927 Policies, Batch 20180331_1729: 675 Policies)"/>
    <s v=""/>
    <x v="15"/>
  </r>
  <r>
    <x v="1"/>
    <x v="34"/>
    <d v="2018-04-05T00:00:00"/>
    <s v="Thu"/>
    <d v="1899-12-30T08:00:00"/>
    <d v="1899-12-30T17:00:00"/>
    <n v="0"/>
    <n v="8.0000000000000018"/>
    <n v="8.0000000000000018"/>
    <s v="Normal Working Days before 10pm"/>
    <s v="Backlog 1000/1393 Policies &amp; Total: 927 Policies (Batch 20180331_1144: 927 Policies, Batch 20180331_1729: 675 Policies)"/>
    <s v=""/>
    <x v="15"/>
  </r>
  <r>
    <x v="0"/>
    <x v="0"/>
    <d v="2018-04-06T00:00:00"/>
    <s v="Fri"/>
    <d v="1899-12-30T17:00:00"/>
    <d v="1899-12-30T21:00:00"/>
    <n v="8.0000000000000036"/>
    <n v="4.0000000000000036"/>
    <n v="4.0000000000000036"/>
    <s v="Normal Working Days before 10pm"/>
    <s v="Backlog 507/1144 Policies &amp; Total: 1655 Policies (Batch 20180331_1144: 927 Policies, Batch 20180331_1729: 675 Policies)"/>
    <n v="1"/>
    <x v="15"/>
  </r>
  <r>
    <x v="0"/>
    <x v="2"/>
    <d v="2018-04-06T00:00:00"/>
    <s v="Fri"/>
    <d v="1899-12-30T17:00:00"/>
    <d v="1899-12-30T20:30:00"/>
    <n v="8.0000000000000036"/>
    <n v="3.5000000000000107"/>
    <n v="3.5000000000000107"/>
    <s v="Normal Working Days before 10pm"/>
    <s v="Backlog 507/1144 Policies &amp; Total: 1655 Policies (Batch 20180331_1144: 927 Policies, Batch 20180331_1729: 675 Policies)"/>
    <n v="1"/>
    <x v="15"/>
  </r>
  <r>
    <x v="0"/>
    <x v="6"/>
    <d v="2018-04-06T00:00:00"/>
    <s v="Fri"/>
    <d v="1899-12-30T17:00:00"/>
    <d v="1899-12-30T21:00:00"/>
    <n v="8.0000000000000036"/>
    <n v="4.0000000000000036"/>
    <n v="4.0000000000000036"/>
    <s v="Normal Working Days before 10pm"/>
    <s v="Backlog 507/1144 Policies &amp; Total: 1655 Policies (Batch 20180331_1144: 927 Policies, Batch 20180331_1729: 675 Policies)"/>
    <n v="1"/>
    <x v="15"/>
  </r>
  <r>
    <x v="0"/>
    <x v="15"/>
    <d v="2018-04-06T00:00:00"/>
    <s v="Fri"/>
    <d v="1899-12-30T17:00:00"/>
    <d v="1899-12-30T21:00:00"/>
    <n v="8.0000000000000036"/>
    <n v="4.0000000000000036"/>
    <n v="4.0000000000000036"/>
    <s v="Normal Working Days before 10pm"/>
    <s v="Backlog 507/1144 Policies &amp; Total: 1655 Policies (Batch 20180331_1144: 927 Policies, Batch 20180331_1729: 675 Policies)"/>
    <n v="1"/>
    <x v="15"/>
  </r>
  <r>
    <x v="0"/>
    <x v="16"/>
    <d v="2018-04-06T00:00:00"/>
    <s v="Fri"/>
    <d v="1899-12-30T17:00:00"/>
    <d v="1899-12-30T21:00:00"/>
    <n v="8.0000000000000036"/>
    <n v="4.0000000000000036"/>
    <n v="4.0000000000000036"/>
    <s v="Normal Working Days before 10pm"/>
    <s v="Backlog 507/1144 Policies &amp; Total: 1655 Policies (Batch 20180331_1144: 927 Policies, Batch 20180331_1729: 675 Policies)"/>
    <n v="1"/>
    <x v="15"/>
  </r>
  <r>
    <x v="1"/>
    <x v="5"/>
    <d v="2018-04-06T00:00:00"/>
    <s v="Fri"/>
    <d v="1899-12-30T08:00:00"/>
    <d v="1899-12-30T21:00:00"/>
    <n v="0"/>
    <n v="12.000000000000007"/>
    <n v="12.000000000000007"/>
    <s v="Normal Working Days before 10pm"/>
    <s v="Backlog 507/1144 Policies &amp; Total: 1655 Policies (Batch 20180331_1144: 927 Policies, Batch 20180331_1729: 675 Policies)"/>
    <s v=""/>
    <x v="15"/>
  </r>
  <r>
    <x v="1"/>
    <x v="12"/>
    <d v="2018-04-06T00:00:00"/>
    <s v="Fri"/>
    <d v="1899-12-30T09:30:00"/>
    <d v="1899-12-30T21:00:00"/>
    <n v="0"/>
    <n v="10.500000000000009"/>
    <n v="10.500000000000009"/>
    <s v="Normal Working Days before 10pm"/>
    <s v="Backlog 507/1144 Policies &amp; Total: 1655 Policies (Batch 20180331_1144: 927 Policies, Batch 20180331_1729: 675 Policies)"/>
    <s v=""/>
    <x v="15"/>
  </r>
  <r>
    <x v="1"/>
    <x v="19"/>
    <d v="2018-04-06T00:00:00"/>
    <s v="Fri"/>
    <d v="1899-12-30T08:00:00"/>
    <d v="1899-12-30T21:00:00"/>
    <n v="0"/>
    <n v="12.000000000000007"/>
    <n v="12.000000000000007"/>
    <s v="Normal Working Days before 10pm"/>
    <s v="Backlog 507/1144 Policies &amp; Total: 1655 Policies (Batch 20180331_1144: 927 Policies, Batch 20180331_1729: 675 Policies)"/>
    <s v=""/>
    <x v="15"/>
  </r>
  <r>
    <x v="1"/>
    <x v="20"/>
    <d v="2018-04-06T00:00:00"/>
    <s v="Fri"/>
    <d v="1899-12-30T08:00:00"/>
    <d v="1899-12-30T16:30:00"/>
    <n v="0"/>
    <n v="7.5000000000000089"/>
    <n v="7.5000000000000089"/>
    <s v="Normal Working Days before 10pm"/>
    <s v="Backlog 507/1144 Policies &amp; Total: 1655 Policies (Batch 20180331_1144: 927 Policies, Batch 20180331_1729: 675 Policies)"/>
    <s v=""/>
    <x v="15"/>
  </r>
  <r>
    <x v="1"/>
    <x v="7"/>
    <d v="2018-04-06T00:00:00"/>
    <s v="Fri"/>
    <d v="1899-12-30T08:00:00"/>
    <d v="1899-12-30T21:00:00"/>
    <n v="0"/>
    <n v="12.000000000000007"/>
    <n v="12.000000000000007"/>
    <s v="Normal Working Days before 10pm"/>
    <s v="Backlog 507/1144 Policies &amp; Total: 1655 Policies (Batch 20180331_1144: 927 Policies, Batch 20180331_1729: 675 Policies)"/>
    <s v=""/>
    <x v="15"/>
  </r>
  <r>
    <x v="1"/>
    <x v="34"/>
    <d v="2018-04-06T00:00:00"/>
    <s v="Fri"/>
    <d v="1899-12-30T15:00:00"/>
    <d v="1899-12-30T21:00:00"/>
    <n v="0"/>
    <n v="6"/>
    <n v="6"/>
    <s v="Normal Working Days before 10pm"/>
    <s v="Backlog 507/1144 Policies &amp; Total: 1655 Policies (Batch 20180331_1144: 927 Policies, Batch 20180331_1729: 675 Policies)"/>
    <s v=""/>
    <x v="15"/>
  </r>
  <r>
    <x v="0"/>
    <x v="0"/>
    <d v="2018-04-07T00:00:00"/>
    <s v="Sat"/>
    <d v="1899-12-30T08:00:00"/>
    <d v="1899-12-30T17:00:00"/>
    <n v="8.0000000000000036"/>
    <n v="0"/>
    <n v="8.0000000000000036"/>
    <s v="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0"/>
    <x v="2"/>
    <d v="2018-04-07T00:00:00"/>
    <s v="Sat"/>
    <d v="1899-12-30T09:00:00"/>
    <d v="1899-12-30T17:00:00"/>
    <n v="6.9999999999999929"/>
    <n v="0"/>
    <n v="6.9999999999999929"/>
    <s v="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0"/>
    <x v="6"/>
    <d v="2018-04-07T00:00:00"/>
    <s v="Sat"/>
    <d v="1899-12-30T11:00:00"/>
    <d v="1899-12-30T17:00:00"/>
    <n v="5.0000000000000018"/>
    <n v="0"/>
    <n v="5.0000000000000018"/>
    <s v="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1"/>
    <x v="5"/>
    <d v="2018-04-07T00:00:00"/>
    <s v="Sat"/>
    <d v="1899-12-30T08:00:00"/>
    <d v="1899-12-30T17:00:00"/>
    <n v="0"/>
    <n v="8.0000000000000018"/>
    <n v="8.0000000000000018"/>
    <s v="Saturday/Sunday (Weekends) before 10pm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1"/>
    <x v="12"/>
    <d v="2018-04-07T00:00:00"/>
    <s v="Sat"/>
    <d v="1899-12-30T08:00:00"/>
    <d v="1899-12-30T17:00:00"/>
    <n v="0"/>
    <n v="8.0000000000000018"/>
    <n v="8.0000000000000018"/>
    <s v="Saturday/Sunday (Weekends) before 10pm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1"/>
    <x v="19"/>
    <d v="2018-04-07T00:00:00"/>
    <s v="Sat"/>
    <d v="1899-12-30T08:30:00"/>
    <d v="1899-12-30T17:00:00"/>
    <n v="0"/>
    <n v="7.499999999999984"/>
    <n v="7.499999999999984"/>
    <s v="Saturday/Sunday (Weekends) before 10pm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1"/>
    <x v="7"/>
    <d v="2018-04-07T00:00:00"/>
    <s v="Sat"/>
    <d v="1899-12-30T08:30:00"/>
    <d v="1899-12-30T17:00:00"/>
    <n v="0"/>
    <n v="7.499999999999984"/>
    <n v="7.499999999999984"/>
    <s v="Saturday/Sunday (Weekends) before 10pm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1"/>
    <x v="29"/>
    <d v="2018-04-07T00:00:00"/>
    <s v="Sat"/>
    <d v="1899-12-30T08:00:00"/>
    <d v="1899-12-30T17:00:00"/>
    <n v="0"/>
    <n v="8.0000000000000018"/>
    <n v="8.0000000000000018"/>
    <s v="Saturday/Sunday (Weekends) before 10pm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1"/>
    <x v="34"/>
    <d v="2018-04-07T00:00:00"/>
    <s v="Sat"/>
    <d v="1899-12-30T08:00:00"/>
    <d v="1899-12-30T17:00:00"/>
    <n v="0"/>
    <n v="8.0000000000000018"/>
    <n v="8.0000000000000018"/>
    <s v="Saturday/Sunday (Weekends) before 10pm"/>
    <s v="Backlog 408/980 Policies &amp; Total: 1140 Policies (Batch 20180402_1055: 2 Policies, Batch 20180402_1443: 8 Policies, Batch 20180402_2131: 329 Policies, Batch 20180403_1123: 168 Policies, Batch 20180403_1428: 121 Policies, Batch 20180403_2143: 512 Policies, Batch 20180403_1113: 75 Policies)"/>
    <s v=""/>
    <x v="15"/>
  </r>
  <r>
    <x v="0"/>
    <x v="0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0"/>
    <x v="2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0"/>
    <x v="6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0"/>
    <x v="15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0"/>
    <x v="16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1"/>
    <x v="5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1"/>
    <x v="19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1"/>
    <x v="20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1"/>
    <x v="7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1"/>
    <x v="29"/>
    <d v="2018-04-08T00:00:00"/>
    <s v="Sun"/>
    <d v="1899-12-30T08:00:00"/>
    <d v="1899-12-30T16:30:00"/>
    <s v=""/>
    <n v="7.5000000000000089"/>
    <n v="7.5000000000000089"/>
    <s v="Saturday/Sunday (Weekends) before 10pm"/>
    <s v="Backlog 162/512 Policies &amp; Total: 953 Policies (Batch 20180403_1113: 75 Policies, Batch 20180404_1417: 97 Policies, Batch 20180404_2335: 285 Policies, Batch 20180405_1452: 76 Policies, Batch 20180405_2153: 143 Policies, Batch 20180406_1135: 61 Policies, Batch 20180406_1431: 103 Policies)"/>
    <s v=""/>
    <x v="15"/>
  </r>
  <r>
    <x v="1"/>
    <x v="5"/>
    <d v="2018-04-09T00:00:00"/>
    <s v="Mon"/>
    <d v="1899-12-30T08:30:00"/>
    <d v="1899-12-30T17:30:00"/>
    <n v="0"/>
    <n v="7.9999999999999982"/>
    <n v="7.9999999999999982"/>
    <s v="Normal Working Days before 10pm"/>
    <s v="Total: 236 Policies (Batch 20180406_2146: 236 Policies)"/>
    <s v=""/>
    <x v="15"/>
  </r>
  <r>
    <x v="1"/>
    <x v="5"/>
    <d v="2018-04-10T00:00:00"/>
    <s v="Tue"/>
    <d v="1899-12-30T08:30:00"/>
    <d v="1899-12-30T17:30:00"/>
    <n v="0"/>
    <n v="7.9999999999999982"/>
    <n v="7.9999999999999982"/>
    <s v="Normal Working Days before 10pm"/>
    <s v="Total: 497 Policies (Batch 20180409_1541: 223 Policies, Batch 20180409_1803: 161 Policies, Batch 20180409_2116: 113 Policies)"/>
    <s v=""/>
    <x v="15"/>
  </r>
  <r>
    <x v="1"/>
    <x v="5"/>
    <d v="2018-04-11T00:00:00"/>
    <s v="Wed"/>
    <d v="1899-12-30T08:30:00"/>
    <d v="1899-12-30T17:30:00"/>
    <n v="0"/>
    <n v="7.9999999999999982"/>
    <n v="7.9999999999999982"/>
    <s v="Normal Working Days before 10pm"/>
    <s v="Total: 614 Policies (Batch 20180410_1110: 73 Policies, Batch 20180410_1439: 116 Policies, Batch 20180410_2054: 326 Policies, Batch 20180411_1107: 99 Policies)"/>
    <s v=""/>
    <x v="15"/>
  </r>
  <r>
    <x v="1"/>
    <x v="5"/>
    <d v="2018-04-12T00:00:00"/>
    <s v="Thu"/>
    <d v="1899-12-30T08:30:00"/>
    <d v="1899-12-30T17:30:00"/>
    <n v="0"/>
    <n v="7.9999999999999982"/>
    <n v="7.9999999999999982"/>
    <s v="Normal Working Days before 10pm"/>
    <s v="Total: 529 Policies (Batch 20180411_1419: 116 Policies, Batch 20180411_2320: 341 Policies, Batch 20180412_1100: 74 Policies)"/>
    <s v=""/>
    <x v="15"/>
  </r>
  <r>
    <x v="1"/>
    <x v="5"/>
    <d v="2018-04-13T00:00:00"/>
    <s v="Fri"/>
    <d v="1899-12-30T08:30:00"/>
    <d v="1899-12-30T17:30:00"/>
    <n v="0"/>
    <n v="7.9999999999999982"/>
    <n v="7.9999999999999982"/>
    <s v="Normal Working Days before 10pm"/>
    <s v="Total: 530 Policies (Batch 20180412_1434: 153 Policies, Batch 20180413_0854: 333 Policies, Batch 20180413_1145: 44 Policies)"/>
    <s v=""/>
    <x v="15"/>
  </r>
  <r>
    <x v="1"/>
    <x v="7"/>
    <d v="2018-04-13T00:00:00"/>
    <s v="Fri"/>
    <d v="1899-12-30T08:30:00"/>
    <d v="1899-12-30T17:30:00"/>
    <n v="0"/>
    <n v="7.9999999999999982"/>
    <n v="7.9999999999999982"/>
    <s v="Normal Working Days before 10pm"/>
    <s v="Total: 530 Policies (Batch 20180412_1434: 153 Policies, Batch 20180413_0854: 333 Policies, Batch 20180413_1145: 44 Policies)"/>
    <s v=""/>
    <x v="15"/>
  </r>
  <r>
    <x v="1"/>
    <x v="5"/>
    <d v="2018-04-16T00:00:00"/>
    <s v="Mon"/>
    <d v="1899-12-30T08:30:00"/>
    <d v="1899-12-30T17:30:00"/>
    <n v="0"/>
    <n v="7.9999999999999982"/>
    <n v="7.9999999999999982"/>
    <s v="Normal Working Days before 10pm"/>
    <s v="Total: 324 Policies (Batch 20180413_1504: 103 Policies, Batch 20180413_2247: 79 Policies, Batch 20180416_1129: 142 Policies)"/>
    <s v=""/>
    <x v="15"/>
  </r>
  <r>
    <x v="1"/>
    <x v="7"/>
    <d v="2018-04-16T00:00:00"/>
    <s v="Mon"/>
    <d v="1899-12-30T08:30:00"/>
    <d v="1899-12-30T14:30:00"/>
    <n v="0"/>
    <n v="4.9999999999999982"/>
    <n v="4.9999999999999982"/>
    <s v="Normal Working Days before 10pm"/>
    <s v="Total: 324 Policies (Batch 20180413_1504: 103 Policies, Batch 20180413_2247: 79 Policies, Batch 20180416_1129: 142 Policies)"/>
    <s v=""/>
    <x v="15"/>
  </r>
  <r>
    <x v="0"/>
    <x v="0"/>
    <d v="2018-04-17T00:00:00"/>
    <s v="Tue"/>
    <d v="1899-12-30T17:30:00"/>
    <d v="1899-12-30T20:45:00"/>
    <n v="8.0000000000000036"/>
    <n v="3.2499999999999822"/>
    <n v="3.2499999999999822"/>
    <s v="Normal Working Days before 10pm"/>
    <s v="Total: 1213 Policies (Batch 20180416_1448: 269 Policies, Batch 20180416_2307: 598 Policies, Batch 20180417_11112: 171 Policies, Batch 20180417_1438: 235 Policies)"/>
    <n v="1"/>
    <x v="15"/>
  </r>
  <r>
    <x v="0"/>
    <x v="2"/>
    <d v="2018-04-17T00:00:00"/>
    <s v="Tue"/>
    <d v="1899-12-30T17:30:00"/>
    <d v="1899-12-30T20:45:00"/>
    <n v="8.0000000000000036"/>
    <n v="3.2499999999999822"/>
    <n v="3.2499999999999822"/>
    <s v="Normal Working Days before 10pm"/>
    <s v="Total: 1213 Policies (Batch 20180416_1448: 269 Policies, Batch 20180416_2307: 598 Policies, Batch 20180417_11112: 171 Policies, Batch 20180417_1438: 235 Policies)"/>
    <n v="1"/>
    <x v="15"/>
  </r>
  <r>
    <x v="0"/>
    <x v="6"/>
    <d v="2018-04-17T00:00:00"/>
    <s v="Tue"/>
    <d v="1899-12-30T17:30:00"/>
    <d v="1899-12-30T20:45:00"/>
    <n v="8.0000000000000036"/>
    <n v="3.2499999999999822"/>
    <n v="3.2499999999999822"/>
    <s v="Normal Working Days before 10pm"/>
    <s v="Total: 1213 Policies (Batch 20180416_1448: 269 Policies, Batch 20180416_2307: 598 Policies, Batch 20180417_11112: 171 Policies, Batch 20180417_1438: 235 Policies)"/>
    <n v="1"/>
    <x v="15"/>
  </r>
  <r>
    <x v="0"/>
    <x v="16"/>
    <d v="2018-04-17T00:00:00"/>
    <s v="Tue"/>
    <d v="1899-12-30T17:30:00"/>
    <d v="1899-12-30T20:45:00"/>
    <n v="8.0000000000000036"/>
    <n v="3.2499999999999822"/>
    <n v="3.2499999999999822"/>
    <s v="Normal Working Days before 10pm"/>
    <s v="Total: 1213 Policies (Batch 20180416_1448: 269 Policies, Batch 20180416_2307: 598 Policies, Batch 20180417_11112: 171 Policies, Batch 20180417_1438: 235 Policies)"/>
    <n v="1"/>
    <x v="15"/>
  </r>
  <r>
    <x v="1"/>
    <x v="5"/>
    <d v="2018-04-17T00:00:00"/>
    <s v="Tue"/>
    <d v="1899-12-30T08:30:00"/>
    <d v="1899-12-30T20:45:00"/>
    <n v="0"/>
    <n v="11.249999999999986"/>
    <n v="11.249999999999986"/>
    <s v="Normal Working Days before 10pm"/>
    <s v="Total: 1213 Policies (Batch 20180416_1448: 269 Policies, Batch 20180416_2307: 598 Policies, Batch 20180417_11112: 171 Policies, Batch 20180417_1438: 235 Policies)"/>
    <s v=""/>
    <x v="15"/>
  </r>
  <r>
    <x v="1"/>
    <x v="29"/>
    <d v="2018-04-17T00:00:00"/>
    <s v="Tue"/>
    <d v="1899-12-30T08:30:00"/>
    <d v="1899-12-30T17:30:00"/>
    <n v="0"/>
    <n v="7.9999999999999982"/>
    <n v="7.9999999999999982"/>
    <s v="Normal Working Days before 10pm"/>
    <s v="Total: 1213 Policies (Batch 20180416_1448: 269 Policies, Batch 20180416_2307: 598 Policies, Batch 20180417_11112: 171 Policies, Batch 20180417_1438: 235 Policies)"/>
    <s v=""/>
    <x v="15"/>
  </r>
  <r>
    <x v="1"/>
    <x v="34"/>
    <d v="2018-04-17T00:00:00"/>
    <s v="Tue"/>
    <d v="1899-12-30T10:30:00"/>
    <d v="1899-12-30T20:45:00"/>
    <n v="0"/>
    <n v="9.2499999999999929"/>
    <n v="9.2499999999999929"/>
    <s v="Normal Working Days before 10pm"/>
    <s v="Total: 1213 Policies (Batch 20180416_1448: 269 Policies, Batch 20180416_2307: 598 Policies, Batch 20180417_11112: 171 Policies, Batch 20180417_1438: 235 Policies)"/>
    <s v=""/>
    <x v="15"/>
  </r>
  <r>
    <x v="1"/>
    <x v="36"/>
    <d v="2018-04-17T00:00:00"/>
    <s v="Tue"/>
    <d v="1899-12-30T15:30:00"/>
    <d v="1899-12-30T20:45:00"/>
    <n v="0"/>
    <n v="4.25"/>
    <n v="4.25"/>
    <s v="Normal Working Days before 10pm"/>
    <s v="Total: 1213 Policies (Batch 20180416_1448: 269 Policies, Batch 20180416_2307: 598 Policies, Batch 20180417_11112: 171 Policies, Batch 20180417_1438: 235 Policies)"/>
    <s v=""/>
    <x v="15"/>
  </r>
  <r>
    <x v="1"/>
    <x v="5"/>
    <d v="2018-04-18T00:00:00"/>
    <s v="Wed"/>
    <d v="1899-12-30T08:30:00"/>
    <d v="1899-12-30T17:30:00"/>
    <n v="0"/>
    <n v="7.9999999999999982"/>
    <n v="7.9999999999999982"/>
    <s v="Normal Working Days before 10pm"/>
    <s v="Total: 508 Policies (Batch 20180417_2147: 436 Policies, Batch 20180418_1100: 72 Policies)"/>
    <s v=""/>
    <x v="15"/>
  </r>
  <r>
    <x v="1"/>
    <x v="34"/>
    <d v="2018-04-18T00:00:00"/>
    <s v="Wed"/>
    <d v="1899-12-30T08:30:00"/>
    <d v="1899-12-30T16:00:00"/>
    <n v="0"/>
    <n v="6.4999999999999982"/>
    <n v="6.4999999999999982"/>
    <s v="Normal Working Days before 10pm"/>
    <s v="Total: 508 Policies (Batch 20180417_2147: 436 Policies, Batch 20180418_1100: 72 Policies)"/>
    <s v=""/>
    <x v="15"/>
  </r>
  <r>
    <x v="1"/>
    <x v="5"/>
    <d v="2018-04-19T00:00:00"/>
    <s v="Thu"/>
    <d v="1899-12-30T08:30:00"/>
    <d v="1899-12-30T17:30:00"/>
    <n v="0"/>
    <n v="7.9999999999999982"/>
    <n v="7.9999999999999982"/>
    <s v="Normal Working Days before 10pm"/>
    <s v="Total: 809 Policies (Batch 20180418_1432: 201 Policies, Batch 20180418_2102: 363 Policies, Batch 20180419_1059: 102 Policies, Batch 20180419_1456: 143 Policies)"/>
    <s v=""/>
    <x v="15"/>
  </r>
  <r>
    <x v="1"/>
    <x v="19"/>
    <d v="2018-04-19T00:00:00"/>
    <s v="Thu"/>
    <d v="1899-12-30T13:30:00"/>
    <d v="1899-12-30T17:30:00"/>
    <n v="0"/>
    <n v="4.0000000000000071"/>
    <n v="4.0000000000000071"/>
    <s v="Normal Working Days before 10pm"/>
    <s v="Total: 809 Policies (Batch 20180418_1432: 201 Policies, Batch 20180418_2102: 363 Policies, Batch 20180419_1059: 102 Policies, Batch 20180419_1456: 143 Policies)"/>
    <s v=""/>
    <x v="15"/>
  </r>
  <r>
    <x v="1"/>
    <x v="34"/>
    <d v="2018-04-19T00:00:00"/>
    <s v="Thu"/>
    <d v="1899-12-30T08:30:00"/>
    <d v="1899-12-30T17:30:00"/>
    <n v="0"/>
    <n v="7.9999999999999982"/>
    <n v="7.9999999999999982"/>
    <s v="Normal Working Days before 10pm"/>
    <s v="Total: 809 Policies (Batch 20180418_1432: 201 Policies, Batch 20180418_2102: 363 Policies, Batch 20180419_1059: 102 Policies, Batch 20180419_1456: 143 Policies)"/>
    <s v=""/>
    <x v="15"/>
  </r>
  <r>
    <x v="1"/>
    <x v="5"/>
    <d v="2018-04-20T00:00:00"/>
    <s v="Fri"/>
    <d v="1899-12-30T08:30:00"/>
    <d v="1899-12-30T17:30:00"/>
    <n v="0"/>
    <n v="7.9999999999999982"/>
    <n v="7.9999999999999982"/>
    <s v="Normal Working Days before 10pm"/>
    <s v="Total: 568 Policies (Batch 20180419_1456: 143 Policies;Batch 20180419_2101: 330 Policies; Batch 20180419_1114: 95 Policies)"/>
    <s v=""/>
    <x v="15"/>
  </r>
  <r>
    <x v="1"/>
    <x v="19"/>
    <d v="2018-04-20T00:00:00"/>
    <s v="Fri"/>
    <d v="1899-12-30T12:30:00"/>
    <d v="1899-12-30T17:30:00"/>
    <n v="0"/>
    <n v="4.0000000000000142"/>
    <n v="4.0000000000000142"/>
    <s v="Normal Working Days before 10pm"/>
    <s v="Total: 568 Policies (Batch 20180419_1456: 143 Policies;Batch 20180419_2101: 330 Policies; Batch 20180419_1114: 95 Policies)"/>
    <s v=""/>
    <x v="15"/>
  </r>
  <r>
    <x v="1"/>
    <x v="29"/>
    <d v="2018-04-20T00:00:00"/>
    <s v="Fri"/>
    <d v="1899-12-30T08:30:00"/>
    <d v="1899-12-30T17:30:00"/>
    <n v="0"/>
    <n v="7.9999999999999982"/>
    <n v="7.9999999999999982"/>
    <s v="Normal Working Days before 10pm"/>
    <s v="Total: 568 Policies (Batch 20180419_1456: 143 Policies;Batch 20180419_2101: 330 Policies; Batch 20180419_1114: 95 Policies)"/>
    <s v=""/>
    <x v="15"/>
  </r>
  <r>
    <x v="1"/>
    <x v="34"/>
    <d v="2018-04-20T00:00:00"/>
    <s v="Fri"/>
    <d v="1899-12-30T08:30:00"/>
    <d v="1899-12-30T17:30:00"/>
    <n v="0"/>
    <n v="7.9999999999999982"/>
    <n v="7.9999999999999982"/>
    <s v="Normal Working Days before 10pm"/>
    <s v="Total: 568 Policies (Batch 20180419_1456: 143 Policies;Batch 20180419_2101: 330 Policies; Batch 20180419_1114: 95 Policies)"/>
    <s v=""/>
    <x v="15"/>
  </r>
  <r>
    <x v="1"/>
    <x v="5"/>
    <d v="2018-04-23T00:00:00"/>
    <s v="Mon"/>
    <d v="1899-12-30T08:30:00"/>
    <d v="1899-12-30T17:30:00"/>
    <n v="0"/>
    <n v="7.9999999999999982"/>
    <n v="7.9999999999999982"/>
    <s v="Normal Working Days before 10pm"/>
    <s v="Total: 801 Policies (Batch 20180420_1523: 200 Policies; Batch 20180420_2211: 467 Policies; Batch 20180421_2115: 86 Policies; Batch 20180423_1111: 12 Policies; Batch 20180423_1121: 20 Policies; Batch 20180423_1131: 16 Policies)"/>
    <s v=""/>
    <x v="15"/>
  </r>
  <r>
    <x v="1"/>
    <x v="7"/>
    <d v="2018-04-23T00:00:00"/>
    <s v="Mon"/>
    <d v="1899-12-30T12:30:00"/>
    <d v="1899-12-30T17:30:00"/>
    <n v="0"/>
    <n v="5.0000000000000142"/>
    <n v="5.0000000000000142"/>
    <s v="Normal Working Days before 10pm"/>
    <s v="Total: 801 Policies (Batch 20180420_1523: 200 Policies; Batch 20180420_2211: 467 Policies; Batch 20180421_2115: 86 Policies; Batch 20180423_1111: 12 Policies; Batch 20180423_1121: 20 Policies; Batch 20180423_1131: 16 Policies)"/>
    <s v=""/>
    <x v="15"/>
  </r>
  <r>
    <x v="1"/>
    <x v="29"/>
    <d v="2018-04-23T00:00:00"/>
    <s v="Mon"/>
    <d v="1899-12-30T08:30:00"/>
    <d v="1899-12-30T17:30:00"/>
    <n v="0"/>
    <n v="7.9999999999999982"/>
    <n v="7.9999999999999982"/>
    <s v="Normal Working Days before 10pm"/>
    <s v="Total: 801 Policies (Batch 20180420_1523: 200 Policies; Batch 20180420_2211: 467 Policies; Batch 20180421_2115: 86 Policies; Batch 20180423_1111: 12 Policies; Batch 20180423_1121: 20 Policies; Batch 20180423_1131: 16 Policies)"/>
    <s v=""/>
    <x v="15"/>
  </r>
  <r>
    <x v="1"/>
    <x v="34"/>
    <d v="2018-04-23T00:00:00"/>
    <s v="Mon"/>
    <d v="1899-12-30T10:30:00"/>
    <d v="1899-12-30T17:30:00"/>
    <n v="0"/>
    <n v="6.0000000000000071"/>
    <n v="6.0000000000000071"/>
    <s v="Normal Working Days before 10pm"/>
    <s v="Total: 801 Policies (Batch 20180420_1523: 200 Policies; Batch 20180420_2211: 467 Policies; Batch 20180421_2115: 86 Policies; Batch 20180423_1111: 12 Policies; Batch 20180423_1121: 20 Policies; Batch 20180423_1131: 16 Policies)"/>
    <s v=""/>
    <x v="15"/>
  </r>
  <r>
    <x v="0"/>
    <x v="0"/>
    <d v="2018-04-24T00:00:00"/>
    <s v="Tue"/>
    <d v="1899-12-30T17:30:00"/>
    <d v="1899-12-30T21:30:00"/>
    <n v="8.0000000000000036"/>
    <n v="3.9999999999999822"/>
    <n v="3.9999999999999822"/>
    <s v="Normal Working Days before 10pm"/>
    <s v="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"/>
    <n v="1"/>
    <x v="15"/>
  </r>
  <r>
    <x v="0"/>
    <x v="15"/>
    <d v="2018-04-24T00:00:00"/>
    <s v="Tue"/>
    <d v="1899-12-30T17:30:00"/>
    <d v="1899-12-30T21:30:00"/>
    <n v="8.0000000000000036"/>
    <n v="3.9999999999999822"/>
    <n v="3.9999999999999822"/>
    <s v="Normal Working Days before 10pm"/>
    <s v="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"/>
    <n v="1"/>
    <x v="15"/>
  </r>
  <r>
    <x v="0"/>
    <x v="16"/>
    <d v="2018-04-24T00:00:00"/>
    <s v="Tue"/>
    <d v="1899-12-30T17:30:00"/>
    <d v="1899-12-30T21:30:00"/>
    <n v="8.0000000000000036"/>
    <n v="3.9999999999999822"/>
    <n v="3.9999999999999822"/>
    <s v="Normal Working Days before 10pm"/>
    <s v="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"/>
    <n v="1"/>
    <x v="15"/>
  </r>
  <r>
    <x v="1"/>
    <x v="5"/>
    <d v="2018-04-24T00:00:00"/>
    <s v="Tue"/>
    <d v="1899-12-30T08:30:00"/>
    <d v="1899-12-30T21:30:00"/>
    <n v="0"/>
    <n v="11.999999999999986"/>
    <n v="11.999999999999986"/>
    <s v="Normal Working Days before 10pm"/>
    <s v="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"/>
    <s v=""/>
    <x v="15"/>
  </r>
  <r>
    <x v="1"/>
    <x v="21"/>
    <d v="2018-04-24T00:00:00"/>
    <s v="Tue"/>
    <d v="1899-12-30T14:00:00"/>
    <d v="1899-12-30T21:30:00"/>
    <n v="0"/>
    <n v="6.5"/>
    <n v="6.5"/>
    <s v="Normal Working Days before 10pm"/>
    <s v="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"/>
    <s v=""/>
    <x v="15"/>
  </r>
  <r>
    <x v="1"/>
    <x v="29"/>
    <d v="2018-04-24T00:00:00"/>
    <s v="Tue"/>
    <d v="1899-12-30T08:30:00"/>
    <d v="1899-12-30T17:30:00"/>
    <n v="0"/>
    <n v="7.9999999999999982"/>
    <n v="7.9999999999999982"/>
    <s v="Normal Working Days before 10pm"/>
    <s v="Total: 1025 Policies (Batch 20180423_1555: 117 Policies, Batch 20180423_1605: 92 Policies, Batch 20180423_1615: 65 Policies, Batch 20180423_2111: 252 Policies, Batch 20180423_2121: 143 Policies, Batch 20180423_2131: 134 Policies, Batch 20180424_1148: 121 Policies, Batch 20180424_1158: 58 Policies, Batch 20180424_1208: 43 Policies)"/>
    <s v=""/>
    <x v="15"/>
  </r>
  <r>
    <x v="0"/>
    <x v="0"/>
    <d v="2018-04-26T00:00:00"/>
    <s v="Thu"/>
    <d v="1899-12-30T17:00:00"/>
    <d v="1899-12-30T17:30:00"/>
    <n v="8.0000000000000036"/>
    <n v="0.50000000000001243"/>
    <n v="0.50000000000001243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0"/>
    <x v="2"/>
    <d v="2018-04-26T00:00:00"/>
    <s v="Thu"/>
    <d v="1899-12-30T17:00:00"/>
    <d v="1899-12-30T17:30:00"/>
    <n v="8.0000000000000036"/>
    <n v="0.50000000000001243"/>
    <n v="0.50000000000001243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0"/>
    <x v="6"/>
    <d v="2018-04-26T00:00:00"/>
    <s v="Thu"/>
    <d v="1899-12-30T15:30:00"/>
    <d v="1899-12-30T19:30:00"/>
    <n v="8.0000000000000036"/>
    <n v="4.0000000000000036"/>
    <n v="4.0000000000000036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n v="1"/>
    <x v="15"/>
  </r>
  <r>
    <x v="0"/>
    <x v="15"/>
    <d v="2018-04-26T00:00:00"/>
    <s v="Thu"/>
    <d v="1899-12-30T17:00:00"/>
    <d v="1899-12-30T17:30:00"/>
    <n v="8.0000000000000036"/>
    <n v="0.50000000000001243"/>
    <n v="0.50000000000001243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0"/>
    <x v="16"/>
    <d v="2018-04-26T00:00:00"/>
    <s v="Thu"/>
    <d v="1899-12-30T17:00:00"/>
    <d v="1899-12-30T17:30:00"/>
    <n v="8.0000000000000036"/>
    <n v="0.50000000000001243"/>
    <n v="0.50000000000001243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1"/>
    <x v="5"/>
    <d v="2018-04-26T00:00:00"/>
    <s v="Thu"/>
    <d v="1899-12-30T08:00:00"/>
    <d v="1899-12-30T17:30:00"/>
    <n v="0"/>
    <n v="8.500000000000016"/>
    <n v="8.500000000000016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1"/>
    <x v="12"/>
    <d v="2018-04-26T00:00:00"/>
    <s v="Thu"/>
    <d v="1899-12-30T15:00:00"/>
    <d v="1899-12-30T17:30:00"/>
    <n v="0"/>
    <n v="2.5000000000000071"/>
    <n v="2.5000000000000071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1"/>
    <x v="19"/>
    <d v="2018-04-26T00:00:00"/>
    <s v="Thu"/>
    <d v="1899-12-30T08:00:00"/>
    <d v="1899-12-30T17:30:00"/>
    <n v="0"/>
    <n v="8.500000000000016"/>
    <n v="8.500000000000016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1"/>
    <x v="7"/>
    <d v="2018-04-26T00:00:00"/>
    <s v="Thu"/>
    <d v="1899-12-30T12:30:00"/>
    <d v="1899-12-30T17:30:00"/>
    <n v="0"/>
    <n v="4.0000000000000142"/>
    <n v="4.0000000000000142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1"/>
    <x v="29"/>
    <d v="2018-04-26T00:00:00"/>
    <s v="Thu"/>
    <d v="1899-12-30T08:00:00"/>
    <d v="1899-12-30T17:30:00"/>
    <n v="0"/>
    <n v="8.500000000000016"/>
    <n v="8.500000000000016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1"/>
    <x v="34"/>
    <d v="2018-04-26T00:00:00"/>
    <s v="Thu"/>
    <d v="1899-12-30T08:00:00"/>
    <d v="1899-12-30T17:30:00"/>
    <n v="0"/>
    <n v="8.500000000000016"/>
    <n v="8.500000000000016"/>
    <s v="Normal Working Days before 10pm"/>
    <s v="Total: 1330 Policies (Batch 20180424_1459: 124 Policies, Batch 20180424_1509: 132 Policies, Batch 20180424_1519: 52 Policies, Batch 20180424_2314: 306 Policies, Batch 20180424_2324: 292 Policies, Batch 20180424_2334: 162 Policies, Batch 20180425_1115: 119 Policies, Batch 20180425_1125: 65 Policies, Batch 20180425_1135: 78 Policies)"/>
    <s v=""/>
    <x v="15"/>
  </r>
  <r>
    <x v="0"/>
    <x v="0"/>
    <d v="2018-04-27T00:00:00"/>
    <s v="Fri"/>
    <d v="1899-12-30T17:00:00"/>
    <d v="1899-12-30T21:00:00"/>
    <n v="8.0000000000000036"/>
    <n v="4.0000000000000036"/>
    <n v="4.0000000000000036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129/598"/>
    <n v="1"/>
    <x v="15"/>
  </r>
  <r>
    <x v="0"/>
    <x v="2"/>
    <d v="2018-04-27T00:00:00"/>
    <s v="Fri"/>
    <d v="1899-12-30T15:30:00"/>
    <d v="1899-12-30T19:30:00"/>
    <n v="8.0000000000000036"/>
    <n v="4.0000000000000036"/>
    <n v="4.0000000000000036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n v="1"/>
    <x v="15"/>
  </r>
  <r>
    <x v="0"/>
    <x v="6"/>
    <d v="2018-04-27T00:00:00"/>
    <s v="Fri"/>
    <d v="1899-12-30T17:00:00"/>
    <d v="1899-12-30T21:00:00"/>
    <n v="8.0000000000000036"/>
    <n v="4.0000000000000036"/>
    <n v="4.0000000000000036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n v="1"/>
    <x v="15"/>
  </r>
  <r>
    <x v="1"/>
    <x v="5"/>
    <d v="2018-04-27T00:00:00"/>
    <s v="Fri"/>
    <d v="1899-12-30T08:00:00"/>
    <d v="1899-12-30T21:00:00"/>
    <n v="0"/>
    <n v="12.000000000000007"/>
    <n v="12.000000000000007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s v=""/>
    <x v="15"/>
  </r>
  <r>
    <x v="1"/>
    <x v="12"/>
    <d v="2018-04-27T00:00:00"/>
    <s v="Fri"/>
    <d v="1899-12-30T12:30:00"/>
    <d v="1899-12-30T21:00:00"/>
    <n v="0"/>
    <n v="7.5000000000000071"/>
    <n v="7.5000000000000071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s v=""/>
    <x v="15"/>
  </r>
  <r>
    <x v="1"/>
    <x v="19"/>
    <d v="2018-04-27T00:00:00"/>
    <s v="Fri"/>
    <d v="1899-12-30T12:30:00"/>
    <d v="1899-12-30T21:00:00"/>
    <n v="0"/>
    <n v="7.5000000000000071"/>
    <n v="7.5000000000000071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s v=""/>
    <x v="15"/>
  </r>
  <r>
    <x v="1"/>
    <x v="7"/>
    <d v="2018-04-27T00:00:00"/>
    <s v="Fri"/>
    <d v="1899-12-30T12:30:00"/>
    <d v="1899-12-30T21:00:00"/>
    <n v="0"/>
    <n v="7.5000000000000071"/>
    <n v="7.5000000000000071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s v=""/>
    <x v="15"/>
  </r>
  <r>
    <x v="1"/>
    <x v="28"/>
    <d v="2018-04-27T00:00:00"/>
    <s v="Fri"/>
    <d v="1899-12-30T08:00:00"/>
    <d v="1899-12-30T21:00:00"/>
    <n v="0"/>
    <n v="12.000000000000007"/>
    <n v="12.000000000000007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s v=""/>
    <x v="15"/>
  </r>
  <r>
    <x v="1"/>
    <x v="29"/>
    <d v="2018-04-27T00:00:00"/>
    <s v="Fri"/>
    <d v="1899-12-30T08:00:00"/>
    <d v="1899-12-30T17:00:00"/>
    <n v="0"/>
    <n v="8.0000000000000018"/>
    <n v="8.0000000000000018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s v=""/>
    <x v="15"/>
  </r>
  <r>
    <x v="1"/>
    <x v="34"/>
    <d v="2018-04-27T00:00:00"/>
    <s v="Fri"/>
    <d v="1899-12-30T08:00:00"/>
    <d v="1899-12-30T13:30:00"/>
    <n v="0"/>
    <n v="4.5000000000000089"/>
    <n v="4.5000000000000089"/>
    <s v="Normal Working Days before 10pm"/>
    <s v="Total: 1104 Policies (Batch 20180426_1412: 96 Policies, Batch 20180426_1422: 117 Policies, Batch 20180426_1432: 57 Policies, Batch 20180426_0140: 199 Policies, Batch 20180426_0150: 162 Policies, Batch 20180426_0200: 162 Policies, batch 20180427_1153: 241 Policies, batch 20180427_1203: 70 Policies)"/>
    <s v=""/>
    <x v="15"/>
  </r>
  <r>
    <x v="0"/>
    <x v="0"/>
    <d v="2018-04-28T00:00:00"/>
    <s v="Sat"/>
    <d v="1899-12-30T15:30:00"/>
    <d v="1899-12-30T19:30:00"/>
    <n v="8.0000000000000036"/>
    <n v="4.0000000000000036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n v="1"/>
    <x v="15"/>
  </r>
  <r>
    <x v="0"/>
    <x v="15"/>
    <d v="2018-04-28T00:00:00"/>
    <s v="Sat"/>
    <d v="1899-12-30T17:00:00"/>
    <d v="1899-12-30T21:00:00"/>
    <n v="8.0000000000000036"/>
    <n v="4.0000000000000036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n v="1"/>
    <x v="15"/>
  </r>
  <r>
    <x v="0"/>
    <x v="16"/>
    <d v="2018-04-28T00:00:00"/>
    <s v="Sat"/>
    <d v="1899-12-30T17:00:00"/>
    <d v="1899-12-30T21:00:00"/>
    <n v="8.0000000000000036"/>
    <n v="4.0000000000000036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n v="1"/>
    <x v="15"/>
  </r>
  <r>
    <x v="1"/>
    <x v="19"/>
    <d v="2018-04-28T00:00:00"/>
    <s v="Sat"/>
    <d v="1899-12-30T08:00:00"/>
    <d v="1899-12-30T21:00:00"/>
    <n v="0"/>
    <n v="12.000000000000007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s v=""/>
    <x v="15"/>
  </r>
  <r>
    <x v="1"/>
    <x v="7"/>
    <d v="2018-04-28T00:00:00"/>
    <s v="Sat"/>
    <d v="1899-12-30T08:00:00"/>
    <d v="1899-12-30T21:00:00"/>
    <n v="0"/>
    <n v="12.000000000000007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s v=""/>
    <x v="15"/>
  </r>
  <r>
    <x v="1"/>
    <x v="28"/>
    <d v="2018-04-28T00:00:00"/>
    <s v="Sat"/>
    <d v="1899-12-30T08:00:00"/>
    <d v="1899-12-30T17:00:00"/>
    <n v="0"/>
    <n v="8.0000000000000018"/>
    <n v="8.0000000000000018"/>
    <s v="Saturday/Sunday (Weekends) before 10pm"/>
    <s v="Total: 1983 Policies (Batch 20180427_1143: 598 Policies, Batch 20180427_1911: 503 Policies, Batch 20180427_1921: 284 Policies, Batch 20180427_1931: 164 Policies, Batch 20180427_2303: 434 Policies)"/>
    <s v=""/>
    <x v="15"/>
  </r>
  <r>
    <x v="1"/>
    <x v="29"/>
    <d v="2018-04-28T00:00:00"/>
    <s v="Sat"/>
    <d v="1899-12-30T08:00:00"/>
    <d v="1899-12-30T21:00:00"/>
    <n v="0"/>
    <n v="12.000000000000007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s v=""/>
    <x v="15"/>
  </r>
  <r>
    <x v="1"/>
    <x v="40"/>
    <d v="2018-04-28T00:00:00"/>
    <s v="Sat"/>
    <d v="1899-12-30T08:00:00"/>
    <d v="1899-12-30T21:00:00"/>
    <n v="0"/>
    <n v="12.000000000000007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s v=""/>
    <x v="15"/>
  </r>
  <r>
    <x v="1"/>
    <x v="41"/>
    <d v="2018-04-28T00:00:00"/>
    <s v="Sat"/>
    <d v="1899-12-30T08:00:00"/>
    <d v="1899-12-30T21:00:00"/>
    <n v="0"/>
    <n v="12.000000000000007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s v=""/>
    <x v="15"/>
  </r>
  <r>
    <x v="1"/>
    <x v="34"/>
    <d v="2018-04-28T00:00:00"/>
    <s v="Sat"/>
    <d v="1899-12-30T08:00:00"/>
    <d v="1899-12-30T21:00:00"/>
    <n v="0"/>
    <n v="12.000000000000007"/>
    <n v="12.000000000000007"/>
    <s v="Saturday/Sunday (Weekends) before 10pm"/>
    <s v="Total: 1983 Policies (Batch 20180427_1143: 598 Policies, Batch 20180427_1911: 503 Policies, Batch 20180427_1921: 284 Policies, Batch 20180427_1931: 164 Policies, Batch 20180427_2303: 434 Policies)"/>
    <s v=""/>
    <x v="15"/>
  </r>
  <r>
    <x v="0"/>
    <x v="2"/>
    <d v="2018-04-29T00:00:00"/>
    <s v="Sun"/>
    <d v="1899-12-30T08:00:00"/>
    <d v="1899-12-30T21:30:00"/>
    <s v=""/>
    <n v="12.5"/>
    <n v="12.5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0"/>
    <x v="6"/>
    <d v="2018-04-29T00:00:00"/>
    <s v="Sun"/>
    <d v="1899-12-30T06:30:00"/>
    <d v="1899-12-30T19:30:00"/>
    <s v=""/>
    <n v="12.000000000000007"/>
    <n v="12.000000000000007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1"/>
    <x v="5"/>
    <d v="2018-04-29T00:00:00"/>
    <s v="Sun"/>
    <d v="1899-12-30T08:00:00"/>
    <d v="1899-12-30T21:00:00"/>
    <s v=""/>
    <n v="12.000000000000007"/>
    <n v="12.000000000000007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1"/>
    <x v="12"/>
    <d v="2018-04-29T00:00:00"/>
    <s v="Sun"/>
    <d v="1899-12-30T08:00:00"/>
    <d v="1899-12-30T21:00:00"/>
    <s v=""/>
    <n v="12.000000000000007"/>
    <n v="12.000000000000007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1"/>
    <x v="19"/>
    <d v="2018-04-29T00:00:00"/>
    <s v="Sun"/>
    <d v="1899-12-30T08:30:00"/>
    <d v="1899-12-30T21:00:00"/>
    <s v=""/>
    <n v="11.499999999999993"/>
    <n v="11.499999999999993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1"/>
    <x v="7"/>
    <d v="2018-04-29T00:00:00"/>
    <s v="Sun"/>
    <d v="1899-12-30T08:30:00"/>
    <d v="1899-12-30T21:00:00"/>
    <s v=""/>
    <n v="11.499999999999993"/>
    <n v="11.499999999999993"/>
    <s v="Saturday/Sunday (Weekends) before 10pm"/>
    <s v="Total: 1315 Policies"/>
    <s v=""/>
    <x v="15"/>
  </r>
  <r>
    <x v="1"/>
    <x v="29"/>
    <d v="2018-04-29T00:00:00"/>
    <s v="Sun"/>
    <d v="1899-12-30T08:00:00"/>
    <d v="1899-12-30T21:00:00"/>
    <s v=""/>
    <n v="12.000000000000007"/>
    <n v="12.000000000000007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1"/>
    <x v="40"/>
    <d v="2018-04-29T00:00:00"/>
    <s v="Sun"/>
    <d v="1899-12-30T08:00:00"/>
    <d v="1899-12-30T21:00:00"/>
    <s v=""/>
    <n v="12.000000000000007"/>
    <n v="12.000000000000007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1"/>
    <x v="41"/>
    <d v="2018-04-29T00:00:00"/>
    <s v="Sun"/>
    <d v="1899-12-30T08:00:00"/>
    <d v="1899-12-30T21:00:00"/>
    <s v=""/>
    <n v="12.000000000000007"/>
    <n v="12.000000000000007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1"/>
    <x v="34"/>
    <d v="2018-04-29T00:00:00"/>
    <s v="Sun"/>
    <d v="1899-12-30T08:00:00"/>
    <d v="1899-12-30T21:00:00"/>
    <s v=""/>
    <n v="12.000000000000007"/>
    <n v="12.000000000000007"/>
    <s v="Saturday/Sunday (Weekends) before 10pm"/>
    <s v="Total: 1315 Policies (Batch 20180427_2313: 194 Policies, Batch 20180427_2323: 109 Policies, Batch 20180428_1149: 203 Policies, Batch 20180428_1159: 33 Policies, Batch 20180428_1209: 29 Policies, Batch 20180428_1500: 126 Policies, Batch 20180428_1510: 30 Policies, Batch 20180428_1520: 35 Policies, Batch 20180428_2221: 556 Policies, Batch 20180428_2241: 206 Policies)"/>
    <s v=""/>
    <x v="15"/>
  </r>
  <r>
    <x v="0"/>
    <x v="0"/>
    <d v="2018-05-02T00:00:00"/>
    <s v="Wed"/>
    <d v="1899-12-30T17:00:00"/>
    <d v="1899-12-30T21:00:00"/>
    <n v="8.0000000000000036"/>
    <n v="4.0000000000000036"/>
    <n v="4.0000000000000036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n v="1"/>
    <x v="16"/>
  </r>
  <r>
    <x v="0"/>
    <x v="2"/>
    <d v="2018-05-02T00:00:00"/>
    <s v="Wed"/>
    <d v="1899-12-30T17:00:00"/>
    <d v="1899-12-30T21:00:00"/>
    <n v="8.0000000000000036"/>
    <n v="4.0000000000000036"/>
    <n v="4.0000000000000036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n v="1"/>
    <x v="16"/>
  </r>
  <r>
    <x v="0"/>
    <x v="16"/>
    <d v="2018-05-02T00:00:00"/>
    <s v="Wed"/>
    <d v="1899-12-30T15:30:00"/>
    <d v="1899-12-30T19:00:00"/>
    <n v="8.0000000000000036"/>
    <n v="3.5000000000000107"/>
    <n v="3.5000000000000107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n v="1"/>
    <x v="16"/>
  </r>
  <r>
    <x v="1"/>
    <x v="5"/>
    <d v="2018-05-02T00:00:00"/>
    <s v="Wed"/>
    <d v="1899-12-30T08:00:00"/>
    <d v="1899-12-30T21:00:00"/>
    <n v="0"/>
    <n v="12.000000000000007"/>
    <n v="12.000000000000007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s v=""/>
    <x v="16"/>
  </r>
  <r>
    <x v="1"/>
    <x v="12"/>
    <d v="2018-05-02T00:00:00"/>
    <s v="Wed"/>
    <d v="1899-12-30T15:00:00"/>
    <d v="1899-12-30T21:00:00"/>
    <n v="0"/>
    <n v="5"/>
    <n v="5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s v=""/>
    <x v="16"/>
  </r>
  <r>
    <x v="1"/>
    <x v="19"/>
    <d v="2018-05-02T00:00:00"/>
    <s v="Wed"/>
    <d v="1899-12-30T08:15:00"/>
    <d v="1899-12-30T16:00:00"/>
    <n v="0"/>
    <n v="6.7500000000000071"/>
    <n v="6.7500000000000071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s v=""/>
    <x v="16"/>
  </r>
  <r>
    <x v="1"/>
    <x v="7"/>
    <d v="2018-05-02T00:00:00"/>
    <s v="Wed"/>
    <d v="1899-12-30T12:30:00"/>
    <d v="1899-12-30T21:00:00"/>
    <n v="0"/>
    <n v="7.5000000000000071"/>
    <n v="7.5000000000000071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s v=""/>
    <x v="16"/>
  </r>
  <r>
    <x v="1"/>
    <x v="29"/>
    <d v="2018-05-02T00:00:00"/>
    <s v="Wed"/>
    <d v="1899-12-30T08:10:00"/>
    <d v="1899-12-30T17:00:00"/>
    <n v="0"/>
    <n v="7.8333333333333215"/>
    <n v="7.8333333333333215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s v=""/>
    <x v="16"/>
  </r>
  <r>
    <x v="1"/>
    <x v="34"/>
    <d v="2018-05-02T00:00:00"/>
    <s v="Wed"/>
    <d v="1899-12-30T08:00:00"/>
    <d v="1899-12-30T21:00:00"/>
    <n v="0"/>
    <n v="12.000000000000007"/>
    <n v="12.000000000000007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s v=""/>
    <x v="16"/>
  </r>
  <r>
    <x v="1"/>
    <x v="42"/>
    <d v="2018-05-02T00:00:00"/>
    <s v="Wed"/>
    <d v="1899-12-30T15:00:00"/>
    <d v="1899-12-30T21:00:00"/>
    <n v="0"/>
    <n v="5"/>
    <n v="5"/>
    <s v="Normal Working Days before 10pm"/>
    <s v="Total: 1625 Policies (Batch 20180429_1108: 30 Policies, Batch 20180429_1118: 337 Policies, Batch 20180429_1128: 14 Policies, Batch 20180429_1456: 328 Policies, Batch 20180429_1506: 170 Policies, Batch 20180429_1516: 74 Policies, Batch 20180429_0414: 199 Policies, Batch 20180429_0805: 473 Policies)"/>
    <s v=""/>
    <x v="16"/>
  </r>
  <r>
    <x v="0"/>
    <x v="0"/>
    <d v="2018-05-03T00:00:00"/>
    <s v="Thu"/>
    <d v="1899-12-30T17:00:00"/>
    <d v="1899-12-30T21:00:00"/>
    <n v="8.0000000000000036"/>
    <n v="4.0000000000000036"/>
    <n v="4.0000000000000036"/>
    <s v="Normal Working Days before 10pm"/>
    <s v="Total: 1667 Policies (Batch 20180429_0755: 782 Policies, Batch 20180430_2124: 885 Policies)"/>
    <n v="1"/>
    <x v="16"/>
  </r>
  <r>
    <x v="0"/>
    <x v="6"/>
    <d v="2018-05-03T00:00:00"/>
    <s v="Thu"/>
    <d v="1899-12-30T15:30:00"/>
    <d v="1899-12-30T19:00:00"/>
    <n v="8.0000000000000036"/>
    <n v="3.5000000000000107"/>
    <n v="3.5000000000000107"/>
    <s v="Normal Working Days before 10pm"/>
    <s v="Total: 1667 Policies (Batch 20180429_0755: 782 Policies, Batch 20180430_2124: 885 Policies)"/>
    <n v="1"/>
    <x v="16"/>
  </r>
  <r>
    <x v="0"/>
    <x v="15"/>
    <d v="2018-05-03T00:00:00"/>
    <s v="Thu"/>
    <d v="1899-12-30T17:00:00"/>
    <d v="1899-12-30T21:00:00"/>
    <n v="8.0000000000000036"/>
    <n v="4.0000000000000036"/>
    <n v="4.0000000000000036"/>
    <s v="Normal Working Days before 10pm"/>
    <s v="Total: 1667 Policies (Batch 20180429_0755: 782 Policies, Batch 20180430_2124: 885 Policies)"/>
    <n v="1"/>
    <x v="16"/>
  </r>
  <r>
    <x v="0"/>
    <x v="16"/>
    <d v="2018-05-03T00:00:00"/>
    <s v="Thu"/>
    <d v="1899-12-30T17:00:00"/>
    <d v="1899-12-30T21:00:00"/>
    <n v="8.0000000000000036"/>
    <n v="4.0000000000000036"/>
    <n v="4.0000000000000036"/>
    <s v="Normal Working Days before 10pm"/>
    <s v="Total: 1667 Policies (Batch 20180429_0755: 782 Policies, Batch 20180430_2124: 885 Policies)"/>
    <n v="1"/>
    <x v="16"/>
  </r>
  <r>
    <x v="1"/>
    <x v="5"/>
    <d v="2018-05-03T00:00:00"/>
    <s v="Thu"/>
    <d v="1899-12-30T08:00:00"/>
    <d v="1899-12-30T21:00:00"/>
    <n v="0"/>
    <n v="12.000000000000007"/>
    <n v="12.000000000000007"/>
    <s v="Normal Working Days before 10pm"/>
    <s v="Total: 1667 Policies (Batch 20180429_0755: 782 Policies, Batch 20180430_2124: 885 Policies)"/>
    <s v=""/>
    <x v="16"/>
  </r>
  <r>
    <x v="1"/>
    <x v="12"/>
    <d v="2018-05-03T00:00:00"/>
    <s v="Thu"/>
    <d v="1899-12-30T15:00:00"/>
    <d v="1899-12-30T21:00:00"/>
    <n v="0"/>
    <n v="5"/>
    <n v="5"/>
    <s v="Normal Working Days before 10pm"/>
    <s v="Total: 1667 Policies (Batch 20180429_0755: 782 Policies, Batch 20180430_2124: 885 Policies)"/>
    <s v=""/>
    <x v="16"/>
  </r>
  <r>
    <x v="1"/>
    <x v="19"/>
    <d v="2018-05-03T00:00:00"/>
    <s v="Thu"/>
    <d v="1899-12-30T09:30:00"/>
    <d v="1899-12-30T21:00:00"/>
    <n v="0"/>
    <n v="10.500000000000009"/>
    <n v="10.500000000000009"/>
    <s v="Normal Working Days before 10pm"/>
    <s v="Total: 1667 Policies (Batch 20180429_0755: 782 Policies, Batch 20180430_2124: 885 Policies)"/>
    <s v=""/>
    <x v="16"/>
  </r>
  <r>
    <x v="1"/>
    <x v="7"/>
    <d v="2018-05-03T00:00:00"/>
    <s v="Thu"/>
    <d v="1899-12-30T09:30:00"/>
    <d v="1899-12-30T21:00:00"/>
    <n v="0"/>
    <n v="10.500000000000009"/>
    <n v="10.500000000000009"/>
    <s v="Normal Working Days before 10pm"/>
    <s v="Total: 1667 Policies (Batch 20180429_0755: 782 Policies, Batch 20180430_2124: 885 Policies)"/>
    <s v=""/>
    <x v="16"/>
  </r>
  <r>
    <x v="1"/>
    <x v="28"/>
    <d v="2018-05-03T00:00:00"/>
    <s v="Thu"/>
    <d v="1899-12-30T08:00:00"/>
    <d v="1899-12-30T15:00:00"/>
    <n v="0"/>
    <n v="6.0000000000000089"/>
    <n v="6.0000000000000089"/>
    <s v="Normal Working Days before 10pm"/>
    <s v="Total: 1667 Policies (Batch 20180429_0755: 782 Policies, Batch 20180430_2124: 885 Policies)"/>
    <s v=""/>
    <x v="16"/>
  </r>
  <r>
    <x v="1"/>
    <x v="41"/>
    <d v="2018-05-03T00:00:00"/>
    <s v="Thu"/>
    <d v="1899-12-30T08:00:00"/>
    <d v="1899-12-30T15:00:00"/>
    <n v="0"/>
    <n v="6.0000000000000089"/>
    <n v="6.0000000000000089"/>
    <s v="Normal Working Days before 10pm"/>
    <s v="Total: 1667 Policies (Batch 20180429_0755: 782 Policies, Batch 20180430_2124: 885 Policies)"/>
    <s v=""/>
    <x v="16"/>
  </r>
  <r>
    <x v="1"/>
    <x v="34"/>
    <d v="2018-05-03T00:00:00"/>
    <s v="Thu"/>
    <d v="1899-12-30T08:00:00"/>
    <d v="1899-12-30T21:00:00"/>
    <n v="0"/>
    <n v="12.000000000000007"/>
    <n v="12.000000000000007"/>
    <s v="Normal Working Days before 10pm"/>
    <s v="Total: 1667 Policies (Batch 20180429_0755: 782 Policies, Batch 20180430_2124: 885 Policies)"/>
    <s v=""/>
    <x v="16"/>
  </r>
  <r>
    <x v="1"/>
    <x v="42"/>
    <d v="2018-05-03T00:00:00"/>
    <s v="Thu"/>
    <d v="1899-12-30T15:00:00"/>
    <d v="1899-12-30T21:00:00"/>
    <n v="0"/>
    <n v="5"/>
    <n v="5"/>
    <s v="Normal Working Days before 10pm"/>
    <s v="Total: 1667 Policies (Batch 20180429_0755: 782 Policies, Batch 20180430_2124: 885 Policies)"/>
    <s v=""/>
    <x v="16"/>
  </r>
  <r>
    <x v="0"/>
    <x v="2"/>
    <d v="2018-05-04T00:00:00"/>
    <s v="Fri"/>
    <d v="1899-12-30T17:00:00"/>
    <d v="1899-12-30T21:00:00"/>
    <n v="8.0000000000000036"/>
    <n v="4.0000000000000036"/>
    <n v="4.0000000000000036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n v="1"/>
    <x v="16"/>
  </r>
  <r>
    <x v="0"/>
    <x v="6"/>
    <d v="2018-05-04T00:00:00"/>
    <s v="Fri"/>
    <d v="1899-12-30T17:00:00"/>
    <d v="1899-12-30T21:00:00"/>
    <n v="8.0000000000000036"/>
    <n v="4.0000000000000036"/>
    <n v="4.0000000000000036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n v="1"/>
    <x v="16"/>
  </r>
  <r>
    <x v="0"/>
    <x v="15"/>
    <d v="2018-05-04T00:00:00"/>
    <s v="Fri"/>
    <d v="1899-12-30T17:00:00"/>
    <d v="1899-12-30T21:00:00"/>
    <n v="8.0000000000000036"/>
    <n v="4.0000000000000036"/>
    <n v="4.0000000000000036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n v="1"/>
    <x v="16"/>
  </r>
  <r>
    <x v="0"/>
    <x v="16"/>
    <d v="2018-05-04T00:00:00"/>
    <s v="Fri"/>
    <d v="1899-12-30T15:30:00"/>
    <d v="1899-12-30T19:00:00"/>
    <n v="8.0000000000000036"/>
    <n v="3.5000000000000107"/>
    <n v="3.5000000000000107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n v="1"/>
    <x v="16"/>
  </r>
  <r>
    <x v="1"/>
    <x v="5"/>
    <d v="2018-05-04T00:00:00"/>
    <s v="Fri"/>
    <d v="1899-12-30T08:00:00"/>
    <d v="1899-12-30T21:00:00"/>
    <n v="0"/>
    <n v="12.000000000000007"/>
    <n v="12.000000000000007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s v=""/>
    <x v="16"/>
  </r>
  <r>
    <x v="1"/>
    <x v="12"/>
    <d v="2018-05-04T00:00:00"/>
    <s v="Fri"/>
    <d v="1899-12-30T12:30:00"/>
    <d v="1899-12-30T21:00:00"/>
    <n v="0"/>
    <n v="7.5000000000000071"/>
    <n v="7.5000000000000071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s v=""/>
    <x v="16"/>
  </r>
  <r>
    <x v="1"/>
    <x v="19"/>
    <d v="2018-05-04T00:00:00"/>
    <s v="Fri"/>
    <d v="1899-12-30T08:00:00"/>
    <d v="1899-12-30T14:30:00"/>
    <n v="0"/>
    <n v="5.500000000000016"/>
    <n v="5.500000000000016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s v=""/>
    <x v="16"/>
  </r>
  <r>
    <x v="1"/>
    <x v="7"/>
    <d v="2018-05-04T00:00:00"/>
    <s v="Fri"/>
    <d v="1899-12-30T12:30:00"/>
    <d v="1899-12-30T21:00:00"/>
    <n v="0"/>
    <n v="7.5000000000000071"/>
    <n v="7.5000000000000071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s v=""/>
    <x v="16"/>
  </r>
  <r>
    <x v="1"/>
    <x v="28"/>
    <d v="2018-05-04T00:00:00"/>
    <s v="Fri"/>
    <d v="1899-12-30T08:00:00"/>
    <d v="1899-12-30T21:00:00"/>
    <n v="0"/>
    <n v="12.000000000000007"/>
    <n v="12.000000000000007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s v=""/>
    <x v="16"/>
  </r>
  <r>
    <x v="1"/>
    <x v="41"/>
    <d v="2018-05-04T00:00:00"/>
    <s v="Fri"/>
    <d v="1899-12-30T08:00:00"/>
    <d v="1899-12-30T16:00:00"/>
    <n v="0"/>
    <n v="7.000000000000016"/>
    <n v="7.000000000000016"/>
    <s v="Normal Working Days before 10pm"/>
    <s v="Total: 1129 Policies (Batch 20180430_2134: 388 Policies, Batch 20180430_2144: 166 Policies; Batch 20180430_0913: 4 Policies; Batch 20180430_0923: 2 Policies; Batch 20180430_0933: 6 Policies; Batch 20180430_1843: 229 Policies;Batch 20180430_1853: 56 Policies;Batch 20180430_1903: 35 Policies;Batch 20180502_1429: 1 Policies;Batch 20180502_1439: 7 Policies; Batch 20180502_1449: 1 Policies; Batch 20180502_2344: 192 Policies; Batch 20180502_2354: 20 Policies; Batch 20180502_0004: 22 Policies)"/>
    <s v=""/>
    <x v="16"/>
  </r>
  <r>
    <x v="0"/>
    <x v="0"/>
    <d v="2018-05-07T00:00:00"/>
    <s v="Mon"/>
    <d v="1899-12-30T17:30:00"/>
    <d v="1899-12-30T21:30:00"/>
    <n v="8.0000000000000036"/>
    <n v="3.9999999999999822"/>
    <n v="3.9999999999999822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n v="1"/>
    <x v="16"/>
  </r>
  <r>
    <x v="0"/>
    <x v="6"/>
    <d v="2018-05-07T00:00:00"/>
    <s v="Mon"/>
    <d v="1899-12-30T17:30:00"/>
    <d v="1899-12-30T19:00:00"/>
    <n v="8.0000000000000036"/>
    <n v="1.4999999999999947"/>
    <n v="1.4999999999999947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s v=""/>
    <x v="16"/>
  </r>
  <r>
    <x v="0"/>
    <x v="15"/>
    <d v="2018-05-07T00:00:00"/>
    <s v="Mon"/>
    <d v="1899-12-30T17:30:00"/>
    <d v="1899-12-30T21:30:00"/>
    <n v="8.0000000000000036"/>
    <n v="3.9999999999999822"/>
    <n v="3.9999999999999822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n v="1"/>
    <x v="16"/>
  </r>
  <r>
    <x v="0"/>
    <x v="16"/>
    <d v="2018-05-07T00:00:00"/>
    <s v="Mon"/>
    <d v="1899-12-30T17:30:00"/>
    <d v="1899-12-30T21:30:00"/>
    <n v="8.0000000000000036"/>
    <n v="3.9999999999999822"/>
    <n v="3.9999999999999822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n v="1"/>
    <x v="16"/>
  </r>
  <r>
    <x v="1"/>
    <x v="5"/>
    <d v="2018-05-07T00:00:00"/>
    <s v="Mon"/>
    <d v="1899-12-30T08:30:00"/>
    <d v="1899-12-30T17:30:00"/>
    <n v="0"/>
    <n v="7.9999999999999982"/>
    <n v="7.9999999999999982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s v=""/>
    <x v="16"/>
  </r>
  <r>
    <x v="0"/>
    <x v="43"/>
    <d v="2018-05-07T00:00:00"/>
    <s v="Mon"/>
    <d v="1899-12-30T17:30:00"/>
    <d v="1899-12-30T21:30:00"/>
    <n v="8.0000000000000036"/>
    <n v="3.9999999999999822"/>
    <n v="3.9999999999999822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n v="1"/>
    <x v="16"/>
  </r>
  <r>
    <x v="0"/>
    <x v="44"/>
    <d v="2018-05-07T00:00:00"/>
    <s v="Mon"/>
    <d v="1899-12-30T17:30:00"/>
    <d v="1899-12-30T21:30:00"/>
    <n v="8.0000000000000036"/>
    <n v="3.9999999999999822"/>
    <n v="3.9999999999999822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n v="1"/>
    <x v="16"/>
  </r>
  <r>
    <x v="0"/>
    <x v="45"/>
    <d v="2018-05-07T00:00:00"/>
    <s v="Mon"/>
    <d v="1899-12-30T17:30:00"/>
    <d v="1899-12-30T21:30:00"/>
    <n v="8.0000000000000036"/>
    <n v="3.9999999999999822"/>
    <n v="3.9999999999999822"/>
    <s v="Normal Working Days before 10pm"/>
    <s v="Total: 550 Policies (Batch 20180503_1134: 7 Policies, Batch 20180503_1145: 90 Policies, Batch 20180503_1154: 17 Policies, Batch 20180503_1512: 17 Policies,Batch 20180503_1522: 24 Policies,Batch 20180503_1532: 7 Policies,Batch 20180503_2208: 261 Policies)"/>
    <n v="1"/>
    <x v="16"/>
  </r>
  <r>
    <x v="1"/>
    <x v="5"/>
    <d v="2018-05-08T00:00:00"/>
    <s v="Tue"/>
    <d v="1899-12-30T08:30:00"/>
    <d v="1899-12-30T17:30:00"/>
    <n v="0"/>
    <n v="7.9999999999999982"/>
    <n v="7.9999999999999982"/>
    <s v="Normal Working Days before 10pm"/>
    <s v="Total: 390 Policies (Batch 20180504_1143: 12 Policies, Batch 20180504_1153: 11 Policies, Batch 20180504_1452: 178 Policies, Batch 20180504_1502: 25 Policies, Batch 20180504_1512: 30 Policies, Batch 20180504_2149: 74 Policies,Batch 20180504_2159: 8 Policies,Batch 20180504_2209: 16 Policies,Batch 20180507_1058: 8 Policies,Batch 20180507_1108: 2 Policies,Batch 20180507_1118: 1 Policies,Batch 20180507_1502: 7 Policies,Batch 20180507_1512: 9 Policies,Batch 20180507_1522: 9 Policies)"/>
    <s v=""/>
    <x v="16"/>
  </r>
  <r>
    <x v="1"/>
    <x v="5"/>
    <d v="2018-05-09T00:00:00"/>
    <s v="Wed"/>
    <d v="1899-12-30T08:30:00"/>
    <d v="1899-12-30T17:30:00"/>
    <n v="0"/>
    <n v="7.9999999999999982"/>
    <n v="7.9999999999999982"/>
    <s v="Normal Working Days before 10pm"/>
    <s v="Total: 217 Policies (Batch 20180508_1225: 47 Policies, Batch 20180508_1235: 112 Policies, Batch 20180508_1245: 32 Policies, Batch 20180508_1445: 2 Policies, Batch 20180508_1455: 2 Policies, Batch 20180508_1505: 3 Policies, Batch 20180508_2314: 4 Policies, Batch 20180508_2324: 13 Policies Batch 20180508_2334: 2 Policies,)"/>
    <s v=""/>
    <x v="16"/>
  </r>
  <r>
    <x v="1"/>
    <x v="5"/>
    <d v="2018-05-10T00:00:00"/>
    <s v="Thu"/>
    <d v="1899-12-30T08:30:00"/>
    <d v="1899-12-30T17:30:00"/>
    <n v="0"/>
    <n v="7.9999999999999982"/>
    <n v="7.9999999999999982"/>
    <s v="Normal Working Days before 10pm"/>
    <s v="Total: 35 Policies (Batch 20180509_1112: 2 Policies, Batch 20180509_1122: 1 Policies, Batch 20180509_1442: 10 Policies, Batch 20180509_1452: 2 Policies, Batch 20180509_1502: 6 Policies, Batch 20180509_2234: 10 Policies, Batch 20180509_2244: 4 Policies)"/>
    <s v=""/>
    <x v="16"/>
  </r>
  <r>
    <x v="0"/>
    <x v="0"/>
    <d v="2018-05-11T00:00:00"/>
    <s v="Fri"/>
    <d v="1899-12-30T17:30:00"/>
    <d v="1899-12-30T23:00:00"/>
    <n v="8.0000000000000036"/>
    <n v="5.4999999999999822"/>
    <n v="5.4999999999999822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n v="1"/>
    <x v="16"/>
  </r>
  <r>
    <x v="0"/>
    <x v="2"/>
    <d v="2018-05-11T00:00:00"/>
    <s v="Fri"/>
    <d v="1899-12-30T17:30:00"/>
    <d v="1899-12-30T23:00:00"/>
    <n v="8.0000000000000036"/>
    <n v="5.4999999999999822"/>
    <n v="5.4999999999999822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n v="1"/>
    <x v="16"/>
  </r>
  <r>
    <x v="0"/>
    <x v="6"/>
    <d v="2018-05-11T00:00:00"/>
    <s v="Fri"/>
    <d v="1899-12-30T17:30:00"/>
    <d v="1899-12-30T23:00:00"/>
    <n v="8.0000000000000036"/>
    <n v="5.4999999999999822"/>
    <n v="5.4999999999999822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n v="1"/>
    <x v="16"/>
  </r>
  <r>
    <x v="0"/>
    <x v="15"/>
    <d v="2018-05-11T00:00:00"/>
    <s v="Fri"/>
    <d v="1899-12-30T17:30:00"/>
    <d v="1899-12-30T23:00:00"/>
    <n v="8.0000000000000036"/>
    <n v="5.4999999999999822"/>
    <n v="5.4999999999999822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n v="1"/>
    <x v="16"/>
  </r>
  <r>
    <x v="1"/>
    <x v="5"/>
    <d v="2018-05-11T00:00:00"/>
    <s v="Fri"/>
    <d v="1899-12-30T08:30:00"/>
    <d v="1899-12-30T23:00:00"/>
    <n v="0"/>
    <n v="13.499999999999986"/>
    <n v="13.499999999999986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s v=""/>
    <x v="16"/>
  </r>
  <r>
    <x v="0"/>
    <x v="43"/>
    <d v="2018-05-11T00:00:00"/>
    <s v="Fri"/>
    <d v="1899-12-30T17:30:00"/>
    <d v="1899-12-30T23:00:00"/>
    <n v="8.0000000000000036"/>
    <n v="5.4999999999999822"/>
    <n v="5.4999999999999822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n v="1"/>
    <x v="16"/>
  </r>
  <r>
    <x v="0"/>
    <x v="44"/>
    <d v="2018-05-11T00:00:00"/>
    <s v="Fri"/>
    <d v="1899-12-30T17:30:00"/>
    <d v="1899-12-30T23:00:00"/>
    <n v="8.0000000000000036"/>
    <n v="5.4999999999999822"/>
    <n v="5.4999999999999822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n v="1"/>
    <x v="16"/>
  </r>
  <r>
    <x v="0"/>
    <x v="45"/>
    <d v="2018-05-11T00:00:00"/>
    <s v="Fri"/>
    <d v="1899-12-30T17:30:00"/>
    <d v="1899-12-30T23:00:00"/>
    <n v="8.0000000000000036"/>
    <n v="5.4999999999999822"/>
    <n v="5.4999999999999822"/>
    <s v="Normal Working Days after 10pm"/>
    <s v="Total: 1007 Policies (Batch: 20180504_114N: 17 Policies,Batch: 20180504_115N: 12 Policies,Batch: 20180504_120N: 8 Policies,Batch: 20180504_145N: 24 Policies,Batch: 20180504_150N: 20 Policies,Batch: 20180504_214N: 11 Policies,Batch: 20180504_151N: 74 Policies,Batch: 20180504_215N: 48 Policies)"/>
    <n v="1"/>
    <x v="16"/>
  </r>
  <r>
    <x v="0"/>
    <x v="0"/>
    <d v="2018-05-14T00:00:00"/>
    <s v="Mon"/>
    <d v="1899-12-30T17:00:00"/>
    <d v="1899-12-30T21:00:00"/>
    <n v="8.0000000000000036"/>
    <n v="4.0000000000000036"/>
    <n v="4.0000000000000036"/>
    <s v="Normal Working Days before 10pm"/>
    <s v="Total: 1169 Policies (Batch: 20180508_232N: 104 Policies, Batch: 20180508_233N : 40 Policies, Batch: 20180509_111N : 22 Policies)"/>
    <n v="1"/>
    <x v="16"/>
  </r>
  <r>
    <x v="0"/>
    <x v="2"/>
    <d v="2018-05-14T00:00:00"/>
    <s v="Mon"/>
    <d v="1899-12-30T16:00:00"/>
    <d v="1899-12-30T19:00:00"/>
    <n v="8.0000000000000036"/>
    <n v="2.9999999999999947"/>
    <n v="2.9999999999999947"/>
    <s v="Normal Working Days before 10pm"/>
    <s v="Total: 1169 Policies (Batch: 20180508_232N: 104 Policies, Batch: 20180508_233N : 40 Policies, Batch: 20180509_111N : 22 Policies)"/>
    <n v="1"/>
    <x v="16"/>
  </r>
  <r>
    <x v="0"/>
    <x v="15"/>
    <d v="2018-05-14T00:00:00"/>
    <s v="Mon"/>
    <d v="1899-12-30T17:00:00"/>
    <d v="1899-12-30T21:00:00"/>
    <n v="8.0000000000000036"/>
    <n v="4.0000000000000036"/>
    <n v="4.0000000000000036"/>
    <s v="Normal Working Days before 10pm"/>
    <s v="Total: 1169 Policies (Batch: 20180508_232N: 104 Policies, Batch: 20180508_233N : 40 Policies, Batch: 20180509_111N : 22 Policies)"/>
    <n v="1"/>
    <x v="16"/>
  </r>
  <r>
    <x v="0"/>
    <x v="16"/>
    <d v="2018-05-14T00:00:00"/>
    <s v="Mon"/>
    <d v="1899-12-30T17:00:00"/>
    <d v="1899-12-30T21:00:00"/>
    <n v="8.0000000000000036"/>
    <n v="4.0000000000000036"/>
    <n v="4.0000000000000036"/>
    <s v="Normal Working Days before 10pm"/>
    <s v="Total: 1169 Policies (Batch: 20180508_232N: 104 Policies, Batch: 20180508_233N : 40 Policies, Batch: 20180509_111N : 22 Policies)"/>
    <n v="1"/>
    <x v="16"/>
  </r>
  <r>
    <x v="1"/>
    <x v="5"/>
    <d v="2018-05-14T00:00:00"/>
    <s v="Mon"/>
    <d v="1899-12-30T08:00:00"/>
    <d v="1899-12-30T21:00:00"/>
    <n v="0"/>
    <n v="12.000000000000007"/>
    <n v="12.000000000000007"/>
    <s v="Normal Working Days before 10pm"/>
    <s v="Total: 1169 Policies (Batch: 20180508_232N: 104 Policies, Batch: 20180508_233N : 40 Policies, Batch: 20180509_111N : 22 Policies)"/>
    <s v=""/>
    <x v="16"/>
  </r>
  <r>
    <x v="0"/>
    <x v="43"/>
    <d v="2018-05-14T00:00:00"/>
    <s v="Mon"/>
    <d v="1899-12-30T17:00:00"/>
    <d v="1899-12-30T21:00:00"/>
    <n v="8.0000000000000036"/>
    <n v="4.0000000000000036"/>
    <n v="4.0000000000000036"/>
    <s v="Normal Working Days before 10pm"/>
    <s v="Total: 1169 Policies (Batch: 20180508_232N: 104 Policies, Batch: 20180508_233N : 40 Policies, Batch: 20180509_111N : 22 Policies)"/>
    <n v="1"/>
    <x v="16"/>
  </r>
  <r>
    <x v="0"/>
    <x v="45"/>
    <d v="2018-05-14T00:00:00"/>
    <s v="Mon"/>
    <d v="1899-12-30T17:00:00"/>
    <d v="1899-12-30T21:00:00"/>
    <n v="8.0000000000000036"/>
    <n v="4.0000000000000036"/>
    <n v="4.0000000000000036"/>
    <s v="Normal Working Days before 10pm"/>
    <s v="Total: 1169 Policies (Batch: 20180508_232N: 104 Policies, Batch: 20180508_233N : 40 Policies, Batch: 20180509_111N : 22 Policies)"/>
    <n v="1"/>
    <x v="16"/>
  </r>
  <r>
    <x v="0"/>
    <x v="0"/>
    <d v="2018-05-15T00:00:00"/>
    <s v="Tue"/>
    <d v="1899-12-30T18:00:00"/>
    <d v="1899-12-30T21:00:00"/>
    <n v="8.0000000000000036"/>
    <n v="2.9999999999999964"/>
    <n v="2.9999999999999964"/>
    <s v="Normal Working Days before 10pm"/>
    <s v="Total: 1278 Policies (Batch: 20180511_2127: 141 Policies, Batch: 20180511_2137: 77 Policies, Batch: 20180511_2147: 58 Policies)"/>
    <n v="1"/>
    <x v="16"/>
  </r>
  <r>
    <x v="0"/>
    <x v="2"/>
    <d v="2018-05-15T00:00:00"/>
    <s v="Tue"/>
    <d v="1899-12-30T17:00:00"/>
    <d v="1899-12-30T21:00:00"/>
    <n v="8.0000000000000036"/>
    <n v="4.0000000000000036"/>
    <n v="4.0000000000000036"/>
    <s v="Normal Working Days before 10pm"/>
    <s v="Total: 1278 Policies (Batch: 20180511_2127: 141 Policies, Batch: 20180511_2137: 77 Policies, Batch: 20180511_2147: 58 Policies)"/>
    <n v="1"/>
    <x v="16"/>
  </r>
  <r>
    <x v="0"/>
    <x v="6"/>
    <d v="2018-05-15T00:00:00"/>
    <s v="Tue"/>
    <d v="1899-12-30T17:00:00"/>
    <d v="1899-12-30T21:00:00"/>
    <n v="8.0000000000000036"/>
    <n v="4.0000000000000036"/>
    <n v="4.0000000000000036"/>
    <s v="Normal Working Days before 10pm"/>
    <s v="Total: 1278 Policies (Batch: 20180511_2127: 141 Policies, Batch: 20180511_2137: 77 Policies, Batch: 20180511_2147: 58 Policies)"/>
    <n v="1"/>
    <x v="16"/>
  </r>
  <r>
    <x v="0"/>
    <x v="15"/>
    <d v="2018-05-15T00:00:00"/>
    <s v="Tue"/>
    <d v="1899-12-30T17:00:00"/>
    <d v="1899-12-30T21:00:00"/>
    <n v="8.0000000000000036"/>
    <n v="4.0000000000000036"/>
    <n v="4.0000000000000036"/>
    <s v="Normal Working Days before 10pm"/>
    <s v="Total: 1278 Policies (Batch: 20180511_2127: 141 Policies, Batch: 20180511_2137: 77 Policies, Batch: 20180511_2147: 58 Policies)"/>
    <n v="1"/>
    <x v="16"/>
  </r>
  <r>
    <x v="0"/>
    <x v="16"/>
    <d v="2018-05-15T00:00:00"/>
    <s v="Tue"/>
    <d v="1899-12-30T15:30:00"/>
    <d v="1899-12-30T19:00:00"/>
    <n v="8.0000000000000036"/>
    <n v="3.5000000000000107"/>
    <n v="3.5000000000000107"/>
    <s v="Normal Working Days before 10pm"/>
    <s v="Total: 1278 Policies (Batch: 20180511_2127: 141 Policies, Batch: 20180511_2137: 77 Policies, Batch: 20180511_2147: 58 Policies)"/>
    <n v="1"/>
    <x v="16"/>
  </r>
  <r>
    <x v="1"/>
    <x v="5"/>
    <d v="2018-05-15T00:00:00"/>
    <s v="Tue"/>
    <d v="1899-12-30T08:00:00"/>
    <d v="1899-12-30T21:00:00"/>
    <n v="0"/>
    <n v="12.000000000000007"/>
    <n v="12.000000000000007"/>
    <s v="Normal Working Days before 10pm"/>
    <s v="Total: 1278 Policies (Batch: 20180511_2127: 141 Policies, Batch: 20180511_2137: 77 Policies, Batch: 20180511_2147: 58 Policies)"/>
    <s v=""/>
    <x v="16"/>
  </r>
  <r>
    <x v="0"/>
    <x v="43"/>
    <d v="2018-05-15T00:00:00"/>
    <s v="Tue"/>
    <d v="1899-12-30T17:00:00"/>
    <d v="1899-12-30T21:00:00"/>
    <n v="8.0000000000000036"/>
    <n v="4.0000000000000036"/>
    <n v="4.0000000000000036"/>
    <s v="Normal Working Days before 10pm"/>
    <s v="Total: 1278 Policies (Batch: 20180511_2127: 141 Policies, Batch: 20180511_2137: 77 Policies, Batch: 20180511_2147: 58 Policies)"/>
    <n v="1"/>
    <x v="16"/>
  </r>
  <r>
    <x v="0"/>
    <x v="45"/>
    <d v="2018-05-15T00:00:00"/>
    <s v="Tue"/>
    <d v="1899-12-30T17:00:00"/>
    <d v="1899-12-30T21:00:00"/>
    <n v="8.0000000000000036"/>
    <n v="4.0000000000000036"/>
    <n v="4.0000000000000036"/>
    <s v="Normal Working Days before 10pm"/>
    <s v="Total: 1278 Policies (Batch: 20180511_2127: 141 Policies, Batch: 20180511_2137: 77 Policies, Batch: 20180511_2147: 58 Policies)"/>
    <n v="1"/>
    <x v="16"/>
  </r>
  <r>
    <x v="1"/>
    <x v="5"/>
    <d v="2018-05-16T00:00:00"/>
    <s v="Wed"/>
    <d v="1899-12-30T08:30:00"/>
    <d v="1899-12-30T17:30:00"/>
    <n v="0"/>
    <n v="7.9999999999999982"/>
    <n v="7.9999999999999982"/>
    <s v="Normal Working Days before 10pm"/>
    <s v="Total: 571 Policies (Batch: 20180515_2122: 125 Policies; Batch: 20180515_2132: 140 Policies; Batch: 20180515_2142: 65 Policies;)"/>
    <s v=""/>
    <x v="16"/>
  </r>
  <r>
    <x v="0"/>
    <x v="16"/>
    <d v="2018-05-17T00:00:00"/>
    <s v="Thu"/>
    <d v="1899-12-30T17:30:00"/>
    <d v="1899-12-30T21:30:00"/>
    <n v="8.0000000000000036"/>
    <n v="3.9999999999999822"/>
    <n v="3.9999999999999822"/>
    <s v="Normal Working Days before 10pm"/>
    <s v="Transmail Billing BL05 Big Volume"/>
    <n v="1"/>
    <x v="16"/>
  </r>
  <r>
    <x v="1"/>
    <x v="5"/>
    <d v="2018-05-17T00:00:00"/>
    <s v="Thu"/>
    <d v="1899-12-30T08:30:00"/>
    <d v="1899-12-30T17:30:00"/>
    <n v="0"/>
    <n v="7.9999999999999982"/>
    <n v="7.9999999999999982"/>
    <s v="Normal Working Days before 10pm"/>
    <s v="Total: 400 Policies (Batch: 20180516_2144: 145 Policies; Batch: 20180516_2154: 96 Policies; Batch: 20180515_2204: 61 Policies;)"/>
    <s v=""/>
    <x v="16"/>
  </r>
  <r>
    <x v="1"/>
    <x v="5"/>
    <d v="2018-05-18T00:00:00"/>
    <s v="Fri"/>
    <d v="1899-12-30T08:30:00"/>
    <d v="1899-12-30T17:30:00"/>
    <n v="0"/>
    <n v="7.9999999999999982"/>
    <n v="7.9999999999999982"/>
    <s v="Normal Working Days before 10pm"/>
    <s v="Total: 559 Policies (Batch: 20180517_1510: 106 Policies; Batch: 20180517_1520: 50 Policies; Batch: 20180517_1530: 32 Policies; Batch: 20180517_2116: 121 Policies; Batch: 20180517_2126: 89 Policies; Batch: 20180517_2136: 39 Policies)"/>
    <s v=""/>
    <x v="16"/>
  </r>
  <r>
    <x v="0"/>
    <x v="0"/>
    <d v="2018-05-21T00:00:00"/>
    <s v="Mon"/>
    <d v="1899-12-30T17:30:00"/>
    <d v="1899-12-30T20:30:00"/>
    <n v="8.0000000000000036"/>
    <n v="2.9999999999999947"/>
    <n v="2.9999999999999947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n v="1"/>
    <x v="16"/>
  </r>
  <r>
    <x v="0"/>
    <x v="2"/>
    <d v="2018-05-21T00:00:00"/>
    <s v="Mon"/>
    <d v="1899-12-30T17:30:00"/>
    <d v="1899-12-30T20:30:00"/>
    <n v="8.0000000000000036"/>
    <n v="2.9999999999999947"/>
    <n v="2.9999999999999947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n v="1"/>
    <x v="16"/>
  </r>
  <r>
    <x v="0"/>
    <x v="6"/>
    <d v="2018-05-21T00:00:00"/>
    <s v="Mon"/>
    <d v="1899-12-30T17:30:00"/>
    <d v="1899-12-30T20:30:00"/>
    <n v="8.0000000000000036"/>
    <n v="2.9999999999999947"/>
    <n v="2.9999999999999947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n v="1"/>
    <x v="16"/>
  </r>
  <r>
    <x v="0"/>
    <x v="15"/>
    <d v="2018-05-21T00:00:00"/>
    <s v="Mon"/>
    <d v="1899-12-30T17:30:00"/>
    <d v="1899-12-30T20:30:00"/>
    <n v="8.0000000000000036"/>
    <n v="2.9999999999999947"/>
    <n v="2.9999999999999947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n v="1"/>
    <x v="16"/>
  </r>
  <r>
    <x v="0"/>
    <x v="16"/>
    <d v="2018-05-21T00:00:00"/>
    <s v="Mon"/>
    <d v="1899-12-30T17:30:00"/>
    <d v="1899-12-30T20:30:00"/>
    <n v="8.0000000000000036"/>
    <n v="2.9999999999999947"/>
    <n v="2.9999999999999947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n v="1"/>
    <x v="16"/>
  </r>
  <r>
    <x v="1"/>
    <x v="5"/>
    <d v="2018-05-21T00:00:00"/>
    <s v="Mon"/>
    <d v="1899-12-30T08:30:00"/>
    <d v="1899-12-30T20:30:00"/>
    <n v="0"/>
    <n v="10.999999999999998"/>
    <n v="10.999999999999998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s v=""/>
    <x v="16"/>
  </r>
  <r>
    <x v="0"/>
    <x v="43"/>
    <d v="2018-05-21T00:00:00"/>
    <s v="Mon"/>
    <d v="1899-12-30T17:30:00"/>
    <d v="1899-12-30T20:30:00"/>
    <n v="8.0000000000000036"/>
    <n v="2.9999999999999947"/>
    <n v="2.9999999999999947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n v="1"/>
    <x v="16"/>
  </r>
  <r>
    <x v="0"/>
    <x v="44"/>
    <d v="2018-05-21T00:00:00"/>
    <s v="Mon"/>
    <d v="1899-12-30T17:30:00"/>
    <d v="1899-12-30T20:30:00"/>
    <n v="8.0000000000000036"/>
    <n v="2.9999999999999947"/>
    <n v="2.9999999999999947"/>
    <s v="Normal Working Days before 10pm"/>
    <s v="Total: 823 Policies (Batch: 20180518_1451: 67 Policies, Batch: 20180518_1501: 27 Policies,Batch: 20180518_1501: 19 Policies, Batch: 20180518_2121: 219 Policies,Batch: 20180518_2131: 144 Policies, Batch: 20180518_2141: 77 Policies)"/>
    <n v="1"/>
    <x v="16"/>
  </r>
  <r>
    <x v="1"/>
    <x v="5"/>
    <d v="2018-05-22T00:00:00"/>
    <s v="Tue"/>
    <d v="1899-12-30T08:30:00"/>
    <d v="1899-12-30T17:30:00"/>
    <n v="0"/>
    <n v="7.9999999999999982"/>
    <n v="7.9999999999999982"/>
    <s v="Normal Working Days before 10pm"/>
    <s v="Total: 740 Policies (Batch: 20180521_2206: 367 Policies,Batch: 20180521_2216: 184 PoliciesBatch: 20180521_2226: 105Policies, Batch: 20180522_1115: 44 Policies,Batch: 20180522_1125: 18 PoliciesBatch: 20180522_1135: 22Policies)"/>
    <s v=""/>
    <x v="16"/>
  </r>
  <r>
    <x v="1"/>
    <x v="5"/>
    <d v="2018-05-23T00:00:00"/>
    <s v="Wed"/>
    <d v="1899-12-30T08:30:00"/>
    <d v="1899-12-30T17:30:00"/>
    <n v="0"/>
    <n v="7.9999999999999982"/>
    <n v="7.9999999999999982"/>
    <s v="Normal Working Days before 10pm"/>
    <s v="Total: 710 Policies (Batch: 20180522_1440: 127 Policies,Batch: 20180522_1450: 57 Policies, Batch: 20180522_1500: 27PoliciesBatch: 20180522_2126: 205 Policies,Batch: 20180522_2136: 131 Policies, Batch: 20180522_2146: 89 Policies)"/>
    <s v=""/>
    <x v="16"/>
  </r>
  <r>
    <x v="1"/>
    <x v="5"/>
    <d v="2018-05-24T00:00:00"/>
    <s v="Thu"/>
    <d v="1899-12-30T08:30:00"/>
    <d v="1899-12-30T17:30:00"/>
    <n v="0"/>
    <n v="7.9999999999999982"/>
    <n v="7.9999999999999982"/>
    <s v="Normal Working Days before 10pm"/>
    <s v="Total: 677 Policies (Batch: 20180523_1459: 71 Policies, Batch: 20180523_1509: 48 Policies,Batch: 20180523_1519: 26 Policies, Batch: 20180523_2303: 220 Policies,Batch: 20180523_2313: 105 Policies,Batch: 20180522_2323: 68 Policies)"/>
    <s v=""/>
    <x v="16"/>
  </r>
  <r>
    <x v="1"/>
    <x v="5"/>
    <d v="2018-05-25T00:00:00"/>
    <s v="Fri"/>
    <d v="1899-12-30T08:30:00"/>
    <d v="1899-12-30T17:30:00"/>
    <n v="0"/>
    <n v="7.9999999999999982"/>
    <n v="7.9999999999999982"/>
    <s v="Normal Working Days before 10pm"/>
    <s v="Total: 736 Policies (Annual Leave)"/>
    <s v=""/>
    <x v="16"/>
  </r>
  <r>
    <x v="1"/>
    <x v="21"/>
    <d v="2018-05-25T00:00:00"/>
    <s v="Fri"/>
    <d v="1899-12-30T12:30:00"/>
    <d v="1899-12-30T17:30:00"/>
    <n v="0"/>
    <n v="5.0000000000000142"/>
    <n v="5.0000000000000142"/>
    <s v="Normal Working Days before 10pm"/>
    <s v="Total: 736 Policies (Batch 20150524_1449: 104 Policies,Batch 20150524_1459: 46 Policies,Batch 20150524_1509: 24 Policies,Batch 20150524_2137: 238 Policies,Batch 20150524_2147: 163 Policies,Batch 20150524_2157: 104 Policies,Batch 20150525_1124: 26 Policies,Batch 20150525_1134: 16 Policies,Batch 20150525_1144: 15 Policies,)"/>
    <s v=""/>
    <x v="16"/>
  </r>
  <r>
    <x v="0"/>
    <x v="0"/>
    <d v="2018-05-26T00:00:00"/>
    <s v="Sat"/>
    <d v="1899-12-30T11:00:00"/>
    <d v="1899-12-30T15:30:00"/>
    <n v="3.5000000000000018"/>
    <n v="0"/>
    <n v="3.5000000000000018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0"/>
    <x v="2"/>
    <d v="2018-05-26T00:00:00"/>
    <s v="Sat"/>
    <d v="1899-12-30T12:30:00"/>
    <d v="1899-12-30T15:30:00"/>
    <n v="3"/>
    <n v="0"/>
    <n v="3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0"/>
    <x v="6"/>
    <d v="2018-05-26T00:00:00"/>
    <s v="Sat"/>
    <d v="1899-12-30T11:00:00"/>
    <d v="1899-12-30T15:30:00"/>
    <n v="3.5000000000000018"/>
    <n v="0"/>
    <n v="3.5000000000000018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0"/>
    <x v="15"/>
    <d v="2018-05-26T00:00:00"/>
    <s v="Sat"/>
    <d v="1899-12-30T08:00:00"/>
    <d v="1899-12-30T15:30:00"/>
    <n v="6.5000000000000018"/>
    <n v="0"/>
    <n v="6.5000000000000018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0"/>
    <x v="16"/>
    <d v="2018-05-26T00:00:00"/>
    <s v="Sat"/>
    <d v="1899-12-30T06:30:00"/>
    <d v="1899-12-30T15:30:00"/>
    <n v="8.0000000000000036"/>
    <n v="0"/>
    <n v="8.0000000000000036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1"/>
    <x v="19"/>
    <d v="2018-05-26T00:00:00"/>
    <s v="Sat"/>
    <d v="1899-12-30T08:00:00"/>
    <d v="1899-12-30T15:30:00"/>
    <n v="0"/>
    <n v="6.5000000000000018"/>
    <n v="6.5000000000000018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1"/>
    <x v="7"/>
    <d v="2018-05-26T00:00:00"/>
    <s v="Sat"/>
    <d v="1899-12-30T08:00:00"/>
    <d v="1899-12-30T15:30:00"/>
    <n v="0"/>
    <n v="6.5000000000000018"/>
    <n v="6.5000000000000018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0"/>
    <x v="43"/>
    <d v="2018-05-26T00:00:00"/>
    <s v="Sat"/>
    <d v="1899-12-30T11:00:00"/>
    <d v="1899-12-30T15:30:00"/>
    <n v="3.5000000000000018"/>
    <n v="0"/>
    <n v="3.5000000000000018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0"/>
    <x v="44"/>
    <d v="2018-05-26T00:00:00"/>
    <s v="Sat"/>
    <d v="1899-12-30T10:30:00"/>
    <d v="1899-12-30T15:30:00"/>
    <n v="3.9999999999999929"/>
    <n v="0"/>
    <n v="3.9999999999999929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0"/>
    <x v="45"/>
    <d v="2018-05-26T00:00:00"/>
    <s v="Sat"/>
    <d v="1899-12-30T11:00:00"/>
    <d v="1899-12-30T15:30:00"/>
    <n v="3.5000000000000018"/>
    <n v="0"/>
    <n v="3.5000000000000018"/>
    <s v="Saturday/Sunday (Weekends) before 10pm"/>
    <s v="Total: 803 Policies (Batch 20150525_1414: 73 Policies,Batch 20150525_1424: 65 Policies,Batch 20150525_1434: 25 Policies,Batch 20150525_2126: 285 Policies,Batch 20150525_2136: 194 Policies,Batch 20150525_2146: 126 Policies,Batch 20150526_1153: 4 Policies,Batch 20150526_1203: 25 Policies,Batch 20150526_1213: 6 Policies,)"/>
    <s v=""/>
    <x v="16"/>
  </r>
  <r>
    <x v="1"/>
    <x v="5"/>
    <d v="2018-05-28T00:00:00"/>
    <s v="Mon"/>
    <d v="1899-12-30T08:00:00"/>
    <d v="1899-12-30T17:00:00"/>
    <n v="0"/>
    <n v="8.0000000000000018"/>
    <n v="8.0000000000000018"/>
    <s v="Normal Working Days before 10pm"/>
    <s v="Total: 387 Policies (Batch 20180526_1525: 16 Policies,Batch 20180526_1535: 41 Policies,Batch 20180526_1545: 16 Policies,Batch 20180526_2143: 65 Policies,Batch 20180526_2153: 23 Policies,Batch 20180526_2203: 19 Policies,Batch 20180527_2203: 24 Policies,Batch 20180527_2213: 17 Policies,Batch 20180527_2223: 5 Policies,Batch 20180528_1153: 53 Policies,Batch 20180528_1203: 65 Policies,Batch 20180528_1213: 43 Policies,)"/>
    <s v=""/>
    <x v="16"/>
  </r>
  <r>
    <x v="0"/>
    <x v="0"/>
    <d v="2018-05-29T00:00:00"/>
    <s v="Tue"/>
    <d v="1899-12-30T17:00:00"/>
    <d v="1899-12-30T21:00:00"/>
    <n v="8.0000000000000036"/>
    <n v="4.0000000000000036"/>
    <n v="4.0000000000000036"/>
    <s v="Normal Working Days before 10pm"/>
    <s v="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"/>
    <n v="1"/>
    <x v="16"/>
  </r>
  <r>
    <x v="0"/>
    <x v="2"/>
    <d v="2018-05-29T00:00:00"/>
    <s v="Tue"/>
    <d v="1899-12-30T15:30:00"/>
    <d v="1899-12-30T19:00:00"/>
    <n v="8.0000000000000036"/>
    <n v="3.5000000000000107"/>
    <n v="3.5000000000000107"/>
    <s v="Normal Working Days before 10pm"/>
    <s v="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"/>
    <n v="1"/>
    <x v="16"/>
  </r>
  <r>
    <x v="0"/>
    <x v="6"/>
    <d v="2018-05-29T00:00:00"/>
    <s v="Tue"/>
    <d v="1899-12-30T17:00:00"/>
    <d v="1899-12-30T21:00:00"/>
    <n v="8.0000000000000036"/>
    <n v="4.0000000000000036"/>
    <n v="4.0000000000000036"/>
    <s v="Normal Working Days before 10pm"/>
    <s v="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"/>
    <n v="1"/>
    <x v="16"/>
  </r>
  <r>
    <x v="1"/>
    <x v="5"/>
    <d v="2018-05-29T00:00:00"/>
    <s v="Tue"/>
    <d v="1899-12-30T08:00:00"/>
    <d v="1899-12-30T21:00:00"/>
    <n v="0"/>
    <n v="12.000000000000007"/>
    <n v="12.000000000000007"/>
    <s v="Normal Working Days before 10pm"/>
    <s v="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"/>
    <s v=""/>
    <x v="16"/>
  </r>
  <r>
    <x v="0"/>
    <x v="43"/>
    <d v="2018-05-29T00:00:00"/>
    <s v="Tue"/>
    <d v="1899-12-30T17:00:00"/>
    <d v="1899-12-30T21:00:00"/>
    <n v="8.0000000000000036"/>
    <n v="4.0000000000000036"/>
    <n v="4.0000000000000036"/>
    <s v="Normal Working Days before 10pm"/>
    <s v="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"/>
    <n v="1"/>
    <x v="16"/>
  </r>
  <r>
    <x v="0"/>
    <x v="44"/>
    <d v="2018-05-29T00:00:00"/>
    <s v="Tue"/>
    <d v="1899-12-30T17:00:00"/>
    <d v="1899-12-30T21:00:00"/>
    <n v="8.0000000000000036"/>
    <n v="4.0000000000000036"/>
    <n v="4.0000000000000036"/>
    <s v="Normal Working Days before 10pm"/>
    <s v="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"/>
    <n v="1"/>
    <x v="16"/>
  </r>
  <r>
    <x v="0"/>
    <x v="45"/>
    <d v="2018-05-29T00:00:00"/>
    <s v="Tue"/>
    <d v="1899-12-30T17:00:00"/>
    <d v="1899-12-30T21:00:00"/>
    <n v="8.0000000000000036"/>
    <n v="4.0000000000000036"/>
    <n v="4.0000000000000036"/>
    <s v="Normal Working Days before 10pm"/>
    <s v="Total: 1488 Policies (Batch 20180528_1438: 170 Policies,Batch 20180528_1448: 51 Policies,Batch 20180528_1458: 26 Policies,Batch 20180528_2305: 450 Policies,Batch 20180528_2315: 219 Policies,Batch 20180528_2325: 146 Policies,Batch 20180529_1053: 173 Policies,Batch 20180529_1103: 19 Policies,Batch 20180529_1113: 19 Policies,Batch 20180529_1442: 215 Policies,)"/>
    <n v="1"/>
    <x v="16"/>
  </r>
  <r>
    <x v="0"/>
    <x v="0"/>
    <d v="2018-05-30T00:00:00"/>
    <s v="Wed"/>
    <d v="1899-12-30T17:30:00"/>
    <d v="1899-12-30T21:00:00"/>
    <n v="8.0000000000000036"/>
    <n v="3.4999999999999893"/>
    <n v="3.4999999999999893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n v="1"/>
    <x v="16"/>
  </r>
  <r>
    <x v="0"/>
    <x v="2"/>
    <d v="2018-05-30T00:00:00"/>
    <s v="Wed"/>
    <d v="1899-12-30T17:00:00"/>
    <d v="1899-12-30T21:00:00"/>
    <n v="8.0000000000000036"/>
    <n v="4.0000000000000036"/>
    <n v="4.0000000000000036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n v="1"/>
    <x v="16"/>
  </r>
  <r>
    <x v="0"/>
    <x v="15"/>
    <d v="2018-05-30T00:00:00"/>
    <s v="Wed"/>
    <d v="1899-12-30T15:30:00"/>
    <d v="1899-12-30T19:00:00"/>
    <n v="8.0000000000000036"/>
    <n v="3.5000000000000107"/>
    <n v="3.5000000000000107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n v="1"/>
    <x v="16"/>
  </r>
  <r>
    <x v="0"/>
    <x v="16"/>
    <d v="2018-05-30T00:00:00"/>
    <s v="Wed"/>
    <d v="1899-12-30T17:00:00"/>
    <d v="1899-12-30T21:00:00"/>
    <n v="8.0000000000000036"/>
    <n v="4.0000000000000036"/>
    <n v="4.0000000000000036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n v="1"/>
    <x v="16"/>
  </r>
  <r>
    <x v="1"/>
    <x v="5"/>
    <d v="2018-05-30T00:00:00"/>
    <s v="Wed"/>
    <d v="1899-12-30T12:00:00"/>
    <d v="1899-12-30T21:00:00"/>
    <n v="0"/>
    <n v="8"/>
    <n v="8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s v=""/>
    <x v="16"/>
  </r>
  <r>
    <x v="1"/>
    <x v="19"/>
    <d v="2018-05-30T00:00:00"/>
    <s v="Wed"/>
    <d v="1899-12-30T10:30:00"/>
    <d v="1899-12-30T21:00:00"/>
    <n v="0"/>
    <n v="9.5"/>
    <n v="9.5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s v=""/>
    <x v="16"/>
  </r>
  <r>
    <x v="0"/>
    <x v="43"/>
    <d v="2018-05-30T00:00:00"/>
    <s v="Wed"/>
    <d v="1899-12-30T17:00:00"/>
    <d v="1899-12-30T21:00:00"/>
    <n v="8.0000000000000036"/>
    <n v="4.0000000000000036"/>
    <n v="4.0000000000000036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n v="1"/>
    <x v="16"/>
  </r>
  <r>
    <x v="0"/>
    <x v="44"/>
    <d v="2018-05-30T00:00:00"/>
    <s v="Wed"/>
    <d v="1899-12-30T17:00:00"/>
    <d v="1899-12-30T21:00:00"/>
    <n v="8.0000000000000036"/>
    <n v="4.0000000000000036"/>
    <n v="4.0000000000000036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n v="1"/>
    <x v="16"/>
  </r>
  <r>
    <x v="0"/>
    <x v="45"/>
    <d v="2018-05-30T00:00:00"/>
    <s v="Wed"/>
    <d v="1899-12-30T17:00:00"/>
    <d v="1899-12-30T21:00:00"/>
    <n v="8.0000000000000036"/>
    <n v="4.0000000000000036"/>
    <n v="4.0000000000000036"/>
    <s v="Normal Working Days before 10pm"/>
    <s v="Total: 1612 Policies (Batch 20180529_1452: 119 Policies,Batch 20180529_1502: 52 Policies,Batch 20180529_2133: 481 Policies,Batch 20180529_2143: 330 Policies,Batch 20180529_2153: 159 Policies,Batch 20180530_1113: 122 Policies,Batch 20180530_1123: 72 Policies,Batch 20180530_1133: 33 Policies,Batch 20180530_1443: 244 Policies,Batch :  Policies,)"/>
    <n v="1"/>
    <x v="16"/>
  </r>
  <r>
    <x v="0"/>
    <x v="0"/>
    <d v="2018-05-31T00:00:00"/>
    <s v="Thu"/>
    <d v="1899-12-30T15:30:00"/>
    <d v="1899-12-30T19:00:00"/>
    <n v="8.0000000000000036"/>
    <n v="3.5000000000000107"/>
    <n v="3.5000000000000107"/>
    <s v="Normal Working Days before 10pm"/>
    <s v="Total: 1195 Policies (Batch 20180530_1453: 82 Policies,Batch 20180530_1503: 66 Policies,Batch 20180530_2119: 538 Policies,Batch 20180530_2129: 323 Policies,Batch 20180530_2139: 186 Policies,)"/>
    <n v="1"/>
    <x v="16"/>
  </r>
  <r>
    <x v="0"/>
    <x v="2"/>
    <d v="2018-05-31T00:00:00"/>
    <s v="Thu"/>
    <d v="1899-12-30T17:00:00"/>
    <d v="1899-12-30T21:00:00"/>
    <n v="8.0000000000000036"/>
    <n v="4.0000000000000036"/>
    <n v="4.0000000000000036"/>
    <s v="Normal Working Days before 10pm"/>
    <s v="Total: 1195 Policies (Batch 20180530_1453: 82 Policies,Batch 20180530_1503: 66 Policies,Batch 20180530_2119: 538 Policies,Batch 20180530_2129: 323 Policies,Batch 20180530_2139: 186 Policies,)"/>
    <n v="1"/>
    <x v="16"/>
  </r>
  <r>
    <x v="0"/>
    <x v="6"/>
    <d v="2018-05-31T00:00:00"/>
    <s v="Thu"/>
    <d v="1899-12-30T17:00:00"/>
    <d v="1899-12-30T21:00:00"/>
    <n v="8.0000000000000036"/>
    <n v="4.0000000000000036"/>
    <n v="4.0000000000000036"/>
    <s v="Normal Working Days before 10pm"/>
    <s v="Total: 1195 Policies (Batch 20180530_1453: 82 Policies,Batch 20180530_1503: 66 Policies,Batch 20180530_2119: 538 Policies,Batch 20180530_2129: 323 Policies,Batch 20180530_2139: 186 Policies,)"/>
    <n v="1"/>
    <x v="16"/>
  </r>
  <r>
    <x v="0"/>
    <x v="15"/>
    <d v="2018-05-31T00:00:00"/>
    <s v="Thu"/>
    <d v="1899-12-30T17:00:00"/>
    <d v="1899-12-30T21:00:00"/>
    <n v="8.0000000000000036"/>
    <n v="4.0000000000000036"/>
    <n v="4.0000000000000036"/>
    <s v="Normal Working Days before 10pm"/>
    <s v="Total: 1195 Policies (Batch 20180530_1453: 82 Policies,Batch 20180530_1503: 66 Policies,Batch 20180530_2119: 538 Policies,Batch 20180530_2129: 323 Policies,Batch 20180530_2139: 186 Policies,)"/>
    <n v="1"/>
    <x v="16"/>
  </r>
  <r>
    <x v="0"/>
    <x v="16"/>
    <d v="2018-05-31T00:00:00"/>
    <s v="Thu"/>
    <d v="1899-12-30T17:00:00"/>
    <d v="1899-12-30T21:00:00"/>
    <n v="8.0000000000000036"/>
    <n v="4.0000000000000036"/>
    <n v="4.0000000000000036"/>
    <s v="Normal Working Days before 10pm"/>
    <s v="Total: 1195 Policies (Batch 20180530_1453: 82 Policies,Batch 20180530_1503: 66 Policies,Batch 20180530_2119: 538 Policies,Batch 20180530_2129: 323 Policies,Batch 20180530_2139: 186 Policies,)"/>
    <n v="1"/>
    <x v="16"/>
  </r>
  <r>
    <x v="1"/>
    <x v="5"/>
    <d v="2018-05-31T00:00:00"/>
    <s v="Thu"/>
    <d v="1899-12-30T08:00:00"/>
    <d v="1899-12-30T21:00:00"/>
    <n v="0"/>
    <n v="12.000000000000007"/>
    <n v="12.000000000000007"/>
    <s v="Normal Working Days before 10pm"/>
    <s v="Total: 1195 Policies (Batch 20180530_1453: 82 Policies,Batch 20180530_1503: 66 Policies,Batch 20180530_2119: 538 Policies,Batch 20180530_2129: 323 Policies,Batch 20180530_2139: 186 Policies,)"/>
    <s v=""/>
    <x v="16"/>
  </r>
  <r>
    <x v="1"/>
    <x v="19"/>
    <d v="2018-05-31T00:00:00"/>
    <s v="Thu"/>
    <d v="1899-12-30T08:30:00"/>
    <d v="1899-12-30T16:15:00"/>
    <n v="0"/>
    <n v="6.749999999999984"/>
    <n v="6.749999999999984"/>
    <s v="Normal Working Days before 10pm"/>
    <s v="Total: 1195 Policies (Batch 20180530_1453: 82 Policies,Batch 20180530_1503: 66 Policies,Batch 20180530_2119: 538 Policies,Batch 20180530_2129: 323 Policies,Batch 20180530_2139: 186 Policies,)"/>
    <s v=""/>
    <x v="16"/>
  </r>
  <r>
    <x v="0"/>
    <x v="43"/>
    <d v="2018-05-31T00:00:00"/>
    <s v="Thu"/>
    <d v="1899-12-30T17:00:00"/>
    <d v="1899-12-30T21:00:00"/>
    <n v="8.0000000000000036"/>
    <n v="4.0000000000000036"/>
    <n v="4.0000000000000036"/>
    <s v="Normal Working Days before 10pm"/>
    <s v="Total: 1195 Policies (Batch 20180530_1453: 82 Policies,Batch 20180530_1503: 66 Policies,Batch 20180530_2119: 538 Policies,Batch 20180530_2129: 323 Policies,Batch 20180530_2139: 186 Policies,)"/>
    <n v="1"/>
    <x v="16"/>
  </r>
  <r>
    <x v="0"/>
    <x v="45"/>
    <d v="2018-05-31T00:00:00"/>
    <s v="Thu"/>
    <d v="1899-12-30T17:00:00"/>
    <d v="1899-12-30T21:00:00"/>
    <n v="8.0000000000000036"/>
    <n v="4.0000000000000036"/>
    <n v="4.0000000000000036"/>
    <s v="Normal Working Days before 10pm"/>
    <s v="Total: 1195 Policies (Batch 20180530_1453: 82 Policies,Batch 20180530_1503: 66 Policies,Batch 20180530_2119: 538 Policies,Batch 20180530_2129: 323 Policies,Batch 20180530_2139: 186 Policies,)"/>
    <n v="1"/>
    <x v="16"/>
  </r>
  <r>
    <x v="0"/>
    <x v="0"/>
    <d v="2018-06-01T00:00:00"/>
    <s v="Fri"/>
    <d v="1899-12-30T17:00:00"/>
    <d v="1899-12-30T21:00:00"/>
    <n v="8.0000000000000036"/>
    <n v="4.0000000000000036"/>
    <n v="4.0000000000000036"/>
    <s v="Normal Working Days before 10pm"/>
    <s v="Total: 1875 Policies ( 20180531_1131: 458 Policies, 20180531_1141: 130 Policies, 20180531_1151: 91 Policies, 20180531_2002: 655 Policies, 20180531_2012: 378 Policies, 20180531_2022: 163 Policies, :  Policies,)"/>
    <n v="1"/>
    <x v="17"/>
  </r>
  <r>
    <x v="0"/>
    <x v="6"/>
    <d v="2018-06-01T00:00:00"/>
    <s v="Fri"/>
    <d v="1899-12-30T15:30:00"/>
    <d v="1899-12-30T19:00:00"/>
    <n v="8.0000000000000036"/>
    <n v="3.5000000000000107"/>
    <n v="3.5000000000000107"/>
    <s v="Normal Working Days before 10pm"/>
    <s v="Total: 1875 Policies ( 20180531_1131: 458 Policies, 20180531_1141: 130 Policies, 20180531_1151: 91 Policies, 20180531_2002: 655 Policies, 20180531_2012: 378 Policies, 20180531_2022: 163 Policies, :  Policies,)"/>
    <n v="1"/>
    <x v="17"/>
  </r>
  <r>
    <x v="0"/>
    <x v="15"/>
    <d v="2018-06-01T00:00:00"/>
    <s v="Fri"/>
    <d v="1899-12-30T17:00:00"/>
    <d v="1899-12-30T21:00:00"/>
    <n v="8.0000000000000036"/>
    <n v="4.0000000000000036"/>
    <n v="4.0000000000000036"/>
    <s v="Normal Working Days before 10pm"/>
    <s v="Total: 1875 Policies ( 20180531_1131: 458 Policies, 20180531_1141: 130 Policies, 20180531_1151: 91 Policies, 20180531_2002: 655 Policies, 20180531_2012: 378 Policies, 20180531_2022: 163 Policies, :  Policies,)"/>
    <n v="1"/>
    <x v="17"/>
  </r>
  <r>
    <x v="0"/>
    <x v="16"/>
    <d v="2018-06-01T00:00:00"/>
    <s v="Fri"/>
    <d v="1899-12-30T17:00:00"/>
    <d v="1899-12-30T21:00:00"/>
    <n v="8.0000000000000036"/>
    <n v="4.0000000000000036"/>
    <n v="4.0000000000000036"/>
    <s v="Normal Working Days before 10pm"/>
    <s v="Total: 1875 Policies ( 20180531_1131: 458 Policies, 20180531_1141: 130 Policies, 20180531_1151: 91 Policies, 20180531_2002: 655 Policies, 20180531_2012: 378 Policies, 20180531_2022: 163 Policies, :  Policies,)"/>
    <n v="1"/>
    <x v="17"/>
  </r>
  <r>
    <x v="0"/>
    <x v="43"/>
    <d v="2018-06-01T00:00:00"/>
    <s v="Fri"/>
    <d v="1899-12-30T17:00:00"/>
    <d v="1899-12-30T21:00:00"/>
    <n v="8.0000000000000036"/>
    <n v="4.0000000000000036"/>
    <n v="4.0000000000000036"/>
    <s v="Normal Working Days before 10pm"/>
    <s v="Total: 1875 Policies ( 20180531_1131: 458 Policies, 20180531_1141: 130 Policies, 20180531_1151: 91 Policies, 20180531_2002: 655 Policies, 20180531_2012: 378 Policies, 20180531_2022: 163 Policies, :  Policies,)"/>
    <n v="1"/>
    <x v="17"/>
  </r>
  <r>
    <x v="0"/>
    <x v="44"/>
    <d v="2018-06-01T00:00:00"/>
    <s v="Fri"/>
    <d v="1899-12-30T17:00:00"/>
    <d v="1899-12-30T21:00:00"/>
    <n v="8.0000000000000036"/>
    <n v="4.0000000000000036"/>
    <n v="4.0000000000000036"/>
    <s v="Normal Working Days before 10pm"/>
    <s v="Total: 1875 Policies ( 20180531_1131: 458 Policies, 20180531_1141: 130 Policies, 20180531_1151: 91 Policies, 20180531_2002: 655 Policies, 20180531_2012: 378 Policies, 20180531_2022: 163 Policies, :  Policies,)"/>
    <n v="1"/>
    <x v="17"/>
  </r>
  <r>
    <x v="1"/>
    <x v="5"/>
    <d v="2018-06-01T00:00:00"/>
    <s v="Fri"/>
    <d v="1899-12-30T08:00:00"/>
    <d v="1899-12-30T21:00:00"/>
    <n v="0"/>
    <n v="12.000000000000007"/>
    <n v="12.000000000000007"/>
    <s v="Normal Working Days before 10pm"/>
    <s v="Total: 1875 Policies ( 20180531_1131: 458 Policies, 20180531_1141: 130 Policies, 20180531_1151: 91 Policies, 20180531_2002: 655 Policies, 20180531_2012: 378 Policies, 20180531_2022: 163 Policies, :  Policies,)"/>
    <s v=""/>
    <x v="17"/>
  </r>
  <r>
    <x v="1"/>
    <x v="12"/>
    <d v="2018-06-01T00:00:00"/>
    <s v="Fri"/>
    <d v="1899-12-30T08:00:00"/>
    <d v="1899-12-30T21:00:00"/>
    <n v="0"/>
    <n v="12.000000000000007"/>
    <n v="12.000000000000007"/>
    <s v="Normal Working Days before 10pm"/>
    <s v="Total: 1875 Policies ( 20180531_1131: 458 Policies, 20180531_1141: 130 Policies, 20180531_1151: 91 Policies, 20180531_2002: 655 Policies, 20180531_2012: 378 Policies, 20180531_2022: 163 Policies, :  Policies,)"/>
    <s v=""/>
    <x v="17"/>
  </r>
  <r>
    <x v="0"/>
    <x v="0"/>
    <d v="2018-06-02T00:00:00"/>
    <s v="Sat"/>
    <d v="1899-12-30T17:00:00"/>
    <d v="1899-12-30T21:00:00"/>
    <n v="8.0000000000000036"/>
    <n v="4.0000000000000036"/>
    <n v="12.000000000000007"/>
    <s v="Saturday/Sunday (Weekends) before 10pm"/>
    <s v="Total: 2073 Policies ( 20180531_0231: 1174 Policies, 20180531_0241: 354 Policies, 20180531_0251: 202 Policies, 20180531_1405: 262 Policies, 20180531_1415: 22 Policies, 20180531_1425: 59 Policies,)"/>
    <n v="1"/>
    <x v="17"/>
  </r>
  <r>
    <x v="0"/>
    <x v="2"/>
    <d v="2018-06-02T00:00:00"/>
    <s v="Sat"/>
    <d v="1899-12-30T17:00:00"/>
    <d v="1899-12-30T21:00:00"/>
    <n v="8.0000000000000036"/>
    <n v="4.0000000000000036"/>
    <n v="12.000000000000007"/>
    <s v="Saturday/Sunday (Weekends) before 10pm"/>
    <s v="Total: 2073 Policies ( 20180531_0231: 1174 Policies, 20180531_0241: 354 Policies, 20180531_0251: 202 Policies, 20180531_1405: 262 Policies, 20180531_1415: 22 Policies, 20180531_1425: 59 Policies,)"/>
    <n v="1"/>
    <x v="17"/>
  </r>
  <r>
    <x v="0"/>
    <x v="6"/>
    <d v="2018-06-02T00:00:00"/>
    <s v="Sat"/>
    <d v="1899-12-30T17:00:00"/>
    <d v="1899-12-30T21:00:00"/>
    <n v="8.0000000000000036"/>
    <n v="4.0000000000000036"/>
    <n v="12.000000000000007"/>
    <s v="Saturday/Sunday (Weekends) before 10pm"/>
    <s v="Total: 2073 Policies ( 20180531_0231: 1174 Policies, 20180531_0241: 354 Policies, 20180531_0251: 202 Policies, 20180531_1405: 262 Policies, 20180531_1415: 22 Policies, 20180531_1425: 59 Policies,)"/>
    <n v="1"/>
    <x v="17"/>
  </r>
  <r>
    <x v="0"/>
    <x v="15"/>
    <d v="2018-06-02T00:00:00"/>
    <s v="Sat"/>
    <d v="1899-12-30T12:30:00"/>
    <d v="1899-12-30T21:00:00"/>
    <n v="7.5000000000000071"/>
    <n v="0"/>
    <n v="7.5000000000000071"/>
    <s v="Saturday/Sunday (Weekends) before 10pm"/>
    <s v="Total: 2073 Policies ( 20180531_0231: 1174 Policies, 20180531_0241: 354 Policies, 20180531_0251: 202 Policies, 20180531_1405: 262 Policies, 20180531_1415: 22 Policies, 20180531_1425: 59 Policies,)"/>
    <s v=""/>
    <x v="17"/>
  </r>
  <r>
    <x v="0"/>
    <x v="16"/>
    <d v="2018-06-02T00:00:00"/>
    <s v="Sat"/>
    <d v="1899-12-30T15:30:00"/>
    <d v="1899-12-30T19:00:00"/>
    <n v="8.0000000000000036"/>
    <n v="3.5000000000000107"/>
    <n v="11.500000000000014"/>
    <s v="Saturday/Sunday (Weekends) before 10pm"/>
    <s v="Total: 2073 Policies ( 20180531_0231: 1174 Policies, 20180531_0241: 354 Policies, 20180531_0251: 202 Policies, 20180531_1405: 262 Policies, 20180531_1415: 22 Policies, 20180531_1425: 59 Policies,)"/>
    <n v="1"/>
    <x v="17"/>
  </r>
  <r>
    <x v="0"/>
    <x v="43"/>
    <d v="2018-06-02T00:00:00"/>
    <s v="Sat"/>
    <d v="1899-12-30T12:00:00"/>
    <d v="1899-12-30T21:00:00"/>
    <n v="8.0000000000000036"/>
    <n v="0"/>
    <n v="8.0000000000000036"/>
    <s v="Saturday/Sunday (Weekends) before 10pm"/>
    <s v="Total: 2073 Policies ( 20180531_0231: 1174 Policies, 20180531_0241: 354 Policies, 20180531_0251: 202 Policies, 20180531_1405: 262 Policies, 20180531_1415: 22 Policies, 20180531_1425: 59 Policies,)"/>
    <s v=""/>
    <x v="17"/>
  </r>
  <r>
    <x v="0"/>
    <x v="44"/>
    <d v="2018-06-02T00:00:00"/>
    <s v="Sat"/>
    <d v="1899-12-30T17:00:00"/>
    <d v="1899-12-30T21:00:00"/>
    <n v="8.0000000000000036"/>
    <n v="4.0000000000000036"/>
    <n v="12.000000000000007"/>
    <s v="Saturday/Sunday (Weekends) before 10pm"/>
    <s v="Total: 2073 Policies ( 20180531_0231: 1174 Policies, 20180531_0241: 354 Policies, 20180531_0251: 202 Policies, 20180531_1405: 262 Policies, 20180531_1415: 22 Policies, 20180531_1425: 59 Policies,)"/>
    <n v="1"/>
    <x v="17"/>
  </r>
  <r>
    <x v="0"/>
    <x v="45"/>
    <d v="2018-06-02T00:00:00"/>
    <s v="Sat"/>
    <d v="1899-12-30T17:00:00"/>
    <d v="1899-12-30T21:00:00"/>
    <n v="8.0000000000000036"/>
    <n v="4.0000000000000036"/>
    <n v="12.000000000000007"/>
    <s v="Saturday/Sunday (Weekends) before 10pm"/>
    <s v="Total: 2073 Policies ( 20180531_0231: 1174 Policies, 20180531_0241: 354 Policies, 20180531_0251: 202 Policies, 20180531_1405: 262 Policies, 20180531_1415: 22 Policies, 20180531_1425: 59 Policies,)"/>
    <n v="1"/>
    <x v="17"/>
  </r>
  <r>
    <x v="1"/>
    <x v="5"/>
    <d v="2018-06-02T00:00:00"/>
    <s v="Sat"/>
    <d v="1899-12-30T08:00:00"/>
    <d v="1899-12-30T21:00:00"/>
    <n v="0"/>
    <n v="12.000000000000007"/>
    <n v="12.000000000000007"/>
    <s v="Saturday/Sunday (Weekends) before 10pm"/>
    <s v="Total: 2073 Policies ( 20180531_0231: 1174 Policies, 20180531_0241: 354 Policies, 20180531_0251: 202 Policies, 20180531_1405: 262 Policies, 20180531_1415: 22 Policies, 20180531_1425: 59 Policies,)"/>
    <s v=""/>
    <x v="17"/>
  </r>
  <r>
    <x v="1"/>
    <x v="5"/>
    <d v="2018-06-04T00:00:00"/>
    <s v="Mon"/>
    <d v="1899-12-30T08:30:00"/>
    <d v="1899-12-30T17:30:00"/>
    <n v="0"/>
    <n v="7.9999999999999982"/>
    <n v="7.9999999999999982"/>
    <s v="Normal Working Days before 10pm"/>
    <s v="Total: 108 Policies ( 20180601_2201: 36 Policies, 20180601_2211: 32 Policies, 20180601_2221: 10 Policies, 20180604_1136: 18 Policies, 20180604_1146: 6 Policies, 20180604_1156: 6 Policies, :  Policies,)"/>
    <s v=""/>
    <x v="17"/>
  </r>
  <r>
    <x v="1"/>
    <x v="5"/>
    <d v="2018-06-05T00:00:00"/>
    <s v="Tue"/>
    <d v="1899-12-30T08:30:00"/>
    <d v="1899-12-30T17:30:00"/>
    <n v="0"/>
    <n v="7.9999999999999982"/>
    <n v="7.9999999999999982"/>
    <s v="Normal Working Days before 10pm"/>
    <s v="Total: 836 Policies ( 20180604_1529: 109 Policies, 20180604_1539: 139 Policies, 20180604_1549: 38 Policies, 20180604_2208: 243 Policies, 20180604_2218: 140 Policies, 20180604_2228: 97 Policies, 20180605_1111: 39 Policies, 20180605_1121: 20 Policies, 20180605_1131: 11 Policies,)"/>
    <s v=""/>
    <x v="17"/>
  </r>
  <r>
    <x v="1"/>
    <x v="5"/>
    <d v="2018-06-06T00:00:00"/>
    <s v="Wed"/>
    <d v="1899-12-30T08:30:00"/>
    <d v="1899-12-30T17:30:00"/>
    <n v="0"/>
    <n v="7.9999999999999982"/>
    <n v="7.9999999999999982"/>
    <s v="Normal Working Days before 10pm"/>
    <s v="Total: 630 Policies ( 20180605_1436: 98 Policies, 20180605_1446: 58 Policies, 20180605_1456: 31 Policies, 20180605_2127: 180 Policies, 20180605_2137: 127 Policies, 20180605_2147: 61 Policies, 20180606_ 113: 34 Policies, 20180606_ 114: 27 Policies, 20180606_ 115: 14 Policies,)"/>
    <s v=""/>
    <x v="17"/>
  </r>
  <r>
    <x v="1"/>
    <x v="12"/>
    <d v="2018-06-06T00:00:00"/>
    <s v="Wed"/>
    <d v="1899-12-30T08:30:00"/>
    <d v="1899-12-30T17:30:00"/>
    <n v="0"/>
    <n v="7.9999999999999982"/>
    <n v="7.9999999999999982"/>
    <s v="Normal Working Days before 10pm"/>
    <s v="Total: 630 Policies ( 20180605_1436: 98 Policies, 20180605_1446: 58 Policies, 20180605_1456: 31 Policies, 20180605_2127: 180 Policies, 20180605_2137: 127 Policies, 20180605_2147: 61 Policies, 20180606_ 113: 34 Policies, 20180606_ 114: 27 Policies, 20180606_ 115: 14 Policies,)"/>
    <s v=""/>
    <x v="17"/>
  </r>
  <r>
    <x v="1"/>
    <x v="5"/>
    <d v="2018-06-07T00:00:00"/>
    <s v="Thu"/>
    <d v="1899-12-30T08:30:00"/>
    <d v="1899-12-30T17:30:00"/>
    <n v="0"/>
    <n v="7.9999999999999982"/>
    <n v="7.9999999999999982"/>
    <s v="Normal Working Days before 10pm"/>
    <s v="Total: 478 Policies ( 20180606_ 151: 28 Policies, 20180606_ 152: 67 Policies, 20180606_ 153: 21 Policies, 20180606_ 212: 84 Policies, 20180606_ 213: 110 Policies, 20180606_ 214: 105 Policies, 20180607_1117: 7 Policies, 20180607_1127: 38 Policies, 20180607_1137: 18 Policies,)"/>
    <s v=""/>
    <x v="17"/>
  </r>
  <r>
    <x v="0"/>
    <x v="0"/>
    <d v="2018-06-08T00:00:00"/>
    <s v="Fri"/>
    <d v="1899-12-30T17:30:00"/>
    <d v="1899-12-30T21:00:00"/>
    <n v="8.0000000000000036"/>
    <n v="3.4999999999999893"/>
    <n v="3.4999999999999893"/>
    <s v="Normal Working Days before 10pm"/>
    <s v="Total: 847 Policies ( 20180607_1438: 39 Policies, 20180607_1448: 33 Policies, 20180607_1458: 55 Policies, 20180607_2111: 103 Policies, 20180607_2121: 138 Policies, 20180607_2131: 82 Policies, 20180608_1213: 397 Policies, :  Policies, :  Policies,)"/>
    <n v="1"/>
    <x v="17"/>
  </r>
  <r>
    <x v="0"/>
    <x v="6"/>
    <d v="2018-06-08T00:00:00"/>
    <s v="Fri"/>
    <d v="1899-12-30T17:30:00"/>
    <d v="1899-12-30T21:00:00"/>
    <n v="8.0000000000000036"/>
    <n v="3.4999999999999893"/>
    <n v="3.4999999999999893"/>
    <s v="Normal Working Days before 10pm"/>
    <s v="Total: 847 Policies ( 20180607_1438: 39 Policies, 20180607_1448: 33 Policies, 20180607_1458: 55 Policies, 20180607_2111: 103 Policies, 20180607_2121: 138 Policies, 20180607_2131: 82 Policies, 20180608_1213: 397 Policies, :  Policies, :  Policies,)"/>
    <n v="1"/>
    <x v="17"/>
  </r>
  <r>
    <x v="0"/>
    <x v="43"/>
    <d v="2018-06-08T00:00:00"/>
    <s v="Fri"/>
    <d v="1899-12-30T17:30:00"/>
    <d v="1899-12-30T21:00:00"/>
    <n v="8.0000000000000036"/>
    <n v="3.4999999999999893"/>
    <n v="3.4999999999999893"/>
    <s v="Normal Working Days before 10pm"/>
    <s v="Total: 847 Policies ( 20180607_1438: 39 Policies, 20180607_1448: 33 Policies, 20180607_1458: 55 Policies, 20180607_2111: 103 Policies, 20180607_2121: 138 Policies, 20180607_2131: 82 Policies, 20180608_1213: 397 Policies, :  Policies, :  Policies,)"/>
    <n v="1"/>
    <x v="17"/>
  </r>
  <r>
    <x v="0"/>
    <x v="44"/>
    <d v="2018-06-08T00:00:00"/>
    <s v="Fri"/>
    <d v="1899-12-30T17:30:00"/>
    <d v="1899-12-30T21:00:00"/>
    <n v="8.0000000000000036"/>
    <n v="3.4999999999999893"/>
    <n v="3.4999999999999893"/>
    <s v="Normal Working Days before 10pm"/>
    <s v="Total: 847 Policies ( 20180607_1438: 39 Policies, 20180607_1448: 33 Policies, 20180607_1458: 55 Policies, 20180607_2111: 103 Policies, 20180607_2121: 138 Policies, 20180607_2131: 82 Policies, 20180608_1213: 397 Policies, :  Policies, :  Policies,)"/>
    <n v="1"/>
    <x v="17"/>
  </r>
  <r>
    <x v="0"/>
    <x v="45"/>
    <d v="2018-06-08T00:00:00"/>
    <s v="Fri"/>
    <d v="1899-12-30T17:30:00"/>
    <d v="1899-12-30T21:00:00"/>
    <n v="8.0000000000000036"/>
    <n v="3.4999999999999893"/>
    <n v="3.4999999999999893"/>
    <s v="Normal Working Days before 10pm"/>
    <s v="Total: 847 Policies ( 20180607_1438: 39 Policies, 20180607_1448: 33 Policies, 20180607_1458: 55 Policies, 20180607_2111: 103 Policies, 20180607_2121: 138 Policies, 20180607_2131: 82 Policies, 20180608_1213: 397 Policies, :  Policies, :  Policies,)"/>
    <n v="1"/>
    <x v="17"/>
  </r>
  <r>
    <x v="0"/>
    <x v="46"/>
    <d v="2018-06-08T00:00:00"/>
    <s v="Fri"/>
    <d v="1899-12-30T17:30:00"/>
    <d v="1899-12-30T21:00:00"/>
    <n v="8.0000000000000036"/>
    <n v="3.4999999999999893"/>
    <n v="3.4999999999999893"/>
    <s v="Normal Working Days before 10pm"/>
    <s v="Total: 847 Policies ( 20180607_1438: 39 Policies, 20180607_1448: 33 Policies, 20180607_1458: 55 Policies, 20180607_2111: 103 Policies, 20180607_2121: 138 Policies, 20180607_2131: 82 Policies, 20180608_1213: 397 Policies, :  Policies, :  Policies,)"/>
    <n v="1"/>
    <x v="17"/>
  </r>
  <r>
    <x v="1"/>
    <x v="5"/>
    <d v="2018-06-08T00:00:00"/>
    <s v="Fri"/>
    <d v="1899-12-30T08:30:00"/>
    <d v="1899-12-30T21:00:00"/>
    <n v="0"/>
    <n v="11.499999999999993"/>
    <n v="11.499999999999993"/>
    <s v="Normal Working Days before 10pm"/>
    <s v="Total: 847 Policies ( 20180607_1438: 39 Policies, 20180607_1448: 33 Policies, 20180607_1458: 55 Policies, 20180607_2111: 103 Policies, 20180607_2121: 138 Policies, 20180607_2131: 82 Policies, 20180608_1213: 397 Policies, :  Policies, :  Policies,)"/>
    <s v=""/>
    <x v="17"/>
  </r>
  <r>
    <x v="0"/>
    <x v="0"/>
    <d v="2018-06-09T00:00:00"/>
    <s v="Sat"/>
    <d v="1899-12-30T16:00:00"/>
    <d v="1899-12-30T21:00:00"/>
    <n v="8.0000000000000036"/>
    <n v="4.9999999999999893"/>
    <n v="12.999999999999993"/>
    <s v="Saturday/Sunday (Weekends) before 10pm"/>
    <s v="Total: 1450 Policies ( 20180608_1223: 143 Policies, 20180608_1233: 52 Policies, 20180608_1517: 415 Policies, 20180608_1527: 115 Policies, 20180608_1537: 61 Policies, 20180608_1919: 478 Policies, 20180608_1929: 120 Policies, 20180608_1939: 66 Policies, :  Policies,)"/>
    <n v="1"/>
    <x v="17"/>
  </r>
  <r>
    <x v="0"/>
    <x v="43"/>
    <d v="2018-06-09T00:00:00"/>
    <s v="Sat"/>
    <d v="1899-12-30T17:00:00"/>
    <d v="1899-12-30T21:00:00"/>
    <n v="8.0000000000000036"/>
    <n v="4.0000000000000036"/>
    <n v="12.000000000000007"/>
    <s v="Saturday/Sunday (Weekends) before 10pm"/>
    <s v="Total: 1450 Policies ( 20180608_1223: 143 Policies, 20180608_1233: 52 Policies, 20180608_1517: 415 Policies, 20180608_1527: 115 Policies, 20180608_1537: 61 Policies, 20180608_1919: 478 Policies, 20180608_1929: 120 Policies, 20180608_1939: 66 Policies, :  Policies,)"/>
    <n v="1"/>
    <x v="17"/>
  </r>
  <r>
    <x v="0"/>
    <x v="44"/>
    <d v="2018-06-09T00:00:00"/>
    <s v="Sat"/>
    <d v="1899-12-30T17:00:00"/>
    <d v="1899-12-30T21:00:00"/>
    <n v="8.0000000000000036"/>
    <n v="4.0000000000000036"/>
    <n v="12.000000000000007"/>
    <s v="Saturday/Sunday (Weekends) before 10pm"/>
    <s v="Total: 1450 Policies ( 20180608_1223: 143 Policies, 20180608_1233: 52 Policies, 20180608_1517: 415 Policies, 20180608_1527: 115 Policies, 20180608_1537: 61 Policies, 20180608_1919: 478 Policies, 20180608_1929: 120 Policies, 20180608_1939: 66 Policies, :  Policies,)"/>
    <n v="1"/>
    <x v="17"/>
  </r>
  <r>
    <x v="0"/>
    <x v="46"/>
    <d v="2018-06-09T00:00:00"/>
    <s v="Sat"/>
    <d v="1899-12-30T17:00:00"/>
    <d v="1899-12-30T21:00:00"/>
    <n v="8.0000000000000036"/>
    <n v="4.0000000000000036"/>
    <n v="12.000000000000007"/>
    <s v="Saturday/Sunday (Weekends) before 10pm"/>
    <s v="Total: 1450 Policies ( 20180608_1223: 143 Policies, 20180608_1233: 52 Policies, 20180608_1517: 415 Policies, 20180608_1527: 115 Policies, 20180608_1537: 61 Policies, 20180608_1919: 478 Policies, 20180608_1929: 120 Policies, 20180608_1939: 66 Policies, :  Policies,)"/>
    <n v="1"/>
    <x v="17"/>
  </r>
  <r>
    <x v="1"/>
    <x v="5"/>
    <d v="2018-06-09T00:00:00"/>
    <s v="Sat"/>
    <d v="1899-12-30T08:00:00"/>
    <d v="1899-12-30T21:00:00"/>
    <n v="0"/>
    <n v="12.000000000000007"/>
    <n v="12.000000000000007"/>
    <s v="Saturday/Sunday (Weekends) before 10pm"/>
    <s v="Total: 1450 Policies ( 20180608_1223: 143 Policies, 20180608_1233: 52 Policies, 20180608_1517: 415 Policies, 20180608_1527: 115 Policies, 20180608_1537: 61 Policies, 20180608_1919: 478 Policies, 20180608_1929: 120 Policies, 20180608_1939: 66 Policies, :  Policies,)"/>
    <s v=""/>
    <x v="17"/>
  </r>
  <r>
    <x v="1"/>
    <x v="40"/>
    <d v="2018-06-09T00:00:00"/>
    <s v="Sat"/>
    <d v="1899-12-30T08:00:00"/>
    <d v="1899-12-30T21:00:00"/>
    <n v="0"/>
    <n v="12.000000000000007"/>
    <n v="12.000000000000007"/>
    <s v="Saturday/Sunday (Weekends) before 10pm"/>
    <s v="Total: 1450 Policies ( 20180608_1223: 143 Policies, 20180608_1233: 52 Policies, 20180608_1517: 415 Policies, 20180608_1527: 115 Policies, 20180608_1537: 61 Policies, 20180608_1919: 478 Policies, 20180608_1929: 120 Policies, 20180608_1939: 66 Policies, :  Policies,)"/>
    <s v=""/>
    <x v="17"/>
  </r>
  <r>
    <x v="1"/>
    <x v="34"/>
    <d v="2018-06-09T00:00:00"/>
    <s v="Sat"/>
    <d v="1899-12-30T08:00:00"/>
    <d v="1899-12-30T21:00:00"/>
    <n v="0"/>
    <n v="12.000000000000007"/>
    <n v="12.000000000000007"/>
    <s v="Saturday/Sunday (Weekends) before 10pm"/>
    <s v="Total: 1450 Policies ( 20180608_1223: 143 Policies, 20180608_1233: 52 Policies, 20180608_1517: 415 Policies, 20180608_1527: 115 Policies, 20180608_1537: 61 Policies, 20180608_1919: 478 Policies, 20180608_1929: 120 Policies, 20180608_1939: 66 Policies, :  Policies,)"/>
    <s v=""/>
    <x v="17"/>
  </r>
  <r>
    <x v="0"/>
    <x v="0"/>
    <d v="2018-06-10T00:00:00"/>
    <s v="Sun"/>
    <d v="1899-12-30T07:00:00"/>
    <d v="1899-12-30T20:00:00"/>
    <s v=""/>
    <n v="11.999999999999986"/>
    <n v="11.999999999999986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0"/>
    <x v="43"/>
    <d v="2018-06-10T00:00:00"/>
    <s v="Sun"/>
    <d v="1899-12-30T08:00:00"/>
    <d v="1899-12-30T20:00:00"/>
    <s v=""/>
    <n v="11"/>
    <n v="11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0"/>
    <x v="44"/>
    <d v="2018-06-10T00:00:00"/>
    <s v="Sun"/>
    <d v="1899-12-30T08:00:00"/>
    <d v="1899-12-30T17:00:00"/>
    <s v=""/>
    <n v="8.0000000000000018"/>
    <n v="8.0000000000000018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0"/>
    <x v="46"/>
    <d v="2018-06-10T00:00:00"/>
    <s v="Sun"/>
    <d v="1899-12-30T08:00:00"/>
    <d v="1899-12-30T17:00:00"/>
    <s v=""/>
    <n v="8.0000000000000018"/>
    <n v="8.0000000000000018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1"/>
    <x v="5"/>
    <d v="2018-06-10T00:00:00"/>
    <s v="Sun"/>
    <d v="1899-12-30T08:00:00"/>
    <d v="1899-12-30T20:00:00"/>
    <s v=""/>
    <n v="11"/>
    <n v="11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1"/>
    <x v="12"/>
    <d v="2018-06-10T00:00:00"/>
    <s v="Sun"/>
    <d v="1899-12-30T08:00:00"/>
    <d v="1899-12-30T20:00:00"/>
    <s v=""/>
    <n v="11"/>
    <n v="11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1"/>
    <x v="40"/>
    <d v="2018-06-10T00:00:00"/>
    <s v="Sun"/>
    <d v="1899-12-30T08:00:00"/>
    <d v="1899-12-30T20:00:00"/>
    <s v=""/>
    <n v="11"/>
    <n v="11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1"/>
    <x v="42"/>
    <d v="2018-06-10T00:00:00"/>
    <s v="Sun"/>
    <d v="1899-12-30T08:00:00"/>
    <d v="1899-12-30T20:00:00"/>
    <s v=""/>
    <n v="11"/>
    <n v="11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1"/>
    <x v="34"/>
    <d v="2018-06-10T00:00:00"/>
    <s v="Sun"/>
    <d v="1899-12-30T08:00:00"/>
    <d v="1899-12-30T20:00:00"/>
    <s v=""/>
    <n v="11"/>
    <n v="11"/>
    <s v="Saturday/Sunday (Weekends) before 10pm"/>
    <s v="Total: 1373 Policies ( 20180608_0225: 430 Policies, 20180608_0235: 130 Policies, 20180608_0245: 74 Policies, 20180608_0703: 557 Policies, 20180608_0713: 135 Policies, 20180608_0723: 47 Policies,)"/>
    <s v=""/>
    <x v="17"/>
  </r>
  <r>
    <x v="1"/>
    <x v="5"/>
    <d v="2018-06-11T00:00:00"/>
    <s v="Mon"/>
    <d v="1899-12-30T08:30:00"/>
    <d v="1899-12-30T17:30:00"/>
    <n v="0"/>
    <n v="7.9999999999999982"/>
    <n v="7.9999999999999982"/>
    <s v="Normal Working Days before 10pm"/>
    <s v="Total: 88 Policies ( 20180611_1118: 12 Policies, 20180611_1128: 22 Policies, 20180611_1138: 54 Policies,)"/>
    <s v=""/>
    <x v="17"/>
  </r>
  <r>
    <x v="0"/>
    <x v="0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0"/>
    <x v="2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0"/>
    <x v="6"/>
    <d v="2018-06-12T00:00:00"/>
    <s v="Tue"/>
    <d v="1899-12-30T17:30:00"/>
    <d v="1899-12-30T18:00:00"/>
    <n v="8.0000000000000036"/>
    <n v="0.49999999999998757"/>
    <n v="0.49999999999998757"/>
    <s v="Normal Working Days before 10pm"/>
    <s v="Total: 746 Policies ( 20180611_1451: 97 Policies, 20180611_1501: 61 Policies, 20180611_1511: 64 Policies, 20180611_2124: 297 Policies, 20180611_2134: 118 Policies, 20180611_2144: 109 Policies,)"/>
    <s v=""/>
    <x v="17"/>
  </r>
  <r>
    <x v="0"/>
    <x v="15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0"/>
    <x v="16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0"/>
    <x v="43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0"/>
    <x v="44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0"/>
    <x v="45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0"/>
    <x v="46"/>
    <d v="2018-06-12T00:00:00"/>
    <s v="Tue"/>
    <d v="1899-12-30T17:30:00"/>
    <d v="1899-12-30T20:30:00"/>
    <n v="8.0000000000000036"/>
    <n v="2.9999999999999947"/>
    <n v="2.9999999999999947"/>
    <s v="Normal Working Days before 10pm"/>
    <s v="Total: 746 Policies ( 20180611_1451: 97 Policies, 20180611_1501: 61 Policies, 20180611_1511: 64 Policies, 20180611_2124: 297 Policies, 20180611_2134: 118 Policies, 20180611_2144: 109 Policies,)"/>
    <n v="1"/>
    <x v="17"/>
  </r>
  <r>
    <x v="1"/>
    <x v="5"/>
    <d v="2018-06-12T00:00:00"/>
    <s v="Tue"/>
    <d v="1899-12-30T08:30:00"/>
    <d v="1899-12-30T20:30:00"/>
    <n v="0"/>
    <n v="10.999999999999998"/>
    <n v="10.999999999999998"/>
    <s v="Normal Working Days before 10pm"/>
    <s v="Total: 746 Policies ( 20180611_1451: 97 Policies, 20180611_1501: 61 Policies, 20180611_1511: 64 Policies, 20180611_2124: 297 Policies, 20180611_2134: 118 Policies, 20180611_2144: 109 Policies,)"/>
    <s v=""/>
    <x v="17"/>
  </r>
  <r>
    <x v="0"/>
    <x v="0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2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6"/>
    <d v="2018-06-13T00:00:00"/>
    <s v="Wed"/>
    <d v="1899-12-30T16:00:00"/>
    <d v="1899-12-30T19:00:00"/>
    <n v="8.0000000000000036"/>
    <n v="2.9999999999999947"/>
    <n v="2.9999999999999947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15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16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43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44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45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0"/>
    <x v="46"/>
    <d v="2018-06-13T00:00:00"/>
    <s v="Wed"/>
    <d v="1899-12-30T17:30:00"/>
    <d v="1899-12-30T21:00:00"/>
    <n v="8.0000000000000036"/>
    <n v="3.4999999999999893"/>
    <n v="3.49999999999998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n v="1"/>
    <x v="17"/>
  </r>
  <r>
    <x v="1"/>
    <x v="5"/>
    <d v="2018-06-13T00:00:00"/>
    <s v="Wed"/>
    <d v="1899-12-30T08:30:00"/>
    <d v="1899-12-30T21:00:00"/>
    <n v="0"/>
    <n v="11.499999999999993"/>
    <n v="11.499999999999993"/>
    <s v="Normal Working Days before 10pm"/>
    <s v="Total: 1158 Policies ( 20180612_1143: 61 Policies, 20180612_1153: 10 Policies, 20180612_1153: 19 Policies, 20180612_1434: 85 Policies, 20180612_1444: 61 Policies, 20180612_1454: 28 Policies, 20180612_2143: 357 Policies, 20180612_2153: 169 Policies, 20180612_2203: 112 Policies, 20180613_1325: 85 Policies, 20180613_1335: 26 Policies, 20180613_1345: 19 Policies,)"/>
    <s v=""/>
    <x v="17"/>
  </r>
  <r>
    <x v="1"/>
    <x v="5"/>
    <d v="2018-06-14T00:00:00"/>
    <s v="Thu"/>
    <d v="1899-12-30T08:30:00"/>
    <d v="1899-12-30T17:30:00"/>
    <n v="0"/>
    <n v="7.9999999999999982"/>
    <n v="7.9999999999999982"/>
    <s v="Normal Working Days before 10pm"/>
    <s v="Total: 553 Policies ( 20180613_2253: 224 Policies, 20180613_2303: 113 Policies, 20180613_2313: 127 Policies, 20180614_1108: 26 Policies, 20180614_1118: 28 Policies, 20180614_1128: 35 Policies, :  Policies, :  Policies, :  Policies, :  Policies, :  Policies, :  Policies,)"/>
    <s v=""/>
    <x v="17"/>
  </r>
  <r>
    <x v="1"/>
    <x v="5"/>
    <d v="2018-06-15T00:00:00"/>
    <s v="Fri"/>
    <d v="1899-12-30T08:30:00"/>
    <d v="1899-12-30T17:30:00"/>
    <n v="0"/>
    <n v="7.9999999999999982"/>
    <n v="7.9999999999999982"/>
    <s v="Normal Working Days before 10pm"/>
    <s v="Total: 537 Policies ( 20180614_1453: 78 Policies, 20180614_1503: 45 Policies, 20180614_1513: 46 Policies, 20180614_2113: 139 Policies, 20180614_2113: 127 Policies, 20180614_2113: 71 Policies, 20180615_1127: 11 Policies, 20180615_1137: 12 Policies, 20180615_1147: 8 Policies,)"/>
    <s v=""/>
    <x v="17"/>
  </r>
  <r>
    <x v="1"/>
    <x v="5"/>
    <d v="2018-06-18T00:00:00"/>
    <s v="Mon"/>
    <d v="1899-12-30T08:30:00"/>
    <d v="1899-12-30T17:30:00"/>
    <n v="0"/>
    <n v="7.9999999999999982"/>
    <n v="7.9999999999999982"/>
    <s v="Normal Working Days before 10pm"/>
    <s v="Total: 701 Policies ( 20180615_1506: 36 Policies, 20180615_1516: 60 Policies, 20180615_1456: 90 Policies, 20180615_2159: 66 Policies, 20180615_2209: 76 Policies, 20180615_2219: 133 Policies, 20180618_1106: 106 Policies, 20180618_1116: 78 Policies, 20180618_1126: 56 Policies,)"/>
    <s v=""/>
    <x v="17"/>
  </r>
  <r>
    <x v="0"/>
    <x v="0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2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6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15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16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43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44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45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0"/>
    <x v="46"/>
    <d v="2018-06-19T00:00:00"/>
    <s v="Tue"/>
    <d v="1899-12-30T17:30:00"/>
    <d v="1899-12-30T21:30:00"/>
    <n v="8.0000000000000036"/>
    <n v="3.9999999999999822"/>
    <n v="3.9999999999999822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n v="1"/>
    <x v="17"/>
  </r>
  <r>
    <x v="1"/>
    <x v="5"/>
    <d v="2018-06-19T00:00:00"/>
    <s v="Tue"/>
    <d v="1899-12-30T08:30:00"/>
    <d v="1899-12-30T21:30:00"/>
    <n v="0"/>
    <n v="11.999999999999986"/>
    <n v="11.999999999999986"/>
    <s v="Normal Working Days before 10pm"/>
    <s v="Total: 1220 Policies ( 20180618_1455: 94 Policies, 20180618_1505: 91 Policies, 20180618_1515: 70 Policies, 20180618_2308: 406 Policies, 20180618_2318: 180 Policies, 20180618_2328: 106 Policies, 20180619_1113: 47 Policies, 20180619_1123: 26 Policies, 20180619_1133: 22 Policies,)"/>
    <s v=""/>
    <x v="17"/>
  </r>
  <r>
    <x v="1"/>
    <x v="5"/>
    <d v="2018-06-20T00:00:00"/>
    <s v="Wed"/>
    <d v="1899-12-30T08:30:00"/>
    <d v="1899-12-30T17:30:00"/>
    <n v="0"/>
    <n v="7.9999999999999982"/>
    <n v="7.9999999999999982"/>
    <s v="Normal Working Days before 10pm"/>
    <s v="Total: 740 Policies ( 20180619_2131: 371 Policies, 20180619_2141: 192 Policies, 20180619_2151: 125 Policies, 20180620_1118: 31 Policies, 20180620_1128: 13 Policies, 20180620_1138: 8 Policies,)"/>
    <s v=""/>
    <x v="17"/>
  </r>
  <r>
    <x v="1"/>
    <x v="5"/>
    <d v="2018-06-21T00:00:00"/>
    <s v="Thu"/>
    <d v="1899-12-30T08:30:00"/>
    <d v="1899-12-30T17:30:00"/>
    <n v="0"/>
    <n v="7.9999999999999982"/>
    <n v="7.9999999999999982"/>
    <s v="Normal Working Days before 10pm"/>
    <s v="Total: 725 Policies ( 20180620_1435: 102 Policies, 20180620_1445: 41 Policies, 20180620_1455: 30 Policies, 20180620_2120: 226 Policies, 20180620_2130: 125 Policies, 20180620_2140: 75 Policies, 20180621_1135: 52 Policies, 20180621_1145: 45 Policies, 20180621_1155: 29 Policies,)"/>
    <s v=""/>
    <x v="17"/>
  </r>
  <r>
    <x v="1"/>
    <x v="5"/>
    <d v="2018-06-22T00:00:00"/>
    <s v="Fri"/>
    <d v="1899-12-30T08:30:00"/>
    <d v="1899-12-30T17:30:00"/>
    <n v="0"/>
    <n v="7.9999999999999982"/>
    <n v="7.9999999999999982"/>
    <s v="Normal Working Days before 10pm"/>
    <s v="Total: 829 Policies ( 20180621_1443: 109 Policies, 20180621_1453: 59 Policies, 20180621_1503: 34 Policies, 20180621_2152: 216 Policies, 20180621_2202: 161 Policies, 20180621_2212: 95 Policies, 20180622_1110: 50 Policies, 20180622_1120: 57 Policies, 20180622_1130: 48 Policies,)"/>
    <s v=""/>
    <x v="17"/>
  </r>
  <r>
    <x v="0"/>
    <x v="0"/>
    <d v="2018-06-25T00:00:00"/>
    <s v="Mon"/>
    <d v="1899-12-30T18:30:00"/>
    <d v="1899-12-30T21:30:00"/>
    <n v="8.0000000000000036"/>
    <n v="2.9999999999999964"/>
    <n v="2.9999999999999964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2"/>
    <d v="2018-06-25T00:00:00"/>
    <s v="Mon"/>
    <d v="1899-12-30T17:30:00"/>
    <d v="1899-12-30T21:30:00"/>
    <n v="8.0000000000000036"/>
    <n v="3.9999999999999822"/>
    <n v="3.9999999999999822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6"/>
    <d v="2018-06-25T00:00:00"/>
    <s v="Mon"/>
    <d v="1899-12-30T16:30:00"/>
    <d v="1899-12-30T20:30:00"/>
    <n v="8.0000000000000036"/>
    <n v="4.0000000000000036"/>
    <n v="4.0000000000000036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15"/>
    <d v="2018-06-25T00:00:00"/>
    <s v="Mon"/>
    <d v="1899-12-30T17:30:00"/>
    <d v="1899-12-30T21:30:00"/>
    <n v="8.0000000000000036"/>
    <n v="3.9999999999999822"/>
    <n v="3.9999999999999822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16"/>
    <d v="2018-06-25T00:00:00"/>
    <s v="Mon"/>
    <d v="1899-12-30T17:30:00"/>
    <d v="1899-12-30T21:30:00"/>
    <n v="8.0000000000000036"/>
    <n v="3.9999999999999822"/>
    <n v="3.9999999999999822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43"/>
    <d v="2018-06-25T00:00:00"/>
    <s v="Mon"/>
    <d v="1899-12-30T17:30:00"/>
    <d v="1899-12-30T21:30:00"/>
    <n v="8.0000000000000036"/>
    <n v="3.9999999999999822"/>
    <n v="3.9999999999999822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44"/>
    <d v="2018-06-25T00:00:00"/>
    <s v="Mon"/>
    <d v="1899-12-30T17:30:00"/>
    <d v="1899-12-30T21:30:00"/>
    <n v="8.0000000000000036"/>
    <n v="3.9999999999999822"/>
    <n v="3.9999999999999822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45"/>
    <d v="2018-06-25T00:00:00"/>
    <s v="Mon"/>
    <d v="1899-12-30T17:30:00"/>
    <d v="1899-12-30T21:30:00"/>
    <n v="8.0000000000000036"/>
    <n v="3.9999999999999822"/>
    <n v="3.9999999999999822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0"/>
    <x v="46"/>
    <d v="2018-06-25T00:00:00"/>
    <s v="Mon"/>
    <d v="1899-12-30T17:30:00"/>
    <d v="1899-12-30T21:30:00"/>
    <n v="8.0000000000000036"/>
    <n v="3.9999999999999822"/>
    <n v="3.9999999999999822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n v="1"/>
    <x v="17"/>
  </r>
  <r>
    <x v="1"/>
    <x v="5"/>
    <d v="2018-06-25T00:00:00"/>
    <s v="Mon"/>
    <d v="1899-12-30T08:30:00"/>
    <d v="1899-12-30T21:30:00"/>
    <n v="0"/>
    <n v="11.999999999999986"/>
    <n v="11.999999999999986"/>
    <s v="Normal Working Days before 10pm"/>
    <s v="Total: 1364 Policies ( 20180622_1538: 130 Policies, 20180622_1548: 75 Policies, 20180622_1558: 64 Policies, 20180622_2348: 217 Policies, 20180622_2358: 149 Policies, 20180622_0008: 82 Policies, 20180623_1312: 24 Policies, 20180623_1322: 40 Policies, 20180623_1332: 18 Policies,)"/>
    <s v=""/>
    <x v="17"/>
  </r>
  <r>
    <x v="0"/>
    <x v="0"/>
    <d v="2018-06-26T00:00:00"/>
    <s v="Tue"/>
    <d v="1899-12-30T17:00:00"/>
    <d v="1899-12-30T21:00:00"/>
    <n v="8.0000000000000036"/>
    <n v="4.0000000000000036"/>
    <n v="4.0000000000000036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n v="1"/>
    <x v="17"/>
  </r>
  <r>
    <x v="0"/>
    <x v="6"/>
    <d v="2018-06-26T00:00:00"/>
    <s v="Tue"/>
    <d v="1899-12-30T17:00:00"/>
    <d v="1899-12-30T21:00:00"/>
    <n v="8.0000000000000036"/>
    <n v="4.0000000000000036"/>
    <n v="4.0000000000000036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n v="1"/>
    <x v="17"/>
  </r>
  <r>
    <x v="0"/>
    <x v="15"/>
    <d v="2018-06-26T00:00:00"/>
    <s v="Tue"/>
    <d v="1899-12-30T17:00:00"/>
    <d v="1899-12-30T21:00:00"/>
    <n v="8.0000000000000036"/>
    <n v="4.0000000000000036"/>
    <n v="4.0000000000000036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n v="1"/>
    <x v="17"/>
  </r>
  <r>
    <x v="0"/>
    <x v="16"/>
    <d v="2018-06-26T00:00:00"/>
    <s v="Tue"/>
    <d v="1899-12-30T17:00:00"/>
    <d v="1899-12-30T21:00:00"/>
    <n v="8.0000000000000036"/>
    <n v="4.0000000000000036"/>
    <n v="4.0000000000000036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n v="1"/>
    <x v="17"/>
  </r>
  <r>
    <x v="0"/>
    <x v="43"/>
    <d v="2018-06-26T00:00:00"/>
    <s v="Tue"/>
    <d v="1899-12-30T15:30:00"/>
    <d v="1899-12-30T19:30:00"/>
    <n v="8.0000000000000036"/>
    <n v="4.0000000000000036"/>
    <n v="4.0000000000000036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n v="1"/>
    <x v="17"/>
  </r>
  <r>
    <x v="0"/>
    <x v="44"/>
    <d v="2018-06-26T00:00:00"/>
    <s v="Tue"/>
    <d v="1899-12-30T17:00:00"/>
    <d v="1899-12-30T21:00:00"/>
    <n v="8.0000000000000036"/>
    <n v="4.0000000000000036"/>
    <n v="4.0000000000000036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n v="1"/>
    <x v="17"/>
  </r>
  <r>
    <x v="0"/>
    <x v="45"/>
    <d v="2018-06-26T00:00:00"/>
    <s v="Tue"/>
    <d v="1899-12-30T17:00:00"/>
    <d v="1899-12-30T21:00:00"/>
    <n v="8.0000000000000036"/>
    <n v="4.0000000000000036"/>
    <n v="4.0000000000000036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n v="1"/>
    <x v="17"/>
  </r>
  <r>
    <x v="1"/>
    <x v="5"/>
    <d v="2018-06-26T00:00:00"/>
    <s v="Tue"/>
    <d v="1899-12-30T08:00:00"/>
    <d v="1899-12-30T21:00:00"/>
    <n v="0"/>
    <n v="12.000000000000007"/>
    <n v="12.000000000000007"/>
    <s v="Normal Working Days before 10pm"/>
    <s v="Total: 1111 Policies ( 20180625_1111: 41 Policies, 20180625_1121: 7 Policies, 20180625_1131: 6 Policies, 20180625_1442: 160 Policies, 20180625_1452: 79 Policies, 20180625_1502: 49 Policies, 20180625_2119: 394 Policies, 20180625_2129: 226 Policies, 20180625_2139: 149 Policies,)"/>
    <s v=""/>
    <x v="17"/>
  </r>
  <r>
    <x v="0"/>
    <x v="0"/>
    <d v="2018-06-27T00:00:00"/>
    <s v="Wed"/>
    <d v="1899-12-30T17:00:00"/>
    <d v="1899-12-30T21:00:00"/>
    <n v="8.0000000000000036"/>
    <n v="4.0000000000000036"/>
    <n v="4.0000000000000036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n v="1"/>
    <x v="17"/>
  </r>
  <r>
    <x v="0"/>
    <x v="2"/>
    <d v="2018-06-27T00:00:00"/>
    <s v="Wed"/>
    <d v="1899-12-30T17:00:00"/>
    <d v="1899-12-30T20:30:00"/>
    <n v="8.0000000000000036"/>
    <n v="3.5000000000000107"/>
    <n v="3.5000000000000107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n v="1"/>
    <x v="17"/>
  </r>
  <r>
    <x v="0"/>
    <x v="15"/>
    <d v="2018-06-27T00:00:00"/>
    <s v="Wed"/>
    <d v="1899-12-30T17:00:00"/>
    <d v="1899-12-30T21:00:00"/>
    <n v="8.0000000000000036"/>
    <n v="4.0000000000000036"/>
    <n v="4.0000000000000036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n v="1"/>
    <x v="17"/>
  </r>
  <r>
    <x v="0"/>
    <x v="16"/>
    <d v="2018-06-27T00:00:00"/>
    <s v="Wed"/>
    <d v="1899-12-30T15:30:00"/>
    <d v="1899-12-30T19:30:00"/>
    <n v="8.0000000000000036"/>
    <n v="4.0000000000000036"/>
    <n v="4.0000000000000036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n v="1"/>
    <x v="17"/>
  </r>
  <r>
    <x v="0"/>
    <x v="43"/>
    <d v="2018-06-27T00:00:00"/>
    <s v="Wed"/>
    <d v="1899-12-30T17:00:00"/>
    <d v="1899-12-30T21:00:00"/>
    <n v="8.0000000000000036"/>
    <n v="4.0000000000000036"/>
    <n v="4.0000000000000036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n v="1"/>
    <x v="17"/>
  </r>
  <r>
    <x v="0"/>
    <x v="45"/>
    <d v="2018-06-27T00:00:00"/>
    <s v="Wed"/>
    <d v="1899-12-30T17:00:00"/>
    <d v="1899-12-30T21:00:00"/>
    <n v="8.0000000000000036"/>
    <n v="4.0000000000000036"/>
    <n v="4.0000000000000036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n v="1"/>
    <x v="17"/>
  </r>
  <r>
    <x v="0"/>
    <x v="46"/>
    <d v="2018-06-27T00:00:00"/>
    <s v="Wed"/>
    <d v="1899-12-30T17:00:00"/>
    <d v="1899-12-30T21:00:00"/>
    <n v="8.0000000000000036"/>
    <n v="4.0000000000000036"/>
    <n v="4.0000000000000036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n v="1"/>
    <x v="17"/>
  </r>
  <r>
    <x v="1"/>
    <x v="5"/>
    <d v="2018-06-27T00:00:00"/>
    <s v="Wed"/>
    <d v="1899-12-30T08:00:00"/>
    <d v="1899-12-30T21:00:00"/>
    <n v="0"/>
    <n v="12.000000000000007"/>
    <n v="12.000000000000007"/>
    <s v="Normal Working Days before 10pm"/>
    <s v="Total: 1310 Policies ( 20180626_1212: 253 Policies, 20180626_1222: 67 Policies, 20180626_1232: 56 Policies, 20180626_0130: 477 Policies, 20180626_0140: 294 Policies, 20180626_0150: 163 Policies, :  Policies, :  Policies, :  Policies,)"/>
    <s v=""/>
    <x v="17"/>
  </r>
  <r>
    <x v="0"/>
    <x v="0"/>
    <d v="2018-06-28T00:00:00"/>
    <s v="Thu"/>
    <d v="1899-12-30T17:00:00"/>
    <d v="1899-12-30T21:00:00"/>
    <n v="8.0000000000000036"/>
    <n v="4.0000000000000036"/>
    <n v="4.0000000000000036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n v="1"/>
    <x v="17"/>
  </r>
  <r>
    <x v="0"/>
    <x v="2"/>
    <d v="2018-06-28T00:00:00"/>
    <s v="Thu"/>
    <d v="1899-12-30T15:30:00"/>
    <d v="1899-12-30T19:30:00"/>
    <n v="8.0000000000000036"/>
    <n v="4.0000000000000036"/>
    <n v="4.0000000000000036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n v="1"/>
    <x v="17"/>
  </r>
  <r>
    <x v="0"/>
    <x v="6"/>
    <d v="2018-06-28T00:00:00"/>
    <s v="Thu"/>
    <d v="1899-12-30T17:00:00"/>
    <d v="1899-12-30T21:00:00"/>
    <n v="8.0000000000000036"/>
    <n v="4.0000000000000036"/>
    <n v="4.0000000000000036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n v="1"/>
    <x v="17"/>
  </r>
  <r>
    <x v="0"/>
    <x v="16"/>
    <d v="2018-06-28T00:00:00"/>
    <s v="Thu"/>
    <d v="1899-12-30T17:00:00"/>
    <d v="1899-12-30T21:00:00"/>
    <n v="8.0000000000000036"/>
    <n v="4.0000000000000036"/>
    <n v="4.0000000000000036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n v="1"/>
    <x v="17"/>
  </r>
  <r>
    <x v="0"/>
    <x v="43"/>
    <d v="2018-06-28T00:00:00"/>
    <s v="Thu"/>
    <d v="1899-12-30T17:00:00"/>
    <d v="1899-12-30T21:00:00"/>
    <n v="8.0000000000000036"/>
    <n v="4.0000000000000036"/>
    <n v="4.0000000000000036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n v="1"/>
    <x v="17"/>
  </r>
  <r>
    <x v="0"/>
    <x v="44"/>
    <d v="2018-06-28T00:00:00"/>
    <s v="Thu"/>
    <d v="1899-12-30T17:00:00"/>
    <d v="1899-12-30T21:00:00"/>
    <n v="8.0000000000000036"/>
    <n v="4.0000000000000036"/>
    <n v="4.0000000000000036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n v="1"/>
    <x v="17"/>
  </r>
  <r>
    <x v="0"/>
    <x v="46"/>
    <d v="2018-06-28T00:00:00"/>
    <s v="Thu"/>
    <d v="1899-12-30T17:00:00"/>
    <d v="1899-12-30T21:00:00"/>
    <n v="8.0000000000000036"/>
    <n v="4.0000000000000036"/>
    <n v="4.0000000000000036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n v="1"/>
    <x v="17"/>
  </r>
  <r>
    <x v="1"/>
    <x v="5"/>
    <d v="2018-06-28T00:00:00"/>
    <s v="Thu"/>
    <d v="1899-12-30T08:00:00"/>
    <d v="1899-12-30T21:00:00"/>
    <n v="0"/>
    <n v="12.000000000000007"/>
    <n v="12.000000000000007"/>
    <s v="Normal Working Days before 10pm"/>
    <s v="Total: 1512 Policies ( 20180627_1146: 79 Policies, 20180627_1156: 33 Policies, 20180627_1206: 30 Policies, 20180627_1540: 204 Policies, 20180627_1550: 106 Policies, 20180627_1600: 52 Policies, 20180627_2106: 467 Policies, 20180627_2116: 232 Policies, 20180627_2126: 133 Policies,)"/>
    <s v=""/>
    <x v="17"/>
  </r>
  <r>
    <x v="0"/>
    <x v="0"/>
    <d v="2018-06-29T00:00:00"/>
    <s v="Fri"/>
    <d v="1899-12-30T17:00:00"/>
    <d v="1899-12-30T21:0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0"/>
    <x v="2"/>
    <d v="2018-06-29T00:00:00"/>
    <s v="Fri"/>
    <d v="1899-12-30T15:30:00"/>
    <d v="1899-12-30T19:3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0"/>
    <x v="6"/>
    <d v="2018-06-29T00:00:00"/>
    <s v="Fri"/>
    <d v="1899-12-30T17:00:00"/>
    <d v="1899-12-30T21:0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0"/>
    <x v="15"/>
    <d v="2018-06-29T00:00:00"/>
    <s v="Fri"/>
    <d v="1899-12-30T17:00:00"/>
    <d v="1899-12-30T21:0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0"/>
    <x v="43"/>
    <d v="2018-06-29T00:00:00"/>
    <s v="Fri"/>
    <d v="1899-12-30T17:00:00"/>
    <d v="1899-12-30T21:0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0"/>
    <x v="44"/>
    <d v="2018-06-29T00:00:00"/>
    <s v="Fri"/>
    <d v="1899-12-30T17:00:00"/>
    <d v="1899-12-30T21:0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0"/>
    <x v="45"/>
    <d v="2018-06-29T00:00:00"/>
    <s v="Fri"/>
    <d v="1899-12-30T17:00:00"/>
    <d v="1899-12-30T21:0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0"/>
    <x v="46"/>
    <d v="2018-06-29T00:00:00"/>
    <s v="Fri"/>
    <d v="1899-12-30T17:00:00"/>
    <d v="1899-12-30T21:00:00"/>
    <n v="8.0000000000000036"/>
    <n v="4.0000000000000036"/>
    <n v="4.0000000000000036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n v="1"/>
    <x v="17"/>
  </r>
  <r>
    <x v="1"/>
    <x v="5"/>
    <d v="2018-06-29T00:00:00"/>
    <s v="Fri"/>
    <d v="1899-12-30T12:00:00"/>
    <d v="1899-12-30T21:00:00"/>
    <n v="0"/>
    <n v="8"/>
    <n v="8"/>
    <s v="Normal Working Days before 10pm"/>
    <s v="Total: 1731 Policies ( 20180628_1158: 164 Policies, 20180628_1208: 94 Policies, 20180628_1218: 34 Policies, 20180628_1518: 226 Policies, 20180628_1528: 131 Policies, 20180628_1538: 67 Policies, 20180628_2103: 573 Policies, 20180628_2113: 298 Policies, 20180628_2123: 144 Policies,)"/>
    <s v=""/>
    <x v="17"/>
  </r>
  <r>
    <x v="0"/>
    <x v="0"/>
    <d v="2018-06-30T00:00:00"/>
    <s v="Sat"/>
    <d v="1899-12-30T12:00:00"/>
    <d v="1899-12-30T21:00:00"/>
    <n v="8.0000000000000036"/>
    <n v="0"/>
    <n v="8.0000000000000036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s v=""/>
    <x v="17"/>
  </r>
  <r>
    <x v="0"/>
    <x v="2"/>
    <d v="2018-06-30T00:00:00"/>
    <s v="Sat"/>
    <d v="1899-12-30T17:00:00"/>
    <d v="1899-12-30T20:00:00"/>
    <n v="8.0000000000000036"/>
    <n v="2.9999999999999964"/>
    <n v="11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n v="1"/>
    <x v="17"/>
  </r>
  <r>
    <x v="0"/>
    <x v="6"/>
    <d v="2018-06-30T00:00:00"/>
    <s v="Sat"/>
    <d v="1899-12-30T17:00:00"/>
    <d v="1899-12-30T20:00:00"/>
    <n v="8.0000000000000036"/>
    <n v="2.9999999999999964"/>
    <n v="11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n v="1"/>
    <x v="17"/>
  </r>
  <r>
    <x v="0"/>
    <x v="15"/>
    <d v="2018-06-30T00:00:00"/>
    <s v="Sat"/>
    <d v="1899-12-30T15:30:00"/>
    <d v="1899-12-30T19:30:00"/>
    <n v="8.0000000000000036"/>
    <n v="4.0000000000000036"/>
    <n v="12.000000000000007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n v="1"/>
    <x v="17"/>
  </r>
  <r>
    <x v="0"/>
    <x v="16"/>
    <d v="2018-06-30T00:00:00"/>
    <s v="Sat"/>
    <d v="1899-12-30T17:00:00"/>
    <d v="1899-12-30T20:00:00"/>
    <n v="8.0000000000000036"/>
    <n v="2.9999999999999964"/>
    <n v="11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n v="1"/>
    <x v="17"/>
  </r>
  <r>
    <x v="0"/>
    <x v="43"/>
    <d v="2018-06-30T00:00:00"/>
    <s v="Sat"/>
    <d v="1899-12-30T12:00:00"/>
    <d v="1899-12-30T20:00:00"/>
    <n v="6.9999999999999929"/>
    <n v="0"/>
    <n v="6.9999999999999929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s v=""/>
    <x v="17"/>
  </r>
  <r>
    <x v="0"/>
    <x v="44"/>
    <d v="2018-06-30T00:00:00"/>
    <s v="Sat"/>
    <d v="1899-12-30T17:00:00"/>
    <d v="1899-12-30T20:00:00"/>
    <n v="8.0000000000000036"/>
    <n v="2.9999999999999964"/>
    <n v="11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n v="1"/>
    <x v="17"/>
  </r>
  <r>
    <x v="0"/>
    <x v="45"/>
    <d v="2018-06-30T00:00:00"/>
    <s v="Sat"/>
    <d v="1899-12-30T17:00:00"/>
    <d v="1899-12-30T20:00:00"/>
    <n v="8.0000000000000036"/>
    <n v="2.9999999999999964"/>
    <n v="11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n v="1"/>
    <x v="17"/>
  </r>
  <r>
    <x v="0"/>
    <x v="46"/>
    <d v="2018-06-30T00:00:00"/>
    <s v="Sat"/>
    <d v="1899-12-30T17:00:00"/>
    <d v="1899-12-30T20:00:00"/>
    <n v="8.0000000000000036"/>
    <n v="2.9999999999999964"/>
    <n v="11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n v="1"/>
    <x v="17"/>
  </r>
  <r>
    <x v="1"/>
    <x v="5"/>
    <d v="2018-06-30T00:00:00"/>
    <s v="Sat"/>
    <d v="1899-12-30T07:30:00"/>
    <d v="1899-12-30T16:30:00"/>
    <n v="0"/>
    <n v="8"/>
    <n v="8"/>
    <s v="Saturday/Sunday (Weekends) before 10pm"/>
    <s v="Total: 1420 Policies ( 20180629_1149: 416 Policies, 20180629_1159: 143 Policies, 20180629_1209: 71 Policies, 20180629_1716: 412 Policies, 20180629_1726: 257 Policies, 20180629_1736: 121 Policies, :  Policies, :  Policies, :  Policies,)"/>
    <s v=""/>
    <x v="17"/>
  </r>
  <r>
    <x v="0"/>
    <x v="0"/>
    <d v="2018-07-02T00:00:00"/>
    <s v="Mon"/>
    <d v="1899-12-30T17:00:00"/>
    <d v="1899-12-30T21:00:00"/>
    <n v="8.0000000000000036"/>
    <n v="4.0000000000000036"/>
    <n v="4.0000000000000036"/>
    <s v="Normal Working Days before 10pm"/>
    <s v="Total: 1769 Policies ( 20180629_2225: 577 Policies, 20180629_2235: 359 Policies, 20180629_2245: 179 Policies, 20180630_0933: 206 Policies, 20180630_0943: 67 Policies, 20180630_0953: 41 Policies, 20180630_1324: 340 Policies,)"/>
    <n v="1"/>
    <x v="18"/>
  </r>
  <r>
    <x v="0"/>
    <x v="2"/>
    <d v="2018-07-02T00:00:00"/>
    <s v="Mon"/>
    <d v="1899-12-30T17:00:00"/>
    <d v="1899-12-30T21:00:00"/>
    <n v="8.0000000000000036"/>
    <n v="4.0000000000000036"/>
    <n v="4.0000000000000036"/>
    <s v="Normal Working Days before 10pm"/>
    <s v="Total: 1769 Policies ( 20180629_2225: 577 Policies, 20180629_2235: 359 Policies, 20180629_2245: 179 Policies, 20180630_0933: 206 Policies, 20180630_0943: 67 Policies, 20180630_0953: 41 Policies, 20180630_1324: 340 Policies,)"/>
    <n v="1"/>
    <x v="18"/>
  </r>
  <r>
    <x v="0"/>
    <x v="15"/>
    <d v="2018-07-02T00:00:00"/>
    <s v="Mon"/>
    <d v="1899-12-30T17:00:00"/>
    <d v="1899-12-30T21:00:00"/>
    <n v="8.0000000000000036"/>
    <n v="4.0000000000000036"/>
    <n v="4.0000000000000036"/>
    <s v="Normal Working Days before 10pm"/>
    <s v="Total: 1769 Policies ( 20180629_2225: 577 Policies, 20180629_2235: 359 Policies, 20180629_2245: 179 Policies, 20180630_0933: 206 Policies, 20180630_0943: 67 Policies, 20180630_0953: 41 Policies, 20180630_1324: 340 Policies,)"/>
    <n v="1"/>
    <x v="18"/>
  </r>
  <r>
    <x v="0"/>
    <x v="43"/>
    <d v="2018-07-02T00:00:00"/>
    <s v="Mon"/>
    <d v="1899-12-30T15:30:00"/>
    <d v="1899-12-30T19:30:00"/>
    <n v="8.0000000000000036"/>
    <n v="4.0000000000000036"/>
    <n v="4.0000000000000036"/>
    <s v="Normal Working Days before 10pm"/>
    <s v="Total: 1769 Policies ( 20180629_2225: 577 Policies, 20180629_2235: 359 Policies, 20180629_2245: 179 Policies, 20180630_0933: 206 Policies, 20180630_0943: 67 Policies, 20180630_0953: 41 Policies, 20180630_1324: 340 Policies,)"/>
    <n v="1"/>
    <x v="18"/>
  </r>
  <r>
    <x v="0"/>
    <x v="45"/>
    <d v="2018-07-02T00:00:00"/>
    <s v="Mon"/>
    <d v="1899-12-30T17:00:00"/>
    <d v="1899-12-30T21:00:00"/>
    <n v="8.0000000000000036"/>
    <n v="4.0000000000000036"/>
    <n v="4.0000000000000036"/>
    <s v="Normal Working Days before 10pm"/>
    <s v="Total: 1769 Policies ( 20180629_2225: 577 Policies, 20180629_2235: 359 Policies, 20180629_2245: 179 Policies, 20180630_0933: 206 Policies, 20180630_0943: 67 Policies, 20180630_0953: 41 Policies, 20180630_1324: 340 Policies,)"/>
    <n v="1"/>
    <x v="18"/>
  </r>
  <r>
    <x v="0"/>
    <x v="46"/>
    <d v="2018-07-02T00:00:00"/>
    <s v="Mon"/>
    <d v="1899-12-30T17:00:00"/>
    <d v="1899-12-30T21:00:00"/>
    <n v="8.0000000000000036"/>
    <n v="4.0000000000000036"/>
    <n v="4.0000000000000036"/>
    <s v="Normal Working Days before 10pm"/>
    <s v="Total: 1769 Policies ( 20180629_2225: 577 Policies, 20180629_2235: 359 Policies, 20180629_2245: 179 Policies, 20180630_0933: 206 Policies, 20180630_0943: 67 Policies, 20180630_0953: 41 Policies, 20180630_1324: 340 Policies,)"/>
    <n v="1"/>
    <x v="18"/>
  </r>
  <r>
    <x v="1"/>
    <x v="5"/>
    <d v="2018-07-02T00:00:00"/>
    <s v="Mon"/>
    <d v="1899-12-30T08:00:00"/>
    <d v="1899-12-30T21:00:00"/>
    <n v="0"/>
    <n v="12.000000000000007"/>
    <n v="12.000000000000007"/>
    <s v="Normal Working Days before 10pm"/>
    <s v="Total: 1769 Policies ( 20180629_2225: 577 Policies, 20180629_2235: 359 Policies, 20180629_2245: 179 Policies, 20180630_0933: 206 Policies, 20180630_0943: 67 Policies, 20180630_0953: 41 Policies, 20180630_1324: 340 Policies,)"/>
    <s v=""/>
    <x v="18"/>
  </r>
  <r>
    <x v="0"/>
    <x v="0"/>
    <d v="2018-07-03T00:00:00"/>
    <s v="Tue"/>
    <d v="1899-12-30T17:30:00"/>
    <d v="1899-12-30T21:00:00"/>
    <n v="8.0000000000000036"/>
    <n v="3.4999999999999893"/>
    <n v="3.4999999999999893"/>
    <s v="Normal Working Days before 10pm"/>
    <s v="Total: 1685 Policies ( 20180630_1335: 111 Policies, 20180630_1345: 55 Policies, 20180630_1831: 198 Policies, 20180630_1841: 114 Policies, 20180630_2234: 1207 Policies, :  Policies, :  Policies,)"/>
    <n v="1"/>
    <x v="18"/>
  </r>
  <r>
    <x v="0"/>
    <x v="2"/>
    <d v="2018-07-03T00:00:00"/>
    <s v="Tue"/>
    <d v="1899-12-30T17:00:00"/>
    <d v="1899-12-30T21:00:00"/>
    <n v="8.0000000000000036"/>
    <n v="4.0000000000000036"/>
    <n v="4.0000000000000036"/>
    <s v="Normal Working Days before 10pm"/>
    <s v="Total: 1685 Policies ( 20180630_1335: 111 Policies, 20180630_1345: 55 Policies, 20180630_1831: 198 Policies, 20180630_1841: 114 Policies, 20180630_2234: 1207 Policies, :  Policies, :  Policies,)"/>
    <n v="1"/>
    <x v="18"/>
  </r>
  <r>
    <x v="0"/>
    <x v="6"/>
    <d v="2018-07-03T00:00:00"/>
    <s v="Tue"/>
    <d v="1899-12-30T17:00:00"/>
    <d v="1899-12-30T21:00:00"/>
    <n v="8.0000000000000036"/>
    <n v="4.0000000000000036"/>
    <n v="4.0000000000000036"/>
    <s v="Normal Working Days before 10pm"/>
    <s v="Total: 1685 Policies ( 20180630_1335: 111 Policies, 20180630_1345: 55 Policies, 20180630_1831: 198 Policies, 20180630_1841: 114 Policies, 20180630_2234: 1207 Policies, :  Policies, :  Policies,)"/>
    <n v="1"/>
    <x v="18"/>
  </r>
  <r>
    <x v="0"/>
    <x v="16"/>
    <d v="2018-07-03T00:00:00"/>
    <s v="Tue"/>
    <d v="1899-12-30T15:30:00"/>
    <d v="1899-12-30T19:30:00"/>
    <n v="8.0000000000000036"/>
    <n v="4.0000000000000036"/>
    <n v="4.0000000000000036"/>
    <s v="Normal Working Days before 10pm"/>
    <s v="Total: 1685 Policies ( 20180630_1335: 111 Policies, 20180630_1345: 55 Policies, 20180630_1831: 198 Policies, 20180630_1841: 114 Policies, 20180630_2234: 1207 Policies, :  Policies, :  Policies,)"/>
    <n v="1"/>
    <x v="18"/>
  </r>
  <r>
    <x v="0"/>
    <x v="43"/>
    <d v="2018-07-03T00:00:00"/>
    <s v="Tue"/>
    <d v="1899-12-30T17:00:00"/>
    <d v="1899-12-30T21:00:00"/>
    <n v="8.0000000000000036"/>
    <n v="4.0000000000000036"/>
    <n v="4.0000000000000036"/>
    <s v="Normal Working Days before 10pm"/>
    <s v="Total: 1685 Policies ( 20180630_1335: 111 Policies, 20180630_1345: 55 Policies, 20180630_1831: 198 Policies, 20180630_1841: 114 Policies, 20180630_2234: 1207 Policies, :  Policies, :  Policies,)"/>
    <n v="1"/>
    <x v="18"/>
  </r>
  <r>
    <x v="0"/>
    <x v="44"/>
    <d v="2018-07-03T00:00:00"/>
    <s v="Tue"/>
    <d v="1899-12-30T17:00:00"/>
    <d v="1899-12-30T21:00:00"/>
    <n v="8.0000000000000036"/>
    <n v="4.0000000000000036"/>
    <n v="4.0000000000000036"/>
    <s v="Normal Working Days before 10pm"/>
    <s v="Total: 1685 Policies ( 20180630_1335: 111 Policies, 20180630_1345: 55 Policies, 20180630_1831: 198 Policies, 20180630_1841: 114 Policies, 20180630_2234: 1207 Policies, :  Policies, :  Policies,)"/>
    <n v="1"/>
    <x v="18"/>
  </r>
  <r>
    <x v="0"/>
    <x v="46"/>
    <d v="2018-07-03T00:00:00"/>
    <s v="Tue"/>
    <d v="1899-12-30T17:00:00"/>
    <d v="1899-12-30T21:00:00"/>
    <n v="8.0000000000000036"/>
    <n v="4.0000000000000036"/>
    <n v="4.0000000000000036"/>
    <s v="Normal Working Days before 10pm"/>
    <s v="Total: 1685 Policies ( 20180630_1335: 111 Policies, 20180630_1345: 55 Policies, 20180630_1831: 198 Policies, 20180630_1841: 114 Policies, 20180630_2234: 1207 Policies, :  Policies, :  Policies,)"/>
    <n v="1"/>
    <x v="18"/>
  </r>
  <r>
    <x v="1"/>
    <x v="5"/>
    <d v="2018-07-03T00:00:00"/>
    <s v="Tue"/>
    <d v="1899-12-30T08:00:00"/>
    <d v="1899-12-30T21:00:00"/>
    <n v="0"/>
    <n v="12.000000000000007"/>
    <n v="12.000000000000007"/>
    <s v="Normal Working Days before 10pm"/>
    <s v="Total: 1685 Policies ( 20180630_1335: 111 Policies, 20180630_1345: 55 Policies, 20180630_1831: 198 Policies, 20180630_1841: 114 Policies, 20180630_2234: 1207 Policies, :  Policies, :  Policies,)"/>
    <s v=""/>
    <x v="18"/>
  </r>
  <r>
    <x v="0"/>
    <x v="0"/>
    <d v="2018-07-04T00:00:00"/>
    <s v="Wed"/>
    <d v="1899-12-30T17:00:00"/>
    <d v="1899-12-30T21:00:00"/>
    <n v="8.0000000000000036"/>
    <n v="4.0000000000000036"/>
    <n v="4.0000000000000036"/>
    <s v="Normal Working Days before 10pm"/>
    <s v="Total: 1926 Policies ( 20180630_2244: 249 Policies, 20180630_2254: 119 Policies, 20180630_1119: 614 Policies, 20180630_1129: 242 Policies, 20180630_1139: 114 Policies, 20180630_1616: 588 Policies, :  Policies,)"/>
    <n v="1"/>
    <x v="18"/>
  </r>
  <r>
    <x v="0"/>
    <x v="2"/>
    <d v="2018-07-04T00:00:00"/>
    <s v="Wed"/>
    <d v="1899-12-30T15:30:00"/>
    <d v="1899-12-30T19:30:00"/>
    <n v="8.0000000000000036"/>
    <n v="4.0000000000000036"/>
    <n v="4.0000000000000036"/>
    <s v="Normal Working Days before 10pm"/>
    <s v="Total: 1926 Policies ( 20180630_2244: 249 Policies, 20180630_2254: 119 Policies, 20180630_1119: 614 Policies, 20180630_1129: 242 Policies, 20180630_1139: 114 Policies, 20180630_1616: 588 Policies, :  Policies,)"/>
    <n v="1"/>
    <x v="18"/>
  </r>
  <r>
    <x v="0"/>
    <x v="6"/>
    <d v="2018-07-04T00:00:00"/>
    <s v="Wed"/>
    <d v="1899-12-30T17:00:00"/>
    <d v="1899-12-30T21:00:00"/>
    <n v="8.0000000000000036"/>
    <n v="4.0000000000000036"/>
    <n v="4.0000000000000036"/>
    <s v="Normal Working Days before 10pm"/>
    <s v="Total: 1926 Policies ( 20180630_2244: 249 Policies, 20180630_2254: 119 Policies, 20180630_1119: 614 Policies, 20180630_1129: 242 Policies, 20180630_1139: 114 Policies, 20180630_1616: 588 Policies, :  Policies,)"/>
    <n v="1"/>
    <x v="18"/>
  </r>
  <r>
    <x v="0"/>
    <x v="43"/>
    <d v="2018-07-04T00:00:00"/>
    <s v="Wed"/>
    <d v="1899-12-30T17:00:00"/>
    <d v="1899-12-30T21:00:00"/>
    <n v="8.0000000000000036"/>
    <n v="4.0000000000000036"/>
    <n v="4.0000000000000036"/>
    <s v="Normal Working Days before 10pm"/>
    <s v="Total: 1926 Policies ( 20180630_2244: 249 Policies, 20180630_2254: 119 Policies, 20180630_1119: 614 Policies, 20180630_1129: 242 Policies, 20180630_1139: 114 Policies, 20180630_1616: 588 Policies, :  Policies,)"/>
    <n v="1"/>
    <x v="18"/>
  </r>
  <r>
    <x v="0"/>
    <x v="44"/>
    <d v="2018-07-04T00:00:00"/>
    <s v="Wed"/>
    <d v="1899-12-30T17:00:00"/>
    <d v="1899-12-30T21:00:00"/>
    <n v="8.0000000000000036"/>
    <n v="4.0000000000000036"/>
    <n v="4.0000000000000036"/>
    <s v="Normal Working Days before 10pm"/>
    <s v="Total: 1926 Policies ( 20180630_2244: 249 Policies, 20180630_2254: 119 Policies, 20180630_1119: 614 Policies, 20180630_1129: 242 Policies, 20180630_1139: 114 Policies, 20180630_1616: 588 Policies, :  Policies,)"/>
    <n v="1"/>
    <x v="18"/>
  </r>
  <r>
    <x v="0"/>
    <x v="45"/>
    <d v="2018-07-04T00:00:00"/>
    <s v="Wed"/>
    <d v="1899-12-30T17:00:00"/>
    <d v="1899-12-30T21:00:00"/>
    <n v="8.0000000000000036"/>
    <n v="4.0000000000000036"/>
    <n v="4.0000000000000036"/>
    <s v="Normal Working Days before 10pm"/>
    <s v="Total: 1926 Policies ( 20180630_2244: 249 Policies, 20180630_2254: 119 Policies, 20180630_1119: 614 Policies, 20180630_1129: 242 Policies, 20180630_1139: 114 Policies, 20180630_1616: 588 Policies, :  Policies,)"/>
    <n v="1"/>
    <x v="18"/>
  </r>
  <r>
    <x v="1"/>
    <x v="5"/>
    <d v="2018-07-04T00:00:00"/>
    <s v="Wed"/>
    <d v="1899-12-30T08:00:00"/>
    <d v="1899-12-30T21:00:00"/>
    <n v="0"/>
    <n v="12.000000000000007"/>
    <n v="12.000000000000007"/>
    <s v="Normal Working Days before 10pm"/>
    <s v="Total: 1926 Policies ( 20180630_2244: 249 Policies, 20180630_2254: 119 Policies, 20180630_1119: 614 Policies, 20180630_1129: 242 Policies, 20180630_1139: 114 Policies, 20180630_1616: 588 Policies, :  Policies,)"/>
    <s v=""/>
    <x v="18"/>
  </r>
  <r>
    <x v="0"/>
    <x v="2"/>
    <d v="2018-07-05T00:00:00"/>
    <s v="Thu"/>
    <d v="1899-12-30T17:00:00"/>
    <d v="1899-12-30T18:45:00"/>
    <n v="8.0000000000000036"/>
    <n v="1.7500000000000053"/>
    <n v="1.7500000000000053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s v=""/>
    <x v="18"/>
  </r>
  <r>
    <x v="0"/>
    <x v="6"/>
    <d v="2018-07-05T00:00:00"/>
    <s v="Thu"/>
    <d v="1899-12-30T15:30:00"/>
    <d v="1899-12-30T19:30:00"/>
    <n v="8.0000000000000036"/>
    <n v="4.0000000000000036"/>
    <n v="4.0000000000000036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n v="1"/>
    <x v="18"/>
  </r>
  <r>
    <x v="0"/>
    <x v="15"/>
    <d v="2018-07-05T00:00:00"/>
    <s v="Thu"/>
    <d v="1899-12-30T17:00:00"/>
    <d v="1899-12-30T18:45:00"/>
    <n v="8.0000000000000036"/>
    <n v="1.7500000000000053"/>
    <n v="1.7500000000000053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s v=""/>
    <x v="18"/>
  </r>
  <r>
    <x v="0"/>
    <x v="16"/>
    <d v="2018-07-05T00:00:00"/>
    <s v="Thu"/>
    <d v="1899-12-30T17:00:00"/>
    <d v="1899-12-30T18:45:00"/>
    <n v="8.0000000000000036"/>
    <n v="1.7500000000000053"/>
    <n v="1.7500000000000053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s v=""/>
    <x v="18"/>
  </r>
  <r>
    <x v="0"/>
    <x v="44"/>
    <d v="2018-07-05T00:00:00"/>
    <s v="Thu"/>
    <d v="1899-12-30T17:00:00"/>
    <d v="1899-12-30T18:45:00"/>
    <n v="8.0000000000000036"/>
    <n v="1.7500000000000053"/>
    <n v="1.7500000000000053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s v=""/>
    <x v="18"/>
  </r>
  <r>
    <x v="0"/>
    <x v="45"/>
    <d v="2018-07-05T00:00:00"/>
    <s v="Thu"/>
    <d v="1899-12-30T17:00:00"/>
    <d v="1899-12-30T18:45:00"/>
    <n v="8.0000000000000036"/>
    <n v="1.7500000000000053"/>
    <n v="1.7500000000000053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s v=""/>
    <x v="18"/>
  </r>
  <r>
    <x v="0"/>
    <x v="46"/>
    <d v="2018-07-05T00:00:00"/>
    <s v="Thu"/>
    <d v="1899-12-30T17:00:00"/>
    <d v="1899-12-30T18:45:00"/>
    <n v="8.0000000000000036"/>
    <n v="1.7500000000000053"/>
    <n v="1.7500000000000053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s v=""/>
    <x v="18"/>
  </r>
  <r>
    <x v="1"/>
    <x v="5"/>
    <d v="2018-07-05T00:00:00"/>
    <s v="Thu"/>
    <d v="1899-12-30T08:00:00"/>
    <d v="1899-12-30T18:45:00"/>
    <n v="0"/>
    <n v="9.7500000000000089"/>
    <n v="9.7500000000000089"/>
    <s v="Normal Working Days before 10pm"/>
    <s v="Total: 1675 Policies ( 20180630_1626: 237 Policies, 20180630_1636: 126 Policies, 20180630_2118: 522 Policies, 20180630_2128: 216 Policies, 20180630_2138: 125 Policies, 20180702_1107: 70 Policies, 20180702_1117: 12 Policies, 20180702_1127: 16 Policies, 20180702_1427: 5 Policies, 20180702_1437: 1 Policies, 20180702_0222: 51 Policies, 20180702_0232: 30 Policies, 20180702_0242: 27 Policies, 20180703_1129: 43 Policies, 20180703_1139: 93 Policies, 20180703_1149: 32 Policies, 20180703_1517: 69 Policies,)"/>
    <s v=""/>
    <x v="18"/>
  </r>
  <r>
    <x v="0"/>
    <x v="0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0"/>
    <x v="2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0"/>
    <x v="15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0"/>
    <x v="16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0"/>
    <x v="43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0"/>
    <x v="44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0"/>
    <x v="45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0"/>
    <x v="46"/>
    <d v="2018-07-06T00:00:00"/>
    <s v="Fri"/>
    <d v="1899-12-30T17:00:00"/>
    <d v="1899-12-30T21:00:00"/>
    <n v="8.0000000000000036"/>
    <n v="4.0000000000000036"/>
    <n v="4.0000000000000036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n v="1"/>
    <x v="18"/>
  </r>
  <r>
    <x v="1"/>
    <x v="5"/>
    <d v="2018-07-06T00:00:00"/>
    <s v="Fri"/>
    <d v="1899-12-30T08:00:00"/>
    <d v="1899-12-30T21:00:00"/>
    <n v="0"/>
    <n v="12.000000000000007"/>
    <n v="12.000000000000007"/>
    <s v="Normal Working Days before 10pm"/>
    <s v="Total: 1117 Policies ( 20180703_1527: 209 Policies, 20180703_1537: 54 Policies, 20180703_2120: 65 Policies, 20180703_2130: 65 Policies, 20180703_2140: 18 Policies, 20180704_1122: 18 Policies, 20180704_1132: 8 Policies,)"/>
    <s v=""/>
    <x v="18"/>
  </r>
  <r>
    <x v="1"/>
    <x v="5"/>
    <d v="2018-07-09T00:00:00"/>
    <s v="Mon"/>
    <d v="1899-12-30T08:30:00"/>
    <d v="1899-12-30T17:30:00"/>
    <n v="0"/>
    <n v="7.9999999999999982"/>
    <n v="7.9999999999999982"/>
    <s v="Normal Working Days before 10pm"/>
    <s v="Total: 1180 Policies ( 20180705_1113: 131 Policies, 20180705_1123: 19 Policies, 20180705_1133: 13 Policies, 20180705_1428: 125 Policies, 20180705_1438: 56 Policies, 20180705_1448: 24 Policies, 20180705_2120: 160 Policies,)"/>
    <s v=""/>
    <x v="18"/>
  </r>
  <r>
    <x v="1"/>
    <x v="5"/>
    <d v="2018-07-10T00:00:00"/>
    <s v="Tue"/>
    <d v="1899-12-30T08:30:00"/>
    <d v="1899-12-30T17:30:00"/>
    <n v="0"/>
    <n v="7.9999999999999982"/>
    <n v="7.9999999999999982"/>
    <s v="Normal Working Days before 10pm"/>
    <s v="Total: 424 Policies ( 20180709_1423: 73 Policies, 20180709_1433: 19 Policies, 20180709_1443: 23 Policies, 20180709_2310: 164 Policies, 20180709_2320: 77 Policies, 20180709_2330: 35 Policies, 20180710_1130: 27 Policies,)"/>
    <s v=""/>
    <x v="18"/>
  </r>
  <r>
    <x v="1"/>
    <x v="5"/>
    <d v="2018-07-11T00:00:00"/>
    <s v="Wed"/>
    <d v="1899-12-30T08:30:00"/>
    <d v="1899-12-30T17:30:00"/>
    <n v="0"/>
    <n v="7.9999999999999982"/>
    <n v="7.9999999999999982"/>
    <s v="Normal Working Days before 10pm"/>
    <s v="Total: 433 Policies ( 20180710_1446: 37 Policies, 20180710_1456: 32 Policies, 20180710_1506: 22 Policies, 20180710_2212: 137 Policies, 20180710_2222: 107 Policies, 20180710_2232: 63 Policies, 20180711_1111: 18 Policies,)"/>
    <s v=""/>
    <x v="18"/>
  </r>
  <r>
    <x v="1"/>
    <x v="5"/>
    <d v="2018-07-12T00:00:00"/>
    <s v="Thu"/>
    <d v="1899-12-30T08:30:00"/>
    <d v="1899-12-30T17:30:00"/>
    <n v="0"/>
    <n v="7.9999999999999982"/>
    <n v="7.9999999999999982"/>
    <s v="Normal Working Days before 10pm"/>
    <s v="Total: 526 Policies ( 20180711_1427: 27 Policies, 20180711_1437: 48 Policies, 20180711_1447: 17 Policies, 20180711_2302: 110 Policies, 20180711_2312: 115 Policies, 20180711_2322: 78 Policies, 20180712_1121: 79 Policies,)"/>
    <s v=""/>
    <x v="18"/>
  </r>
  <r>
    <x v="1"/>
    <x v="5"/>
    <d v="2018-07-13T00:00:00"/>
    <s v="Fri"/>
    <d v="1899-12-30T08:30:00"/>
    <d v="1899-12-30T17:30:00"/>
    <n v="0"/>
    <n v="7.9999999999999982"/>
    <n v="7.9999999999999982"/>
    <s v="Normal Working Days before 10pm"/>
    <s v="Relocate THIEN SON Total: 312 Policies ( 20180712_1438: 14 Policies, 20180712_1448: 15 Policies, 20180712_1458: 8 Policies, 20180712_2144: 105 Policies, 20180712_2154: 111 Policies, 20180712_2204: 59 Policies, :  Policies,)"/>
    <s v=""/>
    <x v="18"/>
  </r>
  <r>
    <x v="0"/>
    <x v="0"/>
    <d v="2018-07-14T00:00:00"/>
    <s v="Sat"/>
    <d v="1899-12-30T12:00:00"/>
    <d v="1899-12-30T21:00:00"/>
    <n v="8.0000000000000036"/>
    <n v="0"/>
    <n v="8.0000000000000036"/>
    <s v="Normal Working Days before 10pm"/>
    <s v="Relocate THIEN SON Total: 0 Policies ( :  Policies, :  Policies, :  Policies, :  Policies, :  Policies, :  Policies, :  Policies,)"/>
    <s v=""/>
    <x v="18"/>
  </r>
  <r>
    <x v="0"/>
    <x v="2"/>
    <d v="2018-07-14T00:00:00"/>
    <s v="Sat"/>
    <d v="1899-12-30T12:00:00"/>
    <d v="1899-12-30T21:00:00"/>
    <n v="8.0000000000000036"/>
    <n v="0"/>
    <n v="8.0000000000000036"/>
    <s v="Normal Working Days before 10pm"/>
    <s v="Relocate THIEN SON Total: 0 Policies ( :  Policies, :  Policies, :  Policies, :  Policies, :  Policies, :  Policies, :  Policies,)"/>
    <s v=""/>
    <x v="18"/>
  </r>
  <r>
    <x v="0"/>
    <x v="6"/>
    <d v="2018-07-14T00:00:00"/>
    <s v="Sat"/>
    <d v="1899-12-30T12:00:00"/>
    <d v="1899-12-30T21:00:00"/>
    <n v="8.0000000000000036"/>
    <n v="0"/>
    <n v="8.0000000000000036"/>
    <s v="Normal Working Days before 10pm"/>
    <s v="Relocate THIEN SON Total: 0 Policies ( :  Policies, :  Policies, :  Policies, :  Policies, :  Policies, :  Policies, :  Policies,)"/>
    <s v=""/>
    <x v="18"/>
  </r>
  <r>
    <x v="0"/>
    <x v="15"/>
    <d v="2018-07-14T00:00:00"/>
    <s v="Sat"/>
    <d v="1899-12-30T12:00:00"/>
    <d v="1899-12-30T21:00:00"/>
    <n v="8.0000000000000036"/>
    <n v="0"/>
    <n v="8.0000000000000036"/>
    <s v="Normal Working Days before 10pm"/>
    <s v="Relocate THIEN SON Total: 0 Policies ( :  Policies, :  Policies, :  Policies, :  Policies, :  Policies, :  Policies, :  Policies,)"/>
    <s v=""/>
    <x v="18"/>
  </r>
  <r>
    <x v="0"/>
    <x v="16"/>
    <d v="2018-07-14T00:00:00"/>
    <s v="Sat"/>
    <d v="1899-12-30T12:00:00"/>
    <d v="1899-12-30T21:00:00"/>
    <n v="8.0000000000000036"/>
    <n v="0"/>
    <n v="8.0000000000000036"/>
    <s v="Normal Working Days before 10pm"/>
    <s v="Relocate THIEN SON Total: 0 Policies ( :  Policies, :  Policies, :  Policies, :  Policies, :  Policies, :  Policies, :  Policies,)"/>
    <s v=""/>
    <x v="18"/>
  </r>
  <r>
    <x v="0"/>
    <x v="0"/>
    <d v="2018-07-15T00:00:00"/>
    <s v="Sun"/>
    <d v="1899-12-30T08:30:00"/>
    <d v="1899-12-30T17:30:00"/>
    <s v=""/>
    <n v="7.9999999999999982"/>
    <n v="7.9999999999999982"/>
    <s v="Saturday/Sunday (Weekends) before 10pm"/>
    <s v="Relocate THIEN SON Total: 209 Policies ( 20180713_1137: 53 Policies, 20180713_1147: 41 Policies, 20180713_1157: 29 Policies, 20180713_1444: 43 Policies, 20180713_1454: 19 Policies, 20180713_1504: 24 Policies, :  Policies,)"/>
    <s v=""/>
    <x v="18"/>
  </r>
  <r>
    <x v="0"/>
    <x v="2"/>
    <d v="2018-07-15T00:00:00"/>
    <s v="Sun"/>
    <d v="1899-12-30T08:30:00"/>
    <d v="1899-12-30T17:30:00"/>
    <s v=""/>
    <n v="7.9999999999999982"/>
    <n v="7.9999999999999982"/>
    <s v="Saturday/Sunday (Weekends) before 10pm"/>
    <s v="Relocate THIEN SON Total: 209 Policies ( 20180713_1137: 53 Policies, 20180713_1147: 41 Policies, 20180713_1157: 29 Policies, 20180713_1444: 43 Policies, 20180713_1454: 19 Policies, 20180713_1504: 24 Policies, :  Policies,)"/>
    <s v=""/>
    <x v="18"/>
  </r>
  <r>
    <x v="0"/>
    <x v="6"/>
    <d v="2018-07-15T00:00:00"/>
    <s v="Sun"/>
    <d v="1899-12-30T08:30:00"/>
    <d v="1899-12-30T17:30:00"/>
    <s v=""/>
    <n v="7.9999999999999982"/>
    <n v="7.9999999999999982"/>
    <s v="Saturday/Sunday (Weekends) before 10pm"/>
    <s v="Relocate THIEN SON Total: 209 Policies ( 20180713_1137: 53 Policies, 20180713_1147: 41 Policies, 20180713_1157: 29 Policies, 20180713_1444: 43 Policies, 20180713_1454: 19 Policies, 20180713_1504: 24 Policies, :  Policies,)"/>
    <s v=""/>
    <x v="18"/>
  </r>
  <r>
    <x v="0"/>
    <x v="15"/>
    <d v="2018-07-15T00:00:00"/>
    <s v="Sun"/>
    <d v="1899-12-30T08:30:00"/>
    <d v="1899-12-30T17:30:00"/>
    <s v=""/>
    <n v="7.9999999999999982"/>
    <n v="7.9999999999999982"/>
    <s v="Saturday/Sunday (Weekends) before 10pm"/>
    <s v="Relocate THIEN SON Total: 209 Policies ( 20180713_1137: 53 Policies, 20180713_1147: 41 Policies, 20180713_1157: 29 Policies, 20180713_1444: 43 Policies, 20180713_1454: 19 Policies, 20180713_1504: 24 Policies, :  Policies,)"/>
    <s v=""/>
    <x v="18"/>
  </r>
  <r>
    <x v="0"/>
    <x v="16"/>
    <d v="2018-07-15T00:00:00"/>
    <s v="Sun"/>
    <d v="1899-12-30T08:30:00"/>
    <d v="1899-12-30T17:30:00"/>
    <s v=""/>
    <n v="7.9999999999999982"/>
    <n v="7.9999999999999982"/>
    <s v="Saturday/Sunday (Weekends) before 10pm"/>
    <s v="Relocate THIEN SON Total: 209 Policies ( 20180713_1137: 53 Policies, 20180713_1147: 41 Policies, 20180713_1157: 29 Policies, 20180713_1444: 43 Policies, 20180713_1454: 19 Policies, 20180713_1504: 24 Policies, :  Policies,)"/>
    <s v=""/>
    <x v="18"/>
  </r>
  <r>
    <x v="0"/>
    <x v="43"/>
    <d v="2018-07-15T00:00:00"/>
    <s v="Sun"/>
    <d v="1899-12-30T08:30:00"/>
    <d v="1899-12-30T17:30:00"/>
    <s v=""/>
    <n v="7.9999999999999982"/>
    <n v="7.9999999999999982"/>
    <s v="Saturday/Sunday (Weekends) before 10pm"/>
    <s v="Relocate THIEN SON Total: 209 Policies ( 20180713_1137: 53 Policies, 20180713_1147: 41 Policies, 20180713_1157: 29 Policies, 20180713_1444: 43 Policies, 20180713_1454: 19 Policies, 20180713_1504: 24 Policies, :  Policies,)"/>
    <s v=""/>
    <x v="18"/>
  </r>
  <r>
    <x v="0"/>
    <x v="44"/>
    <d v="2018-07-15T00:00:00"/>
    <s v="Sun"/>
    <d v="1899-12-30T08:30:00"/>
    <d v="1899-12-30T17:30:00"/>
    <s v=""/>
    <n v="7.9999999999999982"/>
    <n v="7.9999999999999982"/>
    <s v="Saturday/Sunday (Weekends) before 10pm"/>
    <s v="Relocate THIEN SON Total: 209 Policies ( 20180713_1137: 53 Policies, 20180713_1147: 41 Policies, 20180713_1157: 29 Policies, 20180713_1444: 43 Policies, 20180713_1454: 19 Policies, 20180713_1504: 24 Policies, :  Policies,)"/>
    <s v=""/>
    <x v="18"/>
  </r>
  <r>
    <x v="1"/>
    <x v="12"/>
    <d v="2018-07-17T00:00:00"/>
    <s v="Tue"/>
    <d v="1899-12-30T11:00:00"/>
    <d v="1899-12-30T17:30:00"/>
    <n v="0"/>
    <n v="5.5"/>
    <n v="5.5"/>
    <s v="Normal Working Days before 10pm"/>
    <s v="Total: 909 Policies ( 20180716_1441: 80 Policies, 20180716_1451: 16 Policies, 20180716_1501: 29 Policies, 20180716_2252: 452 Policies, 20180716_2302: 215 Policies, 20180716_2312: 117 Policies, :  Policies,)"/>
    <s v=""/>
    <x v="18"/>
  </r>
  <r>
    <x v="1"/>
    <x v="5"/>
    <d v="2018-07-16T00:00:00"/>
    <s v="Mon"/>
    <d v="1899-12-30T08:30:00"/>
    <d v="1899-12-30T17:30:00"/>
    <n v="0"/>
    <n v="7.9999999999999911"/>
    <n v="7.9999999999999911"/>
    <s v="Normal Working Days before 10pm"/>
    <s v="Total: 498 Policies ( 20180713_2154: 233 Policies, 20180713_2204: 115 Policies, 20180713_2214: 99 Policies, 20180716_2154: 28 Policies, 20180716_2204: 6 Policies, 20180716_2214: 17 Policies, :  Policies,)"/>
    <s v=""/>
    <x v="18"/>
  </r>
  <r>
    <x v="1"/>
    <x v="5"/>
    <d v="2018-07-17T00:00:00"/>
    <s v="Tue"/>
    <d v="1899-12-30T08:30:00"/>
    <d v="1899-12-30T17:30:00"/>
    <n v="0"/>
    <n v="7.9999999999999911"/>
    <n v="7.9999999999999911"/>
    <s v="Normal Working Days before 10pm"/>
    <s v="Total: 909 Policies ( 20180716_1441: 80 Policies, 20180716_1451: 16 Policies, 20180716_1501: 29 Policies, 20180716_2252: 452 Policies, 20180716_2302: 215 Policies, 20180716_2312: 117 Policies, :  Policies,)"/>
    <s v=""/>
    <x v="18"/>
  </r>
  <r>
    <x v="1"/>
    <x v="5"/>
    <d v="2018-07-18T00:00:00"/>
    <s v="Wed"/>
    <d v="1899-12-30T08:30:00"/>
    <d v="1899-12-30T17:30:00"/>
    <n v="0"/>
    <n v="7.9999999999999911"/>
    <n v="7.9999999999999911"/>
    <s v="Normal Working Days before 10pm"/>
    <s v="Total: 824 Policies ( 20180717_1129: 105 Policies, 20180717_1139: 47 Policies, 20180717_1149: 28 Policies, 20180717_1648: 222 Policies, 20180717_1658: 60 Policies, 20180717_1708: 43 Policies, 20180717_2312: 134 Policies,)"/>
    <s v=""/>
    <x v="18"/>
  </r>
  <r>
    <x v="1"/>
    <x v="5"/>
    <d v="2018-07-19T00:00:00"/>
    <s v="Thu"/>
    <d v="1899-12-30T08:30:00"/>
    <d v="1899-12-30T17:30:00"/>
    <n v="0"/>
    <n v="7.9999999999999911"/>
    <n v="7.9999999999999911"/>
    <s v="Normal Working Days before 10pm"/>
    <s v="Total: 692 Policies ( 20180718_1107: 15 Policies, 20180718_1117: 49 Policies, 20180718_1127: 14 Policies, 20180718_1429: 110 Policies, 20180718_1439: 55 Policies, 20180718_1449: 44 Policies, 20180718_2309: 175 Policies,)"/>
    <s v=""/>
    <x v="18"/>
  </r>
  <r>
    <x v="1"/>
    <x v="5"/>
    <d v="2018-07-20T00:00:00"/>
    <s v="Fri"/>
    <d v="1899-12-30T08:30:00"/>
    <d v="1899-12-30T17:30:00"/>
    <n v="0"/>
    <n v="7.9999999999999911"/>
    <n v="7.9999999999999911"/>
    <s v="Normal Working Days before 10pm"/>
    <s v="Total: 580 Policies ( 20180719_1442: 79 Policies, 20180719_1452: 43 Policies, 20180719_1502: 34 Policies, 20180719_1107: 135 Policies, 20180719_1117: 161 Policies, 20180719_1127: 128 Policies, :  Policies,)"/>
    <s v=""/>
    <x v="18"/>
  </r>
  <r>
    <x v="1"/>
    <x v="5"/>
    <d v="2018-07-23T00:00:00"/>
    <s v="Mon"/>
    <d v="1899-12-30T08:30:00"/>
    <d v="1899-12-30T17:30:00"/>
    <n v="0"/>
    <n v="7.9999999999999911"/>
    <n v="7.9999999999999911"/>
    <s v="Normal Working Days before 10pm"/>
    <s v="Total: 696 Policies ( 20180720_1426: 139 Policies, 20180720_1446: 44 Policies, 20180720_2308: 124 Policies, 20180720_2318: 154 Policies, 20180720_2328: 76 Policies, 20180723_1132: 90 Policies, 20180723_1142: 44 Policies,)"/>
    <s v=""/>
    <x v="18"/>
  </r>
  <r>
    <x v="1"/>
    <x v="5"/>
    <d v="2018-07-24T00:00:00"/>
    <s v="Tue"/>
    <d v="1899-12-30T08:30:00"/>
    <d v="1899-12-30T17:30:00"/>
    <n v="0"/>
    <n v="7.9999999999999911"/>
    <n v="7.9999999999999911"/>
    <s v="Normal Working Days before 10pm"/>
    <s v="Total: 815 Policies ( 20180723_1447: 77 Policies, 20180723_1457: 22 Policies, 20180723_1507: 18 Policies, 20180723_2304: 440 Policies, 20180723_2314: 147 Policies, 20180723_2324: 111 Policies, :  Policies,)"/>
    <s v=""/>
    <x v="18"/>
  </r>
  <r>
    <x v="1"/>
    <x v="47"/>
    <d v="2018-07-24T00:00:00"/>
    <s v="Tue"/>
    <d v="1899-12-30T08:30:00"/>
    <d v="1899-12-30T17:30:00"/>
    <n v="0"/>
    <n v="7.9999999999999911"/>
    <n v="7.9999999999999911"/>
    <s v="Normal Working Days before 10pm"/>
    <s v="Total: 815 Policies ( 20180723_1447: 77 Policies, 20180723_1457: 22 Policies, 20180723_1507: 18 Policies, 20180723_2304: 440 Policies, 20180723_2314: 147 Policies, 20180723_2324: 111 Policies, :  Policies,)"/>
    <s v=""/>
    <x v="18"/>
  </r>
  <r>
    <x v="1"/>
    <x v="5"/>
    <d v="2018-07-25T00:00:00"/>
    <s v="Wed"/>
    <d v="1899-12-30T08:30:00"/>
    <d v="1899-12-30T17:30:00"/>
    <n v="0"/>
    <n v="7.9999999999999911"/>
    <n v="7.9999999999999911"/>
    <s v="Normal Working Days before 10pm"/>
    <s v="Total: 1176 Policies ( 20180724_1116: 154 Policies, 20180724_1126: 17 Policies, 20180724_1136: 18 Policies, 20180724_1446: 72 Policies, 20180724_1456: 17 Policies, 20180724_1506: 11 Policies, 20180724_2212: 362 Policies,)"/>
    <s v=""/>
    <x v="18"/>
  </r>
  <r>
    <x v="1"/>
    <x v="5"/>
    <d v="2018-07-26T00:00:00"/>
    <s v="Thu"/>
    <d v="1899-12-30T08:30:00"/>
    <d v="1899-12-30T17:30:00"/>
    <n v="0"/>
    <n v="7.9999999999999911"/>
    <n v="7.9999999999999911"/>
    <s v="Normal Working Days before 10pm"/>
    <s v="Total: 510 Policies ( 20180725_1501: 137 Policies, 20180725_1511: 42 Policies, 20180725_1521: 28 Policies, 20180725_2138: 187 Policies, 20180725_2148: 116 Policies, :  Policies, :  Policies,)"/>
    <s v=""/>
    <x v="18"/>
  </r>
  <r>
    <x v="1"/>
    <x v="47"/>
    <d v="2018-07-26T00:00:00"/>
    <s v="Thu"/>
    <d v="1899-12-30T08:30:00"/>
    <d v="1899-12-30T17:30:00"/>
    <n v="0"/>
    <n v="7.9999999999999911"/>
    <n v="7.9999999999999911"/>
    <s v="Normal Working Days before 10pm"/>
    <s v="Total: 510 Policies ( 20180725_1501: 137 Policies, 20180725_1511: 42 Policies, 20180725_1521: 28 Policies, 20180725_2138: 187 Policies, 20180725_2148: 116 Policies, :  Policies, :  Policies,)"/>
    <s v=""/>
    <x v="18"/>
  </r>
  <r>
    <x v="1"/>
    <x v="5"/>
    <d v="2018-07-27T00:00:00"/>
    <s v="Fri"/>
    <d v="1899-12-30T08:30:00"/>
    <d v="1899-12-30T17:30:00"/>
    <n v="0"/>
    <n v="7.9999999999999911"/>
    <n v="7.9999999999999911"/>
    <s v="Normal Working Days before 10pm"/>
    <s v="Total: 1341 Policies ( 20180726_0935: 352 Policies, 20180726_0945: 34 Policies, 20180726_0955: 35 Policies, 20180726_1525: 47 Policies, 20180726_2215: 333 Policies, 20180726_2225: 298 Policies, 20180726_2235: 106 Policies,)"/>
    <s v=""/>
    <x v="18"/>
  </r>
  <r>
    <x v="1"/>
    <x v="47"/>
    <d v="2018-07-27T00:00:00"/>
    <s v="Fri"/>
    <d v="1899-12-30T08:30:00"/>
    <d v="1899-12-30T17:30:00"/>
    <n v="0"/>
    <n v="7.9999999999999911"/>
    <n v="7.9999999999999911"/>
    <s v="Normal Working Days before 10pm"/>
    <s v="Total: 1341 Policies ( 20180726_0935: 352 Policies, 20180726_0945: 34 Policies, 20180726_0955: 35 Policies, 20180726_1525: 47 Policies, 20180726_2215: 333 Policies, 20180726_2225: 298 Policies, 20180726_2235: 106 Policies,)"/>
    <s v=""/>
    <x v="18"/>
  </r>
  <r>
    <x v="1"/>
    <x v="5"/>
    <d v="2018-07-30T00:00:00"/>
    <s v="Mon"/>
    <d v="1899-12-30T08:30:00"/>
    <d v="1899-12-30T17:30:00"/>
    <n v="0"/>
    <n v="7.9999999999999911"/>
    <n v="7.9999999999999911"/>
    <s v="Normal Working Days before 10pm"/>
    <s v="Total: 1479 Policies ( 20180727_1455: 142 Policies, 20180727_1505: 64 Policies, 20180727_1515: 47 Policies, 20180727_2314: 523 Policies, 20180727_2324: 258 Policies, 20180727_2334: 158 Policies, 20180728_1136: 2 Policies,)"/>
    <s v=""/>
    <x v="18"/>
  </r>
  <r>
    <x v="1"/>
    <x v="47"/>
    <d v="2018-07-30T00:00:00"/>
    <s v="Mon"/>
    <d v="1899-12-30T08:30:00"/>
    <d v="1899-12-30T17:30:00"/>
    <n v="0"/>
    <n v="7.9999999999999911"/>
    <n v="7.9999999999999911"/>
    <s v="Normal Working Days before 10pm"/>
    <s v="Total: 1479 Policies ( 20180727_1455: 142 Policies, 20180727_1505: 64 Policies, 20180727_1515: 47 Policies, 20180727_2314: 523 Policies, 20180727_2324: 258 Policies, 20180727_2334: 158 Policies, 20180728_1136: 2 Policies,)"/>
    <s v=""/>
    <x v="18"/>
  </r>
  <r>
    <x v="1"/>
    <x v="5"/>
    <d v="2018-07-31T00:00:00"/>
    <s v="Tue"/>
    <d v="1899-12-30T08:30:00"/>
    <d v="1899-12-30T17:30:00"/>
    <n v="0"/>
    <n v="7.9999999999999911"/>
    <n v="7.9999999999999911"/>
    <s v="Normal Working Days before 10pm"/>
    <s v="Total: 1688 Policies ( 20180728_2209: 516 Policies, 20180728_2219: 151 Policies, 20180728_2229: 105 Policies, 20180729_2210: 587 Policies, 20180729_2220: 209 Policies, 20180729_2230: 120 Policies, :  Policies,)"/>
    <s v=""/>
    <x v="18"/>
  </r>
  <r>
    <x v="1"/>
    <x v="47"/>
    <d v="2018-07-31T00:00:00"/>
    <s v="Tue"/>
    <d v="1899-12-30T08:30:00"/>
    <d v="1899-12-30T17:30:00"/>
    <n v="0"/>
    <n v="7.9999999999999911"/>
    <n v="7.9999999999999911"/>
    <s v="Normal Working Days before 10pm"/>
    <s v="Total: 1688 Policies ( 20180728_2209: 516 Policies, 20180728_2219: 151 Policies, 20180728_2229: 105 Policies, 20180729_2210: 587 Policies, 20180729_2220: 209 Policies, 20180729_2230: 120 Policies, :  Policies,)"/>
    <s v=""/>
    <x v="18"/>
  </r>
  <r>
    <x v="1"/>
    <x v="5"/>
    <d v="2018-08-01T00:00:00"/>
    <s v="Wed"/>
    <d v="1899-12-30T08:30:00"/>
    <d v="1899-12-30T17:30:00"/>
    <n v="0"/>
    <n v="7.9999999999999982"/>
    <n v="7.9999999999999982"/>
    <s v="Normal Working Days before 10pm"/>
    <s v="Total: 1206 Policies ( 20180730_1132: 116 Policies, 20180730_1142: 22 Policies, 20180730_1152: 24 Policies, 20180730_1456: 196 Policies, 20180730_1506: 128 Policies, 20180730_1516: 49 Policies, 20180730_2340: 671 Policies,)"/>
    <s v=""/>
    <x v="19"/>
  </r>
  <r>
    <x v="1"/>
    <x v="47"/>
    <d v="2018-08-01T00:00:00"/>
    <s v="Wed"/>
    <d v="1899-12-30T08:30:00"/>
    <d v="1899-12-30T17:30:00"/>
    <n v="0"/>
    <n v="7.9999999999999982"/>
    <n v="7.9999999999999982"/>
    <s v="Normal Working Days before 10pm"/>
    <s v="Total: 1206 Policies ( 20180730_1132: 116 Policies, 20180730_1142: 22 Policies, 20180730_1152: 24 Policies, 20180730_1456: 196 Policies, 20180730_1506: 128 Policies, 20180730_1516: 49 Policies, 20180730_2340: 671 Policies,)"/>
    <s v=""/>
    <x v="19"/>
  </r>
  <r>
    <x v="1"/>
    <x v="5"/>
    <d v="2018-08-02T00:00:00"/>
    <s v="Thu"/>
    <d v="1899-12-30T08:30:00"/>
    <d v="1899-12-30T17:30:00"/>
    <n v="0"/>
    <n v="7.9999999999999982"/>
    <n v="7.9999999999999982"/>
    <s v="Normal Working Days before 10pm"/>
    <s v="Total: 1642 Policies ( 20180730_2350: 410 Policies, 20180730_0000: 185 Policies, 20180731_1127: 383 Policies, 20180731_1137: 60 Policies, 20180731_1147: 52 Policies, 20180731_0658: 512 Policies, 20180801_2035: 40 Policies,)"/>
    <s v=""/>
    <x v="19"/>
  </r>
  <r>
    <x v="1"/>
    <x v="47"/>
    <d v="2018-08-02T00:00:00"/>
    <s v="Thu"/>
    <d v="1899-12-30T08:30:00"/>
    <d v="1899-12-30T17:30:00"/>
    <n v="0"/>
    <n v="7.9999999999999982"/>
    <n v="7.9999999999999982"/>
    <s v="Normal Working Days before 10pm"/>
    <s v="Total: 1642 Policies ( 20180730_2350: 410 Policies, 20180730_0000: 185 Policies, 20180731_1127: 383 Policies, 20180731_1137: 60 Policies, 20180731_1147: 52 Policies, 20180731_0658: 512 Policies, 20180801_2035: 40 Policies,)"/>
    <s v=""/>
    <x v="19"/>
  </r>
  <r>
    <x v="1"/>
    <x v="5"/>
    <d v="2018-08-03T00:00:00"/>
    <s v="Fri"/>
    <d v="1899-12-30T08:30:00"/>
    <d v="1899-12-30T17:30:00"/>
    <n v="0"/>
    <n v="7.9999999999999982"/>
    <n v="7.9999999999999982"/>
    <s v="Normal Working Days before 10pm"/>
    <s v="Total: 1546 Policies ( 20180801_0257: 1 Policies, 20180801_2015: 517 Policies, 20180801_2025: 506 Policies, 20180802_1426: 237 Policies, 20180802_1436: 179 Policies, 20180802_1446: 71 Policies, 20180802_2343: 35 Policies,)"/>
    <s v=""/>
    <x v="19"/>
  </r>
  <r>
    <x v="1"/>
    <x v="47"/>
    <d v="2018-08-03T00:00:00"/>
    <s v="Fri"/>
    <d v="1899-12-30T08:30:00"/>
    <d v="1899-12-30T17:30:00"/>
    <n v="0"/>
    <n v="7.9999999999999982"/>
    <n v="7.9999999999999982"/>
    <s v="Normal Working Days before 10pm"/>
    <s v="Total: 1546 Policies ( 20180801_0257: 1 Policies, 20180801_2015: 517 Policies, 20180801_2025: 506 Policies, 20180802_1426: 237 Policies, 20180802_1436: 179 Policies, 20180802_1446: 71 Policies, 20180802_2343: 35 Policies,)"/>
    <s v=""/>
    <x v="19"/>
  </r>
  <r>
    <x v="1"/>
    <x v="5"/>
    <d v="2018-08-06T00:00:00"/>
    <s v="Mon"/>
    <d v="1899-12-30T08:30:00"/>
    <d v="1899-12-30T17:30:00"/>
    <n v="0"/>
    <n v="7.9999999999999982"/>
    <n v="7.9999999999999982"/>
    <s v="Normal Working Days before 10pm"/>
    <s v="Total: 1874 Policies ( 20180802_2323: 236 Policies, 20180802_2333: 205 Policies, 20180803_1217: 1433 Policies, :  Policies, :  Policies, :  Policies, :  Policies,)"/>
    <s v=""/>
    <x v="19"/>
  </r>
  <r>
    <x v="1"/>
    <x v="47"/>
    <d v="2018-08-06T00:00:00"/>
    <s v="Mon"/>
    <d v="1899-12-30T08:30:00"/>
    <d v="1899-12-30T17:30:00"/>
    <n v="0"/>
    <n v="7.9999999999999982"/>
    <n v="7.9999999999999982"/>
    <s v="Normal Working Days before 10pm"/>
    <s v="Total: 1874 Policies ( 20180802_2323: 236 Policies, 20180802_2333: 205 Policies, 20180803_1217: 1433 Policies, :  Policies, :  Policies, :  Policies, :  Policies,)"/>
    <s v=""/>
    <x v="19"/>
  </r>
  <r>
    <x v="1"/>
    <x v="5"/>
    <d v="2018-08-07T00:00:00"/>
    <s v="Tue"/>
    <d v="1899-12-30T08:30:00"/>
    <d v="1899-12-30T17:30:00"/>
    <n v="0"/>
    <n v="7.9999999999999982"/>
    <n v="7.9999999999999982"/>
    <s v="Normal Working Days before 10pm"/>
    <s v="Total: 1275 Policies ( 20180803_1227: 125 Policies, 20180803_1237: 35 Policies, 20180806_0956: 93 Policies, 20180806_0100: 132 Policies, 20180806_016: 79 Policies, 20180806_1131: 227 Policies, 20180806_1141: 40 Policies,)"/>
    <s v=""/>
    <x v="19"/>
  </r>
  <r>
    <x v="1"/>
    <x v="47"/>
    <d v="2018-08-07T00:00:00"/>
    <s v="Tue"/>
    <d v="1899-12-30T08:30:00"/>
    <d v="1899-12-30T17:30:00"/>
    <n v="0"/>
    <n v="7.9999999999999982"/>
    <n v="7.9999999999999982"/>
    <s v="Normal Working Days before 10pm"/>
    <s v="Total: 1275 Policies ( 20180803_1227: 125 Policies, 20180803_1237: 35 Policies, 20180806_0956: 93 Policies, 20180806_0100: 132 Policies, 20180806_016: 79 Policies, 20180806_1131: 227 Policies, 20180806_1141: 40 Policies,)"/>
    <s v=""/>
    <x v="19"/>
  </r>
  <r>
    <x v="1"/>
    <x v="5"/>
    <d v="2018-08-08T00:00:00"/>
    <s v="Wed"/>
    <d v="1899-12-30T08:30:00"/>
    <d v="1899-12-30T17:30:00"/>
    <n v="0"/>
    <n v="7.9999999999999982"/>
    <n v="7.9999999999999982"/>
    <s v="Normal Working Days before 10pm"/>
    <s v="Total: 1675 Policies ( 20180807_1142: 136 Policies, 20180807_1152: 41 Policies, 20180807_1202: 44 Policies, 20180731_2016: 721 Policies, 20180731_2026: 258 Policies, 20180731_2036: 172 Policies, 20180807_1451: 49 Policies,)"/>
    <s v=""/>
    <x v="19"/>
  </r>
  <r>
    <x v="1"/>
    <x v="47"/>
    <d v="2018-08-08T00:00:00"/>
    <s v="Wed"/>
    <d v="1899-12-30T08:30:00"/>
    <d v="1899-12-30T17:30:00"/>
    <n v="0"/>
    <n v="7.9999999999999982"/>
    <n v="7.9999999999999982"/>
    <s v="Normal Working Days before 10pm"/>
    <s v="Total: 1675 Policies ( 20180807_1142: 136 Policies, 20180807_1152: 41 Policies, 20180807_1202: 44 Policies, 20180731_2016: 721 Policies, 20180731_2026: 258 Policies, 20180731_2036: 172 Policies, 20180807_1451: 49 Policies,)"/>
    <s v=""/>
    <x v="19"/>
  </r>
  <r>
    <x v="1"/>
    <x v="5"/>
    <d v="2018-08-09T00:00:00"/>
    <s v="Thu"/>
    <d v="1899-12-30T08:30:00"/>
    <d v="1899-12-30T17:30:00"/>
    <n v="0"/>
    <n v="7.9999999999999982"/>
    <n v="7.9999999999999982"/>
    <s v="Normal Working Days before 10pm"/>
    <s v="Total: 1361 Policies ( 20180808_1121: 104 Policies, 20180808_1131: 76 Policies, 20180808_1141: 54 Policies, 20180808_1429: 147 Policies, 20180808_1439: 49 Policies, 20180808_1449: 22 Policies, 20180808_0052: 545 Policies,)"/>
    <s v=""/>
    <x v="19"/>
  </r>
  <r>
    <x v="1"/>
    <x v="5"/>
    <d v="2018-08-10T00:00:00"/>
    <s v="Fri"/>
    <d v="1899-12-30T08:30:00"/>
    <d v="1899-12-30T17:30:00"/>
    <n v="0"/>
    <n v="7.9999999999999982"/>
    <n v="7.9999999999999982"/>
    <s v="Normal Working Days before 10pm"/>
    <s v="Total: 931 Policies ( 20180808_1119: 190 Policies, 20180808_1129: 50 Policies, 20180808_1139: 48 Policies, 20180808_1435: 89 Policies, 20180808_1445: 35 Policies, 20180808_1455: 36 Policies, 20180808_2142: 263 Policies,)"/>
    <s v=""/>
    <x v="19"/>
  </r>
  <r>
    <x v="1"/>
    <x v="5"/>
    <d v="2018-08-13T00:00:00"/>
    <s v="Mon"/>
    <d v="1899-12-30T08:30:00"/>
    <d v="1899-12-30T17:30:00"/>
    <n v="0"/>
    <n v="7.9999999999999982"/>
    <n v="7.9999999999999982"/>
    <s v="Normal Working Days before 10pm"/>
    <s v="Total: 554 Policies ( 20180810_1238: 75 Policies, 20180810_1248: 54 Policies, 20180810_1258: 44 Policies, 20180810_1500: 39 Policies, 20180810_1510: 37 Policies, 20180810_1520: 33 Policies, 20180810_2151: 179 Policies,)"/>
    <s v=""/>
    <x v="19"/>
  </r>
  <r>
    <x v="1"/>
    <x v="5"/>
    <d v="2018-08-14T00:00:00"/>
    <s v="Tue"/>
    <d v="1899-12-30T08:30:00"/>
    <d v="1899-12-30T17:30:00"/>
    <n v="0"/>
    <n v="7.9999999999999982"/>
    <n v="7.9999999999999982"/>
    <s v="Normal Working Days before 10pm"/>
    <s v="Total: 1223 Policies ( 20180813_1139: 226 Policies, 20180813_1149: 9 Policies, 20180813_1159: 28 Policies, 20180813_1451: 31 Policies, 20180813_1501: 20 Policies, 20180813_1511: 32 Policies, 20180813_2301: 329 Policies,)"/>
    <s v=""/>
    <x v="19"/>
  </r>
  <r>
    <x v="1"/>
    <x v="5"/>
    <d v="2018-08-15T00:00:00"/>
    <s v="Wed"/>
    <d v="1899-12-30T08:30:00"/>
    <d v="1899-12-30T17:30:00"/>
    <n v="0"/>
    <n v="7.9999999999999982"/>
    <n v="7.9999999999999982"/>
    <s v="Normal Working Days before 10pm"/>
    <s v="Total: 718 Policies ( 20180814_1452: 70 Policies, 20180814_1502: 24 Policies, 20180814_1512: 29 Policies, 20180814_2312: 161 Policies, 20180814_2322: 127 Policies, 20180814_2332: 86 Policies, 20180815_1117: 114 Policies,)"/>
    <s v=""/>
    <x v="19"/>
  </r>
  <r>
    <x v="1"/>
    <x v="5"/>
    <d v="2018-08-16T00:00:00"/>
    <s v="Thu"/>
    <d v="1899-12-30T08:30:00"/>
    <d v="1899-12-30T17:30:00"/>
    <n v="0"/>
    <n v="7.9999999999999982"/>
    <n v="7.9999999999999982"/>
    <s v="Normal Working Days before 10pm"/>
    <s v="Total: 828 Policies ( 20180815_1459: 39 Policies, 20180815_1509: 83 Policies, 20180815_1519: 41 Policies, 20180815_2302: 213 Policies, 20180815_2312: 161 Policies, 20180815_2322: 97 Policies, 20180816_1106: 83 Policies,)"/>
    <s v=""/>
    <x v="19"/>
  </r>
  <r>
    <x v="1"/>
    <x v="5"/>
    <d v="2018-08-17T00:00:00"/>
    <s v="Fri"/>
    <d v="1899-12-30T08:30:00"/>
    <d v="1899-12-30T17:30:00"/>
    <n v="0"/>
    <n v="7.9999999999999982"/>
    <n v="7.9999999999999982"/>
    <s v="Normal Working Days before 10pm"/>
    <s v="Total: 614 Policies ( 20180816_1436: 113 Policies, 20180816_1446: 51 Policies, 20180816_1456: 39 Policies, 20180816_2139: 95 Policies, 20180816_2149: 90 Policies, 20180816_2159: 71 Policies, 20180817_1107: 61 Policies,)"/>
    <s v=""/>
    <x v="19"/>
  </r>
  <r>
    <x v="1"/>
    <x v="5"/>
    <d v="2018-08-20T00:00:00"/>
    <s v="Mon"/>
    <d v="1899-12-30T08:30:00"/>
    <d v="1899-12-30T17:30:00"/>
    <n v="0"/>
    <n v="7.9999999999999982"/>
    <n v="7.9999999999999982"/>
    <s v="Normal Working Days before 10pm"/>
    <s v="Total: 641 Policies ( 20180817_1454: 94 Policies, 20180817_1504: 27 Policies, 20180817_1514: 43 Policies, 20180817_2306: 63 Policies, 20180817_2316: 76 Policies, 20180817_2326: 66 Policies, 20180818_1108: 1 Policies,)"/>
    <s v=""/>
    <x v="19"/>
  </r>
  <r>
    <x v="1"/>
    <x v="5"/>
    <d v="2018-08-21T00:00:00"/>
    <s v="Tue"/>
    <d v="1899-12-30T08:30:00"/>
    <d v="1899-12-30T17:30:00"/>
    <n v="0"/>
    <n v="7.9999999999999982"/>
    <n v="7.9999999999999982"/>
    <s v="Normal Working Days before 10pm"/>
    <s v="Total: 1323 Policies ( 20180820_1142: 107 Policies, 20180820_1152: 60 Policies, 20180820_1440: 71 Policies, 20180820_1450: 30 Policies, 20180820_1500: 28 Policies, 20180820_2017: 328 Policies, 20180820_2027: 156 Policies,)"/>
    <s v=""/>
    <x v="19"/>
  </r>
  <r>
    <x v="1"/>
    <x v="5"/>
    <d v="2018-08-22T00:00:00"/>
    <s v="Wed"/>
    <d v="1899-12-30T08:30:00"/>
    <d v="1899-12-30T17:30:00"/>
    <n v="0"/>
    <n v="7.9999999999999982"/>
    <n v="7.9999999999999982"/>
    <s v="Normal Working Days before 10pm"/>
    <s v="Total: 1212 Policies ( 20180821_1521: 495 Policies, 20180821_1531: 59 Policies, 20180821_1541: 36 Policies, 20180821_2301: 368 Policies, 20180821_2311: 100 Policies, 20180821_2321: 67 Policies, 20180822_1115: 70 Policies,)"/>
    <s v=""/>
    <x v="19"/>
  </r>
  <r>
    <x v="1"/>
    <x v="5"/>
    <d v="2018-08-23T00:00:00"/>
    <s v="Thu"/>
    <d v="1899-12-30T08:30:00"/>
    <d v="1899-12-30T17:30:00"/>
    <n v="0"/>
    <n v="7.9999999999999982"/>
    <n v="7.9999999999999982"/>
    <s v="Normal Working Days before 10pm"/>
    <s v="Total: 777 Policies ( 20180822_1452: 114 Policies, 20180822_1502: 80 Policies, 20180822_1512: 43 Policies, 20180822_0029: 246 Policies, 20180822_039: 188 Policies, 20180822_049: 106 Policies, :  Policies,)"/>
    <s v=""/>
    <x v="19"/>
  </r>
  <r>
    <x v="1"/>
    <x v="5"/>
    <d v="2018-08-24T00:00:00"/>
    <s v="Fri"/>
    <d v="1899-12-30T08:30:00"/>
    <d v="1899-12-30T17:30:00"/>
    <n v="0"/>
    <n v="7.9999999999999982"/>
    <n v="7.9999999999999982"/>
    <s v="Normal Working Days before 10pm"/>
    <s v="Total: 757 Policies ( 20180823_1444: 41 Policies, 20180823_1454: 25 Policies, 20180823_1504: 33 Policies, 20180823_2156: 174 Policies, 20180823_2206: 174 Policies, 20180823_2216: 129 Policies, 20180824_1007: 92 Policies,)"/>
    <s v=""/>
    <x v="19"/>
  </r>
  <r>
    <x v="1"/>
    <x v="5"/>
    <d v="2018-08-27T00:00:00"/>
    <s v="Mon"/>
    <d v="1899-12-30T08:30:00"/>
    <d v="1899-12-30T17:30:00"/>
    <n v="0"/>
    <n v="7.9999999999999982"/>
    <n v="7.9999999999999982"/>
    <s v="Normal Working Days before 10pm"/>
    <s v="Total: 1054 Policies ( 20180824_1424: 52 Policies, 20180824_1434: 31 Policies, 20180824_1444: 46 Policies, 20180824_2242: 275 Policies, 20180824_2252: 215 Policies, 20180824_2302: 151 Policies, 20180825_1303: 2 Policies,)"/>
    <s v=""/>
    <x v="19"/>
  </r>
  <r>
    <x v="1"/>
    <x v="5"/>
    <d v="2018-08-28T00:00:00"/>
    <s v="Tue"/>
    <d v="1899-12-30T08:30:00"/>
    <d v="1899-12-30T17:30:00"/>
    <n v="0"/>
    <n v="7.9999999999999982"/>
    <n v="7.9999999999999982"/>
    <s v="Normal Working Days before 10pm"/>
    <s v="Total: 1359 Policies ( 20180827_1436: 118 Policies, 20180827_1446: 90 Policies, 20180827_1456: 40 Policies, 20180827_2229: 472 Policies, 20180827_2239: 348 Policies, 20180827_2249: 160 Policies, 20180828_1114: 95 Policies,)"/>
    <s v=""/>
    <x v="19"/>
  </r>
  <r>
    <x v="1"/>
    <x v="5"/>
    <d v="2018-08-29T00:00:00"/>
    <s v="Wed"/>
    <d v="1899-12-30T08:30:00"/>
    <d v="1899-12-30T17:30:00"/>
    <n v="0"/>
    <n v="7.9999999999999982"/>
    <n v="7.9999999999999982"/>
    <s v="Normal Working Days before 10pm"/>
    <s v="Total: 1320 Policies ( 20180828_1455: 196 Policies, 20180828_1505: 98 Policies, 20180828_1515: 74 Policies, 20180828_0204: 490 Policies, 20180828_0214: 326 Policies, 20180828_0224: 136 Policies, :  Policies,)"/>
    <s v=""/>
    <x v="19"/>
  </r>
  <r>
    <x v="1"/>
    <x v="12"/>
    <d v="2018-08-29T00:00:00"/>
    <s v="Wed"/>
    <d v="1899-12-30T08:30:00"/>
    <d v="1899-12-30T17:30:00"/>
    <n v="0"/>
    <n v="7.9999999999999982"/>
    <n v="7.9999999999999982"/>
    <s v="Normal Working Days before 10pm"/>
    <s v="Total: 1320 Policies ( 20180828_1455: 196 Policies, 20180828_1505: 98 Policies, 20180828_1515: 74 Policies, 20180828_0204: 490 Policies, 20180828_0214: 326 Policies, 20180828_0224: 136 Policies, :  Policies,)"/>
    <s v=""/>
    <x v="19"/>
  </r>
  <r>
    <x v="1"/>
    <x v="5"/>
    <d v="2018-08-30T00:00:00"/>
    <s v="Thu"/>
    <d v="1899-12-30T08:30:00"/>
    <d v="1899-12-30T17:30:00"/>
    <n v="0"/>
    <n v="7.9999999999999982"/>
    <n v="7.9999999999999982"/>
    <s v="Normal Working Days before 10pm"/>
    <s v="Total: 1581 Policies ( 20180829_1111: 134 Policies, 20180829_1121: 61 Policies, 20180829_1131: 43 Policies, 20180829_1453: 233 Policies, 20180829_1503: 75 Policies, 20180829_1513: 58 Policies, 20180829_2250: 410 Policies,)"/>
    <s v=""/>
    <x v="19"/>
  </r>
  <r>
    <x v="1"/>
    <x v="12"/>
    <d v="2018-08-30T00:00:00"/>
    <s v="Thu"/>
    <d v="1899-12-30T08:30:00"/>
    <d v="1899-12-30T17:30:00"/>
    <n v="0"/>
    <n v="7.9999999999999982"/>
    <n v="7.9999999999999982"/>
    <s v="Normal Working Days before 10pm"/>
    <s v="Total: 1581 Policies ( 20180829_1111: 134 Policies, 20180829_1121: 61 Policies, 20180829_1131: 43 Policies, 20180829_1453: 233 Policies, 20180829_1503: 75 Policies, 20180829_1513: 58 Policies, 20180829_2250: 410 Policies,)"/>
    <s v=""/>
    <x v="19"/>
  </r>
  <r>
    <x v="1"/>
    <x v="5"/>
    <d v="2018-08-31T00:00:00"/>
    <s v="Fri"/>
    <d v="1899-12-30T08:30:00"/>
    <d v="1899-12-30T17:30:00"/>
    <n v="0"/>
    <n v="7.9999999999999982"/>
    <n v="7.9999999999999982"/>
    <s v="Normal Working Days before 10pm"/>
    <s v="Total: 1746 Policies ( 20180830_1453: 507 Policies, 20180830_1503: 188 Policies, 20180830_1513: 69 Policies, 20180830_0031: 214 Policies, 20180830_0011: 369 Policies, 20180830_0021: 399 Policies, :  Policies,)"/>
    <s v=""/>
    <x v="19"/>
  </r>
  <r>
    <x v="1"/>
    <x v="12"/>
    <d v="2018-08-31T00:00:00"/>
    <s v="Fri"/>
    <d v="1899-12-30T08:30:00"/>
    <d v="1899-12-30T17:30:00"/>
    <n v="0"/>
    <n v="7.9999999999999982"/>
    <n v="7.9999999999999982"/>
    <s v="Normal Working Days before 10pm"/>
    <s v="Total: 1746 Policies ( 20180830_1453: 507 Policies, 20180830_1503: 188 Policies, 20180830_1513: 69 Policies, 20180830_0031: 214 Policies, 20180830_0011: 369 Policies, 20180830_0021: 399 Policies, :  Policies,)"/>
    <s v=""/>
    <x v="19"/>
  </r>
  <r>
    <x v="1"/>
    <x v="5"/>
    <d v="2018-09-04T00:00:00"/>
    <s v="Tue"/>
    <d v="1899-12-30T08:30:00"/>
    <d v="1899-12-30T17:30:00"/>
    <n v="0"/>
    <n v="7.9999999999999982"/>
    <n v="7.9999999999999982"/>
    <s v="Normal Working Days before 10pm"/>
    <s v="Total: 1894 Policies ( 20180831_1054: 59 Policies, 20180831_1104: 11 Policies, 20180831_1317: 1002 Policies, 20180831_1327: 93 Policies, 20180831_1337: 41 Policies, 20180831_0933: 688 Policies, :  Policies,)"/>
    <s v=""/>
    <x v="20"/>
  </r>
  <r>
    <x v="1"/>
    <x v="5"/>
    <d v="2018-09-05T00:00:00"/>
    <s v="Wed"/>
    <d v="1899-12-30T08:30:00"/>
    <d v="1899-12-30T17:30:00"/>
    <n v="0"/>
    <n v="7.9999999999999982"/>
    <n v="7.9999999999999982"/>
    <s v="Normal Working Days before 10pm"/>
    <s v="Total: 2085 Policies ( 20180831_0933: 600 Policies, 20180831_0943: 555 Policies, 20180831_0953: 247 Policies, 20180831_0545: 683 Policies, :  Policies, :  Policies, :  Policies,)"/>
    <s v=""/>
    <x v="20"/>
  </r>
  <r>
    <x v="1"/>
    <x v="5"/>
    <d v="2018-09-06T00:00:00"/>
    <s v="Thu"/>
    <d v="1899-12-30T08:30:00"/>
    <d v="1899-12-30T17:30:00"/>
    <n v="0"/>
    <n v="7.9999999999999982"/>
    <n v="7.9999999999999982"/>
    <s v="Normal Working Days before 10pm"/>
    <s v="Total: 1254 Policies ( 20180831_0555: 258 Policies, 20180831_0605: 147 Policies, 20180904_1144: 52 Policies, 20180904_1154: 108 Policies, 20180904_1204: 54 Policies, 20180904_1514: 51 Policies, 20180904_1524: 65 Policies,)"/>
    <s v=""/>
    <x v="20"/>
  </r>
  <r>
    <x v="1"/>
    <x v="48"/>
    <d v="2018-09-06T00:00:00"/>
    <s v="Thu"/>
    <d v="1899-12-30T08:30:00"/>
    <d v="1899-12-30T17:30:00"/>
    <n v="0"/>
    <n v="7.9999999999999982"/>
    <n v="7.9999999999999982"/>
    <s v="Normal Working Days before 10pm"/>
    <s v="Total: 1254 Policies ( 20180831_0555: 258 Policies, 20180831_0605: 147 Policies, 20180904_1144: 52 Policies, 20180904_1154: 108 Policies, 20180904_1204: 54 Policies, 20180904_1514: 51 Policies, 20180904_1524: 65 Policies,)"/>
    <s v=""/>
    <x v="20"/>
  </r>
  <r>
    <x v="1"/>
    <x v="5"/>
    <d v="2018-09-07T00:00:00"/>
    <s v="Fri"/>
    <d v="1899-12-30T08:30:00"/>
    <d v="1899-12-30T17:30:00"/>
    <n v="0"/>
    <n v="7.9999999999999982"/>
    <n v="7.9999999999999982"/>
    <s v="Normal Working Days before 10pm"/>
    <s v="Total: 698 Policies ( 20180905_2116: 99 Policies, 20180905_2126: 85 Policies, 20180905_2136: 43 Policies, 20180906_1124: 30 Policies, 20180906_1134: 15 Policies, 20180906_1144: 10 Policies, 20180906_1443: 20 Policies,)"/>
    <s v=""/>
    <x v="20"/>
  </r>
  <r>
    <x v="1"/>
    <x v="5"/>
    <d v="2018-09-10T00:00:00"/>
    <s v="Mon"/>
    <d v="1899-12-30T08:30:00"/>
    <d v="1899-12-30T17:30:00"/>
    <n v="0"/>
    <n v="7.9999999999999982"/>
    <n v="7.9999999999999982"/>
    <s v="Normal Working Days before 10pm"/>
    <s v="Total: 951 Policies ( 20180907_1445: 14 Policies, 20180907_1455: 56 Policies, 20180907_1505: 14 Policies, 20180907_2149: 105 Policies, 20180907_2159: 51 Policies, 20180909_1423: 102 Policies, 20180909_2214: 302 Policies,)"/>
    <s v=""/>
    <x v="20"/>
  </r>
  <r>
    <x v="1"/>
    <x v="5"/>
    <d v="2018-09-11T00:00:00"/>
    <s v="Tue"/>
    <d v="1899-12-30T08:30:00"/>
    <d v="1899-12-30T17:30:00"/>
    <n v="0"/>
    <n v="7.9999999999999982"/>
    <n v="7.9999999999999982"/>
    <s v="Normal Working Days before 10pm"/>
    <s v="Total: 987 Policies ( 20180910_1425: 104 Policies, 20180910_1435: 27 Policies, 20180910_1445: 11 Policies, 20180910_2210: 437 Policies, 20180910_2220: 199 Policies, 20180910_2230: 94 Policies, 20180911_1057: 71 Policies,)"/>
    <s v=""/>
    <x v="20"/>
  </r>
  <r>
    <x v="1"/>
    <x v="5"/>
    <d v="2018-09-12T00:00:00"/>
    <s v="Wed"/>
    <d v="1899-12-30T08:30:00"/>
    <d v="1899-12-30T17:30:00"/>
    <n v="0"/>
    <n v="7.9999999999999982"/>
    <n v="7.9999999999999982"/>
    <s v="Normal Working Days before 10pm"/>
    <s v="Total: 593 Policies ( 20180911_1446: 85 Policies, 20180911_1456: 27 Policies, 20180911_1506: 20 Policies, 20180911_2229: 118 Policies, 20180911_2239: 117 Policies, 20180911_2249: 71 Policies, 20180912_1109: 88 Policies,)"/>
    <s v=""/>
    <x v="20"/>
  </r>
  <r>
    <x v="1"/>
    <x v="5"/>
    <d v="2018-09-13T00:00:00"/>
    <s v="Thu"/>
    <d v="1899-12-30T08:30:00"/>
    <d v="1899-12-30T17:30:00"/>
    <n v="0"/>
    <n v="7.9999999999999982"/>
    <n v="7.9999999999999982"/>
    <s v="Normal Working Days before 10pm"/>
    <s v="Total: 524 Policies ( 20180912_1442: 26 Policies, 20180912_1452: 34 Policies, 20180912_1502: 19 Policies, 20180912_2229: 92 Policies, 20180912_2239: 87 Policies, 20180912_2249: 68 Policies, 20180913_1145: 136 Policies,)"/>
    <s v=""/>
    <x v="20"/>
  </r>
  <r>
    <x v="1"/>
    <x v="5"/>
    <d v="2018-09-14T00:00:00"/>
    <s v="Fri"/>
    <d v="1899-12-30T08:30:00"/>
    <d v="1899-12-30T17:30:00"/>
    <n v="0"/>
    <n v="7.9999999999999982"/>
    <n v="7.9999999999999982"/>
    <s v="Normal Working Days before 10pm"/>
    <s v="Total: 494 Policies ( 20180913_1443: 54 Policies, 20180913_1453: 54 Policies, 20180913_1503: 28 Policies, 20180913_2214: 104 Policies, 20180913_2224: 104 Policies, 20180913_2234: 52 Policies, 20180914_1124: 75 Policies,)"/>
    <s v=""/>
    <x v="20"/>
  </r>
  <r>
    <x v="1"/>
    <x v="5"/>
    <d v="2018-09-17T00:00:00"/>
    <s v="Mon"/>
    <d v="1899-12-30T08:30:00"/>
    <d v="1899-12-30T17:30:00"/>
    <n v="0"/>
    <n v="7.9999999999999982"/>
    <n v="7.9999999999999982"/>
    <s v="Normal Working Days before 10pm"/>
    <s v="Total: 393 Policies ( 20180914_1444: 29 Policies, 20180914_1454: 76 Policies, 20180914_1504: 32 Policies, 20180914_2143: 94 Policies, 20180914_2153: 114 Policies, 20180914_2203: 36 Policies, 20180917_1118: 2 Policies,)"/>
    <s v=""/>
    <x v="20"/>
  </r>
  <r>
    <x v="1"/>
    <x v="5"/>
    <d v="2018-09-18T00:00:00"/>
    <s v="Tue"/>
    <d v="1899-12-30T08:30:00"/>
    <d v="1899-12-30T17:30:00"/>
    <n v="0"/>
    <n v="7.9999999999999982"/>
    <n v="7.9999999999999982"/>
    <s v="Normal Working Days before 10pm"/>
    <s v="Total: 1339 Policies ( 20180917_1438: 115 Policies, 20180917_1448: 188 Policies, 20180917_1458: 54 Policies, 20180917_2257: 540 Policies, 20180917_2307: 283 Policies, 20180917_2317: 159 Policies, :  Policies,)"/>
    <s v=""/>
    <x v="20"/>
  </r>
  <r>
    <x v="1"/>
    <x v="5"/>
    <d v="2018-09-19T00:00:00"/>
    <s v="Wed"/>
    <d v="1899-12-30T08:30:00"/>
    <d v="1899-12-30T17:30:00"/>
    <n v="0"/>
    <n v="7.9999999999999982"/>
    <n v="7.9999999999999982"/>
    <s v="Normal Working Days before 10pm"/>
    <s v="Total: 1049 Policies ( 20180918_1126: 83 Policies, 20180918_1136: 40 Policies, 20180918_1146: 28 Policies, 20180918_1453: 74 Policies, 20180918_1503: 40 Policies, 20180918_1513: 16 Policies, 20180918_2133: 314 Policies,)"/>
    <s v=""/>
    <x v="20"/>
  </r>
  <r>
    <x v="1"/>
    <x v="5"/>
    <d v="2018-09-20T00:00:00"/>
    <s v="Thu"/>
    <d v="1899-12-30T08:30:00"/>
    <d v="1899-12-30T17:30:00"/>
    <n v="0"/>
    <n v="7.9999999999999982"/>
    <n v="7.9999999999999982"/>
    <s v="Normal Working Days before 10pm"/>
    <s v="Total: 671 Policies ( 20180919_1437: 50 Policies, 20180919_1447: 40 Policies, 20180919_1457: 28 Policies, 20180919_2244: 252 Policies, 20180919_2254: 143 Policies, 20180919_2304: 77 Policies, 20180920_1113: 12 Policies,)"/>
    <s v=""/>
    <x v="20"/>
  </r>
  <r>
    <x v="1"/>
    <x v="5"/>
    <d v="2018-09-21T00:00:00"/>
    <s v="Fri"/>
    <d v="1899-12-30T08:30:00"/>
    <d v="1899-12-30T17:30:00"/>
    <n v="0"/>
    <n v="7.9999999999999982"/>
    <n v="7.9999999999999982"/>
    <s v="Normal Working Days before 10pm"/>
    <s v="Total: 652 Policies ( 20180920_1428: 40 Policies, 20180920_1438: 31 Policies, 20180920_1448: 17 Policies, 20180920_2144: 212 Policies, 20180920_2154: 196 Policies, 20180920_2204: 75 Policies, 20180921_1141: 37 Policies,)"/>
    <s v=""/>
    <x v="20"/>
  </r>
  <r>
    <x v="1"/>
    <x v="5"/>
    <d v="2018-09-24T00:00:00"/>
    <s v="Mon"/>
    <d v="1899-12-30T08:30:00"/>
    <d v="1899-12-30T17:30:00"/>
    <n v="0"/>
    <n v="7.9999999999999982"/>
    <n v="7.9999999999999982"/>
    <s v="Normal Working Days before 10pm"/>
    <s v="Total: 1006 Policies ( 20180921_1452: 51 Policies, 20180921_1502: 79 Policies, 20180921_1512: 38 Policies, 20180921_2246: 160 Policies, 20180921_2256: 199 Policies, 20180921_2306: 98 Policies, 20180922_1113: 27 Policies,)"/>
    <s v=""/>
    <x v="20"/>
  </r>
  <r>
    <x v="1"/>
    <x v="5"/>
    <d v="2018-09-25T00:00:00"/>
    <s v="Tue"/>
    <d v="1899-12-30T08:30:00"/>
    <d v="1899-12-30T17:30:00"/>
    <n v="0"/>
    <n v="7.9999999999999982"/>
    <n v="7.9999999999999982"/>
    <s v="Normal Working Days before 10pm"/>
    <s v="Total: 1193 Policies ( 20180924_1857: 261 Policies, 20180924_1907: 297 Policies, 20180924_1917: 103 Policies, 20180924_0226: 148 Policies, 20180924_0236: 147 Policies, 20180924_0246: 46 Policies, 20180925_1111: 118 Policies,)"/>
    <s v=""/>
    <x v="20"/>
  </r>
  <r>
    <x v="1"/>
    <x v="5"/>
    <d v="2018-09-26T00:00:00"/>
    <s v="Wed"/>
    <d v="1899-12-30T08:30:00"/>
    <d v="1899-12-30T17:30:00"/>
    <n v="0"/>
    <n v="7.9999999999999982"/>
    <n v="7.9999999999999982"/>
    <s v="Normal Working Days before 10pm"/>
    <s v="Total: 1256 Policies ( 20180925_1502: 123 Policies, 20180925_1512: 102 Policies, 20180925_1522: 43 Policies, 20180925_2323: 271 Policies, 20180925_2333: 382 Policies, 20180925_2343: 135 Policies, 20180926_1134: 104 Policies,)"/>
    <s v=""/>
    <x v="20"/>
  </r>
  <r>
    <x v="1"/>
    <x v="5"/>
    <d v="2018-09-27T00:00:00"/>
    <s v="Thu"/>
    <d v="1899-12-30T08:30:00"/>
    <d v="1899-12-30T17:30:00"/>
    <n v="0"/>
    <n v="7.9999999999999982"/>
    <n v="7.9999999999999982"/>
    <s v="Normal Working Days before 10pm"/>
    <s v="Total: 1390 Policies ( 20180926_1438: 186 Policies, 20180926_1458: 36 Policies, 20180926_2127: 401 Policies, 20180926_2137: 402 Policies, 20180926_2147: 180 Policies, 20180927_0856: 82 Policies, 20180927_0906: 102 Policies,)"/>
    <s v=""/>
    <x v="20"/>
  </r>
  <r>
    <x v="1"/>
    <x v="5"/>
    <d v="2018-09-28T00:00:00"/>
    <s v="Fri"/>
    <d v="1899-12-30T08:30:00"/>
    <d v="1899-12-30T17:30:00"/>
    <n v="0"/>
    <n v="7.9999999999999982"/>
    <n v="7.9999999999999982"/>
    <s v="Normal Working Days before 10pm"/>
    <s v="Total: 1650 Policies ( 20180927_1758: 384 Policies, 20180927_1808: 271 Policies, 20180927_1818: 104 Policies, 20180927_2344: 307 Policies, 20180927_2354: 141 Policies, 20180927_2334: 443 Policies, :  Policies,)"/>
    <s v=""/>
    <x v="20"/>
  </r>
  <r>
    <x v="1"/>
    <x v="49"/>
    <d v="2018-09-28T00:00:00"/>
    <s v="Fri"/>
    <d v="1899-12-30T08:30:00"/>
    <d v="1899-12-30T17:30:00"/>
    <n v="0"/>
    <n v="7.9999999999999982"/>
    <n v="7.9999999999999982"/>
    <s v="Normal Working Days before 10pm"/>
    <s v="Total: 1650 Policies ( 20180927_1758: 384 Policies, 20180927_1808: 271 Policies, 20180927_1818: 104 Policies, 20180927_2344: 307 Policies, 20180927_2354: 141 Policies, 20180927_2334: 443 Policies, :  Policies,)"/>
    <s v=""/>
    <x v="20"/>
  </r>
  <r>
    <x v="1"/>
    <x v="5"/>
    <d v="2018-10-01T00:00:00"/>
    <s v="Mon"/>
    <d v="1899-12-30T08:30:00"/>
    <d v="1899-12-30T17:30:00"/>
    <n v="0"/>
    <n v="7.9999999999999982"/>
    <n v="7.9999999999999982"/>
    <s v="Normal Working Days before 10pm"/>
    <s v="Total: 1552 Policies ( 20180928_1131: 303 Policies, 20180928_1141: 60 Policies, 20180928_1151: 11 Policies, 20180928_1551: 410 Policies, 20180928_0135: 220 Policies, 20180928_0145: 212 Policies, 20180928_0155: 336 Policies,)"/>
    <s v=""/>
    <x v="21"/>
  </r>
  <r>
    <x v="1"/>
    <x v="49"/>
    <d v="2018-10-01T00:00:00"/>
    <s v="Mon"/>
    <d v="1899-12-30T08:30:00"/>
    <d v="1899-12-30T17:30:00"/>
    <n v="0"/>
    <n v="7.9999999999999982"/>
    <n v="7.9999999999999982"/>
    <s v="Normal Working Days before 10pm"/>
    <s v="Total: 1552 Policies ( 20180928_1131: 303 Policies, 20180928_1141: 60 Policies, 20180928_1151: 11 Policies, 20180928_1551: 410 Policies, 20180928_0135: 220 Policies, 20180928_0145: 212 Policies, 20180928_0155: 336 Policies,)"/>
    <s v=""/>
    <x v="21"/>
  </r>
  <r>
    <x v="1"/>
    <x v="5"/>
    <d v="2018-10-02T00:00:00"/>
    <s v="Tue"/>
    <d v="1899-12-30T08:30:00"/>
    <d v="1899-12-30T17:30:00"/>
    <n v="0"/>
    <n v="7.9999999999999982"/>
    <n v="7.9999999999999982"/>
    <s v="Normal Working Days before 10pm"/>
    <s v="Total: 1575 Policies ( 20180929_1023: 424 Policies, 20180929_1033: 374 Policies, 20180929_1043: 35 Policies, 20180929_0019: 171 Policies, 20180929_0029: 173 Policies, 20180929_0039: 173 Policies, 20180930_1002: 225 Policies,)"/>
    <s v=""/>
    <x v="21"/>
  </r>
  <r>
    <x v="1"/>
    <x v="49"/>
    <d v="2018-10-02T00:00:00"/>
    <s v="Tue"/>
    <d v="1899-12-30T08:30:00"/>
    <d v="1899-12-30T17:30:00"/>
    <n v="0"/>
    <n v="7.9999999999999982"/>
    <n v="7.9999999999999982"/>
    <s v="Normal Working Days before 10pm"/>
    <s v="Total: 1575 Policies ( 20180929_1023: 424 Policies, 20180929_1033: 374 Policies, 20180929_1043: 35 Policies, 20180929_0019: 171 Policies, 20180929_0029: 173 Policies, 20180929_0039: 173 Policies, 20180930_1002: 225 Policies,)"/>
    <s v=""/>
    <x v="21"/>
  </r>
  <r>
    <x v="1"/>
    <x v="5"/>
    <d v="2018-10-03T00:00:00"/>
    <s v="Wed"/>
    <d v="1899-12-30T08:30:00"/>
    <d v="1899-12-30T17:30:00"/>
    <n v="0"/>
    <n v="7.9999999999999982"/>
    <n v="7.9999999999999982"/>
    <s v="Normal Working Days before 10pm"/>
    <s v="Total: 2558 Policies ( 20180930_0942: 636 Policies, 20180930_0952: 668 Policies, 20180930_0731: 621 Policies, 20180930_0741: 633 Policies, :  Policies, :  Policies, :  Policies,)"/>
    <s v=""/>
    <x v="21"/>
  </r>
  <r>
    <x v="1"/>
    <x v="49"/>
    <d v="2018-10-03T00:00:00"/>
    <s v="Wed"/>
    <d v="1899-12-30T08:30:00"/>
    <d v="1899-12-30T17:30:00"/>
    <n v="0"/>
    <n v="7.9999999999999982"/>
    <n v="7.9999999999999982"/>
    <s v="Normal Working Days before 10pm"/>
    <s v="Total: 2558 Policies ( 20180930_0942: 636 Policies, 20180930_0952: 668 Policies, 20180930_0731: 621 Policies, 20180930_0741: 633 Policies, :  Policies, :  Policies, :  Policies,)"/>
    <s v=""/>
    <x v="21"/>
  </r>
  <r>
    <x v="1"/>
    <x v="5"/>
    <d v="2018-10-04T00:00:00"/>
    <s v="Thu"/>
    <d v="1899-12-30T08:30:00"/>
    <d v="1899-12-30T17:30:00"/>
    <n v="0"/>
    <n v="7.9999999999999982"/>
    <n v="7.9999999999999982"/>
    <s v="Normal Working Days before 10pm"/>
    <s v="Total: 1759 Policies ( 20180930_0751: 376 Policies, 20180930_0006: 188 Policies, 20180930_0016: 259 Policies, 20180930_0026: 202 Policies, 20181001_1642: 734 Policies, :  Policies, :  Policies,)"/>
    <s v=""/>
    <x v="21"/>
  </r>
  <r>
    <x v="1"/>
    <x v="49"/>
    <d v="2018-10-04T00:00:00"/>
    <s v="Thu"/>
    <d v="1899-12-30T08:30:00"/>
    <d v="1899-12-30T17:30:00"/>
    <n v="0"/>
    <n v="7.9999999999999982"/>
    <n v="7.9999999999999982"/>
    <s v="Normal Working Days before 10pm"/>
    <s v="Total: 1759 Policies ( 20180930_0751: 376 Policies, 20180930_0006: 188 Policies, 20180930_0016: 259 Policies, 20180930_0026: 202 Policies, 20181001_1642: 734 Policies, :  Policies, :  Policies,)"/>
    <s v=""/>
    <x v="21"/>
  </r>
  <r>
    <x v="1"/>
    <x v="5"/>
    <d v="2018-10-05T00:00:00"/>
    <s v="Fri"/>
    <d v="1899-12-30T08:30:00"/>
    <d v="1899-12-30T17:30:00"/>
    <n v="0"/>
    <n v="7.9999999999999982"/>
    <n v="7.9999999999999982"/>
    <s v="Normal Working Days before 10pm"/>
    <s v="Total: 1663 Policies ( 20181001_1652: 445 Policies, 20181001_1702: 9 Policies, 20181002_1056: 1066 Policies, 20181002_1106: 117 Policies, 20181002_1116: 26 Policies, :  Policies, :  Policies,)"/>
    <s v=""/>
    <x v="21"/>
  </r>
  <r>
    <x v="1"/>
    <x v="49"/>
    <d v="2018-10-05T00:00:00"/>
    <s v="Fri"/>
    <d v="1899-12-30T08:30:00"/>
    <d v="1899-12-30T17:30:00"/>
    <n v="0"/>
    <n v="7.9999999999999982"/>
    <n v="7.9999999999999982"/>
    <s v="Normal Working Days before 10pm"/>
    <s v="Total: 1663 Policies ( 20181001_1652: 445 Policies, 20181001_1702: 9 Policies, 20181002_1056: 1066 Policies, 20181002_1106: 117 Policies, 20181002_1116: 26 Policies, :  Policies, :  Policies,)"/>
    <s v=""/>
    <x v="21"/>
  </r>
  <r>
    <x v="1"/>
    <x v="12"/>
    <d v="2018-10-08T00:00:00"/>
    <s v="Mon"/>
    <d v="1899-12-30T08:30:00"/>
    <d v="1899-12-30T17:30:00"/>
    <n v="0"/>
    <n v="7.9999999999999982"/>
    <n v="7.9999999999999982"/>
    <s v="Normal Working Days before 10pm"/>
    <s v="Total: 1710 Policies ( 20181003_2312: 1600 Policies, 20181003_2322: 80 Policies, 20181003_2332: 30 Policies, :  Policies, :  Policies, :  Policies, :  Policies,)"/>
    <s v=""/>
    <x v="21"/>
  </r>
  <r>
    <x v="1"/>
    <x v="49"/>
    <d v="2018-10-08T00:00:00"/>
    <s v="Mon"/>
    <d v="1899-12-30T08:30:00"/>
    <d v="1899-12-30T17:30:00"/>
    <n v="0"/>
    <n v="7.9999999999999982"/>
    <n v="7.9999999999999982"/>
    <s v="Normal Working Days before 10pm"/>
    <s v="Total: 1710 Policies ( 20181003_2312: 1600 Policies, 20181003_2322: 80 Policies, 20181003_2332: 30 Policies, :  Policies, :  Policies, :  Policies, :  Policies,)"/>
    <s v=""/>
    <x v="21"/>
  </r>
  <r>
    <x v="1"/>
    <x v="12"/>
    <d v="2018-10-09T00:00:00"/>
    <s v="Tue"/>
    <d v="1899-12-30T08:30:00"/>
    <d v="1899-12-30T17:30:00"/>
    <n v="0"/>
    <n v="7.9999999999999982"/>
    <n v="7.9999999999999982"/>
    <s v="Normal Working Days before 10pm"/>
    <s v="Total: 1773 Policies ( 20181004_0411: 230 Policies, 20181004_0421: 366 Policies, 20181004_0431: 213 Policies, 20181005_1222: 527 Policies, 20181005_1232: 89 Policies, 20181005_1242: 24 Policies, 20181005_1728: 119 Policies,)"/>
    <s v=""/>
    <x v="21"/>
  </r>
  <r>
    <x v="1"/>
    <x v="49"/>
    <d v="2018-10-09T00:00:00"/>
    <s v="Tue"/>
    <d v="1899-12-30T08:30:00"/>
    <d v="1899-12-30T17:30:00"/>
    <n v="0"/>
    <n v="7.9999999999999982"/>
    <n v="7.9999999999999982"/>
    <s v="Normal Working Days before 10pm"/>
    <s v="Total: 1773 Policies ( 20181004_0411: 230 Policies, 20181004_0421: 366 Policies, 20181004_0431: 213 Policies, 20181005_1222: 527 Policies, 20181005_1232: 89 Policies, 20181005_1242: 24 Policies, 20181005_1728: 119 Policies,)"/>
    <s v=""/>
    <x v="21"/>
  </r>
  <r>
    <x v="1"/>
    <x v="49"/>
    <d v="2018-10-10T00:00:00"/>
    <s v="Wed"/>
    <d v="1899-12-30T08:30:00"/>
    <d v="1899-12-30T17:30:00"/>
    <n v="0"/>
    <n v="7.9999999999999982"/>
    <n v="7.9999999999999982"/>
    <s v="Normal Working Days before 10pm"/>
    <s v="Total: 1631 Policies ( 20181005_1738: 150 Policies, 20181005_1748: 55 Policies, 20181005_2120: 21 Policies, 20181005_2130: 13 Policies, 20181005_2140: 20 Policies, 20181008_1103: 21 Policies, 20181008_1113: 13 Policies,)"/>
    <s v=""/>
    <x v="21"/>
  </r>
  <r>
    <x v="1"/>
    <x v="49"/>
    <d v="2018-10-11T00:00:00"/>
    <s v="Thu"/>
    <d v="1899-12-30T08:30:00"/>
    <d v="1899-12-30T17:30:00"/>
    <n v="0"/>
    <n v="7.9999999999999982"/>
    <n v="7.9999999999999982"/>
    <s v="Normal Working Days before 10pm"/>
    <s v="Total: 883 Policies ( 20181010_1108: 89 Policies, 20181010_1118: 45 Policies, 20181010_1128: 32 Policies, 20181010_1444: 76 Policies, 20181010_1454: 54 Policies, 20181010_1504: 31 Policies, 20181010_2311: 285 Policies,)"/>
    <s v=""/>
    <x v="21"/>
  </r>
  <r>
    <x v="1"/>
    <x v="49"/>
    <d v="2018-10-15T00:00:00"/>
    <s v="Mon"/>
    <d v="1899-12-30T08:30:00"/>
    <d v="1899-12-30T17:30:00"/>
    <n v="0"/>
    <n v="7.9999999999999982"/>
    <n v="7.9999999999999982"/>
    <s v="Normal Working Days before 10pm"/>
    <s v="Total: 692 Policies ( 20181012_1429: 75 Policies, 20181012_1439: 44 Policies, 20181012_1449: 19 Policies, 20181012_2152: 194 Policies, 20181012_2202: 193 Policies, 20181012_2212: 61 Policies, 20181015_1133: 81 Policies,)"/>
    <s v=""/>
    <x v="21"/>
  </r>
  <r>
    <x v="1"/>
    <x v="49"/>
    <d v="2018-10-18T00:00:00"/>
    <s v="Thu"/>
    <d v="1899-12-30T08:30:00"/>
    <d v="1899-12-30T17:30:00"/>
    <n v="0"/>
    <n v="7.9999999999999982"/>
    <n v="7.9999999999999982"/>
    <s v="Normal Working Days before 10pm"/>
    <s v="Total: 631 Policies ( 20181017_1515: 69 Policies, 20181017_1525: 65 Policies, 20181017_1535: 25 Policies, 20181017_2137: 150 Policies, 20181017_2147: 133 Policies, 20181017_2157: 68 Policies, 20181017_1137: 76 Policies,)"/>
    <s v=""/>
    <x v="21"/>
  </r>
  <r>
    <x v="1"/>
    <x v="49"/>
    <d v="2018-10-19T00:00:00"/>
    <s v="Fri"/>
    <d v="1899-12-30T08:30:00"/>
    <d v="1899-12-30T17:30:00"/>
    <n v="0"/>
    <n v="7.9999999999999982"/>
    <n v="7.9999999999999982"/>
    <s v="Normal Working Days before 10pm"/>
    <s v="Total: 659 Policies ( 20181018_1444: 46 Policies, 20181018_1454: 66 Policies, 20181018_1504: 20 Policies, 20181018_2148: 122 Policies, 20181018_2158: 182 Policies, 20181018_2208: 50 Policies, 20181018_1124: 135 Policies,)"/>
    <s v=""/>
    <x v="21"/>
  </r>
  <r>
    <x v="1"/>
    <x v="49"/>
    <d v="2018-10-22T00:00:00"/>
    <s v="Mon"/>
    <d v="1899-12-30T08:30:00"/>
    <d v="1899-12-30T17:30:00"/>
    <n v="0"/>
    <n v="7.9999999999999982"/>
    <n v="7.9999999999999982"/>
    <s v="Normal Working Days before 10pm"/>
    <s v="Total: 619 Policies ( 20181019_1457: 40 Policies, 20181019_1507: 61 Policies, 20181019_1517: 19 Policies, 20181019_2145: 158 Policies, 20181019_2155: 134 Policies, 20181019_2205: 65 Policies, 20181020_2137: 128 Policies,)"/>
    <s v=""/>
    <x v="21"/>
  </r>
  <r>
    <x v="1"/>
    <x v="12"/>
    <d v="2018-10-23T00:00:00"/>
    <s v="Tue"/>
    <d v="1899-12-30T08:30:00"/>
    <d v="1899-12-30T17:30:00"/>
    <n v="0"/>
    <n v="7.9999999999999982"/>
    <n v="7.9999999999999982"/>
    <s v="Normal Working Days before 10pm"/>
    <s v="Total: 1074 Policies ( 20181022_1341: 104 Policies, 20181022_1351: 50 Policies, 20181022_1401: 15 Policies, 20181022_1530: 70 Policies, 20181022_1540: 53 Policies, 20181022_1550: 27 Policies, 20181022_0044: 362 Policies,)"/>
    <s v=""/>
    <x v="21"/>
  </r>
  <r>
    <x v="1"/>
    <x v="49"/>
    <d v="2018-10-23T00:00:00"/>
    <s v="Tue"/>
    <d v="1899-12-30T12:30:00"/>
    <d v="1899-12-30T17:30:00"/>
    <n v="0"/>
    <n v="4.9999999999999982"/>
    <n v="4.9999999999999982"/>
    <s v="Normal Working Days before 10pm"/>
    <s v="Total: 1074 Policies ( 20181022_1341: 104 Policies, 20181022_1351: 50 Policies, 20181022_1401: 15 Policies, 20181022_1530: 70 Policies, 20181022_1540: 53 Policies, 20181022_1550: 27 Policies, 20181022_0044: 362 Policies,)"/>
    <s v=""/>
    <x v="21"/>
  </r>
  <r>
    <x v="1"/>
    <x v="49"/>
    <d v="2018-10-25T00:00:00"/>
    <s v="Thu"/>
    <d v="1899-12-30T08:30:00"/>
    <d v="1899-12-30T17:30:00"/>
    <n v="0"/>
    <n v="7.9999999999999982"/>
    <n v="7.9999999999999982"/>
    <s v="Normal Working Days before 10pm"/>
    <s v="Total: 840 Policies ( 20181024_1500: 92 Policies, 20181024_1510: 77 Policies, 20181024_1520: 35 Policies, 20181024_2242: 284 Policies, 20181024_2252: 195 Policies, 20181024_2302: 104 Policies, 20181025_1130: 39 Policies,)"/>
    <s v=""/>
    <x v="21"/>
  </r>
  <r>
    <x v="1"/>
    <x v="12"/>
    <d v="2018-10-26T00:00:00"/>
    <s v="Fri"/>
    <d v="1899-12-30T08:30:00"/>
    <d v="1899-12-30T17:30:00"/>
    <n v="0"/>
    <n v="7.9999999999999982"/>
    <n v="7.9999999999999982"/>
    <s v="Normal Working Days before 10pm"/>
    <s v="Total: 1013 Policies ( 20181025_1454: 90 Policies, 20181025_1504: 77 Policies, 20181025_1514: 43 Policies, 20181025_2248: 342 Policies, 20181025_2258: 199 Policies, 20181025_2308: 117 Policies, 20181026_1210: 82 Policies,)"/>
    <s v=""/>
    <x v="21"/>
  </r>
  <r>
    <x v="1"/>
    <x v="49"/>
    <d v="2018-10-26T00:00:00"/>
    <s v="Fri"/>
    <d v="1899-12-30T08:30:00"/>
    <d v="1899-12-30T17:30:00"/>
    <n v="0"/>
    <n v="7.9999999999999982"/>
    <n v="7.9999999999999982"/>
    <s v="Normal Working Days before 10pm"/>
    <s v="Total: 1013 Policies ( 20181025_1454: 90 Policies, 20181025_1504: 77 Policies, 20181025_1514: 43 Policies, 20181025_2248: 342 Policies, 20181025_2258: 199 Policies, 20181025_2308: 117 Policies, 20181026_1210: 82 Policies,)"/>
    <s v=""/>
    <x v="21"/>
  </r>
  <r>
    <x v="1"/>
    <x v="49"/>
    <d v="2018-10-29T00:00:00"/>
    <s v="Mon"/>
    <d v="1899-12-30T08:30:00"/>
    <d v="1899-12-30T17:30:00"/>
    <n v="0"/>
    <n v="7.9999999999999982"/>
    <n v="7.9999999999999982"/>
    <s v="Normal Working Days before 10pm"/>
    <s v="Total: 1652 Policies ( 20181026_1428: 29 Policies, 20181026_1438: 64 Policies, 20181026_1448: 32 Policies, 20181026_2152: 423 Policies, 20181026_2202: 263 Policies, 20181026_2212: 139 Policies, 20181027_1133: 66 Policies,)"/>
    <s v=""/>
    <x v="21"/>
  </r>
  <r>
    <x v="1"/>
    <x v="50"/>
    <d v="2018-10-29T00:00:00"/>
    <s v="Mon"/>
    <d v="1899-12-30T08:30:00"/>
    <d v="1899-12-30T17:30:00"/>
    <n v="0"/>
    <n v="7.9999999999999982"/>
    <n v="7.9999999999999982"/>
    <s v="Normal Working Days before 10pm"/>
    <s v="Total: 1652 Policies ( 20181026_1428: 29 Policies, 20181026_1438: 64 Policies, 20181026_1448: 32 Policies, 20181026_2152: 423 Policies, 20181026_2202: 263 Policies, 20181026_2212: 139 Policies, 20181027_1133: 66 Policies,)"/>
    <s v=""/>
    <x v="21"/>
  </r>
  <r>
    <x v="1"/>
    <x v="12"/>
    <d v="2018-10-30T00:00:00"/>
    <s v="Tue"/>
    <d v="1899-12-30T10:00:00"/>
    <d v="1899-12-30T17:00:00"/>
    <n v="0"/>
    <n v="6"/>
    <n v="6"/>
    <s v="Normal Working Days before 10pm"/>
    <s v="Total: 1053 Policies ( 20181027_2155: 139 Policies, 20181027_2205: 91 Policies, 20181028_1419: 5 Policies, 20181028_1429: 1 Policies, 20181028_2148: 181 Policies, 20181028_2158: 53 Policies, 20181028_2208: 36 Policies,)"/>
    <s v=""/>
    <x v="21"/>
  </r>
  <r>
    <x v="1"/>
    <x v="50"/>
    <d v="2018-10-30T00:00:00"/>
    <s v="Tue"/>
    <d v="1899-12-30T08:30:00"/>
    <d v="1899-12-30T17:30:00"/>
    <n v="0"/>
    <n v="7.9999999999999982"/>
    <n v="7.9999999999999982"/>
    <s v="Normal Working Days before 10pm"/>
    <s v="Total: 1053 Policies ( 20181027_2155: 139 Policies, 20181027_2205: 91 Policies, 20181028_1419: 5 Policies, 20181028_1429: 1 Policies, 20181028_2148: 181 Policies, 20181028_2158: 53 Policies, 20181028_2208: 36 Policies,)"/>
    <s v=""/>
    <x v="21"/>
  </r>
  <r>
    <x v="0"/>
    <x v="43"/>
    <d v="2018-10-31T00:00:00"/>
    <s v="Wed"/>
    <d v="1899-12-30T17:30:00"/>
    <d v="1899-12-30T19:30:00"/>
    <n v="8.0000000000000036"/>
    <n v="1.9999999999999964"/>
    <n v="1.9999999999999964"/>
    <s v="Normal Working Days before 10pm"/>
    <s v="Total: 2534 Policies ( 20181029_0626: 361 Policies, 20181029_0636: 243 Policies, 20181030_1434: 614 Policies, 20181030_1444: 332 Policies, 20181030_1454: 107 Policies, 20181030_2345: 877 Policies, :  Policies,)"/>
    <n v="1"/>
    <x v="21"/>
  </r>
  <r>
    <x v="0"/>
    <x v="44"/>
    <d v="2018-10-31T00:00:00"/>
    <s v="Wed"/>
    <d v="1899-12-30T17:30:00"/>
    <d v="1899-12-30T19:30:00"/>
    <n v="8.0000000000000036"/>
    <n v="1.9999999999999964"/>
    <n v="1.9999999999999964"/>
    <s v="Normal Working Days before 10pm"/>
    <s v="Total: 2534 Policies ( 20181029_0626: 361 Policies, 20181029_0636: 243 Policies, 20181030_1434: 614 Policies, 20181030_1444: 332 Policies, 20181030_1454: 107 Policies, 20181030_2345: 877 Policies, :  Policies,)"/>
    <n v="1"/>
    <x v="21"/>
  </r>
  <r>
    <x v="0"/>
    <x v="51"/>
    <d v="2018-10-31T00:00:00"/>
    <s v="Wed"/>
    <d v="1899-12-30T17:30:00"/>
    <d v="1899-12-30T19:30:00"/>
    <n v="8.0000000000000036"/>
    <n v="1.9999999999999964"/>
    <n v="1.9999999999999964"/>
    <s v="Normal Working Days before 10pm"/>
    <s v="Total: 2534 Policies ( 20181029_0626: 361 Policies, 20181029_0636: 243 Policies, 20181030_1434: 614 Policies, 20181030_1444: 332 Policies, 20181030_1454: 107 Policies, 20181030_2345: 877 Policies, :  Policies,)"/>
    <n v="1"/>
    <x v="21"/>
  </r>
  <r>
    <x v="0"/>
    <x v="52"/>
    <d v="2018-10-31T00:00:00"/>
    <s v="Wed"/>
    <d v="1899-12-30T17:30:00"/>
    <d v="1899-12-30T19:30:00"/>
    <n v="8.0000000000000036"/>
    <n v="1.9999999999999964"/>
    <n v="1.9999999999999964"/>
    <s v="Normal Working Days before 10pm"/>
    <s v="Total: 2534 Policies ( 20181029_0626: 361 Policies, 20181029_0636: 243 Policies, 20181030_1434: 614 Policies, 20181030_1444: 332 Policies, 20181030_1454: 107 Policies, 20181030_2345: 877 Policies, :  Policies,)"/>
    <n v="1"/>
    <x v="21"/>
  </r>
  <r>
    <x v="0"/>
    <x v="53"/>
    <d v="2018-10-31T00:00:00"/>
    <s v="Wed"/>
    <d v="1899-12-30T17:30:00"/>
    <d v="1899-12-30T19:30:00"/>
    <n v="8.0000000000000036"/>
    <n v="1.9999999999999964"/>
    <n v="1.9999999999999964"/>
    <s v="Normal Working Days before 10pm"/>
    <s v="Total: 2534 Policies ( 20181029_0626: 361 Policies, 20181029_0636: 243 Policies, 20181030_1434: 614 Policies, 20181030_1444: 332 Policies, 20181030_1454: 107 Policies, 20181030_2345: 877 Policies, :  Policies,)"/>
    <n v="1"/>
    <x v="21"/>
  </r>
  <r>
    <x v="1"/>
    <x v="7"/>
    <d v="2018-10-31T00:00:00"/>
    <s v="Wed"/>
    <d v="1899-12-30T08:30:00"/>
    <d v="1899-12-30T17:30:00"/>
    <n v="0"/>
    <n v="7.9999999999999982"/>
    <n v="7.9999999999999982"/>
    <s v="Normal Working Days before 10pm"/>
    <s v="Total: 2534 Policies ( 20181029_0626: 361 Policies, 20181029_0636: 243 Policies, 20181030_1434: 614 Policies, 20181030_1444: 332 Policies, 20181030_1454: 107 Policies, 20181030_2345: 877 Policies, :  Policies,)"/>
    <s v=""/>
    <x v="21"/>
  </r>
  <r>
    <x v="1"/>
    <x v="50"/>
    <d v="2018-11-01T00:00:00"/>
    <s v="Thu"/>
    <d v="1899-12-30T08:30:00"/>
    <d v="1899-12-30T17:30:00"/>
    <n v="0"/>
    <n v="7.9999999999999982"/>
    <n v="7.9999999999999982"/>
    <s v="Normal Working Days before 10pm"/>
    <s v="Total: 1634 Policies ( 20181030_2355: 413 Policies, 20181030_0005: 204 Policies, 20181031_0258: 387 Policies, 20181031_0308: 630 Policies, :  Policies, :  Policies, :  Policies,)"/>
    <s v=""/>
    <x v="22"/>
  </r>
  <r>
    <x v="1"/>
    <x v="28"/>
    <d v="2018-11-01T00:00:00"/>
    <s v="Thu"/>
    <d v="1899-12-30T08:30:00"/>
    <d v="1899-12-30T15:00:00"/>
    <n v="0"/>
    <n v="5.5"/>
    <n v="5.5"/>
    <s v="Normal Working Days before 10pm"/>
    <s v="Total: 1634 Policies ( 20181030_2355: 413 Policies, 20181030_0005: 204 Policies, 20181031_0258: 387 Policies, 20181031_0308: 630 Policies, :  Policies, :  Policies, :  Policies,)"/>
    <s v=""/>
    <x v="22"/>
  </r>
  <r>
    <x v="1"/>
    <x v="54"/>
    <d v="2018-11-01T00:00:00"/>
    <s v="Thu"/>
    <d v="1899-12-30T08:30:00"/>
    <d v="1899-12-30T17:30:00"/>
    <n v="0"/>
    <n v="7.9999999999999982"/>
    <n v="7.9999999999999982"/>
    <s v="Normal Working Days before 10pm"/>
    <s v="Total: 1634 Policies ( 20181030_2355: 413 Policies, 20181030_0005: 204 Policies, 20181031_0258: 387 Policies, 20181031_0308: 630 Policies, :  Policies, :  Policies, :  Policies,)"/>
    <s v=""/>
    <x v="22"/>
  </r>
  <r>
    <x v="1"/>
    <x v="12"/>
    <d v="2018-11-02T00:00:00"/>
    <s v="Fri"/>
    <d v="1899-12-30T08:30:00"/>
    <d v="1899-12-30T17:30:00"/>
    <n v="0"/>
    <n v="7.9999999999999982"/>
    <n v="7.9999999999999982"/>
    <s v="Normal Working Days before 10pm"/>
    <s v="Total: 1479 Policies ( 20181031_0318: 424 Policies, 20181031_1105: 528 Policies, 20181031_1115: 300 Policies, 20181031_1125: 7 Policies, 20181101_1916: 139 Policies, 20181101_1926: 81 Policies, :  Policies,)"/>
    <s v=""/>
    <x v="22"/>
  </r>
  <r>
    <x v="1"/>
    <x v="50"/>
    <d v="2018-11-02T00:00:00"/>
    <s v="Fri"/>
    <d v="1899-12-30T08:30:00"/>
    <d v="1899-12-30T17:30:00"/>
    <n v="0"/>
    <n v="7.9999999999999982"/>
    <n v="7.9999999999999982"/>
    <s v="Normal Working Days before 10pm"/>
    <s v="Total: 1479 Policies ( 20181031_0318: 424 Policies, 20181031_1105: 528 Policies, 20181031_1115: 300 Policies, 20181031_1125: 7 Policies, 20181101_1916: 139 Policies, 20181101_1926: 81 Policies, :  Policies,)"/>
    <s v=""/>
    <x v="22"/>
  </r>
  <r>
    <x v="1"/>
    <x v="7"/>
    <d v="2018-11-02T00:00:00"/>
    <s v="Fri"/>
    <d v="1899-12-30T08:30:00"/>
    <d v="1899-12-30T17:30:00"/>
    <n v="0"/>
    <n v="7.9999999999999982"/>
    <n v="7.9999999999999982"/>
    <s v="Normal Working Days before 10pm"/>
    <s v="Total: 1479 Policies ( 20181031_0318: 424 Policies, 20181031_1105: 528 Policies, 20181031_1115: 300 Policies, 20181031_1125: 7 Policies, 20181101_1916: 139 Policies, 20181101_1926: 81 Policies, :  Policies,)"/>
    <s v=""/>
    <x v="22"/>
  </r>
  <r>
    <x v="1"/>
    <x v="6"/>
    <d v="2018-11-02T00:00:00"/>
    <s v="Fri"/>
    <d v="1899-12-30T08:30:00"/>
    <d v="1899-12-30T17:30:00"/>
    <n v="0"/>
    <n v="7.9999999999999982"/>
    <n v="7.9999999999999982"/>
    <s v="Normal Working Days before 10pm"/>
    <s v="Total: 1479 Policies ( 20181031_0318: 424 Policies, 20181031_1105: 528 Policies, 20181031_1115: 300 Policies, 20181031_1125: 7 Policies, 20181101_1916: 139 Policies, 20181101_1926: 81 Policies, :  Policies,)"/>
    <s v=""/>
    <x v="22"/>
  </r>
  <r>
    <x v="1"/>
    <x v="28"/>
    <d v="2018-11-02T00:00:00"/>
    <s v="Fri"/>
    <d v="1899-12-30T08:30:00"/>
    <d v="1899-12-30T15:00:00"/>
    <n v="0"/>
    <n v="5.5"/>
    <n v="5.5"/>
    <s v="Normal Working Days before 10pm"/>
    <s v="Total: 1479 Policies ( 20181031_0318: 424 Policies, 20181031_1105: 528 Policies, 20181031_1115: 300 Policies, 20181031_1125: 7 Policies, 20181101_1916: 139 Policies, 20181101_1926: 81 Policies, :  Policies,)"/>
    <s v=""/>
    <x v="22"/>
  </r>
  <r>
    <x v="1"/>
    <x v="49"/>
    <d v="2018-11-05T00:00:00"/>
    <s v="Mon"/>
    <d v="1899-12-30T08:30:00"/>
    <d v="1899-12-30T17:30:00"/>
    <n v="0"/>
    <n v="7.9999999999999982"/>
    <n v="7.9999999999999982"/>
    <s v="Normal Working Days before 10pm"/>
    <s v="Total: 1850 Policies ( 20181101_1906: 1722 Policies, 20181102_0015: 128 Policies, :  Policies, :  Policies, :  Policies, :  Policies, :  Policies,)"/>
    <s v=""/>
    <x v="22"/>
  </r>
  <r>
    <x v="1"/>
    <x v="49"/>
    <d v="2018-11-06T00:00:00"/>
    <s v="Tue"/>
    <d v="1899-12-30T08:30:00"/>
    <d v="1899-12-30T17:30:00"/>
    <n v="0"/>
    <n v="7.9999999999999982"/>
    <n v="7.9999999999999982"/>
    <s v="Normal Working Days before 10pm"/>
    <s v="Total: 1815 Policies ( 20181102_1508: 876 Policies, 20181102_1518: 226 Policies, 20181102_1528: 125 Policies, 20181102_0005: 183 Policies, 20181102_2355: 209 Policies, 20181105_1017: 104 Policies, 20181105_1027: 92 Policies,)"/>
    <s v=""/>
    <x v="22"/>
  </r>
  <r>
    <x v="1"/>
    <x v="49"/>
    <d v="2018-11-07T00:00:00"/>
    <s v="Wed"/>
    <d v="1899-12-30T08:30:00"/>
    <d v="1899-12-30T17:30:00"/>
    <n v="0"/>
    <n v="7.9999999999999982"/>
    <n v="7.9999999999999982"/>
    <s v="Normal Working Days before 10pm"/>
    <s v="Total: 1457 Policies ( 20181106_1618: 252 Policies, 20181106_1559: 737 Policies, 20181106_1609: 468 Policies, :  Policies, :  Policies, :  Policies, :  Policies,)"/>
    <s v=""/>
    <x v="22"/>
  </r>
  <r>
    <x v="1"/>
    <x v="49"/>
    <d v="2018-11-08T00:00:00"/>
    <s v="Thu"/>
    <d v="1899-12-30T08:30:00"/>
    <d v="1899-12-30T17:30:00"/>
    <n v="0"/>
    <n v="7.9999999999999982"/>
    <n v="7.9999999999999982"/>
    <s v="Normal Working Days before 10pm"/>
    <s v="Total: 1055 Policies ( 20181107_1001: 174 Policies, 20181107_1011: 193 Policies, 20181107_1021: 82 Policies, 20181107_1536: 131 Policies, 20181107_1546: 97 Policies, 20181107_1556: 53 Policies, 20181107_2259: 104 Policies,)"/>
    <s v=""/>
    <x v="22"/>
  </r>
  <r>
    <x v="1"/>
    <x v="7"/>
    <d v="2018-11-08T00:00:00"/>
    <s v="Thu"/>
    <d v="1899-12-30T08:30:00"/>
    <d v="1899-12-30T17:30:00"/>
    <n v="0"/>
    <n v="7.9999999999999982"/>
    <n v="7.9999999999999982"/>
    <s v="Normal Working Days before 10pm"/>
    <s v="Total: 1055 Policies ( 20181107_1001: 174 Policies, 20181107_1011: 193 Policies, 20181107_1021: 82 Policies, 20181107_1536: 131 Policies, 20181107_1546: 97 Policies, 20181107_1556: 53 Policies, 20181107_2259: 104 Policies,)"/>
    <s v=""/>
    <x v="22"/>
  </r>
  <r>
    <x v="1"/>
    <x v="28"/>
    <d v="2018-11-08T00:00:00"/>
    <s v="Thu"/>
    <d v="1899-12-30T08:30:00"/>
    <d v="1899-12-30T15:00:00"/>
    <n v="0"/>
    <n v="5.5"/>
    <n v="5.5"/>
    <s v="Normal Working Days before 10pm"/>
    <s v="Total: 1055 Policies ( 20181107_1001: 174 Policies, 20181107_1011: 193 Policies, 20181107_1021: 82 Policies, 20181107_1536: 131 Policies, 20181107_1546: 97 Policies, 20181107_1556: 53 Policies, 20181107_2259: 104 Policies,)"/>
    <s v=""/>
    <x v="22"/>
  </r>
  <r>
    <x v="1"/>
    <x v="49"/>
    <d v="2018-11-09T00:00:00"/>
    <s v="Fri"/>
    <d v="1899-12-30T08:30:00"/>
    <d v="1899-12-30T17:30:00"/>
    <n v="0"/>
    <n v="7.9999999999999982"/>
    <n v="7.9999999999999982"/>
    <s v="Normal Working Days before 10pm"/>
    <s v="Total: 459 Policies ( 20181108_1425: 23 Policies, 20181108_1435: 11 Policies, 20181108_1445: 7 Policies, 20181108_2212: 151 Policies, 20181108_2222: 117 Policies, 20181108_2232: 78 Policies, 20181109_1205: 17 Policies,)"/>
    <s v=""/>
    <x v="22"/>
  </r>
  <r>
    <x v="1"/>
    <x v="49"/>
    <d v="2018-11-12T00:00:00"/>
    <s v="Mon"/>
    <d v="1899-12-30T08:30:00"/>
    <d v="1899-12-30T17:30:00"/>
    <n v="0"/>
    <n v="7.9999999999999982"/>
    <n v="7.9999999999999982"/>
    <s v="Normal Working Days before 10pm"/>
    <s v="Total: 997 Policies ( 20181109_1525: 105 Policies, 20181109_1535: 41 Policies, 20181109_1545: 18 Policies, 20181109_2310: 397 Policies, 20181109_2320: 198 Policies, 20181109_2330: 111 Policies, 20181112_1117: 79 Policies,)"/>
    <s v=""/>
    <x v="22"/>
  </r>
  <r>
    <x v="1"/>
    <x v="49"/>
    <d v="2018-11-15T00:00:00"/>
    <s v="Thu"/>
    <d v="1899-12-30T08:30:00"/>
    <d v="1899-12-30T17:30:00"/>
    <n v="0"/>
    <n v="7.9999999999999982"/>
    <n v="7.9999999999999982"/>
    <s v="Normal Working Days before 10pm"/>
    <s v="Total: 711 Policies ( 20181114_1457: 81 Policies, 20181114_1507: 37 Policies, 20181114_1517: 29 Policies, 20181114_2307: 179 Policies, 20181114_2317: 87 Policies, 20181115_0915: 209 Policies, 20181115_1152: 32 Policies,)"/>
    <s v=""/>
    <x v="22"/>
  </r>
  <r>
    <x v="1"/>
    <x v="49"/>
    <d v="2018-11-16T00:00:00"/>
    <s v="Fri"/>
    <d v="1899-12-30T08:30:00"/>
    <d v="1899-12-30T17:30:00"/>
    <n v="0"/>
    <n v="7.9999999999999982"/>
    <n v="7.9999999999999982"/>
    <s v="Normal Working Days before 10pm"/>
    <s v="Total: 693 Policies ( 20181115_1436: 57 Policies, 20181115_1446: 45 Policies, 20181115_1456: 25 Policies, 20181115_2314: 231 Policies, 20181115_2324: 163 Policies, 20181115_2334: 121 Policies, 20181116_1141: 18 Policies,)"/>
    <s v=""/>
    <x v="22"/>
  </r>
  <r>
    <x v="1"/>
    <x v="49"/>
    <d v="2018-11-19T00:00:00"/>
    <s v="Mon"/>
    <d v="1899-12-30T08:30:00"/>
    <d v="1899-12-30T17:30:00"/>
    <n v="0"/>
    <n v="7.9999999999999982"/>
    <n v="7.9999999999999982"/>
    <s v="Normal Working Days before 10pm"/>
    <s v="Total: 648 Policies ( :  Policies, 20181116_1501: 95 Policies, 20181116_1511: 52 Policies, 20181116_1521: 38 Policies, 20181116_2302: 140 Policies, 20181116_2312: 164 Policies, 20181116_2322: 92 Policies,)"/>
    <s v=""/>
    <x v="22"/>
  </r>
  <r>
    <x v="1"/>
    <x v="12"/>
    <d v="2018-11-20T00:00:00"/>
    <s v="Tue"/>
    <d v="1899-12-30T08:30:00"/>
    <d v="1899-12-30T17:30:00"/>
    <n v="0"/>
    <n v="7.9999999999999982"/>
    <n v="7.9999999999999982"/>
    <s v="Normal Working Days before 10pm"/>
    <s v="Total: 1333 Policies ( 20181119_1445: 116 Policies, 20181119_1455: 91 Policies, 20181119_1505: 47 Policies, 20181119_2245: 439 Policies, 20181119_2255: 199 Policies, 20181119_2305: 105 Policies, 20181120_1138: 336 Policies,)"/>
    <s v=""/>
    <x v="22"/>
  </r>
  <r>
    <x v="1"/>
    <x v="7"/>
    <d v="2018-11-21T00:00:00"/>
    <s v="Wed"/>
    <d v="1899-12-30T08:30:00"/>
    <d v="1899-12-30T17:30:00"/>
    <n v="0"/>
    <n v="7.9999999999999982"/>
    <n v="7.9999999999999982"/>
    <s v="Normal Working Days before 10pm"/>
    <s v="Total: 952 Policies ( 20181120_1148: 52 Policies, 20181120_1158: 34 Policies, 20181120_1439: 113 Policies, 20181120_1449: 50 Policies, 20181120_1459: 17 Policies, 20181120_2255: 292 Policies, 20181120_2305: 213 Policies,)"/>
    <s v=""/>
    <x v="22"/>
  </r>
  <r>
    <x v="1"/>
    <x v="49"/>
    <d v="2018-11-22T00:00:00"/>
    <s v="Thu"/>
    <d v="1899-12-30T08:30:00"/>
    <d v="1899-12-30T17:30:00"/>
    <n v="0"/>
    <n v="7.9999999999999982"/>
    <n v="7.9999999999999982"/>
    <s v="Normal Working Days before 10pm"/>
    <s v="Total: 694 Policies ( 20181121_1512: 75 Policies, 20181121_1522: 29 Policies, 20181121_1532: 25 Policies, 20181121_2301: 147 Policies, 20181121_2311: 161 Policies, 20181121_2321: 82 Policies, 20181122_1116: 114 Policies,)"/>
    <s v=""/>
    <x v="22"/>
  </r>
  <r>
    <x v="1"/>
    <x v="49"/>
    <d v="2018-11-23T00:00:00"/>
    <s v="Fri"/>
    <d v="1899-12-30T08:30:00"/>
    <d v="1899-12-30T17:30:00"/>
    <n v="0"/>
    <n v="7.9999999999999982"/>
    <n v="7.9999999999999982"/>
    <s v="Normal Working Days before 10pm"/>
    <s v="Total: 922 Policies ( 20181122_1439: 63 Policies, 20181122_1449: 36 Policies, 20181122_1459: 23 Policies, 20181122_2309: 275 Policies, 20181122_2319: 255 Policies, 20181122_2329: 107 Policies, 20181123_1137: 36 Policies,)"/>
    <s v=""/>
    <x v="22"/>
  </r>
  <r>
    <x v="1"/>
    <x v="49"/>
    <d v="2018-11-26T00:00:00"/>
    <s v="Mon"/>
    <d v="1899-12-30T08:30:00"/>
    <d v="1899-12-30T17:30:00"/>
    <n v="0"/>
    <n v="7.9999999999999982"/>
    <n v="7.9999999999999982"/>
    <s v="Normal Working Days before 10pm"/>
    <s v="Total: 1043 Policies ( 20181123_2144: 330 Policies, 20181123_2154: 239 Policies, 20181123_2204: 123 Policies, 20181124_2111: 182 Policies, 20181124_2121: 30 Policies, 20181124_2131: 19 Policies, 20181125_2104: 1 Policies,)"/>
    <s v=""/>
    <x v="22"/>
  </r>
  <r>
    <x v="1"/>
    <x v="50"/>
    <d v="2018-11-26T00:00:00"/>
    <s v="Mon"/>
    <d v="1899-12-30T08:30:00"/>
    <d v="1899-12-30T17:30:00"/>
    <n v="0"/>
    <n v="7.9999999999999982"/>
    <n v="7.9999999999999982"/>
    <s v="Normal Working Days before 10pm"/>
    <s v="Total: 1043 Policies ( 20181123_2144: 330 Policies, 20181123_2154: 239 Policies, 20181123_2204: 123 Policies, 20181124_2111: 182 Policies, 20181124_2121: 30 Policies, 20181124_2131: 19 Policies, 20181125_2104: 1 Policies,)"/>
    <s v=""/>
    <x v="22"/>
  </r>
  <r>
    <x v="1"/>
    <x v="49"/>
    <d v="2018-11-27T00:00:00"/>
    <s v="Tue"/>
    <d v="1899-12-30T08:30:00"/>
    <d v="1899-12-30T17:30:00"/>
    <n v="0"/>
    <n v="7.9999999999999982"/>
    <n v="7.9999999999999982"/>
    <s v="Normal Working Days before 10pm"/>
    <s v="Total: 1425 Policies ( 20181126_1440: 110 Policies, 20181126_1450: 63 Policies, 20181126_1500: 32 Policies, 20181126_2256: 507 Policies, 20181126_2306: 380 Policies, 20181126_2316: 177 Policies, 20181127_1130: 111 Policies,)"/>
    <s v=""/>
    <x v="22"/>
  </r>
  <r>
    <x v="1"/>
    <x v="49"/>
    <d v="2018-11-28T00:00:00"/>
    <s v="Wed"/>
    <d v="1899-12-30T08:30:00"/>
    <d v="1899-12-30T17:30:00"/>
    <n v="0"/>
    <n v="7.9999999999999982"/>
    <n v="7.9999999999999982"/>
    <s v="Normal Working Days before 10pm"/>
    <s v="Total: 1577 Policies ( 20181127_1432: 111 Policies, 20181127_1442: 95 Policies, 20181127_1452: 48 Policies, 20181127_2206: 339 Policies, 20181127_2216: 181 Policies, 20181127_2156: 541 Policies, 20181128_1125: 234 Policies,)"/>
    <s v=""/>
    <x v="22"/>
  </r>
  <r>
    <x v="1"/>
    <x v="49"/>
    <d v="2018-11-29T00:00:00"/>
    <s v="Thu"/>
    <d v="1899-12-30T08:30:00"/>
    <d v="1899-12-30T17:30:00"/>
    <n v="0"/>
    <n v="7.9999999999999982"/>
    <n v="7.9999999999999982"/>
    <s v="Normal Working Days before 10pm"/>
    <s v="Total: 1694 Policies ( 20181128_1452: 87 Policies, 20181128_1502: 167 Policies, 20181128_1512: 57 Policies, 20181128_2159: 777 Policies, 20181128_2209: 435 Policies, 20181128_2219: 171 Policies, :  Policies,)"/>
    <s v=""/>
    <x v="22"/>
  </r>
  <r>
    <x v="1"/>
    <x v="49"/>
    <d v="2018-11-30T00:00:00"/>
    <s v="Fri"/>
    <d v="1899-12-30T08:30:00"/>
    <d v="1899-12-30T17:30:00"/>
    <n v="0"/>
    <n v="7.9999999999999982"/>
    <n v="7.9999999999999982"/>
    <s v="Normal Working Days before 10pm"/>
    <s v="Total: 580 Policies ( 20181129_1139: 188 Policies, 20181129_1149: 38 Policies, 20181129_1159: 22 Policies, 20181129_1453: 191 Policies, 20181129_1503: 93 Policies, 20181129_1513: 48 Policies, :  Policies,)"/>
    <s v=""/>
    <x v="22"/>
  </r>
  <r>
    <x v="1"/>
    <x v="49"/>
    <d v="2018-12-03T00:00:00"/>
    <s v="Mon"/>
    <d v="1899-12-30T08:30:00"/>
    <d v="1899-12-30T17:30:00"/>
    <n v="0"/>
    <n v="7.9999999999999982"/>
    <n v="7.9999999999999982"/>
    <s v="Normal Working Days before 10pm"/>
    <s v="Total: 2104 Policies ( 20181129_2343: 1238 Policies, 20181129_2353: 566 Policies, 20181129_0003: 300 Policies, :  Policies, :  Policies, :  Policies, :  Policies,)"/>
    <s v=""/>
    <x v="23"/>
  </r>
  <r>
    <x v="1"/>
    <x v="28"/>
    <d v="2018-12-03T00:00:00"/>
    <s v="Mon"/>
    <d v="1899-12-30T08:30:00"/>
    <d v="1899-12-30T17:30:00"/>
    <n v="0"/>
    <n v="7.9999999999999982"/>
    <n v="7.9999999999999982"/>
    <s v="Normal Working Days before 10pm"/>
    <s v="Total: 2104 Policies ( 20181129_2343: 1238 Policies, 20181129_2353: 566 Policies, 20181129_0003: 300 Policies, :  Policies, :  Policies, :  Policies, :  Policies,)"/>
    <s v=""/>
    <x v="23"/>
  </r>
  <r>
    <x v="1"/>
    <x v="49"/>
    <d v="2018-12-04T00:00:00"/>
    <s v="Tue"/>
    <d v="1899-12-30T08:30:00"/>
    <d v="1899-12-30T17:30:00"/>
    <n v="0"/>
    <n v="7.9999999999999982"/>
    <n v="7.9999999999999982"/>
    <s v="Normal Working Days before 10pm"/>
    <s v="Total: 2199 Policies ( 20181130_1449: 647 Policies, 20181130_1459: 144 Policies, 20181130_1509: 119 Policies, 20181130_2300: 1289 Policies, :  Policies, :  Policies, :  Policies,)"/>
    <s v=""/>
    <x v="23"/>
  </r>
  <r>
    <x v="1"/>
    <x v="49"/>
    <d v="2018-12-05T00:00:00"/>
    <s v="Wed"/>
    <d v="1899-12-30T08:30:00"/>
    <d v="1899-12-30T17:30:00"/>
    <n v="0"/>
    <n v="7.9999999999999982"/>
    <n v="7.9999999999999982"/>
    <s v="Normal Working Days before 10pm"/>
    <s v="Total: 1673 Policies ( 20181130_2310: 751 Policies, 20181130_2320: 333 Policies, 20181130_2248: 59 Policies, 20181130_2258: 98 Policies, 20181130_2308: 38 Policies, 20181130_1552: 11 Policies, 20181130_1602: 9 Policies,)"/>
    <s v=""/>
    <x v="23"/>
  </r>
  <r>
    <x v="1"/>
    <x v="49"/>
    <d v="2018-12-06T00:00:00"/>
    <s v="Thu"/>
    <d v="1899-12-30T08:30:00"/>
    <d v="1899-12-30T17:30:00"/>
    <n v="0"/>
    <n v="7.9999999999999982"/>
    <n v="7.9999999999999982"/>
    <s v="Normal Working Days before 10pm"/>
    <s v="Total: 1718 Policies ( 20181204_1121: 189 Policies, 20181204_1131: 43 Policies, 20181204_1437: 41 Policies, 20181204_1447: 8 Policies, 20181204_1457: 5 Policies, 20181204_2304: 316 Policies, 20181204_2314: 174 Policies,)"/>
    <s v=""/>
    <x v="23"/>
  </r>
  <r>
    <x v="1"/>
    <x v="49"/>
    <d v="2018-12-07T00:00:00"/>
    <s v="Fri"/>
    <d v="1899-12-30T08:30:00"/>
    <d v="1899-12-30T17:30:00"/>
    <n v="0"/>
    <n v="7.9999999999999982"/>
    <n v="7.9999999999999982"/>
    <s v="Normal Working Days before 10pm"/>
    <s v="Total: 812 Policies ( 20181206_1501: 73 Policies, 20181206_1511: 86 Policies, 20181206_1521: 36 Policies, 20181206_2135: 176 Policies, 20181206_2145: 146 Policies, 20181206_2155: 59 Policies, 20181207_1138: 100 Policies,)"/>
    <s v=""/>
    <x v="23"/>
  </r>
  <r>
    <x v="1"/>
    <x v="49"/>
    <d v="2018-12-10T00:00:00"/>
    <s v="Mon"/>
    <d v="1899-12-30T08:30:00"/>
    <d v="1899-12-30T17:30:00"/>
    <n v="0"/>
    <n v="7.9999999999999982"/>
    <n v="7.9999999999999982"/>
    <s v="Normal Working Days before 10pm"/>
    <s v="Total: 1278 Policies ( 20181230_1653: 515 Policies, 20181230_1703: 234 Policies, 20181230_1713: 127 Policies, 20181207_2145: 207 Policies, 20181207_2155: 195 Policies, :  Policies, :  Policies,)"/>
    <s v=""/>
    <x v="23"/>
  </r>
  <r>
    <x v="1"/>
    <x v="7"/>
    <d v="2018-12-10T00:00:00"/>
    <s v="Mon"/>
    <d v="1899-12-30T08:30:00"/>
    <d v="1899-12-30T17:30:00"/>
    <n v="0"/>
    <n v="7.9999999999999982"/>
    <n v="7.9999999999999982"/>
    <s v="Normal Working Days before 10pm"/>
    <s v="Total: 1278 Policies ( 20181230_1653: 515 Policies, 20181230_1703: 234 Policies, 20181230_1713: 127 Policies, 20181207_2145: 207 Policies, 20181207_2155: 195 Policies, :  Policies, :  Policies,)"/>
    <s v=""/>
    <x v="23"/>
  </r>
  <r>
    <x v="1"/>
    <x v="49"/>
    <d v="2018-12-11T00:00:00"/>
    <s v="Tue"/>
    <d v="1899-12-30T08:30:00"/>
    <d v="1899-12-30T17:30:00"/>
    <n v="0"/>
    <n v="7.9999999999999982"/>
    <n v="7.9999999999999982"/>
    <s v="Normal Working Days before 10pm"/>
    <s v="Total: 1123 Policies ( 20181207_2205: 95 Policies, 20181210_1135: 43 Policies, 20181210_1145: 36 Policies, 20181210_1155: 24 Policies, 20181210_1535: 133 Policies, 20181210_1545: 47 Policies, 20181210_1555: 44 Policies,)"/>
    <s v=""/>
    <x v="23"/>
  </r>
  <r>
    <x v="1"/>
    <x v="7"/>
    <d v="2018-12-11T00:00:00"/>
    <s v="Tue"/>
    <d v="1899-12-30T08:30:00"/>
    <d v="1899-12-30T17:30:00"/>
    <n v="0"/>
    <n v="7.9999999999999982"/>
    <n v="7.9999999999999982"/>
    <s v="Normal Working Days before 10pm"/>
    <s v="Total: 1123 Policies ( 20181207_2205: 95 Policies, 20181210_1135: 43 Policies, 20181210_1145: 36 Policies, 20181210_1155: 24 Policies, 20181210_1535: 133 Policies, 20181210_1545: 47 Policies, 20181210_1555: 44 Policies,)"/>
    <s v=""/>
    <x v="23"/>
  </r>
  <r>
    <x v="1"/>
    <x v="49"/>
    <d v="2018-12-12T00:00:00"/>
    <s v="Wed"/>
    <d v="1899-12-30T08:30:00"/>
    <d v="1899-12-30T17:30:00"/>
    <n v="0"/>
    <n v="7.9999999999999982"/>
    <n v="7.9999999999999982"/>
    <s v="Normal Working Days before 10pm"/>
    <s v="Total: 774 Policies ( 20181211_1444: 106 Policies, 20181211_1454: 32 Policies, 20181211_1504: 20 Policies, 20181211_2221: 289 Policies, 20181211_2231: 192 Policies, 20181211_2241: 107 Policies, 20181212_1102: 1 Policies,)"/>
    <s v=""/>
    <x v="23"/>
  </r>
  <r>
    <x v="1"/>
    <x v="49"/>
    <d v="2018-12-13T00:00:00"/>
    <s v="Thu"/>
    <d v="1899-12-30T08:30:00"/>
    <d v="1899-12-30T17:30:00"/>
    <n v="0"/>
    <n v="7.9999999999999982"/>
    <n v="7.9999999999999982"/>
    <s v="Normal Working Days before 10pm"/>
    <s v="Total: 895 Policies ( 20181212_1441: 13 Policies, 20181212_1451: 105 Policies, 20181212_1501: 30 Policies, 20181212_2225: 376 Policies, 20181212_2235: 197 Policies, 20181212_2245: 103 Policies, 20181213_1129: 35 Policies,)"/>
    <s v=""/>
    <x v="23"/>
  </r>
  <r>
    <x v="1"/>
    <x v="49"/>
    <d v="2018-12-14T00:00:00"/>
    <s v="Fri"/>
    <d v="1899-12-30T08:30:00"/>
    <d v="1899-12-30T17:30:00"/>
    <n v="0"/>
    <n v="7.9999999999999982"/>
    <n v="7.9999999999999982"/>
    <s v="Normal Working Days before 10pm"/>
    <s v="Total: 186 Policies ( 20181213_1515: 82 Policies, 20181213_1525: 76 Policies, 20181213_1535: 28 Policies, :  Policies, :  Policies, :  Policies, :  Policies,)"/>
    <s v=""/>
    <x v="23"/>
  </r>
  <r>
    <x v="1"/>
    <x v="54"/>
    <d v="2018-12-14T00:00:00"/>
    <s v="Fri"/>
    <d v="1899-12-30T08:30:00"/>
    <d v="1899-12-30T15:00:00"/>
    <n v="0"/>
    <n v="5.5"/>
    <n v="5.5"/>
    <s v="Normal Working Days before 10pm"/>
    <s v="Total: 186 Policies ( 20181213_1515: 82 Policies, 20181213_1525: 76 Policies, 20181213_1535: 28 Policies, :  Policies, :  Policies, :  Policies, :  Policies,)"/>
    <s v=""/>
    <x v="23"/>
  </r>
  <r>
    <x v="1"/>
    <x v="7"/>
    <d v="2018-12-17T00:00:00"/>
    <s v="Mon"/>
    <d v="1899-12-30T08:30:00"/>
    <d v="1899-12-30T17:30:00"/>
    <n v="0"/>
    <n v="7.9999999999999982"/>
    <n v="7.9999999999999982"/>
    <s v="Normal Working Days before 10pm"/>
    <s v="Total: 1313 Policies ( 20181213_2231: 214 Policies, 20181213_2241: 177 Policies, 20181213_2251: 98 Policies, 20181214_1123: 33 Policies, 20181214_1133: 20 Policies, 20181214_1143: 16 Policies, 20181214_1450: 39 Policies,)"/>
    <s v=""/>
    <x v="23"/>
  </r>
  <r>
    <x v="1"/>
    <x v="54"/>
    <d v="2018-12-17T00:00:00"/>
    <s v="Mon"/>
    <d v="1899-12-30T08:30:00"/>
    <d v="1899-12-30T17:30:00"/>
    <n v="0"/>
    <n v="7.9999999999999982"/>
    <n v="7.9999999999999982"/>
    <s v="Normal Working Days before 10pm"/>
    <s v="Total: 1313 Policies ( 20181213_2231: 214 Policies, 20181213_2241: 177 Policies, 20181213_2251: 98 Policies, 20181214_1123: 33 Policies, 20181214_1133: 20 Policies, 20181214_1143: 16 Policies, 20181214_1450: 39 Policies,)"/>
    <s v=""/>
    <x v="23"/>
  </r>
  <r>
    <x v="1"/>
    <x v="50"/>
    <d v="2018-12-18T00:00:00"/>
    <s v="Tue"/>
    <d v="1899-12-30T10:00:00"/>
    <d v="1899-12-30T17:30:00"/>
    <n v="0"/>
    <n v="6.4999999999999982"/>
    <n v="6.4999999999999982"/>
    <s v="Normal Working Days before 10pm"/>
    <s v="Total: 1381 Policies ( 20181217_1119: 60 Policies, 20181217_1129: 20 Policies, 20181217_1139: 12 Policies, 20181217_1446: 114 Policies, 20181217_1456: 46 Policies, 20181217_1506: 38 Policies, 20181217_2134: 433 Policies,)"/>
    <s v=""/>
    <x v="23"/>
  </r>
  <r>
    <x v="1"/>
    <x v="7"/>
    <d v="2018-12-18T00:00:00"/>
    <s v="Tue"/>
    <d v="1899-12-30T08:30:00"/>
    <d v="1899-12-30T17:30:00"/>
    <n v="0"/>
    <n v="7.9999999999999982"/>
    <n v="7.9999999999999982"/>
    <s v="Normal Working Days before 10pm"/>
    <s v="Total: 1381 Policies ( 20181217_1119: 60 Policies, 20181217_1129: 20 Policies, 20181217_1139: 12 Policies, 20181217_1446: 114 Policies, 20181217_1456: 46 Policies, 20181217_1506: 38 Policies, 20181217_2134: 433 Policies,)"/>
    <s v=""/>
    <x v="23"/>
  </r>
  <r>
    <x v="1"/>
    <x v="54"/>
    <d v="2018-12-18T00:00:00"/>
    <s v="Tue"/>
    <d v="1899-12-30T08:30:00"/>
    <d v="1899-12-30T17:30:00"/>
    <n v="0"/>
    <n v="7.9999999999999982"/>
    <n v="7.9999999999999982"/>
    <s v="Normal Working Days before 10pm"/>
    <s v="Total: 1381 Policies ( 20181217_1119: 60 Policies, 20181217_1129: 20 Policies, 20181217_1139: 12 Policies, 20181217_1446: 114 Policies, 20181217_1456: 46 Policies, 20181217_1506: 38 Policies, 20181217_2134: 433 Policies,)"/>
    <s v=""/>
    <x v="23"/>
  </r>
  <r>
    <x v="1"/>
    <x v="49"/>
    <d v="2018-12-19T00:00:00"/>
    <s v="Wed"/>
    <d v="1899-12-30T08:30:00"/>
    <d v="1899-12-30T17:30:00"/>
    <n v="0"/>
    <n v="7.9999999999999982"/>
    <n v="7.9999999999999982"/>
    <s v="Normal Working Days before 10pm"/>
    <s v="Total: 1182 Policies ( 20181218_1502: 160 Policies, 20181218_1512: 109 Policies, 20181218_1522: 47 Policies, 20181218_2201: 242 Policies, 20181218_2211: 182 Policies, 20181218_2221: 111 Policies, 20181219_2201: 255 Policies,)"/>
    <s v=""/>
    <x v="23"/>
  </r>
  <r>
    <x v="1"/>
    <x v="49"/>
    <d v="2018-12-20T00:00:00"/>
    <s v="Thu"/>
    <d v="1899-12-30T08:30:00"/>
    <d v="1899-12-30T17:30:00"/>
    <n v="0"/>
    <n v="7.9999999999999982"/>
    <n v="7.9999999999999982"/>
    <s v="Normal Working Days before 10pm"/>
    <s v="Total: 956 Policies ( 20181219_1503: 141 Policies, 20181219_1513: 99 Policies, 20181219_1523: 40 Policies, 20181218_2136: 110 Policies, 20181219_2116: 205 Policies, 20181219_2126: 199 Policies, 20181220_1134: 84 Policies,)"/>
    <s v=""/>
    <x v="23"/>
  </r>
  <r>
    <x v="1"/>
    <x v="50"/>
    <d v="2018-12-20T00:00:00"/>
    <s v="Thu"/>
    <d v="1899-12-30T08:30:00"/>
    <d v="1899-12-30T17:30:00"/>
    <n v="0"/>
    <n v="7.9999999999999982"/>
    <n v="7.9999999999999982"/>
    <s v="Normal Working Days before 10pm"/>
    <s v="Total: 956 Policies ( 20181219_1503: 141 Policies, 20181219_1513: 99 Policies, 20181219_1523: 40 Policies, 20181218_2136: 110 Policies, 20181219_2116: 205 Policies, 20181219_2126: 199 Policies, 20181220_1134: 84 Policies,)"/>
    <s v=""/>
    <x v="23"/>
  </r>
  <r>
    <x v="1"/>
    <x v="6"/>
    <d v="2018-12-20T00:00:00"/>
    <s v="Thu"/>
    <d v="1899-12-30T08:30:00"/>
    <d v="1899-12-30T17:30:00"/>
    <n v="0"/>
    <n v="7.9999999999999982"/>
    <n v="7.9999999999999982"/>
    <s v="Normal Working Days before 10pm"/>
    <s v="Total: 956 Policies ( 20181219_1503: 141 Policies, 20181219_1513: 99 Policies, 20181219_1523: 40 Policies, 20181218_2136: 110 Policies, 20181219_2116: 205 Policies, 20181219_2126: 199 Policies, 20181220_1134: 84 Policies,)"/>
    <s v=""/>
    <x v="23"/>
  </r>
  <r>
    <x v="1"/>
    <x v="49"/>
    <d v="2018-12-21T00:00:00"/>
    <s v="Fri"/>
    <d v="1899-12-30T08:30:00"/>
    <d v="1899-12-30T17:30:00"/>
    <n v="0"/>
    <n v="7.9999999999999982"/>
    <n v="7.9999999999999982"/>
    <s v="Normal Working Days before 10pm"/>
    <s v="Total: 1060 Policies ( 20181220_1438: 171 Policies, 20181220_1448: 101 Policies, 20181220_1458: 52 Policies, 20181220_2143: 319 Policies, 20181220_2153: 222 Policies, 20181220_2203: 109 Policies, 20181221_1111: 49 Policies,)"/>
    <s v=""/>
    <x v="23"/>
  </r>
  <r>
    <x v="1"/>
    <x v="50"/>
    <d v="2018-12-21T00:00:00"/>
    <s v="Fri"/>
    <d v="1899-12-30T08:30:00"/>
    <d v="1899-12-30T17:30:00"/>
    <n v="0"/>
    <n v="7.9999999999999982"/>
    <n v="7.9999999999999982"/>
    <s v="Normal Working Days before 10pm"/>
    <s v="Total: 1060 Policies ( 20181220_1438: 171 Policies, 20181220_1448: 101 Policies, 20181220_1458: 52 Policies, 20181220_2143: 319 Policies, 20181220_2153: 222 Policies, 20181220_2203: 109 Policies, 20181221_1111: 49 Policies,)"/>
    <s v=""/>
    <x v="23"/>
  </r>
  <r>
    <x v="1"/>
    <x v="6"/>
    <d v="2018-12-21T00:00:00"/>
    <s v="Fri"/>
    <d v="1899-12-30T08:30:00"/>
    <d v="1899-12-30T17:30:00"/>
    <n v="0"/>
    <n v="7.9999999999999982"/>
    <n v="7.9999999999999982"/>
    <s v="Normal Working Days before 10pm"/>
    <s v="Total: 1060 Policies ( 20181220_1438: 171 Policies, 20181220_1448: 101 Policies, 20181220_1458: 52 Policies, 20181220_2143: 319 Policies, 20181220_2153: 222 Policies, 20181220_2203: 109 Policies, 20181221_1111: 49 Policies,)"/>
    <s v=""/>
    <x v="23"/>
  </r>
  <r>
    <x v="1"/>
    <x v="49"/>
    <d v="2018-12-24T00:00:00"/>
    <s v="Mon"/>
    <d v="1899-12-30T08:30:00"/>
    <d v="1899-12-30T17:30:00"/>
    <n v="0"/>
    <n v="7.9999999999999982"/>
    <n v="7.9999999999999982"/>
    <s v="Normal Working Days before 10pm"/>
    <s v="Total: 1335 Policies ( : 58 Policies, : 108 Policies, : 32 Policies, : 423 Policies, : 261 Policies, : 170 Policies, : 43 Policies,)"/>
    <s v=""/>
    <x v="23"/>
  </r>
  <r>
    <x v="1"/>
    <x v="12"/>
    <d v="2018-12-24T00:00:00"/>
    <s v="Mon"/>
    <d v="1899-12-30T10:30:00"/>
    <d v="1899-12-30T17:30:00"/>
    <n v="0"/>
    <n v="5.9999999999999991"/>
    <n v="5.9999999999999991"/>
    <s v="Normal Working Days before 10pm"/>
    <s v="Total: 1335 Policies ( : 58 Policies, : 108 Policies, : 32 Policies, : 423 Policies, : 261 Policies, : 170 Policies, : 43 Policies,)"/>
    <s v=""/>
    <x v="23"/>
  </r>
  <r>
    <x v="1"/>
    <x v="48"/>
    <d v="2018-12-24T00:00:00"/>
    <s v="Mon"/>
    <d v="1899-12-30T08:30:00"/>
    <d v="1899-12-30T17:30:00"/>
    <n v="0"/>
    <n v="7.9999999999999982"/>
    <n v="7.9999999999999982"/>
    <s v="Normal Working Days before 10pm"/>
    <s v="Total: 1335 Policies ( : 58 Policies, : 108 Policies, : 32 Policies, : 423 Policies, : 261 Policies, : 170 Policies, : 43 Policies,)"/>
    <s v=""/>
    <x v="23"/>
  </r>
  <r>
    <x v="1"/>
    <x v="49"/>
    <d v="2018-12-25T00:00:00"/>
    <s v="Tue"/>
    <d v="1899-12-30T08:30:00"/>
    <d v="1899-12-30T17:30:00"/>
    <n v="0"/>
    <n v="7.9999999999999982"/>
    <n v="7.9999999999999982"/>
    <s v="Normal Working Days before 10pm"/>
    <s v="Total: 1470 Policies ( 20181223_2139: 473 Policies, 20181223_2149: 19 Policies, 20181223_2159: 75 Policies, 20181224_1142: 59 Policies, 20181224_1152: 42 Policies, 20181224_1202: 34 Policies, 20181224_1440: 138 Policies,)"/>
    <s v=""/>
    <x v="23"/>
  </r>
  <r>
    <x v="1"/>
    <x v="12"/>
    <d v="2018-12-25T00:00:00"/>
    <s v="Tue"/>
    <d v="1899-12-30T10:00:00"/>
    <d v="1899-12-30T17:30:00"/>
    <n v="0"/>
    <n v="6.4999999999999982"/>
    <n v="6.4999999999999982"/>
    <s v="Normal Working Days before 10pm"/>
    <s v="Total: 1470 Policies ( 20181223_2139: 473 Policies, 20181223_2149: 19 Policies, 20181223_2159: 75 Policies, 20181224_1142: 59 Policies, 20181224_1152: 42 Policies, 20181224_1202: 34 Policies, 20181224_1440: 138 Policies,)"/>
    <s v=""/>
    <x v="23"/>
  </r>
  <r>
    <x v="1"/>
    <x v="49"/>
    <d v="2018-12-26T00:00:00"/>
    <s v="Wed"/>
    <d v="1899-12-30T08:30:00"/>
    <d v="1899-12-30T17:30:00"/>
    <n v="0"/>
    <n v="7.9999999999999982"/>
    <n v="7.9999999999999982"/>
    <s v="Normal Working Days before 10pm"/>
    <s v="Total: 1846 Policies ( 20181224_2314: 436 Policies, 20181224_2324: 173 Policies, 20181225_1206: 318 Policies, 20181225_1216: 55 Policies, 20181225_1226: 38 Policies, 20181225_1458: 74 Policies, 20181225_1508: 14 Policies,)"/>
    <s v=""/>
    <x v="23"/>
  </r>
  <r>
    <x v="1"/>
    <x v="50"/>
    <d v="2018-12-27T00:00:00"/>
    <s v="Thu"/>
    <d v="1899-12-30T08:30:00"/>
    <d v="1899-12-30T17:30:00"/>
    <n v="0"/>
    <n v="7.9999999999999982"/>
    <n v="7.9999999999999982"/>
    <s v="Normal Working Days before 10pm"/>
    <s v="Total: 1719 Policies ( 20181226_1225: 188 Policies, 20181226_1235: 52 Policies, 20181226_1245: 45 Policies, 20181226_1546: 210 Policies, 20181226_1556: 98 Policies, 20181226_1606: 58 Policies, 20181226_0013: 610 Policies,)"/>
    <s v=""/>
    <x v="23"/>
  </r>
  <r>
    <x v="1"/>
    <x v="6"/>
    <d v="2018-12-28T00:00:00"/>
    <s v="Fri"/>
    <d v="1899-12-30T08:30:00"/>
    <d v="1899-12-30T17:30:00"/>
    <n v="0"/>
    <n v="7.9999999999999982"/>
    <n v="7.9999999999999982"/>
    <s v="Normal Working Days before 10pm"/>
    <s v="Total: 1858 Policies ( 20181226_0033: 200 Policies, 20181227_1123: 604 Policies, 20181227_1133: 131 Policies, 20181227_1143: 110 Policies, 20181227_1912: 813 Policies, :  Policies, :  Policies,)"/>
    <s v=""/>
    <x v="23"/>
  </r>
  <r>
    <x v="1"/>
    <x v="49"/>
    <d v="2018-12-31T00:00:00"/>
    <s v="Mon"/>
    <d v="1899-12-30T08:30:00"/>
    <d v="1899-12-30T17:30:00"/>
    <n v="0"/>
    <n v="7.9999999999999982"/>
    <n v="7.9999999999999982"/>
    <s v="Normal Working Days before 10pm"/>
    <s v="Total: 1901 Policies ( 20181227_1922: 372 Policies, 20181227_1932: 187 Policies, 20181227_0340: 408 Policies, 20181227_0350: 296 Policies, 20181227_0400: 155 Policies, 20181228_1009: 11 Policies, 20181228_1019: 5 Policies,)"/>
    <s v=""/>
    <x v="23"/>
  </r>
  <r>
    <x v="0"/>
    <x v="0"/>
    <d v="2019-01-02T00:00:00"/>
    <s v="Wed"/>
    <d v="1899-12-30T17:30:00"/>
    <d v="1899-12-30T21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0"/>
    <x v="2"/>
    <d v="2019-01-02T00:00:00"/>
    <s v="Wed"/>
    <d v="1899-12-30T17:30:00"/>
    <d v="1899-12-30T21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0"/>
    <x v="15"/>
    <d v="2019-01-02T00:00:00"/>
    <s v="Wed"/>
    <d v="1899-12-30T17:30:00"/>
    <d v="1899-12-30T21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0"/>
    <x v="16"/>
    <d v="2019-01-02T00:00:00"/>
    <s v="Wed"/>
    <d v="1899-12-30T17:30:00"/>
    <d v="1899-12-30T21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0"/>
    <x v="43"/>
    <d v="2019-01-02T00:00:00"/>
    <s v="Wed"/>
    <d v="1899-12-30T15:30:00"/>
    <d v="1899-12-30T19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0"/>
    <x v="44"/>
    <d v="2019-01-02T00:00:00"/>
    <s v="Wed"/>
    <d v="1899-12-30T17:30:00"/>
    <d v="1899-12-30T21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0"/>
    <x v="51"/>
    <d v="2019-01-02T00:00:00"/>
    <s v="Wed"/>
    <d v="1899-12-30T17:30:00"/>
    <d v="1899-12-30T21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0"/>
    <x v="53"/>
    <d v="2019-01-02T00:00:00"/>
    <s v="Wed"/>
    <d v="1899-12-30T17:30:00"/>
    <d v="1899-12-30T21:30:00"/>
    <n v="8.0000000000000036"/>
    <n v="3.9999999999999982"/>
    <n v="3.999999999999998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n v="1"/>
    <x v="24"/>
  </r>
  <r>
    <x v="1"/>
    <x v="49"/>
    <d v="2019-01-02T00:00:00"/>
    <s v="Wed"/>
    <d v="1899-12-30T08:30:00"/>
    <d v="1899-12-30T21:30:00"/>
    <n v="0"/>
    <n v="12.000000000000002"/>
    <n v="12.000000000000002"/>
    <s v="Normal Working Days before 10pm"/>
    <s v="Total: 2907 Policies ( 20181228_2253: 1178 Policies, 20181228_2303: 431 Policies, 20181228_2313: 320 Policies, 20181229_1453: 557 Policies, 20181229_1503: 306 Policies, 20181229_1513: 115 Policies, :  Policies,)"/>
    <s v=""/>
    <x v="24"/>
  </r>
  <r>
    <x v="1"/>
    <x v="6"/>
    <d v="2019-01-02T00:00:00"/>
    <s v="Wed"/>
    <d v="1899-12-30T15:30:00"/>
    <d v="1899-12-30T21:30:00"/>
    <n v="0"/>
    <n v="5"/>
    <n v="5"/>
    <s v="Normal Working Days before 10pm"/>
    <s v="Total: 2907 Policies ( 20181228_2253: 1178 Policies, 20181228_2303: 431 Policies, 20181228_2313: 320 Policies, 20181229_1453: 557 Policies, 20181229_1503: 306 Policies, 20181229_1513: 115 Policies, :  Policies,)"/>
    <s v=""/>
    <x v="24"/>
  </r>
  <r>
    <x v="0"/>
    <x v="0"/>
    <d v="2019-01-03T00:00:00"/>
    <s v="Thu"/>
    <d v="1899-12-30T17:30:00"/>
    <d v="1899-12-30T21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0"/>
    <x v="2"/>
    <d v="2019-01-03T00:00:00"/>
    <s v="Thu"/>
    <d v="1899-12-30T17:30:00"/>
    <d v="1899-12-30T21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0"/>
    <x v="15"/>
    <d v="2019-01-03T00:00:00"/>
    <s v="Thu"/>
    <d v="1899-12-30T17:30:00"/>
    <d v="1899-12-30T21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0"/>
    <x v="16"/>
    <d v="2019-01-03T00:00:00"/>
    <s v="Thu"/>
    <d v="1899-12-30T17:30:00"/>
    <d v="1899-12-30T21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0"/>
    <x v="43"/>
    <d v="2019-01-03T00:00:00"/>
    <s v="Thu"/>
    <d v="1899-12-30T17:30:00"/>
    <d v="1899-12-30T21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0"/>
    <x v="44"/>
    <d v="2019-01-03T00:00:00"/>
    <s v="Thu"/>
    <d v="1899-12-30T17:30:00"/>
    <d v="1899-12-30T21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0"/>
    <x v="51"/>
    <d v="2019-01-03T00:00:00"/>
    <s v="Thu"/>
    <d v="1899-12-30T15:30:00"/>
    <d v="1899-12-30T19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0"/>
    <x v="53"/>
    <d v="2019-01-03T00:00:00"/>
    <s v="Thu"/>
    <d v="1899-12-30T17:30:00"/>
    <d v="1899-12-30T21:30:00"/>
    <n v="8.0000000000000036"/>
    <n v="3.9999999999999982"/>
    <n v="3.999999999999998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n v="1"/>
    <x v="24"/>
  </r>
  <r>
    <x v="1"/>
    <x v="49"/>
    <d v="2019-01-03T00:00:00"/>
    <s v="Thu"/>
    <d v="1899-12-30T08:30:00"/>
    <d v="1899-12-30T21:30:00"/>
    <n v="0"/>
    <n v="12.000000000000002"/>
    <n v="12.000000000000002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s v=""/>
    <x v="24"/>
  </r>
  <r>
    <x v="1"/>
    <x v="48"/>
    <d v="2019-01-03T00:00:00"/>
    <s v="Thu"/>
    <d v="1899-12-30T14:00:00"/>
    <d v="1899-12-30T21:30:00"/>
    <n v="0"/>
    <n v="6.5"/>
    <n v="6.5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s v=""/>
    <x v="24"/>
  </r>
  <r>
    <x v="1"/>
    <x v="50"/>
    <d v="2019-01-03T00:00:00"/>
    <s v="Thu"/>
    <d v="1899-12-30T10:00:00"/>
    <d v="1899-12-30T21:30:00"/>
    <n v="0"/>
    <n v="10.5"/>
    <n v="10.5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s v=""/>
    <x v="24"/>
  </r>
  <r>
    <x v="1"/>
    <x v="6"/>
    <d v="2019-01-03T00:00:00"/>
    <s v="Thu"/>
    <d v="1899-12-30T13:00:00"/>
    <d v="1899-12-30T21:30:00"/>
    <n v="0"/>
    <n v="7.5000000000000018"/>
    <n v="7.5000000000000018"/>
    <s v="Normal Working Days before 10pm"/>
    <s v="Total: 2772 Policies ( 20181229_2326: 967 Policies, 20181229_2336: 635 Policies, 20181229_2346: 315 Policies, 20181230_1104: 103 Policies, 20181230_1114: 50 Policies, 20181230_1124: 24 Policies, 20181230_1516: 472 Policies,)"/>
    <s v=""/>
    <x v="24"/>
  </r>
  <r>
    <x v="0"/>
    <x v="0"/>
    <d v="2019-01-04T00:00:00"/>
    <s v="Fri"/>
    <d v="1899-12-30T17:30:00"/>
    <d v="1899-12-30T21:30:00"/>
    <n v="8.0000000000000036"/>
    <n v="3.9999999999999982"/>
    <n v="3.999999999999998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n v="1"/>
    <x v="24"/>
  </r>
  <r>
    <x v="0"/>
    <x v="2"/>
    <d v="2019-01-04T00:00:00"/>
    <s v="Fri"/>
    <d v="1899-12-30T17:30:00"/>
    <d v="1899-12-30T21:30:00"/>
    <n v="8.0000000000000036"/>
    <n v="3.9999999999999982"/>
    <n v="3.999999999999998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n v="1"/>
    <x v="24"/>
  </r>
  <r>
    <x v="0"/>
    <x v="15"/>
    <d v="2019-01-04T00:00:00"/>
    <s v="Fri"/>
    <d v="1899-12-30T17:30:00"/>
    <d v="1899-12-30T21:30:00"/>
    <n v="8.0000000000000036"/>
    <n v="3.9999999999999982"/>
    <n v="3.999999999999998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n v="1"/>
    <x v="24"/>
  </r>
  <r>
    <x v="0"/>
    <x v="16"/>
    <d v="2019-01-04T00:00:00"/>
    <s v="Fri"/>
    <d v="1899-12-30T17:30:00"/>
    <d v="1899-12-30T21:30:00"/>
    <n v="8.0000000000000036"/>
    <n v="3.9999999999999982"/>
    <n v="3.999999999999998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n v="1"/>
    <x v="24"/>
  </r>
  <r>
    <x v="0"/>
    <x v="43"/>
    <d v="2019-01-04T00:00:00"/>
    <s v="Fri"/>
    <d v="1899-12-30T17:30:00"/>
    <d v="1899-12-30T21:30:00"/>
    <n v="8.0000000000000036"/>
    <n v="3.9999999999999982"/>
    <n v="3.999999999999998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n v="1"/>
    <x v="24"/>
  </r>
  <r>
    <x v="0"/>
    <x v="44"/>
    <d v="2019-01-04T00:00:00"/>
    <s v="Fri"/>
    <d v="1899-12-30T17:30:00"/>
    <d v="1899-12-30T21:30:00"/>
    <n v="8.0000000000000036"/>
    <n v="3.9999999999999982"/>
    <n v="3.999999999999998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n v="1"/>
    <x v="24"/>
  </r>
  <r>
    <x v="0"/>
    <x v="53"/>
    <d v="2019-01-04T00:00:00"/>
    <s v="Fri"/>
    <d v="1899-12-30T15:30:00"/>
    <d v="1899-12-30T19:30:00"/>
    <n v="8.0000000000000036"/>
    <n v="3.9999999999999982"/>
    <n v="3.999999999999998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n v="1"/>
    <x v="24"/>
  </r>
  <r>
    <x v="1"/>
    <x v="49"/>
    <d v="2019-01-04T00:00:00"/>
    <s v="Fri"/>
    <d v="1899-12-30T08:30:00"/>
    <d v="1899-12-30T21:30:00"/>
    <n v="0"/>
    <n v="12.000000000000002"/>
    <n v="12.00000000000000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s v=""/>
    <x v="24"/>
  </r>
  <r>
    <x v="1"/>
    <x v="50"/>
    <d v="2019-01-04T00:00:00"/>
    <s v="Fri"/>
    <d v="1899-12-30T10:00:00"/>
    <d v="1899-12-30T21:30:00"/>
    <n v="0"/>
    <n v="10.5"/>
    <n v="10.5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s v=""/>
    <x v="24"/>
  </r>
  <r>
    <x v="1"/>
    <x v="7"/>
    <d v="2019-01-04T00:00:00"/>
    <s v="Fri"/>
    <d v="1899-12-30T13:00:00"/>
    <d v="1899-12-30T21:30:00"/>
    <n v="0"/>
    <n v="7.5000000000000018"/>
    <n v="7.5000000000000018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s v=""/>
    <x v="24"/>
  </r>
  <r>
    <x v="1"/>
    <x v="6"/>
    <d v="2019-01-04T00:00:00"/>
    <s v="Fri"/>
    <d v="1899-12-30T08:30:00"/>
    <d v="1899-12-30T21:30:00"/>
    <n v="0"/>
    <n v="12.000000000000002"/>
    <n v="12.000000000000002"/>
    <s v="Normal Working Days before 10pm"/>
    <s v="Total: 3679 Policies ( 20181230_2100: 945 Policies, 20181230_2110: 371 Policies, 20181230_2120: 193 Policies, 20181231_0930: 955 Policies, 20181231_0940: 521 Policies, 20181231_0950: 181 Policies, 20181231_1058: 513 Policies,)"/>
    <s v=""/>
    <x v="24"/>
  </r>
  <r>
    <x v="0"/>
    <x v="0"/>
    <d v="2019-01-07T00:00:00"/>
    <s v="Mon"/>
    <d v="1899-12-30T17:30:00"/>
    <d v="1899-12-30T21:00:00"/>
    <n v="8.0000000000000036"/>
    <n v="3.4999999999999947"/>
    <n v="3.4999999999999947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0"/>
    <x v="2"/>
    <d v="2019-01-07T00:00:00"/>
    <s v="Mon"/>
    <d v="1899-12-30T17:30:00"/>
    <d v="1899-12-30T21:00:00"/>
    <n v="8.0000000000000036"/>
    <n v="3.4999999999999947"/>
    <n v="3.4999999999999947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0"/>
    <x v="15"/>
    <d v="2019-01-07T00:00:00"/>
    <s v="Mon"/>
    <d v="1899-12-30T15:30:00"/>
    <d v="1899-12-30T21:00:00"/>
    <n v="8.0000000000000036"/>
    <n v="5.4999999999999982"/>
    <n v="5.4999999999999982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0"/>
    <x v="16"/>
    <d v="2019-01-07T00:00:00"/>
    <s v="Mon"/>
    <d v="1899-12-30T17:30:00"/>
    <d v="1899-12-30T21:00:00"/>
    <n v="8.0000000000000036"/>
    <n v="3.4999999999999947"/>
    <n v="3.4999999999999947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0"/>
    <x v="43"/>
    <d v="2019-01-07T00:00:00"/>
    <s v="Mon"/>
    <d v="1899-12-30T17:30:00"/>
    <d v="1899-12-30T21:00:00"/>
    <n v="8.0000000000000036"/>
    <n v="3.4999999999999947"/>
    <n v="3.4999999999999947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0"/>
    <x v="51"/>
    <d v="2019-01-07T00:00:00"/>
    <s v="Mon"/>
    <d v="1899-12-30T17:30:00"/>
    <d v="1899-12-30T21:00:00"/>
    <n v="8.0000000000000036"/>
    <n v="3.4999999999999947"/>
    <n v="3.4999999999999947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0"/>
    <x v="52"/>
    <d v="2019-01-07T00:00:00"/>
    <s v="Mon"/>
    <d v="1899-12-30T17:30:00"/>
    <d v="1899-12-30T21:00:00"/>
    <n v="8.0000000000000036"/>
    <n v="3.4999999999999947"/>
    <n v="3.4999999999999947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0"/>
    <x v="53"/>
    <d v="2019-01-07T00:00:00"/>
    <s v="Mon"/>
    <d v="1899-12-30T17:30:00"/>
    <d v="1899-12-30T21:00:00"/>
    <n v="8.0000000000000036"/>
    <n v="3.4999999999999947"/>
    <n v="3.4999999999999947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n v="1"/>
    <x v="24"/>
  </r>
  <r>
    <x v="1"/>
    <x v="49"/>
    <d v="2019-01-07T00:00:00"/>
    <s v="Mon"/>
    <d v="1899-12-30T08:30:00"/>
    <d v="1899-12-30T21:00:00"/>
    <n v="0"/>
    <n v="11.499999999999998"/>
    <n v="11.499999999999998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s v=""/>
    <x v="24"/>
  </r>
  <r>
    <x v="1"/>
    <x v="12"/>
    <d v="2019-01-07T00:00:00"/>
    <s v="Mon"/>
    <d v="1899-12-30T08:30:00"/>
    <d v="1899-12-30T21:00:00"/>
    <n v="0"/>
    <n v="11.499999999999998"/>
    <n v="11.499999999999998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s v=""/>
    <x v="24"/>
  </r>
  <r>
    <x v="1"/>
    <x v="6"/>
    <d v="2019-01-07T00:00:00"/>
    <s v="Mon"/>
    <d v="1899-12-30T08:30:00"/>
    <d v="1899-12-30T17:30:00"/>
    <n v="0"/>
    <n v="7.9999999999999982"/>
    <n v="7.9999999999999982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s v=""/>
    <x v="24"/>
  </r>
  <r>
    <x v="1"/>
    <x v="55"/>
    <d v="2019-01-07T00:00:00"/>
    <s v="Mon"/>
    <d v="1899-12-30T08:30:00"/>
    <d v="1899-12-30T17:30:00"/>
    <n v="0"/>
    <n v="7.9999999999999982"/>
    <n v="7.9999999999999982"/>
    <s v="Normal Working Days before 10pm"/>
    <s v="Total: 2853 Policies ( 20181231_1058: 513 Policies, 20181231_1108: 84 Policies, 20181231_1118: 72 Policies, 20181231_1748: 741 Policies, 20181231_1758: 309 Policies, 20181231_1808: 164 Policies, 20181231_2113: 476 Policies,)"/>
    <s v=""/>
    <x v="24"/>
  </r>
  <r>
    <x v="0"/>
    <x v="0"/>
    <d v="2019-01-08T00:00:00"/>
    <s v="Tue"/>
    <d v="1899-12-30T17:30:00"/>
    <d v="1899-12-30T20:00:00"/>
    <n v="8.0000000000000036"/>
    <n v="2.4999999999999964"/>
    <n v="2.4999999999999964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0"/>
    <x v="2"/>
    <d v="2019-01-08T00:00:00"/>
    <s v="Tue"/>
    <d v="1899-12-30T15:30:00"/>
    <d v="1899-12-30T19:00:00"/>
    <n v="8.0000000000000036"/>
    <n v="3.4999999999999947"/>
    <n v="3.4999999999999947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0"/>
    <x v="15"/>
    <d v="2019-01-08T00:00:00"/>
    <s v="Tue"/>
    <d v="1899-12-30T17:30:00"/>
    <d v="1899-12-30T20:00:00"/>
    <n v="8.0000000000000036"/>
    <n v="2.4999999999999964"/>
    <n v="2.4999999999999964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0"/>
    <x v="16"/>
    <d v="2019-01-08T00:00:00"/>
    <s v="Tue"/>
    <d v="1899-12-30T17:30:00"/>
    <d v="1899-12-30T20:00:00"/>
    <n v="8.0000000000000036"/>
    <n v="2.4999999999999964"/>
    <n v="2.4999999999999964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0"/>
    <x v="43"/>
    <d v="2019-01-08T00:00:00"/>
    <s v="Tue"/>
    <d v="1899-12-30T17:30:00"/>
    <d v="1899-12-30T20:00:00"/>
    <n v="8.0000000000000036"/>
    <n v="2.4999999999999964"/>
    <n v="2.4999999999999964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0"/>
    <x v="51"/>
    <d v="2019-01-08T00:00:00"/>
    <s v="Tue"/>
    <d v="1899-12-30T17:30:00"/>
    <d v="1899-12-30T20:00:00"/>
    <n v="8.0000000000000036"/>
    <n v="2.4999999999999964"/>
    <n v="2.4999999999999964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0"/>
    <x v="52"/>
    <d v="2019-01-08T00:00:00"/>
    <s v="Tue"/>
    <d v="1899-12-30T17:30:00"/>
    <d v="1899-12-30T20:00:00"/>
    <n v="8.0000000000000036"/>
    <n v="2.4999999999999964"/>
    <n v="2.4999999999999964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0"/>
    <x v="53"/>
    <d v="2019-01-08T00:00:00"/>
    <s v="Tue"/>
    <d v="1899-12-30T17:30:00"/>
    <d v="1899-12-30T20:00:00"/>
    <n v="8.0000000000000036"/>
    <n v="2.4999999999999964"/>
    <n v="2.4999999999999964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n v="1"/>
    <x v="24"/>
  </r>
  <r>
    <x v="1"/>
    <x v="49"/>
    <d v="2019-01-08T00:00:00"/>
    <s v="Tue"/>
    <d v="1899-12-30T08:30:00"/>
    <d v="1899-12-30T20:00:00"/>
    <n v="0"/>
    <n v="10.5"/>
    <n v="10.5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s v=""/>
    <x v="24"/>
  </r>
  <r>
    <x v="1"/>
    <x v="7"/>
    <d v="2019-01-08T00:00:00"/>
    <s v="Tue"/>
    <d v="1899-12-30T13:00:00"/>
    <d v="1899-12-30T20:00:00"/>
    <n v="0"/>
    <n v="6.0000000000000018"/>
    <n v="6.0000000000000018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s v=""/>
    <x v="24"/>
  </r>
  <r>
    <x v="1"/>
    <x v="6"/>
    <d v="2019-01-08T00:00:00"/>
    <s v="Tue"/>
    <d v="1899-12-30T08:30:00"/>
    <d v="1899-12-30T12:00:00"/>
    <n v="0"/>
    <n v="3.4999999999999996"/>
    <n v="3.4999999999999996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s v=""/>
    <x v="24"/>
  </r>
  <r>
    <x v="1"/>
    <x v="28"/>
    <d v="2019-01-08T00:00:00"/>
    <s v="Tue"/>
    <d v="1899-12-30T08:30:00"/>
    <d v="1899-12-30T20:00:00"/>
    <n v="0"/>
    <n v="10.5"/>
    <n v="10.5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s v=""/>
    <x v="24"/>
  </r>
  <r>
    <x v="1"/>
    <x v="55"/>
    <d v="2019-01-08T00:00:00"/>
    <s v="Tue"/>
    <d v="1899-12-30T13:30:00"/>
    <d v="1899-12-30T20:00:00"/>
    <n v="0"/>
    <n v="5.5000000000000009"/>
    <n v="5.5000000000000009"/>
    <s v="Normal Working Days before 10pm"/>
    <s v="Total: 1967 Policies ( 20190103_1140: 33 Policies, 20190103_1200: 2 Policies, 20190103_1516: 59 Policies, 20190103_1526: 7 Policies, 20190103_1536: 11 Policies, 20190103_2212: 322 Policies, 20190103_2222: 51 Policies,)"/>
    <s v=""/>
    <x v="24"/>
  </r>
  <r>
    <x v="1"/>
    <x v="49"/>
    <d v="2019-01-09T00:00:00"/>
    <s v="Wed"/>
    <d v="1899-12-30T08:30:00"/>
    <d v="1899-12-30T17:30:00"/>
    <n v="0"/>
    <n v="7.9999999999999982"/>
    <n v="7.9999999999999982"/>
    <s v="Normal Working Days before 10pm"/>
    <s v="Total: 1172 Policies"/>
    <s v=""/>
    <x v="24"/>
  </r>
  <r>
    <x v="1"/>
    <x v="49"/>
    <d v="2019-01-10T00:00:00"/>
    <s v="Thu"/>
    <d v="1899-12-30T08:30:00"/>
    <d v="1899-12-30T17:30:00"/>
    <n v="0"/>
    <n v="7.9999999999999982"/>
    <n v="7.9999999999999982"/>
    <s v="Normal Working Days before 10pm"/>
    <s v="Total: 1387 Policies"/>
    <s v=""/>
    <x v="24"/>
  </r>
  <r>
    <x v="1"/>
    <x v="49"/>
    <d v="2019-01-11T00:00:00"/>
    <s v="Fri"/>
    <d v="1899-12-30T08:30:00"/>
    <d v="1899-12-30T17:30:00"/>
    <n v="0"/>
    <n v="7.9999999999999982"/>
    <n v="7.9999999999999982"/>
    <s v="Normal Working Days before 10pm"/>
    <s v="Total: 519 Policies"/>
    <s v=""/>
    <x v="24"/>
  </r>
  <r>
    <x v="1"/>
    <x v="6"/>
    <d v="2019-01-11T00:00:00"/>
    <s v="Fri"/>
    <d v="1899-12-30T08:30:00"/>
    <d v="1899-12-30T17:30:00"/>
    <n v="0"/>
    <n v="7.9999999999999982"/>
    <n v="7.9999999999999982"/>
    <s v="Normal Working Days before 10pm"/>
    <s v="Total: 519 Policies"/>
    <s v=""/>
    <x v="24"/>
  </r>
  <r>
    <x v="1"/>
    <x v="49"/>
    <d v="2019-01-15T00:00:00"/>
    <s v="Tue"/>
    <d v="1899-12-30T08:30:00"/>
    <d v="1899-12-30T17:30:00"/>
    <n v="0"/>
    <n v="7.9999999999999982"/>
    <n v="7.9999999999999982"/>
    <s v="Normal Working Days before 10pm"/>
    <s v="Total: 698 Policies"/>
    <s v=""/>
    <x v="24"/>
  </r>
  <r>
    <x v="1"/>
    <x v="49"/>
    <d v="2019-01-17T00:00:00"/>
    <s v="Thu"/>
    <d v="1899-12-30T08:30:00"/>
    <d v="1899-12-30T17:30:00"/>
    <n v="0"/>
    <n v="7.9999999999999982"/>
    <n v="7.9999999999999982"/>
    <s v="Normal Working Days before 10pm"/>
    <s v="Total: 419 Policies"/>
    <s v=""/>
    <x v="24"/>
  </r>
  <r>
    <x v="1"/>
    <x v="49"/>
    <d v="2019-01-18T00:00:00"/>
    <s v="Fri"/>
    <d v="1899-12-30T08:30:00"/>
    <d v="1899-12-30T17:30:00"/>
    <n v="0"/>
    <n v="7.9999999999999982"/>
    <n v="7.9999999999999982"/>
    <s v="Normal Working Days before 10pm"/>
    <s v="Total: 815 Policies"/>
    <s v=""/>
    <x v="24"/>
  </r>
  <r>
    <x v="1"/>
    <x v="49"/>
    <d v="2019-01-21T00:00:00"/>
    <s v="Mon"/>
    <d v="1899-12-30T08:30:00"/>
    <d v="1899-12-30T17:30:00"/>
    <n v="0"/>
    <n v="7.9999999999999982"/>
    <n v="7.9999999999999982"/>
    <s v="Normal Working Days before 10pm"/>
    <s v="Total: 57 Policies"/>
    <s v=""/>
    <x v="24"/>
  </r>
  <r>
    <x v="1"/>
    <x v="49"/>
    <d v="2019-01-23T00:00:00"/>
    <s v="Wed"/>
    <d v="1899-12-30T13:00:00"/>
    <d v="1899-12-30T17:30:00"/>
    <n v="0"/>
    <n v="4.5"/>
    <n v="4.5"/>
    <s v="Normal Working Days before 10pm"/>
    <s v="Total: 1374 Policies"/>
    <s v=""/>
    <x v="24"/>
  </r>
  <r>
    <x v="1"/>
    <x v="7"/>
    <d v="2019-01-23T00:00:00"/>
    <s v="Wed"/>
    <d v="1899-12-30T10:00:00"/>
    <d v="1899-12-30T11:30:00"/>
    <n v="0"/>
    <n v="1.5"/>
    <n v="1.5"/>
    <s v="Normal Working Days before 10pm"/>
    <s v="Total: 1374 Policies"/>
    <s v=""/>
    <x v="24"/>
  </r>
  <r>
    <x v="1"/>
    <x v="6"/>
    <d v="2019-01-23T00:00:00"/>
    <s v="Wed"/>
    <d v="1899-12-30T13:00:00"/>
    <d v="1899-12-30T17:30:00"/>
    <n v="0"/>
    <n v="4.5"/>
    <n v="4.5"/>
    <s v="Normal Working Days before 10pm"/>
    <s v="Total: 1374 Policies"/>
    <s v=""/>
    <x v="24"/>
  </r>
  <r>
    <x v="1"/>
    <x v="49"/>
    <d v="2019-01-24T00:00:00"/>
    <s v="Thu"/>
    <d v="1899-12-30T08:30:00"/>
    <d v="1899-12-30T17:30:00"/>
    <n v="0"/>
    <n v="7.9999999999999982"/>
    <n v="7.9999999999999982"/>
    <s v="Normal Working Days before 10pm"/>
    <s v="Total: 1255 Policies"/>
    <s v=""/>
    <x v="24"/>
  </r>
  <r>
    <x v="1"/>
    <x v="6"/>
    <d v="2019-01-24T00:00:00"/>
    <s v="Thu"/>
    <d v="1899-12-30T08:30:00"/>
    <d v="1899-12-30T17:30:00"/>
    <n v="0"/>
    <n v="7.9999999999999982"/>
    <n v="7.9999999999999982"/>
    <s v="Normal Working Days before 10pm"/>
    <s v="Total: 1255 Policies"/>
    <s v=""/>
    <x v="24"/>
  </r>
  <r>
    <x v="1"/>
    <x v="49"/>
    <d v="2019-01-25T00:00:00"/>
    <s v="Fri"/>
    <d v="1899-12-30T07:00:00"/>
    <d v="1899-12-30T16:00:00"/>
    <n v="0"/>
    <n v="7.9999999999999982"/>
    <n v="7.9999999999999982"/>
    <s v="Normal Working Days before 10pm"/>
    <s v="Total: 933 Policies"/>
    <s v=""/>
    <x v="24"/>
  </r>
  <r>
    <x v="1"/>
    <x v="49"/>
    <d v="2019-01-28T00:00:00"/>
    <s v="Mon"/>
    <d v="1899-12-30T08:30:00"/>
    <d v="1899-12-30T17:30:00"/>
    <n v="0"/>
    <n v="7.9999999999999982"/>
    <n v="7.9999999999999982"/>
    <s v="Normal Working Days before 10pm"/>
    <s v="Total: 1380 Policies"/>
    <s v=""/>
    <x v="24"/>
  </r>
  <r>
    <x v="1"/>
    <x v="12"/>
    <d v="2019-01-28T00:00:00"/>
    <s v="Mon"/>
    <d v="1899-12-30T10:00:00"/>
    <d v="1899-12-30T17:30:00"/>
    <n v="0"/>
    <n v="6.4999999999999982"/>
    <n v="6.4999999999999982"/>
    <s v="Normal Working Days before 10pm"/>
    <s v="Total: 1380 Policies"/>
    <s v=""/>
    <x v="24"/>
  </r>
  <r>
    <x v="1"/>
    <x v="6"/>
    <d v="2019-01-28T00:00:00"/>
    <s v="Mon"/>
    <d v="1899-12-30T08:30:00"/>
    <d v="1899-12-30T17:30:00"/>
    <n v="0"/>
    <n v="7.9999999999999982"/>
    <n v="7.9999999999999982"/>
    <s v="Normal Working Days before 10pm"/>
    <s v="Total: 1380 Policies"/>
    <s v=""/>
    <x v="24"/>
  </r>
  <r>
    <x v="1"/>
    <x v="49"/>
    <d v="2019-01-29T00:00:00"/>
    <s v="Tue"/>
    <d v="1899-12-30T08:30:00"/>
    <d v="1899-12-30T17:30:00"/>
    <n v="0"/>
    <n v="7.9999999999999982"/>
    <n v="7.9999999999999982"/>
    <s v="Normal Working Days before 10pm"/>
    <s v="Total: 1692 Policies"/>
    <s v=""/>
    <x v="24"/>
  </r>
  <r>
    <x v="1"/>
    <x v="12"/>
    <d v="2019-01-29T00:00:00"/>
    <s v="Tue"/>
    <d v="1899-12-30T08:30:00"/>
    <d v="1899-12-30T17:30:00"/>
    <n v="0"/>
    <n v="7.9999999999999982"/>
    <n v="7.9999999999999982"/>
    <s v="Normal Working Days before 10pm"/>
    <s v="Total: 1692 Policies"/>
    <s v=""/>
    <x v="24"/>
  </r>
  <r>
    <x v="1"/>
    <x v="6"/>
    <d v="2019-01-29T00:00:00"/>
    <s v="Tue"/>
    <d v="1899-12-30T08:30:00"/>
    <d v="1899-12-30T17:30:00"/>
    <n v="0"/>
    <n v="7.9999999999999982"/>
    <n v="7.9999999999999982"/>
    <s v="Normal Working Days before 10pm"/>
    <s v="Total: 1692 Policies"/>
    <s v=""/>
    <x v="24"/>
  </r>
  <r>
    <x v="1"/>
    <x v="49"/>
    <d v="2019-01-30T00:00:00"/>
    <s v="Wed"/>
    <d v="1899-12-30T08:30:00"/>
    <d v="1899-12-30T17:30:00"/>
    <n v="0"/>
    <n v="7.9999999999999982"/>
    <n v="7.9999999999999982"/>
    <s v="Normal Working Days before 10pm"/>
    <s v="Total: 1448 Policies"/>
    <s v=""/>
    <x v="24"/>
  </r>
  <r>
    <x v="1"/>
    <x v="12"/>
    <d v="2019-01-30T00:00:00"/>
    <s v="Wed"/>
    <d v="1899-12-30T08:30:00"/>
    <d v="1899-12-30T17:30:00"/>
    <n v="0"/>
    <n v="7.9999999999999982"/>
    <n v="7.9999999999999982"/>
    <s v="Normal Working Days before 10pm"/>
    <s v="Total: 1448 Policies"/>
    <s v=""/>
    <x v="24"/>
  </r>
  <r>
    <x v="1"/>
    <x v="49"/>
    <d v="2019-01-31T00:00:00"/>
    <s v="Thu"/>
    <d v="1899-12-30T08:30:00"/>
    <d v="1899-12-30T17:30:00"/>
    <n v="0"/>
    <n v="7.9999999999999982"/>
    <n v="7.9999999999999982"/>
    <s v="Normal Working Days before 10pm"/>
    <s v="Total: 1630 Policies"/>
    <s v=""/>
    <x v="24"/>
  </r>
  <r>
    <x v="1"/>
    <x v="7"/>
    <d v="2019-01-31T00:00:00"/>
    <s v="Thu"/>
    <d v="1899-12-30T08:30:00"/>
    <d v="1899-12-30T17:30:00"/>
    <n v="0"/>
    <n v="7.9999999999999982"/>
    <n v="7.9999999999999982"/>
    <s v="Normal Working Days before 10pm"/>
    <s v="Total: 1630 Policies"/>
    <s v=""/>
    <x v="24"/>
  </r>
  <r>
    <x v="1"/>
    <x v="56"/>
    <d v="2019-01-31T00:00:00"/>
    <s v="Thu"/>
    <d v="1899-12-30T08:30:00"/>
    <d v="1899-12-30T17:30:00"/>
    <n v="0"/>
    <n v="7.9999999999999982"/>
    <n v="7.9999999999999982"/>
    <s v="Normal Working Days before 10pm"/>
    <s v="Total: 1630 Policies"/>
    <s v=""/>
    <x v="24"/>
  </r>
  <r>
    <x v="0"/>
    <x v="56"/>
    <d v="2019-02-01T00:00:00"/>
    <s v="Fri"/>
    <d v="1899-12-30T08:30:00"/>
    <d v="1899-12-30T17:30:00"/>
    <n v="0"/>
    <n v="8.0000000000000036"/>
    <n v="8.0000000000000036"/>
    <s v="Normal Working Days before 10pm"/>
    <s v="Total: 1261 Policies"/>
    <s v=""/>
    <x v="25"/>
  </r>
  <r>
    <x v="1"/>
    <x v="49"/>
    <d v="2019-02-01T00:00:00"/>
    <s v="Fri"/>
    <d v="1899-12-30T08:30:00"/>
    <d v="1899-12-30T17:30:00"/>
    <n v="0"/>
    <n v="7.9999999999999982"/>
    <n v="7.9999999999999982"/>
    <s v="Normal Working Days before 10pm"/>
    <s v="Total: 1261 Policies"/>
    <s v=""/>
    <x v="25"/>
  </r>
  <r>
    <x v="1"/>
    <x v="12"/>
    <d v="2019-02-01T00:00:00"/>
    <s v="Fri"/>
    <d v="1899-12-30T08:30:00"/>
    <d v="1899-12-30T17:30:00"/>
    <n v="0"/>
    <n v="7.9999999999999982"/>
    <n v="7.9999999999999982"/>
    <s v="Normal Working Days before 10pm"/>
    <s v="Total: 1261 Policies"/>
    <s v=""/>
    <x v="25"/>
  </r>
  <r>
    <x v="1"/>
    <x v="7"/>
    <d v="2019-02-01T00:00:00"/>
    <s v="Fri"/>
    <d v="1899-12-30T08:30:00"/>
    <d v="1899-12-30T17:30:00"/>
    <n v="0"/>
    <n v="7.9999999999999982"/>
    <n v="7.9999999999999982"/>
    <s v="Normal Working Days before 10pm"/>
    <s v="Total: 1261 Policies"/>
    <s v=""/>
    <x v="25"/>
  </r>
  <r>
    <x v="1"/>
    <x v="49"/>
    <d v="2019-02-11T00:00:00"/>
    <s v="Mon"/>
    <d v="1899-12-30T08:30:00"/>
    <d v="1899-12-30T17:30:00"/>
    <n v="0"/>
    <n v="7.9999999999999982"/>
    <n v="7.9999999999999982"/>
    <s v="Normal Working Days before 10pm"/>
    <s v="Total: 1482 Policies"/>
    <s v=""/>
    <x v="25"/>
  </r>
  <r>
    <x v="1"/>
    <x v="12"/>
    <d v="2019-02-11T00:00:00"/>
    <s v="Mon"/>
    <d v="1899-12-30T08:30:00"/>
    <d v="1899-12-30T16:30:00"/>
    <n v="0"/>
    <n v="7"/>
    <n v="7"/>
    <s v="Normal Working Days before 10pm"/>
    <s v="Total: 1482 Policies"/>
    <s v=""/>
    <x v="25"/>
  </r>
  <r>
    <x v="1"/>
    <x v="7"/>
    <d v="2019-02-11T00:00:00"/>
    <s v="Mon"/>
    <d v="1899-12-30T08:30:00"/>
    <d v="1899-12-30T16:30:00"/>
    <n v="0"/>
    <n v="7"/>
    <n v="7"/>
    <s v="Normal Working Days before 10pm"/>
    <s v="Total: 1482 Policies"/>
    <s v=""/>
    <x v="25"/>
  </r>
  <r>
    <x v="1"/>
    <x v="49"/>
    <d v="2019-02-12T00:00:00"/>
    <s v="Tue"/>
    <d v="1899-12-30T08:30:00"/>
    <d v="1899-12-30T17:30:00"/>
    <n v="0"/>
    <n v="7.9999999999999982"/>
    <n v="7.9999999999999982"/>
    <s v="Normal Working Days before 10pm"/>
    <s v="Total: 0 Policies"/>
    <s v=""/>
    <x v="25"/>
  </r>
  <r>
    <x v="1"/>
    <x v="49"/>
    <d v="2019-02-13T00:00:00"/>
    <s v="Wed"/>
    <d v="1899-12-30T08:30:00"/>
    <d v="1899-12-30T17:30:00"/>
    <n v="0"/>
    <n v="7.9999999999999982"/>
    <n v="7.9999999999999982"/>
    <s v="Normal Working Days before 10pm"/>
    <s v="Total: 0 Policies"/>
    <s v=""/>
    <x v="25"/>
  </r>
  <r>
    <x v="1"/>
    <x v="49"/>
    <d v="2019-02-14T00:00:00"/>
    <s v="Thu"/>
    <d v="1899-12-30T08:30:00"/>
    <d v="1899-12-30T17:30:00"/>
    <n v="0"/>
    <n v="7.9999999999999982"/>
    <n v="7.9999999999999982"/>
    <s v="Normal Working Days before 10pm"/>
    <s v="Total: 112 Policies"/>
    <s v=""/>
    <x v="25"/>
  </r>
  <r>
    <x v="0"/>
    <x v="0"/>
    <d v="2019-02-15T00:00:00"/>
    <s v="Fri"/>
    <d v="1899-12-30T17:00:00"/>
    <d v="1899-12-30T21:00:00"/>
    <n v="8.0000000000000036"/>
    <n v="3.9999999999999982"/>
    <n v="3.9999999999999982"/>
    <s v="Normal Working Days before 10pm"/>
    <s v="Total: 2461 Policies"/>
    <n v="1"/>
    <x v="25"/>
  </r>
  <r>
    <x v="0"/>
    <x v="2"/>
    <d v="2019-02-15T00:00:00"/>
    <s v="Fri"/>
    <d v="1899-12-30T17:00:00"/>
    <d v="1899-12-30T21:00:00"/>
    <n v="8.0000000000000036"/>
    <n v="3.9999999999999982"/>
    <n v="3.9999999999999982"/>
    <s v="Normal Working Days before 10pm"/>
    <s v="Total: 2461 Policies"/>
    <n v="1"/>
    <x v="25"/>
  </r>
  <r>
    <x v="0"/>
    <x v="15"/>
    <d v="2019-02-15T00:00:00"/>
    <s v="Fri"/>
    <d v="1899-12-30T17:00:00"/>
    <d v="1899-12-30T21:00:00"/>
    <n v="8.0000000000000036"/>
    <n v="3.9999999999999982"/>
    <n v="3.9999999999999982"/>
    <s v="Normal Working Days before 10pm"/>
    <s v="Total: 2461 Policies"/>
    <n v="1"/>
    <x v="25"/>
  </r>
  <r>
    <x v="0"/>
    <x v="16"/>
    <d v="2019-02-15T00:00:00"/>
    <s v="Fri"/>
    <d v="1899-12-30T17:00:00"/>
    <d v="1899-12-30T21:00:00"/>
    <n v="8.0000000000000036"/>
    <n v="3.9999999999999982"/>
    <n v="3.9999999999999982"/>
    <s v="Normal Working Days before 10pm"/>
    <s v="Total: 2461 Policies"/>
    <n v="1"/>
    <x v="25"/>
  </r>
  <r>
    <x v="0"/>
    <x v="43"/>
    <d v="2019-02-15T00:00:00"/>
    <s v="Fri"/>
    <d v="1899-12-30T15:30:00"/>
    <d v="1899-12-30T21:00:00"/>
    <n v="8.0000000000000036"/>
    <n v="5.4999999999999982"/>
    <n v="5.4999999999999982"/>
    <s v="Normal Working Days before 10pm"/>
    <s v="Total: 2461 Policies"/>
    <n v="1"/>
    <x v="25"/>
  </r>
  <r>
    <x v="0"/>
    <x v="44"/>
    <d v="2019-02-15T00:00:00"/>
    <s v="Fri"/>
    <d v="1899-12-30T17:00:00"/>
    <d v="1899-12-30T21:00:00"/>
    <n v="8.0000000000000036"/>
    <n v="3.9999999999999982"/>
    <n v="3.9999999999999982"/>
    <s v="Normal Working Days before 10pm"/>
    <s v="Total: 2461 Policies"/>
    <n v="1"/>
    <x v="25"/>
  </r>
  <r>
    <x v="0"/>
    <x v="53"/>
    <d v="2019-02-15T00:00:00"/>
    <s v="Fri"/>
    <d v="1899-12-30T17:00:00"/>
    <d v="1899-12-30T17:30:00"/>
    <n v="8.0000000000000036"/>
    <n v="0.49999999999999645"/>
    <n v="0.49999999999999645"/>
    <s v="Normal Working Days before 10pm"/>
    <s v="Total: 2461 Policies"/>
    <s v=""/>
    <x v="25"/>
  </r>
  <r>
    <x v="0"/>
    <x v="56"/>
    <d v="2019-02-15T00:00:00"/>
    <s v="Fri"/>
    <d v="1899-12-30T17:00:00"/>
    <d v="1899-12-30T21:00:00"/>
    <n v="8.0000000000000036"/>
    <n v="3.9999999999999982"/>
    <n v="3.9999999999999982"/>
    <s v="Normal Working Days before 10pm"/>
    <s v="Total: 2461 Policies"/>
    <n v="1"/>
    <x v="25"/>
  </r>
  <r>
    <x v="1"/>
    <x v="49"/>
    <d v="2019-02-15T00:00:00"/>
    <s v="Fri"/>
    <d v="1899-12-30T08:00:00"/>
    <d v="1899-12-30T21:00:00"/>
    <n v="0"/>
    <n v="12.000000000000002"/>
    <n v="12.000000000000002"/>
    <s v="Normal Working Days before 10pm"/>
    <s v="Total: 2461 Policies"/>
    <s v=""/>
    <x v="25"/>
  </r>
  <r>
    <x v="1"/>
    <x v="12"/>
    <d v="2019-02-15T00:00:00"/>
    <s v="Fri"/>
    <d v="1899-12-30T08:30:00"/>
    <d v="1899-12-30T17:30:00"/>
    <n v="0"/>
    <n v="7.9999999999999982"/>
    <n v="7.9999999999999982"/>
    <s v="Normal Working Days before 10pm"/>
    <s v="Total: 2461 Policies"/>
    <s v=""/>
    <x v="25"/>
  </r>
  <r>
    <x v="1"/>
    <x v="7"/>
    <d v="2019-02-15T00:00:00"/>
    <s v="Fri"/>
    <d v="1899-12-30T08:30:00"/>
    <d v="1899-12-30T13:30:00"/>
    <n v="0"/>
    <n v="5"/>
    <n v="5"/>
    <s v="Normal Working Days before 10pm"/>
    <s v="Total: 2461 Policies"/>
    <s v=""/>
    <x v="25"/>
  </r>
  <r>
    <x v="0"/>
    <x v="0"/>
    <d v="2019-02-16T00:00:00"/>
    <s v="Sat"/>
    <d v="1899-12-30T08:30:00"/>
    <d v="1899-12-30T17:30:00"/>
    <n v="8.0000000000000036"/>
    <n v="0"/>
    <n v="8.0000000000000036"/>
    <s v="Saturday/Sunday (Weekends) before 10pm"/>
    <s v="Total: 1808 Policies"/>
    <s v=""/>
    <x v="25"/>
  </r>
  <r>
    <x v="0"/>
    <x v="2"/>
    <d v="2019-02-16T00:00:00"/>
    <s v="Sat"/>
    <d v="1899-12-30T06:30:00"/>
    <d v="1899-12-30T15:30:00"/>
    <n v="8.0000000000000036"/>
    <n v="0"/>
    <n v="8.0000000000000036"/>
    <s v="Saturday/Sunday (Weekends) before 10pm"/>
    <s v="Total: 1808 Policies"/>
    <s v=""/>
    <x v="25"/>
  </r>
  <r>
    <x v="0"/>
    <x v="15"/>
    <d v="2019-02-16T00:00:00"/>
    <s v="Sat"/>
    <d v="1899-12-30T08:30:00"/>
    <d v="1899-12-30T17:30:00"/>
    <n v="8.0000000000000036"/>
    <n v="0"/>
    <n v="8.0000000000000036"/>
    <s v="Saturday/Sunday (Weekends) before 10pm"/>
    <s v="Total: 1808 Policies"/>
    <s v=""/>
    <x v="25"/>
  </r>
  <r>
    <x v="0"/>
    <x v="16"/>
    <d v="2019-02-16T00:00:00"/>
    <s v="Sat"/>
    <d v="1899-12-30T08:30:00"/>
    <d v="1899-12-30T17:30:00"/>
    <n v="8.0000000000000036"/>
    <n v="0"/>
    <n v="8.0000000000000036"/>
    <s v="Saturday/Sunday (Weekends) before 10pm"/>
    <s v="Total: 1808 Policies"/>
    <s v=""/>
    <x v="25"/>
  </r>
  <r>
    <x v="0"/>
    <x v="43"/>
    <d v="2019-02-16T00:00:00"/>
    <s v="Sat"/>
    <d v="1899-12-30T08:30:00"/>
    <d v="1899-12-30T17:30:00"/>
    <n v="8.0000000000000036"/>
    <n v="0"/>
    <n v="8.0000000000000036"/>
    <s v="Saturday/Sunday (Weekends) before 10pm"/>
    <s v="Total: 1808 Policies"/>
    <s v=""/>
    <x v="25"/>
  </r>
  <r>
    <x v="0"/>
    <x v="44"/>
    <d v="2019-02-16T00:00:00"/>
    <s v="Sat"/>
    <d v="1899-12-30T08:30:00"/>
    <d v="1899-12-30T17:30:00"/>
    <n v="8.0000000000000036"/>
    <n v="0"/>
    <n v="8.0000000000000036"/>
    <s v="Saturday/Sunday (Weekends) before 10pm"/>
    <s v="Total: 1808 Policies"/>
    <s v=""/>
    <x v="25"/>
  </r>
  <r>
    <x v="0"/>
    <x v="53"/>
    <d v="2019-02-16T00:00:00"/>
    <s v="Sat"/>
    <d v="1899-12-30T08:30:00"/>
    <d v="1899-12-30T17:30:00"/>
    <n v="8.0000000000000036"/>
    <n v="0"/>
    <n v="8.0000000000000036"/>
    <s v="Saturday/Sunday (Weekends) before 10pm"/>
    <s v="Total: 1808 Policies"/>
    <s v=""/>
    <x v="25"/>
  </r>
  <r>
    <x v="0"/>
    <x v="56"/>
    <d v="2019-02-16T00:00:00"/>
    <s v="Sat"/>
    <d v="1899-12-30T08:30:00"/>
    <d v="1899-12-30T17:30:00"/>
    <n v="8.0000000000000036"/>
    <n v="0"/>
    <n v="8.0000000000000036"/>
    <s v="Saturday/Sunday (Weekends) before 10pm"/>
    <s v="Total: 1808 Policies"/>
    <s v=""/>
    <x v="25"/>
  </r>
  <r>
    <x v="1"/>
    <x v="49"/>
    <d v="2019-02-16T00:00:00"/>
    <s v="Sat"/>
    <d v="1899-12-30T08:30:00"/>
    <d v="1899-12-30T17:30:00"/>
    <n v="0"/>
    <n v="7.9999999999999982"/>
    <n v="7.9999999999999982"/>
    <s v="Saturday/Sunday (Weekends) before 10pm"/>
    <s v="Total: 1808 Policies"/>
    <s v=""/>
    <x v="25"/>
  </r>
  <r>
    <x v="1"/>
    <x v="12"/>
    <d v="2019-02-16T00:00:00"/>
    <s v="Sat"/>
    <d v="1899-12-30T08:30:00"/>
    <d v="1899-12-30T17:30:00"/>
    <n v="0"/>
    <n v="7.9999999999999982"/>
    <n v="7.9999999999999982"/>
    <s v="Saturday/Sunday (Weekends) before 10pm"/>
    <s v="Total: 1808 Policies"/>
    <s v=""/>
    <x v="25"/>
  </r>
  <r>
    <x v="1"/>
    <x v="57"/>
    <d v="2019-02-18T00:00:00"/>
    <s v="Mon"/>
    <d v="1899-12-30T08:30:00"/>
    <d v="1899-12-30T17:30:00"/>
    <n v="0"/>
    <n v="7.9999999999999982"/>
    <n v="7.9999999999999982"/>
    <s v="Normal Working Days before 10pm"/>
    <s v="Total: 55 Policies"/>
    <s v=""/>
    <x v="25"/>
  </r>
  <r>
    <x v="1"/>
    <x v="49"/>
    <d v="2019-02-18T00:00:00"/>
    <s v="Mon"/>
    <d v="1899-12-30T08:30:00"/>
    <d v="1899-12-30T17:30:00"/>
    <n v="0"/>
    <n v="7.9999999999999982"/>
    <n v="7.9999999999999982"/>
    <s v="Normal Working Days before 10pm"/>
    <s v="Total: 55 Policies"/>
    <s v=""/>
    <x v="25"/>
  </r>
  <r>
    <x v="1"/>
    <x v="57"/>
    <d v="2019-02-19T00:00:00"/>
    <s v="Tue"/>
    <d v="1899-12-30T08:30:00"/>
    <d v="1899-12-30T17:30:00"/>
    <n v="0"/>
    <n v="7.9999999999999982"/>
    <n v="7.9999999999999982"/>
    <s v="Normal Working Days before 10pm"/>
    <s v="Total: 976 Policies"/>
    <s v=""/>
    <x v="25"/>
  </r>
  <r>
    <x v="1"/>
    <x v="49"/>
    <d v="2019-02-19T00:00:00"/>
    <s v="Tue"/>
    <d v="1899-12-30T08:30:00"/>
    <d v="1899-12-30T17:30:00"/>
    <n v="0"/>
    <n v="7.9999999999999982"/>
    <n v="7.9999999999999982"/>
    <s v="Normal Working Days before 10pm"/>
    <s v="Total: 976 Policies"/>
    <s v=""/>
    <x v="25"/>
  </r>
  <r>
    <x v="1"/>
    <x v="57"/>
    <d v="2019-02-20T00:00:00"/>
    <s v="Wed"/>
    <d v="1899-12-30T08:30:00"/>
    <d v="1899-12-30T17:30:00"/>
    <n v="0"/>
    <n v="7.9999999999999982"/>
    <n v="7.9999999999999982"/>
    <s v="Normal Working Days before 10pm"/>
    <s v="Total: 1053 Policies"/>
    <s v=""/>
    <x v="25"/>
  </r>
  <r>
    <x v="1"/>
    <x v="49"/>
    <d v="2019-02-20T00:00:00"/>
    <s v="Wed"/>
    <d v="1899-12-30T08:30:00"/>
    <d v="1899-12-30T17:30:00"/>
    <n v="0"/>
    <n v="7.9999999999999982"/>
    <n v="7.9999999999999982"/>
    <s v="Normal Working Days before 10pm"/>
    <s v="Total: 1053 Policies"/>
    <s v=""/>
    <x v="25"/>
  </r>
  <r>
    <x v="1"/>
    <x v="57"/>
    <d v="2019-02-21T00:00:00"/>
    <s v="Thu"/>
    <d v="1899-12-30T08:30:00"/>
    <d v="1899-12-30T17:30:00"/>
    <n v="0"/>
    <n v="7.9999999999999982"/>
    <n v="7.9999999999999982"/>
    <s v="Normal Working Days before 10pm"/>
    <s v="Total: 675 Policies"/>
    <s v=""/>
    <x v="25"/>
  </r>
  <r>
    <x v="1"/>
    <x v="49"/>
    <d v="2019-02-21T00:00:00"/>
    <s v="Thu"/>
    <d v="1899-12-30T08:30:00"/>
    <d v="1899-12-30T17:30:00"/>
    <n v="0"/>
    <n v="7.9999999999999982"/>
    <n v="7.9999999999999982"/>
    <s v="Normal Working Days before 10pm"/>
    <s v="Total: 675 Policies"/>
    <s v=""/>
    <x v="25"/>
  </r>
  <r>
    <x v="1"/>
    <x v="57"/>
    <d v="2019-02-22T00:00:00"/>
    <s v="Fri"/>
    <d v="1899-12-30T08:30:00"/>
    <d v="1899-12-30T17:30:00"/>
    <n v="0"/>
    <n v="7.9999999999999982"/>
    <n v="7.9999999999999982"/>
    <s v="Normal Working Days before 10pm"/>
    <s v="Total: 638 Policies"/>
    <s v=""/>
    <x v="25"/>
  </r>
  <r>
    <x v="1"/>
    <x v="49"/>
    <d v="2019-02-22T00:00:00"/>
    <s v="Fri"/>
    <d v="1899-12-30T08:30:00"/>
    <d v="1899-12-30T17:30:00"/>
    <n v="0"/>
    <n v="7.9999999999999982"/>
    <n v="7.9999999999999982"/>
    <s v="Normal Working Days before 10pm"/>
    <s v="Total: 638 Policies"/>
    <s v=""/>
    <x v="25"/>
  </r>
  <r>
    <x v="1"/>
    <x v="57"/>
    <d v="2019-02-25T00:00:00"/>
    <s v="Mon"/>
    <d v="1899-12-30T08:30:00"/>
    <d v="1899-12-30T17:30:00"/>
    <n v="0"/>
    <n v="7.9999999999999982"/>
    <n v="7.9999999999999982"/>
    <s v="Normal Working Days before 10pm"/>
    <s v="Total: 948 Policies"/>
    <s v=""/>
    <x v="25"/>
  </r>
  <r>
    <x v="1"/>
    <x v="57"/>
    <d v="2019-02-26T00:00:00"/>
    <s v="Tue"/>
    <d v="1899-12-30T08:30:00"/>
    <d v="1899-12-30T17:30:00"/>
    <n v="0"/>
    <n v="7.9999999999999982"/>
    <n v="7.9999999999999982"/>
    <s v="Normal Working Days before 10pm"/>
    <s v="Total: 1327 Policies"/>
    <s v=""/>
    <x v="25"/>
  </r>
  <r>
    <x v="1"/>
    <x v="49"/>
    <d v="2019-02-26T00:00:00"/>
    <s v="Tue"/>
    <d v="1899-12-30T08:30:00"/>
    <d v="1899-12-30T17:30:00"/>
    <n v="0"/>
    <n v="7.9999999999999982"/>
    <n v="7.9999999999999982"/>
    <s v="Normal Working Days before 10pm"/>
    <s v="Total: 1327 Policies"/>
    <s v=""/>
    <x v="25"/>
  </r>
  <r>
    <x v="1"/>
    <x v="57"/>
    <d v="2019-02-27T00:00:00"/>
    <s v="Wed"/>
    <d v="1899-12-30T08:30:00"/>
    <d v="1899-12-30T17:30:00"/>
    <n v="0"/>
    <n v="7.9999999999999982"/>
    <n v="7.9999999999999982"/>
    <s v="Normal Working Days before 10pm"/>
    <s v="Total: 1438 Policies"/>
    <s v=""/>
    <x v="25"/>
  </r>
  <r>
    <x v="1"/>
    <x v="49"/>
    <d v="2019-02-27T00:00:00"/>
    <s v="Wed"/>
    <d v="1899-12-30T08:30:00"/>
    <d v="1899-12-30T17:30:00"/>
    <n v="0"/>
    <n v="7.9999999999999982"/>
    <n v="7.9999999999999982"/>
    <s v="Normal Working Days before 10pm"/>
    <s v="Total: 1438 Policies"/>
    <s v=""/>
    <x v="25"/>
  </r>
  <r>
    <x v="1"/>
    <x v="57"/>
    <d v="2019-02-28T00:00:00"/>
    <s v="Thu"/>
    <d v="1899-12-30T08:30:00"/>
    <d v="1899-12-30T17:30:00"/>
    <n v="0"/>
    <n v="7.9999999999999982"/>
    <n v="7.9999999999999982"/>
    <s v="Normal Working Days before 10pm"/>
    <s v="Total: 383 Policies"/>
    <s v=""/>
    <x v="25"/>
  </r>
  <r>
    <x v="1"/>
    <x v="49"/>
    <d v="2019-02-28T00:00:00"/>
    <s v="Thu"/>
    <d v="1899-12-30T08:30:00"/>
    <d v="1899-12-30T17:30:00"/>
    <n v="0"/>
    <n v="7.9999999999999982"/>
    <n v="7.9999999999999982"/>
    <s v="Normal Working Days before 10pm"/>
    <s v="Total: 383 Policies"/>
    <s v=""/>
    <x v="25"/>
  </r>
  <r>
    <x v="0"/>
    <x v="0"/>
    <d v="2019-03-01T00:00:00"/>
    <s v="Fri"/>
    <d v="1899-12-30T17:30:00"/>
    <d v="1899-12-30T21:30:00"/>
    <n v="8.0000000000000036"/>
    <n v="3.9999999999999982"/>
    <n v="3.9999999999999982"/>
    <s v="Normal Working Days before 10pm"/>
    <s v="Total: 2722 Policies"/>
    <n v="1"/>
    <x v="26"/>
  </r>
  <r>
    <x v="0"/>
    <x v="2"/>
    <d v="2019-03-01T00:00:00"/>
    <s v="Fri"/>
    <d v="1899-12-30T17:30:00"/>
    <d v="1899-12-30T21:30:00"/>
    <n v="8.0000000000000036"/>
    <n v="3.9999999999999982"/>
    <n v="3.9999999999999982"/>
    <s v="Normal Working Days before 10pm"/>
    <s v="Total: 2722 Policies"/>
    <n v="1"/>
    <x v="26"/>
  </r>
  <r>
    <x v="0"/>
    <x v="15"/>
    <d v="2019-03-01T00:00:00"/>
    <s v="Fri"/>
    <d v="1899-12-30T15:30:00"/>
    <d v="1899-12-30T19:30:00"/>
    <n v="8.0000000000000036"/>
    <n v="3.9999999999999982"/>
    <n v="3.9999999999999982"/>
    <s v="Normal Working Days before 10pm"/>
    <s v="Total: 2722 Policies"/>
    <n v="1"/>
    <x v="26"/>
  </r>
  <r>
    <x v="0"/>
    <x v="16"/>
    <d v="2019-03-01T00:00:00"/>
    <s v="Fri"/>
    <d v="1899-12-30T17:30:00"/>
    <d v="1899-12-30T21:30:00"/>
    <n v="8.0000000000000036"/>
    <n v="3.9999999999999982"/>
    <n v="3.9999999999999982"/>
    <s v="Normal Working Days before 10pm"/>
    <s v="Total: 2722 Policies"/>
    <n v="1"/>
    <x v="26"/>
  </r>
  <r>
    <x v="0"/>
    <x v="43"/>
    <d v="2019-03-01T00:00:00"/>
    <s v="Fri"/>
    <d v="1899-12-30T17:30:00"/>
    <d v="1899-12-30T21:30:00"/>
    <n v="8.0000000000000036"/>
    <n v="3.9999999999999982"/>
    <n v="3.9999999999999982"/>
    <s v="Normal Working Days before 10pm"/>
    <s v="Total: 2722 Policies"/>
    <n v="1"/>
    <x v="26"/>
  </r>
  <r>
    <x v="0"/>
    <x v="44"/>
    <d v="2019-03-01T00:00:00"/>
    <s v="Fri"/>
    <d v="1899-12-30T17:30:00"/>
    <d v="1899-12-30T21:30:00"/>
    <n v="8.0000000000000036"/>
    <n v="3.9999999999999982"/>
    <n v="3.9999999999999982"/>
    <s v="Normal Working Days before 10pm"/>
    <s v="Total: 2722 Policies"/>
    <n v="1"/>
    <x v="26"/>
  </r>
  <r>
    <x v="0"/>
    <x v="53"/>
    <d v="2019-03-01T00:00:00"/>
    <s v="Fri"/>
    <d v="1899-12-30T17:30:00"/>
    <d v="1899-12-30T21:30:00"/>
    <n v="8.0000000000000036"/>
    <n v="3.9999999999999982"/>
    <n v="3.9999999999999982"/>
    <s v="Normal Working Days before 10pm"/>
    <s v="Total: 2722 Policies"/>
    <n v="1"/>
    <x v="26"/>
  </r>
  <r>
    <x v="0"/>
    <x v="56"/>
    <d v="2019-03-01T00:00:00"/>
    <s v="Fri"/>
    <d v="1899-12-30T17:30:00"/>
    <d v="1899-12-30T21:30:00"/>
    <n v="8.0000000000000036"/>
    <n v="3.9999999999999982"/>
    <n v="3.9999999999999982"/>
    <s v="Normal Working Days before 10pm"/>
    <s v="Total: 2722 Policies"/>
    <n v="1"/>
    <x v="26"/>
  </r>
  <r>
    <x v="0"/>
    <x v="57"/>
    <d v="2019-03-01T00:00:00"/>
    <s v="Fri"/>
    <d v="1899-12-30T08:30:00"/>
    <d v="1899-12-30T20:30:00"/>
    <n v="0"/>
    <n v="10.999999999999998"/>
    <n v="10.999999999999998"/>
    <s v="Normal Working Days before 10pm"/>
    <s v="Total: 2722 Policies"/>
    <s v=""/>
    <x v="26"/>
  </r>
  <r>
    <x v="1"/>
    <x v="49"/>
    <d v="2019-03-01T00:00:00"/>
    <s v="Fri"/>
    <d v="1899-12-30T08:30:00"/>
    <d v="1899-12-30T21:30:00"/>
    <n v="0"/>
    <n v="12.000000000000002"/>
    <n v="12.000000000000002"/>
    <s v="Normal Working Days before 10pm"/>
    <s v="Total: 2722 Policies"/>
    <s v=""/>
    <x v="26"/>
  </r>
  <r>
    <x v="1"/>
    <x v="49"/>
    <d v="2019-03-04T00:00:00"/>
    <s v="Mon"/>
    <d v="1899-12-30T08:30:00"/>
    <d v="1899-12-30T17:30:00"/>
    <n v="0"/>
    <n v="7.9999999999999982"/>
    <n v="7.9999999999999982"/>
    <s v="Normal Working Days before 10pm"/>
    <s v="Total: 1917 Policies"/>
    <s v=""/>
    <x v="26"/>
  </r>
  <r>
    <x v="1"/>
    <x v="58"/>
    <d v="2019-03-04T00:00:00"/>
    <s v="Mon"/>
    <d v="1899-12-30T08:30:00"/>
    <d v="1899-12-30T17:30:00"/>
    <n v="0"/>
    <n v="7.9999999999999982"/>
    <n v="7.9999999999999982"/>
    <s v="Normal Working Days before 10pm"/>
    <s v="Total: 1917 Policies"/>
    <s v=""/>
    <x v="26"/>
  </r>
  <r>
    <x v="1"/>
    <x v="49"/>
    <d v="2019-03-05T00:00:00"/>
    <s v="Tue"/>
    <d v="1899-12-30T08:30:00"/>
    <d v="1899-12-30T17:30:00"/>
    <n v="0"/>
    <n v="7.9999999999999982"/>
    <n v="7.9999999999999982"/>
    <s v="Normal Working Days before 10pm"/>
    <s v="Total: 1299 Policies"/>
    <s v=""/>
    <x v="26"/>
  </r>
  <r>
    <x v="1"/>
    <x v="28"/>
    <d v="2019-03-05T00:00:00"/>
    <s v="Tue"/>
    <d v="1899-12-30T08:00:00"/>
    <d v="1899-12-30T15:00:00"/>
    <n v="0"/>
    <n v="6"/>
    <n v="6"/>
    <s v="Normal Working Days before 10pm"/>
    <s v="Total: 1299 Policies"/>
    <s v=""/>
    <x v="26"/>
  </r>
  <r>
    <x v="0"/>
    <x v="57"/>
    <d v="2019-03-06T00:00:00"/>
    <s v="Wed"/>
    <d v="1899-12-30T08:30:00"/>
    <d v="1899-12-30T17:30:00"/>
    <n v="0"/>
    <n v="7.9999999999999982"/>
    <n v="7.9999999999999982"/>
    <s v="Normal Working Days before 10pm"/>
    <s v="Total: 757 Policies"/>
    <s v=""/>
    <x v="26"/>
  </r>
  <r>
    <x v="1"/>
    <x v="49"/>
    <d v="2019-03-06T00:00:00"/>
    <s v="Wed"/>
    <d v="1899-12-30T08:30:00"/>
    <d v="1899-12-30T17:30:00"/>
    <n v="0"/>
    <n v="7.9999999999999982"/>
    <n v="7.9999999999999982"/>
    <s v="Normal Working Days before 10pm"/>
    <s v="Total: 757 Policies"/>
    <s v=""/>
    <x v="26"/>
  </r>
  <r>
    <x v="0"/>
    <x v="57"/>
    <d v="2019-03-07T00:00:00"/>
    <s v="Thu"/>
    <d v="1899-12-30T08:30:00"/>
    <d v="1899-12-30T17:30:00"/>
    <n v="0"/>
    <n v="7.9999999999999982"/>
    <n v="7.9999999999999982"/>
    <s v="Normal Working Days before 10pm"/>
    <s v="Total: 650 Policies"/>
    <s v=""/>
    <x v="26"/>
  </r>
  <r>
    <x v="1"/>
    <x v="49"/>
    <d v="2019-03-07T00:00:00"/>
    <s v="Thu"/>
    <d v="1899-12-30T08:30:00"/>
    <d v="1899-12-30T17:30:00"/>
    <n v="0"/>
    <n v="7.9999999999999982"/>
    <n v="7.9999999999999982"/>
    <s v="Normal Working Days before 10pm"/>
    <s v="Total: 650 Policies"/>
    <s v=""/>
    <x v="26"/>
  </r>
  <r>
    <x v="0"/>
    <x v="57"/>
    <d v="2019-03-08T00:00:00"/>
    <s v="Fri"/>
    <d v="1899-12-30T08:30:00"/>
    <d v="1899-12-30T17:30:00"/>
    <n v="0"/>
    <n v="7.9999999999999982"/>
    <n v="7.9999999999999982"/>
    <s v="Normal Working Days before 10pm"/>
    <s v="Total: 704 Policies"/>
    <s v=""/>
    <x v="26"/>
  </r>
  <r>
    <x v="1"/>
    <x v="49"/>
    <d v="2019-03-08T00:00:00"/>
    <s v="Fri"/>
    <d v="1899-12-30T08:30:00"/>
    <d v="1899-12-30T17:30:00"/>
    <n v="0"/>
    <n v="7.9999999999999982"/>
    <n v="7.9999999999999982"/>
    <s v="Normal Working Days before 10pm"/>
    <s v="Total: 704 Policies"/>
    <s v=""/>
    <x v="26"/>
  </r>
  <r>
    <x v="1"/>
    <x v="28"/>
    <d v="2019-03-11T00:00:00"/>
    <s v="Mon"/>
    <d v="1899-12-30T08:00:00"/>
    <d v="1899-12-30T12:00:00"/>
    <n v="0"/>
    <n v="4"/>
    <n v="4"/>
    <s v="Normal Working Days before 10pm"/>
    <s v="Total: 834 Policies"/>
    <s v=""/>
    <x v="26"/>
  </r>
  <r>
    <x v="0"/>
    <x v="0"/>
    <d v="2019-03-12T00:00:00"/>
    <s v="Tue"/>
    <d v="1899-12-30T17:30:00"/>
    <d v="1899-12-30T21:30:00"/>
    <n v="8.0000000000000036"/>
    <n v="3.9999999999999982"/>
    <n v="3.9999999999999982"/>
    <s v="Normal Working Days before 10pm"/>
    <s v="Annual Statement 2019: Printing"/>
    <n v="1"/>
    <x v="26"/>
  </r>
  <r>
    <x v="0"/>
    <x v="2"/>
    <d v="2019-03-12T00:00:00"/>
    <s v="Tue"/>
    <d v="1899-12-30T17:30:00"/>
    <d v="1899-12-30T21:30:00"/>
    <n v="8.0000000000000036"/>
    <n v="3.9999999999999982"/>
    <n v="3.9999999999999982"/>
    <s v="Normal Working Days before 10pm"/>
    <s v="Annual Statement 2019: Auto insert"/>
    <n v="1"/>
    <x v="26"/>
  </r>
  <r>
    <x v="0"/>
    <x v="16"/>
    <d v="2019-03-12T00:00:00"/>
    <s v="Tue"/>
    <d v="1899-12-30T17:30:00"/>
    <d v="1899-12-30T21:30:00"/>
    <n v="8.0000000000000036"/>
    <n v="3.9999999999999982"/>
    <n v="3.9999999999999982"/>
    <s v="Normal Working Days before 10pm"/>
    <s v="Annual Statement 2019: Auto insert"/>
    <n v="1"/>
    <x v="26"/>
  </r>
  <r>
    <x v="1"/>
    <x v="49"/>
    <d v="2019-03-12T00:00:00"/>
    <s v="Tue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1"/>
    <x v="54"/>
    <d v="2019-03-12T00:00:00"/>
    <s v="Tue"/>
    <d v="1899-12-30T08:30:00"/>
    <d v="1899-12-30T17:30:00"/>
    <n v="0"/>
    <n v="7.9999999999999982"/>
    <n v="7.9999999999999982"/>
    <s v="Normal Working Days before 10pm"/>
    <s v="Total: 1244 Policies (Backfill for Trieu)"/>
    <s v=""/>
    <x v="26"/>
  </r>
  <r>
    <x v="0"/>
    <x v="0"/>
    <d v="2019-03-13T00:00:00"/>
    <s v="Wed"/>
    <d v="1899-12-30T16:30:00"/>
    <d v="1899-12-30T21:30:00"/>
    <n v="8.0000000000000036"/>
    <n v="4.9999999999999964"/>
    <n v="4.9999999999999964"/>
    <s v="Normal Working Days before 10pm"/>
    <s v="Annual Statement 2019: Printing"/>
    <n v="1"/>
    <x v="26"/>
  </r>
  <r>
    <x v="0"/>
    <x v="2"/>
    <d v="2019-03-13T00:00:00"/>
    <s v="Wed"/>
    <d v="1899-12-30T15:30:00"/>
    <d v="1899-12-30T20:30:00"/>
    <n v="8.0000000000000036"/>
    <n v="4.9999999999999947"/>
    <n v="4.9999999999999947"/>
    <s v="Normal Working Days before 10pm"/>
    <s v="Annual Statement 2019: Auto insert"/>
    <n v="1"/>
    <x v="26"/>
  </r>
  <r>
    <x v="0"/>
    <x v="16"/>
    <d v="2019-03-13T00:00:00"/>
    <s v="Wed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1"/>
    <x v="49"/>
    <d v="2019-03-13T00:00:00"/>
    <s v="Wed"/>
    <d v="1899-12-30T08:30:00"/>
    <d v="1899-12-30T17:30:00"/>
    <n v="0"/>
    <n v="7.9999999999999982"/>
    <n v="7.9999999999999982"/>
    <s v="Normal Working Days before 10pm"/>
    <s v="Total: 868 Policies"/>
    <s v=""/>
    <x v="26"/>
  </r>
  <r>
    <x v="1"/>
    <x v="6"/>
    <d v="2019-03-13T00:00:00"/>
    <s v="Wed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0"/>
    <x v="2"/>
    <d v="2019-03-14T00:00:00"/>
    <s v="Thu"/>
    <d v="1899-12-30T16:30:00"/>
    <d v="1899-12-30T20:30:00"/>
    <n v="8.0000000000000036"/>
    <n v="3.9999999999999964"/>
    <n v="3.9999999999999964"/>
    <s v="Normal Working Days before 10pm"/>
    <s v="Annual Statement 2019: Printing"/>
    <n v="1"/>
    <x v="26"/>
  </r>
  <r>
    <x v="0"/>
    <x v="16"/>
    <d v="2019-03-14T00:00:00"/>
    <s v="Thu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0"/>
    <x v="43"/>
    <d v="2019-03-14T00:00:00"/>
    <s v="Thu"/>
    <d v="1899-12-30T16:30:00"/>
    <d v="1899-12-30T21:30:00"/>
    <n v="8.0000000000000036"/>
    <n v="4.9999999999999964"/>
    <n v="4.9999999999999964"/>
    <s v="Normal Working Days before 10pm"/>
    <s v="Annual Statement 2019: Auto insert"/>
    <n v="1"/>
    <x v="26"/>
  </r>
  <r>
    <x v="1"/>
    <x v="49"/>
    <d v="2019-03-14T00:00:00"/>
    <s v="Thu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0"/>
    <x v="2"/>
    <d v="2019-03-15T00:00:00"/>
    <s v="Fri"/>
    <d v="1899-12-30T16:30:00"/>
    <d v="1899-12-30T21:30:00"/>
    <n v="8.0000000000000036"/>
    <n v="4.9999999999999964"/>
    <n v="4.9999999999999964"/>
    <s v="Normal Working Days before 10pm"/>
    <s v="Annual Statement 2019: Printing"/>
    <n v="1"/>
    <x v="26"/>
  </r>
  <r>
    <x v="0"/>
    <x v="16"/>
    <d v="2019-03-15T00:00:00"/>
    <s v="Fri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0"/>
    <x v="43"/>
    <d v="2019-03-15T00:00:00"/>
    <s v="Fri"/>
    <d v="1899-12-30T16:30:00"/>
    <d v="1899-12-30T21:30:00"/>
    <n v="8.0000000000000036"/>
    <n v="4.9999999999999964"/>
    <n v="4.9999999999999964"/>
    <s v="Normal Working Days before 10pm"/>
    <s v="Annual Statement 2019: Auto insert"/>
    <n v="1"/>
    <x v="26"/>
  </r>
  <r>
    <x v="1"/>
    <x v="49"/>
    <d v="2019-03-15T00:00:00"/>
    <s v="Fri"/>
    <d v="1899-12-30T08:30:00"/>
    <d v="1899-12-30T17:30:00"/>
    <n v="0"/>
    <n v="7.9999999999999982"/>
    <n v="7.9999999999999982"/>
    <s v="Normal Working Days before 10pm"/>
    <s v="Total: 778 Policies"/>
    <s v=""/>
    <x v="26"/>
  </r>
  <r>
    <x v="1"/>
    <x v="6"/>
    <d v="2019-03-15T00:00:00"/>
    <s v="Fri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1"/>
    <x v="59"/>
    <d v="2019-03-15T00:00:00"/>
    <s v="Fri"/>
    <d v="1899-12-30T08:30:00"/>
    <d v="1899-12-30T17:30:00"/>
    <n v="0"/>
    <n v="7.9999999999999982"/>
    <n v="7.9999999999999982"/>
    <s v="Normal Working Days before 10pm"/>
    <s v="Total: 778 Policies (Backfill for Quoc Trieu)"/>
    <s v=""/>
    <x v="26"/>
  </r>
  <r>
    <x v="0"/>
    <x v="0"/>
    <d v="2019-03-16T00:00:00"/>
    <s v="Sat"/>
    <d v="1899-12-30T19:30:00"/>
    <d v="1899-12-30T21:30:00"/>
    <n v="8.0000000000000036"/>
    <n v="1.9999999999999964"/>
    <n v="10"/>
    <s v="Saturday/Sunday (Weekends) before 10pm"/>
    <s v="Annual Statement 2019: Printing"/>
    <n v="1"/>
    <x v="26"/>
  </r>
  <r>
    <x v="0"/>
    <x v="2"/>
    <d v="2019-03-16T00:00:00"/>
    <s v="Sat"/>
    <d v="1899-12-30T16:30:00"/>
    <d v="1899-12-30T21:30:00"/>
    <n v="8.0000000000000036"/>
    <n v="4.9999999999999964"/>
    <n v="13"/>
    <s v="Saturday/Sunday (Weekends) before 10pm"/>
    <s v="Annual Statement 2019: Auto insert"/>
    <n v="1"/>
    <x v="26"/>
  </r>
  <r>
    <x v="0"/>
    <x v="16"/>
    <d v="2019-03-16T00:00:00"/>
    <s v="Sat"/>
    <d v="1899-12-30T15:30:00"/>
    <d v="1899-12-30T21:30:00"/>
    <n v="8.0000000000000036"/>
    <n v="5.9999999999999964"/>
    <n v="14"/>
    <s v="Saturday/Sunday (Weekends) before 10pm"/>
    <s v="Annual Statement 2019: Auto insert"/>
    <n v="1"/>
    <x v="26"/>
  </r>
  <r>
    <x v="1"/>
    <x v="6"/>
    <d v="2019-03-16T00:00:00"/>
    <s v="Sat"/>
    <d v="1899-12-30T06:30:00"/>
    <d v="1899-12-30T21:30:00"/>
    <n v="0"/>
    <n v="14"/>
    <n v="14"/>
    <s v="Saturday/Sunday (Weekends) before 10pm"/>
    <s v="Annual Statement 2019: Auto insert"/>
    <s v=""/>
    <x v="26"/>
  </r>
  <r>
    <x v="0"/>
    <x v="2"/>
    <d v="2019-03-18T00:00:00"/>
    <s v="Mon"/>
    <d v="1899-12-30T15:30:00"/>
    <d v="1899-12-30T21:30:00"/>
    <n v="8.0000000000000036"/>
    <n v="5.9999999999999964"/>
    <n v="5.9999999999999964"/>
    <s v="Normal Working Days before 10pm"/>
    <s v="Annual Statement 2019: Printing"/>
    <n v="1"/>
    <x v="26"/>
  </r>
  <r>
    <x v="0"/>
    <x v="16"/>
    <d v="2019-03-18T00:00:00"/>
    <s v="Mon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0"/>
    <x v="43"/>
    <d v="2019-03-18T00:00:00"/>
    <s v="Mon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1"/>
    <x v="49"/>
    <d v="2019-03-18T00:00:00"/>
    <s v="Mon"/>
    <d v="1899-12-30T08:30:00"/>
    <d v="1899-12-30T17:30:00"/>
    <n v="0"/>
    <n v="7.9999999999999982"/>
    <n v="7.9999999999999982"/>
    <s v="Normal Working Days before 10pm"/>
    <s v="Total: 847 Policies"/>
    <s v=""/>
    <x v="26"/>
  </r>
  <r>
    <x v="1"/>
    <x v="6"/>
    <d v="2019-03-18T00:00:00"/>
    <s v="Mon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1"/>
    <x v="59"/>
    <d v="2019-03-18T00:00:00"/>
    <s v="Mon"/>
    <d v="1899-12-30T08:30:00"/>
    <d v="1899-12-30T17:30:00"/>
    <n v="0"/>
    <n v="7.9999999999999982"/>
    <n v="7.9999999999999982"/>
    <s v="Normal Working Days before 10pm"/>
    <s v="Total: 847 Policies (Backfill for Quoc Trieu)"/>
    <s v=""/>
    <x v="26"/>
  </r>
  <r>
    <x v="0"/>
    <x v="2"/>
    <d v="2019-03-19T00:00:00"/>
    <s v="Tue"/>
    <d v="1899-12-30T16:00:00"/>
    <d v="1899-12-30T21:30:00"/>
    <n v="8.0000000000000036"/>
    <n v="5.4999999999999982"/>
    <n v="5.4999999999999982"/>
    <s v="Normal Working Days before 10pm"/>
    <s v="Annual Statement 2019: Printing"/>
    <n v="1"/>
    <x v="26"/>
  </r>
  <r>
    <x v="0"/>
    <x v="43"/>
    <d v="2019-03-19T00:00:00"/>
    <s v="Tue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1"/>
    <x v="50"/>
    <d v="2019-03-19T00:00:00"/>
    <s v="Tue"/>
    <d v="1899-12-30T08:30:00"/>
    <d v="1899-12-30T17:30:00"/>
    <n v="0"/>
    <n v="7.9999999999999982"/>
    <n v="7.9999999999999982"/>
    <s v="Normal Working Days before 10pm"/>
    <s v="Total: 1265 Policies"/>
    <s v=""/>
    <x v="26"/>
  </r>
  <r>
    <x v="1"/>
    <x v="6"/>
    <d v="2019-03-19T00:00:00"/>
    <s v="Tue"/>
    <d v="1899-12-30T06:30:00"/>
    <d v="1899-12-30T21:30:00"/>
    <n v="0"/>
    <n v="14"/>
    <n v="14"/>
    <s v="Normal Working Days before 10pm"/>
    <s v="Annual Statement 2019: Auto insert"/>
    <s v=""/>
    <x v="26"/>
  </r>
  <r>
    <x v="1"/>
    <x v="59"/>
    <d v="2019-03-19T00:00:00"/>
    <s v="Tue"/>
    <d v="1899-12-30T08:30:00"/>
    <d v="1899-12-30T17:30:00"/>
    <n v="0"/>
    <n v="7.9999999999999982"/>
    <n v="7.9999999999999982"/>
    <s v="Normal Working Days before 10pm"/>
    <s v="Total: 1265 Policies"/>
    <s v=""/>
    <x v="26"/>
  </r>
  <r>
    <x v="0"/>
    <x v="2"/>
    <d v="2019-03-20T00:00:00"/>
    <s v="Wed"/>
    <d v="1899-12-30T15:30:00"/>
    <d v="1899-12-30T21:30:00"/>
    <n v="8.0000000000000036"/>
    <n v="5.9999999999999964"/>
    <n v="5.9999999999999964"/>
    <s v="Normal Working Days before 10pm"/>
    <s v="Annual Statement 2019: Printing"/>
    <n v="1"/>
    <x v="26"/>
  </r>
  <r>
    <x v="0"/>
    <x v="16"/>
    <d v="2019-03-20T00:00:00"/>
    <s v="Wed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0"/>
    <x v="43"/>
    <d v="2019-03-20T00:00:00"/>
    <s v="Wed"/>
    <d v="1899-12-30T17:30:00"/>
    <d v="1899-12-30T21:30:00"/>
    <n v="8.0000000000000036"/>
    <n v="3.9999999999999982"/>
    <n v="3.9999999999999982"/>
    <s v="Normal Working Days before 10pm"/>
    <s v="Annual Statement 2019: Auto insert"/>
    <n v="1"/>
    <x v="26"/>
  </r>
  <r>
    <x v="1"/>
    <x v="49"/>
    <d v="2019-03-20T00:00:00"/>
    <s v="Wed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1"/>
    <x v="50"/>
    <d v="2019-03-20T00:00:00"/>
    <s v="Wed"/>
    <d v="1899-12-30T08:30:00"/>
    <d v="1899-12-30T17:30:00"/>
    <n v="0"/>
    <n v="7.9999999999999982"/>
    <n v="7.9999999999999982"/>
    <s v="Normal Working Days before 10pm"/>
    <s v="Total: 1145 Policies"/>
    <s v=""/>
    <x v="26"/>
  </r>
  <r>
    <x v="1"/>
    <x v="6"/>
    <d v="2019-03-20T00:00:00"/>
    <s v="Wed"/>
    <d v="1899-12-30T06:30:00"/>
    <d v="1899-12-30T17:30:00"/>
    <n v="0"/>
    <n v="10"/>
    <n v="10"/>
    <s v="Normal Working Days before 10pm"/>
    <s v="Annual Statement 2019: Auto insert"/>
    <s v=""/>
    <x v="26"/>
  </r>
  <r>
    <x v="1"/>
    <x v="28"/>
    <d v="2019-03-20T00:00:00"/>
    <s v="Wed"/>
    <d v="1899-12-30T08:30:00"/>
    <d v="1899-12-30T15:00:00"/>
    <n v="0"/>
    <n v="5.5"/>
    <n v="5.5"/>
    <s v="Normal Working Days before 10pm"/>
    <s v="Total: 1145 Policies"/>
    <s v=""/>
    <x v="26"/>
  </r>
  <r>
    <x v="1"/>
    <x v="59"/>
    <d v="2019-03-20T00:00:00"/>
    <s v="Wed"/>
    <d v="1899-12-30T08:30:00"/>
    <d v="1899-12-30T17:30:00"/>
    <n v="0"/>
    <n v="7.9999999999999982"/>
    <n v="7.9999999999999982"/>
    <s v="Normal Working Days before 10pm"/>
    <s v="Total: 1145 Policies (Backfill for My)"/>
    <s v=""/>
    <x v="26"/>
  </r>
  <r>
    <x v="0"/>
    <x v="2"/>
    <d v="2019-03-21T00:00:00"/>
    <s v="Thu"/>
    <d v="1899-12-30T16:00:00"/>
    <d v="1899-12-30T17:30:00"/>
    <n v="8.0000000000000036"/>
    <n v="1.4999999999999947"/>
    <n v="1.4999999999999947"/>
    <s v="Normal Working Days before 10pm"/>
    <s v="Annual Statement 2019: Printing"/>
    <s v=""/>
    <x v="26"/>
  </r>
  <r>
    <x v="0"/>
    <x v="16"/>
    <d v="2019-03-21T00:00:00"/>
    <s v="Thu"/>
    <d v="1899-12-30T15:30:00"/>
    <d v="1899-12-30T21:30:00"/>
    <n v="8.0000000000000036"/>
    <n v="5.9999999999999964"/>
    <n v="5.9999999999999964"/>
    <s v="Normal Working Days before 10pm"/>
    <s v="Annual Statement 2019: Auto insert"/>
    <n v="1"/>
    <x v="26"/>
  </r>
  <r>
    <x v="0"/>
    <x v="43"/>
    <d v="2019-03-21T00:00:00"/>
    <s v="Thu"/>
    <d v="1899-12-30T16:30:00"/>
    <d v="1899-12-30T21:30:00"/>
    <n v="8.0000000000000036"/>
    <n v="4.9999999999999964"/>
    <n v="4.9999999999999964"/>
    <s v="Normal Working Days before 10pm"/>
    <s v="Annual Statement 2019: Auto insert"/>
    <n v="1"/>
    <x v="26"/>
  </r>
  <r>
    <x v="1"/>
    <x v="49"/>
    <d v="2019-03-21T00:00:00"/>
    <s v="Thu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1"/>
    <x v="6"/>
    <d v="2019-03-21T00:00:00"/>
    <s v="Thu"/>
    <d v="1899-12-30T08:30:00"/>
    <d v="1899-12-30T21:30:00"/>
    <n v="0"/>
    <n v="12.000000000000002"/>
    <n v="12.000000000000002"/>
    <s v="Normal Working Days before 10pm"/>
    <s v="Annual Statement 2019: Auto insert"/>
    <s v=""/>
    <x v="26"/>
  </r>
  <r>
    <x v="0"/>
    <x v="2"/>
    <d v="2019-03-22T00:00:00"/>
    <s v="Fri"/>
    <d v="1899-12-30T15:30:00"/>
    <d v="1899-12-30T17:30:00"/>
    <n v="8.0000000000000036"/>
    <n v="1.9999999999999964"/>
    <n v="1.9999999999999964"/>
    <s v="Normal Working Days before 10pm"/>
    <s v="Annual Statement 2019: Printing"/>
    <n v="1"/>
    <x v="26"/>
  </r>
  <r>
    <x v="0"/>
    <x v="16"/>
    <d v="2019-03-22T00:00:00"/>
    <s v="Fri"/>
    <d v="1899-12-30T15:30:00"/>
    <d v="1899-12-30T17:30:00"/>
    <n v="8.0000000000000036"/>
    <n v="1.9999999999999964"/>
    <n v="1.9999999999999964"/>
    <s v="Normal Working Days before 10pm"/>
    <s v="Annual Statement 2019: Auto insert"/>
    <n v="1"/>
    <x v="26"/>
  </r>
  <r>
    <x v="1"/>
    <x v="49"/>
    <d v="2019-03-22T00:00:00"/>
    <s v="Fri"/>
    <d v="1899-12-30T08:30:00"/>
    <d v="1899-12-30T17:30:00"/>
    <n v="0"/>
    <n v="7.9999999999999982"/>
    <n v="7.9999999999999982"/>
    <s v="Normal Working Days before 10pm"/>
    <s v="Annual Statement 2019: Auto insert"/>
    <s v=""/>
    <x v="26"/>
  </r>
  <r>
    <x v="1"/>
    <x v="6"/>
    <d v="2019-03-22T00:00:00"/>
    <s v="Fri"/>
    <d v="1899-12-30T06:30:00"/>
    <d v="1899-12-30T17:30:00"/>
    <n v="0"/>
    <n v="10"/>
    <n v="10"/>
    <s v="Normal Working Days before 10pm"/>
    <s v="Annual Statement 2019: Auto insert"/>
    <s v=""/>
    <x v="26"/>
  </r>
  <r>
    <x v="1"/>
    <x v="28"/>
    <d v="2019-03-22T00:00:00"/>
    <s v="Fri"/>
    <d v="1899-12-30T08:00:00"/>
    <d v="1899-12-30T12:00:00"/>
    <n v="0"/>
    <n v="4"/>
    <n v="4"/>
    <s v="Normal Working Days before 10pm"/>
    <s v="Total: 1000 Policies (Backfill for Y Vi)"/>
    <s v=""/>
    <x v="26"/>
  </r>
  <r>
    <x v="1"/>
    <x v="49"/>
    <d v="2019-03-25T00:00:00"/>
    <s v="Mon"/>
    <d v="1899-12-30T08:30:00"/>
    <d v="1899-12-30T17:30:00"/>
    <n v="0"/>
    <n v="7.9999999999999982"/>
    <n v="7.9999999999999982"/>
    <s v="Normal Working Days before 10pm"/>
    <s v="Total: 1504 Policies"/>
    <s v=""/>
    <x v="26"/>
  </r>
  <r>
    <x v="1"/>
    <x v="6"/>
    <d v="2019-03-25T00:00:00"/>
    <s v="Mon"/>
    <d v="1899-12-30T13:00:00"/>
    <d v="1899-12-30T17:30:00"/>
    <n v="0"/>
    <n v="4.5"/>
    <n v="4.5"/>
    <s v="Normal Working Days before 10pm"/>
    <s v="Total: 1504 Policies (Backfill for Loc)"/>
    <s v=""/>
    <x v="26"/>
  </r>
  <r>
    <x v="1"/>
    <x v="59"/>
    <d v="2019-03-25T00:00:00"/>
    <s v="Mon"/>
    <d v="1899-12-30T09:30:00"/>
    <d v="1899-12-30T17:30:00"/>
    <n v="0"/>
    <n v="7"/>
    <n v="7"/>
    <s v="Normal Working Days before 10pm"/>
    <s v="Total: 1504 Policies (Backfill for Yen (0.5 day))"/>
    <s v=""/>
    <x v="26"/>
  </r>
  <r>
    <x v="1"/>
    <x v="49"/>
    <d v="2019-03-26T00:00:00"/>
    <s v="Tue"/>
    <d v="1899-12-30T12:30:00"/>
    <d v="1899-12-30T17:30:00"/>
    <n v="0"/>
    <n v="4.9999999999999982"/>
    <n v="4.9999999999999982"/>
    <s v="Normal Working Days before 10pm"/>
    <s v="Total: 1571 Policies"/>
    <s v=""/>
    <x v="26"/>
  </r>
  <r>
    <x v="1"/>
    <x v="59"/>
    <d v="2019-03-26T00:00:00"/>
    <s v="Tue"/>
    <d v="1899-12-30T08:30:00"/>
    <d v="1899-12-30T17:30:00"/>
    <n v="0"/>
    <n v="7.9999999999999982"/>
    <n v="7.9999999999999982"/>
    <s v="Normal Working Days before 10pm"/>
    <s v="Total: 1571 Policies (Backfill for My)"/>
    <s v=""/>
    <x v="26"/>
  </r>
  <r>
    <x v="1"/>
    <x v="49"/>
    <d v="2019-03-27T00:00:00"/>
    <s v="Wed"/>
    <d v="1899-12-30T08:30:00"/>
    <d v="1899-12-30T17:30:00"/>
    <n v="0"/>
    <n v="7.9999999999999982"/>
    <n v="7.9999999999999982"/>
    <s v="Normal Working Days before 10pm"/>
    <s v="Total: 1931 Policies"/>
    <s v=""/>
    <x v="26"/>
  </r>
  <r>
    <x v="1"/>
    <x v="50"/>
    <d v="2019-03-27T00:00:00"/>
    <s v="Wed"/>
    <d v="1899-12-30T08:00:00"/>
    <d v="1899-12-30T15:00:00"/>
    <n v="0"/>
    <n v="6"/>
    <n v="6"/>
    <s v="Normal Working Days before 10pm"/>
    <s v="Total: 1931 Policies (High Volume)"/>
    <s v=""/>
    <x v="26"/>
  </r>
  <r>
    <x v="1"/>
    <x v="59"/>
    <d v="2019-03-27T00:00:00"/>
    <s v="Wed"/>
    <d v="1899-12-30T08:30:00"/>
    <d v="1899-12-30T17:30:00"/>
    <n v="0"/>
    <n v="7.9999999999999982"/>
    <n v="7.9999999999999982"/>
    <s v="Normal Working Days before 10pm"/>
    <s v="Total: 1931 Policies (Backfill for My)"/>
    <s v=""/>
    <x v="26"/>
  </r>
  <r>
    <x v="1"/>
    <x v="49"/>
    <d v="2019-03-28T00:00:00"/>
    <s v="Thu"/>
    <d v="1899-12-30T08:30:00"/>
    <d v="1899-12-30T17:30:00"/>
    <n v="0"/>
    <n v="7.9999999999999982"/>
    <n v="7.9999999999999982"/>
    <s v="Normal Working Days before 10pm"/>
    <s v="Total: 1902 Policies"/>
    <s v=""/>
    <x v="26"/>
  </r>
  <r>
    <x v="1"/>
    <x v="59"/>
    <d v="2019-03-28T00:00:00"/>
    <s v="Thu"/>
    <d v="1899-12-30T08:30:00"/>
    <d v="1899-12-30T17:30:00"/>
    <n v="0"/>
    <n v="7.9999999999999982"/>
    <n v="7.9999999999999982"/>
    <s v="Normal Working Days before 10pm"/>
    <s v="Total: 1902 Policies (Backfill for My)"/>
    <s v=""/>
    <x v="26"/>
  </r>
  <r>
    <x v="1"/>
    <x v="49"/>
    <d v="2019-03-29T00:00:00"/>
    <s v="Fri"/>
    <d v="1899-12-30T08:30:00"/>
    <d v="1899-12-30T17:30:00"/>
    <n v="0"/>
    <n v="7.9999999999999982"/>
    <n v="7.9999999999999982"/>
    <s v="Normal Working Days before 10pm"/>
    <s v="Total: 832 Policies"/>
    <s v=""/>
    <x v="26"/>
  </r>
  <r>
    <x v="1"/>
    <x v="6"/>
    <d v="2019-03-29T00:00:00"/>
    <s v="Fri"/>
    <d v="1899-12-30T08:30:00"/>
    <d v="1899-12-30T15:00:00"/>
    <n v="0"/>
    <n v="5.5"/>
    <n v="5.5"/>
    <s v="Normal Working Days before 10pm"/>
    <s v="Total: 832 Policies"/>
    <s v=""/>
    <x v="26"/>
  </r>
  <r>
    <x v="1"/>
    <x v="59"/>
    <d v="2019-03-29T00:00:00"/>
    <s v="Fri"/>
    <d v="1899-12-30T08:30:00"/>
    <d v="1899-12-30T13:00:00"/>
    <n v="0"/>
    <n v="3.4999999999999982"/>
    <n v="3.4999999999999982"/>
    <s v="Normal Working Days before 10pm"/>
    <s v="Total: 832 Policies"/>
    <s v=""/>
    <x v="26"/>
  </r>
  <r>
    <x v="0"/>
    <x v="2"/>
    <d v="2019-03-30T00:00:00"/>
    <s v="Sat"/>
    <d v="1899-12-30T08:30:00"/>
    <d v="1899-12-30T17:30:00"/>
    <n v="8.0000000000000036"/>
    <n v="0"/>
    <n v="8.0000000000000036"/>
    <s v=""/>
    <s v="Total: 1954 Policies"/>
    <s v=""/>
    <x v="26"/>
  </r>
  <r>
    <x v="0"/>
    <x v="15"/>
    <d v="2019-03-30T00:00:00"/>
    <s v="Sat"/>
    <d v="1899-12-30T17:30:00"/>
    <d v="1899-12-30T21:30:00"/>
    <n v="8.0000000000000036"/>
    <n v="3.9999999999999982"/>
    <n v="12.000000000000002"/>
    <s v="Saturday/Sunday (Weekends) before 10pm"/>
    <s v="Total: 1954 Policies"/>
    <n v="1"/>
    <x v="26"/>
  </r>
  <r>
    <x v="0"/>
    <x v="16"/>
    <d v="2019-03-30T00:00:00"/>
    <s v="Sat"/>
    <d v="1899-12-30T17:30:00"/>
    <d v="1899-12-30T21:30:00"/>
    <n v="8.0000000000000036"/>
    <n v="3.9999999999999982"/>
    <n v="12.000000000000002"/>
    <s v="Saturday/Sunday (Weekends) before 10pm"/>
    <s v="Total: 1954 Policies"/>
    <n v="1"/>
    <x v="26"/>
  </r>
  <r>
    <x v="0"/>
    <x v="43"/>
    <d v="2019-03-30T00:00:00"/>
    <s v="Sat"/>
    <d v="1899-12-30T06:30:00"/>
    <d v="1899-12-30T15:30:00"/>
    <n v="8.0000000000000036"/>
    <n v="0"/>
    <n v="8.0000000000000036"/>
    <s v=""/>
    <s v="Total: 1954 Policies"/>
    <s v=""/>
    <x v="26"/>
  </r>
  <r>
    <x v="0"/>
    <x v="44"/>
    <d v="2019-03-30T00:00:00"/>
    <s v="Sat"/>
    <d v="1899-12-30T17:30:00"/>
    <d v="1899-12-30T21:30:00"/>
    <n v="8.0000000000000036"/>
    <n v="3.9999999999999982"/>
    <n v="12.000000000000002"/>
    <s v="Saturday/Sunday (Weekends) before 10pm"/>
    <s v="Total: 1954 Policies"/>
    <n v="1"/>
    <x v="26"/>
  </r>
  <r>
    <x v="0"/>
    <x v="53"/>
    <d v="2019-03-30T00:00:00"/>
    <s v="Sat"/>
    <d v="1899-12-30T17:30:00"/>
    <d v="1899-12-30T21:30:00"/>
    <n v="8.0000000000000036"/>
    <n v="3.9999999999999982"/>
    <n v="12.000000000000002"/>
    <s v="Saturday/Sunday (Weekends) before 10pm"/>
    <s v="Total: 1954 Policies"/>
    <n v="1"/>
    <x v="26"/>
  </r>
  <r>
    <x v="0"/>
    <x v="57"/>
    <d v="2019-03-30T00:00:00"/>
    <s v="Sat"/>
    <d v="1899-12-30T17:30:00"/>
    <d v="1899-12-30T21:30:00"/>
    <n v="8.0000000000000036"/>
    <n v="3.9999999999999982"/>
    <n v="12.000000000000002"/>
    <s v="Saturday/Sunday (Weekends) before 10pm"/>
    <s v="Total: 1954 Policies"/>
    <n v="1"/>
    <x v="26"/>
  </r>
  <r>
    <x v="1"/>
    <x v="49"/>
    <d v="2019-03-30T00:00:00"/>
    <s v="Sat"/>
    <d v="1899-12-30T08:30:00"/>
    <d v="1899-12-30T17:30:00"/>
    <n v="0"/>
    <n v="7.9999999999999982"/>
    <n v="7.9999999999999982"/>
    <s v="Saturday/Sunday (Weekends) before 10pm"/>
    <s v="Total: 1954 Policies"/>
    <s v=""/>
    <x v="26"/>
  </r>
  <r>
    <x v="1"/>
    <x v="6"/>
    <d v="2019-03-30T00:00:00"/>
    <s v="Sat"/>
    <d v="1899-12-30T08:30:00"/>
    <d v="1899-12-30T19:00:00"/>
    <n v="0"/>
    <n v="9.4999999999999982"/>
    <n v="9.4999999999999982"/>
    <s v="Saturday/Sunday (Weekends) before 10pm"/>
    <s v="Total: 1954 Policies (Fullfill for My)"/>
    <s v=""/>
    <x v="26"/>
  </r>
  <r>
    <x v="0"/>
    <x v="60"/>
    <d v="2019-03-30T00:00:00"/>
    <s v="Sat"/>
    <d v="1899-12-30T17:30:00"/>
    <d v="1899-12-30T21:00:00"/>
    <n v="8.0000000000000036"/>
    <n v="3.4999999999999947"/>
    <n v="11.499999999999998"/>
    <s v="Saturday/Sunday (Weekends) before 10pm"/>
    <s v="Total: 1954 Policies"/>
    <n v="1"/>
    <x v="26"/>
  </r>
  <r>
    <x v="0"/>
    <x v="2"/>
    <d v="2019-04-01T00:00:00"/>
    <s v="Mon"/>
    <d v="1899-12-30T17:30:00"/>
    <d v="1899-12-30T21:30:00"/>
    <n v="8.0000000000000036"/>
    <n v="3.9999999999999982"/>
    <n v="3.9999999999999982"/>
    <s v="Normal Working Days before 10pm"/>
    <s v="Total: 2895 Policies"/>
    <n v="1"/>
    <x v="27"/>
  </r>
  <r>
    <x v="0"/>
    <x v="15"/>
    <d v="2019-04-01T00:00:00"/>
    <s v="Mon"/>
    <d v="1899-12-30T15:30:00"/>
    <d v="1899-12-30T21:30:00"/>
    <n v="8.0000000000000036"/>
    <n v="5.9999999999999964"/>
    <n v="5.9999999999999964"/>
    <s v="Normal Working Days before 10pm"/>
    <s v="Total: 2895 Policies"/>
    <n v="1"/>
    <x v="27"/>
  </r>
  <r>
    <x v="0"/>
    <x v="16"/>
    <d v="2019-04-01T00:00:00"/>
    <s v="Mon"/>
    <d v="1899-12-30T17:30:00"/>
    <d v="1899-12-30T21:30:00"/>
    <n v="8.0000000000000036"/>
    <n v="3.9999999999999982"/>
    <n v="3.9999999999999982"/>
    <s v="Normal Working Days before 10pm"/>
    <s v="Total: 2895 Policies"/>
    <n v="1"/>
    <x v="27"/>
  </r>
  <r>
    <x v="0"/>
    <x v="43"/>
    <d v="2019-04-01T00:00:00"/>
    <s v="Mon"/>
    <d v="1899-12-30T17:30:00"/>
    <d v="1899-12-30T21:30:00"/>
    <n v="8.0000000000000036"/>
    <n v="3.9999999999999982"/>
    <n v="3.9999999999999982"/>
    <s v="Normal Working Days before 10pm"/>
    <s v="Total: 2895 Policies"/>
    <n v="1"/>
    <x v="27"/>
  </r>
  <r>
    <x v="0"/>
    <x v="44"/>
    <d v="2019-04-01T00:00:00"/>
    <s v="Mon"/>
    <d v="1899-12-30T17:30:00"/>
    <d v="1899-12-30T21:30:00"/>
    <n v="8.0000000000000036"/>
    <n v="3.9999999999999982"/>
    <n v="3.9999999999999982"/>
    <s v="Normal Working Days before 10pm"/>
    <s v="Total: 2895 Policies"/>
    <n v="1"/>
    <x v="27"/>
  </r>
  <r>
    <x v="0"/>
    <x v="53"/>
    <d v="2019-04-01T00:00:00"/>
    <s v="Mon"/>
    <d v="1899-12-30T17:30:00"/>
    <d v="1899-12-30T21:30:00"/>
    <n v="8.0000000000000036"/>
    <n v="3.9999999999999982"/>
    <n v="3.9999999999999982"/>
    <s v="Normal Working Days before 10pm"/>
    <s v="Total: 2895 Policies"/>
    <n v="1"/>
    <x v="27"/>
  </r>
  <r>
    <x v="0"/>
    <x v="57"/>
    <d v="2019-04-01T00:00:00"/>
    <s v="Mon"/>
    <d v="1899-12-30T17:30:00"/>
    <d v="1899-12-30T21:30:00"/>
    <n v="8.0000000000000036"/>
    <n v="3.9999999999999982"/>
    <n v="3.9999999999999982"/>
    <s v="Normal Working Days before 10pm"/>
    <s v="Total: 2895 Policies"/>
    <n v="1"/>
    <x v="27"/>
  </r>
  <r>
    <x v="0"/>
    <x v="60"/>
    <d v="2019-04-01T00:00:00"/>
    <s v="Mon"/>
    <d v="1899-12-30T17:30:00"/>
    <d v="1899-12-30T21:30:00"/>
    <n v="8.0000000000000036"/>
    <n v="3.9999999999999982"/>
    <n v="3.9999999999999982"/>
    <s v="Normal Working Days before 10pm"/>
    <s v="Total: 2895 Policies"/>
    <n v="1"/>
    <x v="27"/>
  </r>
  <r>
    <x v="1"/>
    <x v="49"/>
    <d v="2019-04-01T00:00:00"/>
    <s v="Mon"/>
    <d v="1899-12-30T08:30:00"/>
    <d v="1899-12-30T21:30:00"/>
    <n v="0"/>
    <n v="12.000000000000002"/>
    <n v="12.000000000000002"/>
    <s v="Normal Working Days before 10pm"/>
    <s v="Total: 2895 Policies"/>
    <s v=""/>
    <x v="27"/>
  </r>
  <r>
    <x v="1"/>
    <x v="59"/>
    <d v="2019-04-01T00:00:00"/>
    <s v="Mon"/>
    <d v="1899-12-30T08:30:00"/>
    <d v="1899-12-30T15:30:00"/>
    <n v="0"/>
    <n v="6"/>
    <n v="6"/>
    <s v="Normal Working Days before 10pm"/>
    <s v="Total: 2895 Policies"/>
    <s v=""/>
    <x v="27"/>
  </r>
  <r>
    <x v="1"/>
    <x v="6"/>
    <d v="2019-04-01T00:00:00"/>
    <s v="Mon"/>
    <d v="1899-12-30T08:30:00"/>
    <d v="1899-12-30T21:30:00"/>
    <n v="0"/>
    <n v="12.000000000000002"/>
    <n v="12.000000000000002"/>
    <s v="Normal Working Days before 10pm"/>
    <s v="Total: 2895 Policies"/>
    <s v=""/>
    <x v="27"/>
  </r>
  <r>
    <x v="0"/>
    <x v="2"/>
    <d v="2019-04-02T00:00:00"/>
    <s v="Tue"/>
    <d v="1899-12-30T17:30:00"/>
    <d v="1899-12-30T21:30:00"/>
    <n v="8.0000000000000036"/>
    <n v="3.9999999999999982"/>
    <n v="3.9999999999999982"/>
    <s v="Normal Working Days before 10pm"/>
    <s v="Total: 3376 Policies"/>
    <n v="1"/>
    <x v="27"/>
  </r>
  <r>
    <x v="0"/>
    <x v="15"/>
    <d v="2019-04-02T00:00:00"/>
    <s v="Tue"/>
    <d v="1899-12-30T17:30:00"/>
    <d v="1899-12-30T21:30:00"/>
    <n v="8.0000000000000036"/>
    <n v="3.9999999999999982"/>
    <n v="3.9999999999999982"/>
    <s v="Normal Working Days before 10pm"/>
    <s v="Total: 3376 Policies"/>
    <n v="1"/>
    <x v="27"/>
  </r>
  <r>
    <x v="0"/>
    <x v="16"/>
    <d v="2019-04-02T00:00:00"/>
    <s v="Tue"/>
    <d v="1899-12-30T17:30:00"/>
    <d v="1899-12-30T21:30:00"/>
    <n v="8.0000000000000036"/>
    <n v="3.9999999999999982"/>
    <n v="3.9999999999999982"/>
    <s v="Normal Working Days before 10pm"/>
    <s v="Total: 3376 Policies"/>
    <n v="1"/>
    <x v="27"/>
  </r>
  <r>
    <x v="0"/>
    <x v="43"/>
    <d v="2019-04-02T00:00:00"/>
    <s v="Tue"/>
    <d v="1899-12-30T17:30:00"/>
    <d v="1899-12-30T21:30:00"/>
    <n v="8.0000000000000036"/>
    <n v="3.9999999999999982"/>
    <n v="3.9999999999999982"/>
    <s v="Normal Working Days before 10pm"/>
    <s v="Total: 3376 Policies"/>
    <n v="1"/>
    <x v="27"/>
  </r>
  <r>
    <x v="0"/>
    <x v="44"/>
    <d v="2019-04-02T00:00:00"/>
    <s v="Tue"/>
    <d v="1899-12-30T17:30:00"/>
    <d v="1899-12-30T21:30:00"/>
    <n v="8.0000000000000036"/>
    <n v="3.9999999999999982"/>
    <n v="3.9999999999999982"/>
    <s v="Normal Working Days before 10pm"/>
    <s v="Total: 3376 Policies"/>
    <n v="1"/>
    <x v="27"/>
  </r>
  <r>
    <x v="0"/>
    <x v="53"/>
    <d v="2019-04-02T00:00:00"/>
    <s v="Tue"/>
    <d v="1899-12-30T15:30:00"/>
    <d v="1899-12-30T21:30:00"/>
    <n v="8.0000000000000036"/>
    <n v="5.9999999999999964"/>
    <n v="5.9999999999999964"/>
    <s v="Normal Working Days before 10pm"/>
    <s v="Total: 3376 Policies"/>
    <n v="1"/>
    <x v="27"/>
  </r>
  <r>
    <x v="0"/>
    <x v="57"/>
    <d v="2019-04-02T00:00:00"/>
    <s v="Tue"/>
    <d v="1899-12-30T17:30:00"/>
    <d v="1899-12-30T21:30:00"/>
    <n v="8.0000000000000036"/>
    <n v="3.9999999999999982"/>
    <n v="3.9999999999999982"/>
    <s v="Normal Working Days before 10pm"/>
    <s v="Total: 3376 Policies"/>
    <n v="1"/>
    <x v="27"/>
  </r>
  <r>
    <x v="0"/>
    <x v="60"/>
    <d v="2019-04-02T00:00:00"/>
    <s v="Tue"/>
    <d v="1899-12-30T17:30:00"/>
    <d v="1899-12-30T21:30:00"/>
    <n v="8.0000000000000036"/>
    <n v="3.9999999999999982"/>
    <n v="3.9999999999999982"/>
    <s v="Normal Working Days before 10pm"/>
    <s v="Total: 3376 Policies"/>
    <n v="1"/>
    <x v="27"/>
  </r>
  <r>
    <x v="1"/>
    <x v="49"/>
    <d v="2019-04-02T00:00:00"/>
    <s v="Tue"/>
    <d v="1899-12-30T08:30:00"/>
    <d v="1899-12-30T21:30:00"/>
    <n v="0"/>
    <n v="12.000000000000002"/>
    <n v="12.000000000000002"/>
    <s v="Normal Working Days before 10pm"/>
    <s v="Total: 3376 Policies"/>
    <s v=""/>
    <x v="27"/>
  </r>
  <r>
    <x v="1"/>
    <x v="59"/>
    <d v="2019-04-02T00:00:00"/>
    <s v="Tue"/>
    <d v="1899-12-30T08:30:00"/>
    <d v="1899-12-30T15:30:00"/>
    <n v="0"/>
    <n v="6"/>
    <n v="6"/>
    <s v="Normal Working Days before 10pm"/>
    <s v="Total: 3376 Policies"/>
    <s v=""/>
    <x v="27"/>
  </r>
  <r>
    <x v="1"/>
    <x v="6"/>
    <d v="2019-04-02T00:00:00"/>
    <s v="Tue"/>
    <d v="1899-12-30T08:30:00"/>
    <d v="1899-12-30T17:30:00"/>
    <n v="0"/>
    <n v="7.9999999999999982"/>
    <n v="7.9999999999999982"/>
    <s v="Normal Working Days before 10pm"/>
    <s v="Total: 3376 Policies"/>
    <s v=""/>
    <x v="27"/>
  </r>
  <r>
    <x v="1"/>
    <x v="28"/>
    <d v="2019-04-02T00:00:00"/>
    <s v="Tue"/>
    <d v="1899-12-30T08:30:00"/>
    <d v="1899-12-30T15:00:00"/>
    <n v="0"/>
    <n v="5.5"/>
    <n v="5.5"/>
    <s v="Normal Working Days before 10pm"/>
    <s v="Total: 3376 Policies"/>
    <s v=""/>
    <x v="27"/>
  </r>
  <r>
    <x v="0"/>
    <x v="15"/>
    <d v="2019-04-03T00:00:00"/>
    <s v="Wed"/>
    <d v="1899-12-30T17:30:00"/>
    <d v="1899-12-30T21:30:00"/>
    <n v="8.0000000000000036"/>
    <n v="3.9999999999999982"/>
    <n v="3.9999999999999982"/>
    <s v="Normal Working Days before 10pm"/>
    <s v="Total: 2826 Policies"/>
    <n v="1"/>
    <x v="27"/>
  </r>
  <r>
    <x v="0"/>
    <x v="16"/>
    <d v="2019-04-03T00:00:00"/>
    <s v="Wed"/>
    <d v="1899-12-30T17:30:00"/>
    <d v="1899-12-30T21:30:00"/>
    <n v="8.0000000000000036"/>
    <n v="3.9999999999999982"/>
    <n v="3.9999999999999982"/>
    <s v="Normal Working Days before 10pm"/>
    <s v="Total: 2826 Policies"/>
    <n v="1"/>
    <x v="27"/>
  </r>
  <r>
    <x v="0"/>
    <x v="43"/>
    <d v="2019-04-03T00:00:00"/>
    <s v="Wed"/>
    <d v="1899-12-30T17:30:00"/>
    <d v="1899-12-30T21:30:00"/>
    <n v="8.0000000000000036"/>
    <n v="3.9999999999999982"/>
    <n v="3.9999999999999982"/>
    <s v="Normal Working Days before 10pm"/>
    <s v="Total: 2826 Policies"/>
    <n v="1"/>
    <x v="27"/>
  </r>
  <r>
    <x v="0"/>
    <x v="44"/>
    <d v="2019-04-03T00:00:00"/>
    <s v="Wed"/>
    <d v="1899-12-30T17:30:00"/>
    <d v="1899-12-30T21:30:00"/>
    <n v="8.0000000000000036"/>
    <n v="3.9999999999999982"/>
    <n v="3.9999999999999982"/>
    <s v="Normal Working Days before 10pm"/>
    <s v="Total: 2826 Policies"/>
    <n v="1"/>
    <x v="27"/>
  </r>
  <r>
    <x v="0"/>
    <x v="53"/>
    <d v="2019-04-03T00:00:00"/>
    <s v="Wed"/>
    <d v="1899-12-30T15:30:00"/>
    <d v="1899-12-30T21:30:00"/>
    <n v="8.0000000000000036"/>
    <n v="5.9999999999999964"/>
    <n v="5.9999999999999964"/>
    <s v="Normal Working Days before 10pm"/>
    <s v="Total: 2826 Policies"/>
    <n v="1"/>
    <x v="27"/>
  </r>
  <r>
    <x v="0"/>
    <x v="57"/>
    <d v="2019-04-03T00:00:00"/>
    <s v="Wed"/>
    <d v="1899-12-30T17:30:00"/>
    <d v="1899-12-30T21:30:00"/>
    <n v="8.0000000000000036"/>
    <n v="3.9999999999999982"/>
    <n v="3.9999999999999982"/>
    <s v="Normal Working Days before 10pm"/>
    <s v="Total: 2826 Policies"/>
    <n v="1"/>
    <x v="27"/>
  </r>
  <r>
    <x v="0"/>
    <x v="60"/>
    <d v="2019-04-03T00:00:00"/>
    <s v="Wed"/>
    <d v="1899-12-30T17:30:00"/>
    <d v="1899-12-30T21:30:00"/>
    <n v="8.0000000000000036"/>
    <n v="3.9999999999999982"/>
    <n v="3.9999999999999982"/>
    <s v="Normal Working Days before 10pm"/>
    <s v="Total: 2826 Policies"/>
    <n v="1"/>
    <x v="27"/>
  </r>
  <r>
    <x v="1"/>
    <x v="49"/>
    <d v="2019-04-03T00:00:00"/>
    <s v="Wed"/>
    <d v="1899-12-30T08:30:00"/>
    <d v="1899-12-30T21:30:00"/>
    <n v="0"/>
    <n v="12.000000000000002"/>
    <n v="12.000000000000002"/>
    <s v="Normal Working Days before 10pm"/>
    <s v="Total: 2826 Policies"/>
    <s v=""/>
    <x v="27"/>
  </r>
  <r>
    <x v="1"/>
    <x v="59"/>
    <d v="2019-04-03T00:00:00"/>
    <s v="Wed"/>
    <d v="1899-12-30T08:30:00"/>
    <d v="1899-12-30T15:30:00"/>
    <n v="0"/>
    <n v="6"/>
    <n v="6"/>
    <s v="Normal Working Days before 10pm"/>
    <s v="Total: 2826 Policies"/>
    <s v=""/>
    <x v="27"/>
  </r>
  <r>
    <x v="1"/>
    <x v="6"/>
    <d v="2019-04-03T00:00:00"/>
    <s v="Wed"/>
    <d v="1899-12-30T08:30:00"/>
    <d v="1899-12-30T21:30:00"/>
    <n v="0"/>
    <n v="12.000000000000002"/>
    <n v="12.000000000000002"/>
    <s v="Normal Working Days before 10pm"/>
    <s v="Total: 2826 Policies"/>
    <s v=""/>
    <x v="27"/>
  </r>
  <r>
    <x v="1"/>
    <x v="28"/>
    <d v="2019-04-03T00:00:00"/>
    <s v="Wed"/>
    <d v="1899-12-30T13:00:00"/>
    <d v="1899-12-30T21:30:00"/>
    <n v="0"/>
    <n v="7.5000000000000018"/>
    <n v="7.5000000000000018"/>
    <s v="Normal Working Days before 10pm"/>
    <s v="Total: 2826 Policies"/>
    <s v=""/>
    <x v="27"/>
  </r>
  <r>
    <x v="1"/>
    <x v="49"/>
    <d v="2019-04-04T00:00:00"/>
    <s v="Thu"/>
    <d v="1899-12-30T08:30:00"/>
    <d v="1899-12-30T17:30:00"/>
    <n v="0"/>
    <n v="7.9999999999999982"/>
    <n v="7.9999999999999982"/>
    <s v="Normal Working Days before 10pm"/>
    <s v="Total: 1004 Policies"/>
    <s v=""/>
    <x v="27"/>
  </r>
  <r>
    <x v="1"/>
    <x v="59"/>
    <d v="2019-04-04T00:00:00"/>
    <s v="Thu"/>
    <d v="1899-12-30T08:30:00"/>
    <d v="1899-12-30T15:00:00"/>
    <n v="0"/>
    <n v="5.5"/>
    <n v="5.5"/>
    <s v="Normal Working Days before 10pm"/>
    <s v="Total: 1004 Policies (Backfill for Oanh)"/>
    <s v=""/>
    <x v="27"/>
  </r>
  <r>
    <x v="1"/>
    <x v="6"/>
    <d v="2019-04-04T00:00:00"/>
    <s v="Thu"/>
    <d v="1899-12-30T08:30:00"/>
    <d v="1899-12-30T15:00:00"/>
    <n v="0"/>
    <n v="5.5"/>
    <n v="5.5"/>
    <s v="Normal Working Days before 10pm"/>
    <s v="Total: 1004 Policies (Backfill for Yen)"/>
    <s v=""/>
    <x v="27"/>
  </r>
  <r>
    <x v="1"/>
    <x v="28"/>
    <d v="2019-04-04T00:00:00"/>
    <s v="Thu"/>
    <d v="1899-12-30T08:30:00"/>
    <d v="1899-12-30T15:00:00"/>
    <n v="0"/>
    <n v="5.5"/>
    <n v="5.5"/>
    <s v="Normal Working Days before 10pm"/>
    <s v="Total: 1004 Policies"/>
    <s v=""/>
    <x v="27"/>
  </r>
  <r>
    <x v="1"/>
    <x v="54"/>
    <d v="2019-04-04T00:00:00"/>
    <s v="Thu"/>
    <d v="1899-12-30T08:30:00"/>
    <d v="1899-12-30T15:00:00"/>
    <n v="0"/>
    <n v="5.5"/>
    <n v="5.5"/>
    <s v="Normal Working Days before 10pm"/>
    <s v="Total: 1004 Policies (Backfill for Phuc)"/>
    <s v=""/>
    <x v="27"/>
  </r>
  <r>
    <x v="1"/>
    <x v="49"/>
    <d v="2019-04-05T00:00:00"/>
    <s v="Fri"/>
    <d v="1899-12-30T08:30:00"/>
    <d v="1899-12-30T17:30:00"/>
    <n v="0"/>
    <n v="7.9999999999999982"/>
    <n v="7.9999999999999982"/>
    <s v="Normal Working Days before 10pm"/>
    <s v="Total: 1303 Policies"/>
    <s v=""/>
    <x v="27"/>
  </r>
  <r>
    <x v="1"/>
    <x v="59"/>
    <d v="2019-04-05T00:00:00"/>
    <s v="Fri"/>
    <d v="1899-12-30T08:30:00"/>
    <d v="1899-12-30T15:30:00"/>
    <n v="0"/>
    <n v="6"/>
    <n v="6"/>
    <s v="Normal Working Days before 10pm"/>
    <s v="Total: 1303 Policies"/>
    <s v=""/>
    <x v="27"/>
  </r>
  <r>
    <x v="1"/>
    <x v="6"/>
    <d v="2019-04-05T00:00:00"/>
    <s v="Fri"/>
    <d v="1899-12-30T08:30:00"/>
    <d v="1899-12-30T17:30:00"/>
    <n v="0"/>
    <n v="7.9999999999999982"/>
    <n v="7.9999999999999982"/>
    <s v="Normal Working Days before 10pm"/>
    <s v="Total: 1303 Policies"/>
    <s v=""/>
    <x v="27"/>
  </r>
  <r>
    <x v="1"/>
    <x v="54"/>
    <d v="2019-04-05T00:00:00"/>
    <s v="Fri"/>
    <d v="1899-12-30T08:30:00"/>
    <d v="1899-12-30T17:30:00"/>
    <n v="0"/>
    <n v="7.9999999999999982"/>
    <n v="7.9999999999999982"/>
    <s v="Normal Working Days before 10pm"/>
    <s v="Total: 1303 Policies"/>
    <s v=""/>
    <x v="27"/>
  </r>
  <r>
    <x v="1"/>
    <x v="49"/>
    <d v="2019-04-08T00:00:00"/>
    <s v="Mon"/>
    <d v="1899-12-30T08:30:00"/>
    <d v="1899-12-30T17:30:00"/>
    <n v="0"/>
    <n v="7.9999999999999982"/>
    <n v="7.9999999999999982"/>
    <s v="Normal Working Days before 10pm"/>
    <s v="Total: 454 Policies"/>
    <s v=""/>
    <x v="27"/>
  </r>
  <r>
    <x v="1"/>
    <x v="49"/>
    <d v="2019-04-09T00:00:00"/>
    <s v="Tue"/>
    <d v="1899-12-30T08:30:00"/>
    <d v="1899-12-30T17:30:00"/>
    <n v="0"/>
    <n v="7.9999999999999982"/>
    <n v="7.9999999999999982"/>
    <s v="Normal Working Days before 10pm"/>
    <s v="Total: 973 Policies"/>
    <s v=""/>
    <x v="27"/>
  </r>
  <r>
    <x v="1"/>
    <x v="49"/>
    <d v="2019-04-10T00:00:00"/>
    <s v="Wed"/>
    <d v="1899-12-30T08:30:00"/>
    <d v="1899-12-30T17:30:00"/>
    <n v="0"/>
    <n v="7.9999999999999982"/>
    <n v="7.9999999999999982"/>
    <s v="Normal Working Days before 10pm"/>
    <s v="Total: 679 Policies"/>
    <s v=""/>
    <x v="27"/>
  </r>
  <r>
    <x v="1"/>
    <x v="49"/>
    <d v="2019-04-11T00:00:00"/>
    <s v="Thu"/>
    <d v="1899-12-30T08:30:00"/>
    <d v="1899-12-30T17:30:00"/>
    <n v="0"/>
    <n v="7.9999999999999982"/>
    <n v="7.9999999999999982"/>
    <s v="Normal Working Days before 10pm"/>
    <s v="Total: 697 Policies"/>
    <s v=""/>
    <x v="27"/>
  </r>
  <r>
    <x v="1"/>
    <x v="49"/>
    <d v="2019-04-12T00:00:00"/>
    <s v="Fri"/>
    <d v="1899-12-30T08:30:00"/>
    <d v="1899-12-30T17:30:00"/>
    <n v="0"/>
    <n v="7.9999999999999982"/>
    <n v="7.9999999999999982"/>
    <s v="Normal Working Days before 10pm"/>
    <s v="Total: 845 Policies"/>
    <s v=""/>
    <x v="27"/>
  </r>
  <r>
    <x v="1"/>
    <x v="49"/>
    <d v="2019-04-16T00:00:00"/>
    <s v="Tue"/>
    <d v="1899-12-30T08:30:00"/>
    <d v="1899-12-30T17:30:00"/>
    <n v="0"/>
    <n v="7.9999999999999982"/>
    <n v="7.9999999999999982"/>
    <s v="Normal Working Days before 10pm"/>
    <s v="Total: 792 Policies"/>
    <s v=""/>
    <x v="27"/>
  </r>
  <r>
    <x v="1"/>
    <x v="59"/>
    <d v="2019-04-16T00:00:00"/>
    <s v="Tue"/>
    <d v="1899-12-30T08:30:00"/>
    <d v="1899-12-30T15:30:00"/>
    <n v="0"/>
    <n v="6"/>
    <n v="6"/>
    <s v="Normal Working Days before 10pm"/>
    <s v="Total: 792 Policies (Backfill for Yen, Thuong to participate in Company Induction)"/>
    <s v=""/>
    <x v="27"/>
  </r>
  <r>
    <x v="1"/>
    <x v="49"/>
    <d v="2019-04-17T00:00:00"/>
    <s v="Wed"/>
    <d v="1899-12-30T08:30:00"/>
    <d v="1899-12-30T17:30:00"/>
    <n v="0"/>
    <n v="7.9999999999999982"/>
    <n v="7.9999999999999982"/>
    <s v="Normal Working Days before 10pm"/>
    <s v="Total: 1269 Policies"/>
    <s v=""/>
    <x v="27"/>
  </r>
  <r>
    <x v="1"/>
    <x v="49"/>
    <d v="2019-04-22T00:00:00"/>
    <s v="Mon"/>
    <d v="1899-12-30T08:30:00"/>
    <d v="1899-12-30T17:30:00"/>
    <n v="0"/>
    <n v="7.9999999999999982"/>
    <n v="7.9999999999999982"/>
    <s v="Normal Working Days before 10pm"/>
    <s v="Total: 1212 Policies"/>
    <s v=""/>
    <x v="27"/>
  </r>
  <r>
    <x v="1"/>
    <x v="49"/>
    <d v="2019-04-23T00:00:00"/>
    <s v="Tue"/>
    <d v="1899-12-30T08:30:00"/>
    <d v="1899-12-30T17:30:00"/>
    <n v="0"/>
    <n v="7.9999999999999982"/>
    <n v="7.9999999999999982"/>
    <s v="Normal Working Days before 10pm"/>
    <s v="Total: 1467 Policies"/>
    <s v=""/>
    <x v="27"/>
  </r>
  <r>
    <x v="1"/>
    <x v="49"/>
    <d v="2019-04-24T00:00:00"/>
    <s v="Wed"/>
    <d v="1899-12-30T08:30:00"/>
    <d v="1899-12-30T17:30:00"/>
    <n v="0"/>
    <n v="7.9999999999999982"/>
    <n v="7.9999999999999982"/>
    <s v="Normal Working Days before 10pm"/>
    <s v="Total: 1694 Policies"/>
    <s v=""/>
    <x v="27"/>
  </r>
  <r>
    <x v="1"/>
    <x v="49"/>
    <d v="2019-04-25T00:00:00"/>
    <s v="Thu"/>
    <d v="1899-12-30T08:30:00"/>
    <d v="1899-12-30T17:30:00"/>
    <n v="0"/>
    <n v="7.9999999999999982"/>
    <n v="7.9999999999999982"/>
    <s v="Normal Working Days before 10pm"/>
    <s v="Total: 1509 Policies"/>
    <s v=""/>
    <x v="27"/>
  </r>
  <r>
    <x v="1"/>
    <x v="59"/>
    <d v="2019-04-25T00:00:00"/>
    <s v="Thu"/>
    <d v="1899-12-30T08:30:00"/>
    <d v="1899-12-30T15:30:00"/>
    <n v="0"/>
    <n v="6"/>
    <n v="6"/>
    <s v="Normal Working Days before 10pm"/>
    <s v="Total: 1509 Policies (Backfill for Y Vi)"/>
    <s v=""/>
    <x v="27"/>
  </r>
  <r>
    <x v="1"/>
    <x v="6"/>
    <d v="2019-04-25T00:00:00"/>
    <s v="Thu"/>
    <d v="1899-12-30T08:30:00"/>
    <d v="1899-12-30T17:30:00"/>
    <n v="0"/>
    <n v="7.9999999999999982"/>
    <n v="7.9999999999999982"/>
    <s v="Normal Working Days before 10pm"/>
    <s v="Total: 1509 Policies (Backfill for Oanh)"/>
    <s v=""/>
    <x v="27"/>
  </r>
  <r>
    <x v="1"/>
    <x v="49"/>
    <d v="2019-04-26T00:00:00"/>
    <s v="Fri"/>
    <d v="1899-12-30T09:00:00"/>
    <d v="1899-12-30T17:30:00"/>
    <n v="0"/>
    <n v="7.5"/>
    <n v="7.5"/>
    <s v="Normal Working Days before 10pm"/>
    <s v="Total: 1873 Policies"/>
    <s v=""/>
    <x v="27"/>
  </r>
  <r>
    <x v="1"/>
    <x v="6"/>
    <d v="2019-04-26T00:00:00"/>
    <s v="Fri"/>
    <d v="1899-12-30T08:30:00"/>
    <d v="1899-12-30T17:30:00"/>
    <n v="0"/>
    <n v="7.9999999999999982"/>
    <n v="7.9999999999999982"/>
    <s v="Normal Working Days before 10pm"/>
    <s v="Total: 1873 Policies (Backfill for Oanh)"/>
    <s v=""/>
    <x v="27"/>
  </r>
  <r>
    <x v="1"/>
    <x v="54"/>
    <d v="2019-04-26T00:00:00"/>
    <s v="Fri"/>
    <d v="1899-12-30T08:30:00"/>
    <d v="1899-12-30T17:30:00"/>
    <n v="0"/>
    <n v="7.9999999999999982"/>
    <n v="7.9999999999999982"/>
    <s v="Normal Working Days before 10pm"/>
    <s v="Total: 1873 Policies (Backfill for My)"/>
    <s v=""/>
    <x v="27"/>
  </r>
  <r>
    <x v="0"/>
    <x v="2"/>
    <d v="2019-04-29T00:00:00"/>
    <s v="Mon"/>
    <d v="1899-12-30T17:30:00"/>
    <d v="1899-12-30T21:30:00"/>
    <n v="8.0000000000000036"/>
    <n v="3.9999999999999982"/>
    <n v="3.9999999999999982"/>
    <s v="Normal Working Days before 10pm"/>
    <s v="Total: 3129 Policies"/>
    <n v="1"/>
    <x v="27"/>
  </r>
  <r>
    <x v="0"/>
    <x v="15"/>
    <d v="2019-04-29T00:00:00"/>
    <s v="Mon"/>
    <d v="1899-12-30T15:30:00"/>
    <d v="1899-12-30T19:30:00"/>
    <n v="8.0000000000000036"/>
    <n v="3.9999999999999982"/>
    <n v="3.9999999999999982"/>
    <s v="Normal Working Days before 10pm"/>
    <s v="Total: 3129 Policies"/>
    <n v="1"/>
    <x v="27"/>
  </r>
  <r>
    <x v="0"/>
    <x v="16"/>
    <d v="2019-04-29T00:00:00"/>
    <s v="Mon"/>
    <d v="1899-12-30T17:30:00"/>
    <d v="1899-12-30T21:30:00"/>
    <n v="8.0000000000000036"/>
    <n v="3.9999999999999982"/>
    <n v="3.9999999999999982"/>
    <s v="Normal Working Days before 10pm"/>
    <s v="Total: 3129 Policies"/>
    <n v="1"/>
    <x v="27"/>
  </r>
  <r>
    <x v="0"/>
    <x v="43"/>
    <d v="2019-04-29T00:00:00"/>
    <s v="Mon"/>
    <d v="1899-12-30T17:30:00"/>
    <d v="1899-12-30T21:30:00"/>
    <n v="8.0000000000000036"/>
    <n v="3.9999999999999982"/>
    <n v="3.9999999999999982"/>
    <s v="Normal Working Days before 10pm"/>
    <s v="Total: 3129 Policies"/>
    <n v="1"/>
    <x v="27"/>
  </r>
  <r>
    <x v="0"/>
    <x v="44"/>
    <d v="2019-04-29T00:00:00"/>
    <s v="Mon"/>
    <d v="1899-12-30T17:30:00"/>
    <d v="1899-12-30T21:30:00"/>
    <n v="8.0000000000000036"/>
    <n v="3.9999999999999982"/>
    <n v="3.9999999999999982"/>
    <s v="Normal Working Days before 10pm"/>
    <s v="Total: 3129 Policies"/>
    <n v="1"/>
    <x v="27"/>
  </r>
  <r>
    <x v="0"/>
    <x v="53"/>
    <d v="2019-04-29T00:00:00"/>
    <s v="Mon"/>
    <d v="1899-12-30T17:30:00"/>
    <d v="1899-12-30T21:30:00"/>
    <n v="8.0000000000000036"/>
    <n v="3.9999999999999982"/>
    <n v="3.9999999999999982"/>
    <s v="Normal Working Days before 10pm"/>
    <s v="Total: 3129 Policies"/>
    <n v="1"/>
    <x v="27"/>
  </r>
  <r>
    <x v="0"/>
    <x v="57"/>
    <d v="2019-04-29T00:00:00"/>
    <s v="Mon"/>
    <d v="1899-12-30T17:30:00"/>
    <d v="1899-12-30T21:30:00"/>
    <n v="8.0000000000000036"/>
    <n v="3.9999999999999982"/>
    <n v="3.9999999999999982"/>
    <s v="Normal Working Days before 10pm"/>
    <s v="Total: 3129 Policies"/>
    <n v="1"/>
    <x v="27"/>
  </r>
  <r>
    <x v="0"/>
    <x v="60"/>
    <d v="2019-04-29T00:00:00"/>
    <s v="Mon"/>
    <d v="1899-12-30T17:30:00"/>
    <d v="1899-12-30T21:30:00"/>
    <n v="8.0000000000000036"/>
    <n v="3.9999999999999982"/>
    <n v="3.9999999999999982"/>
    <s v="Normal Working Days before 10pm"/>
    <s v="Total: 3129 Policies"/>
    <n v="1"/>
    <x v="27"/>
  </r>
  <r>
    <x v="1"/>
    <x v="49"/>
    <d v="2019-04-29T00:00:00"/>
    <s v="Mon"/>
    <d v="1899-12-30T08:30:00"/>
    <d v="1899-12-30T21:30:00"/>
    <n v="0"/>
    <n v="12.000000000000002"/>
    <n v="4"/>
    <s v="Normal Working Days before 10pm"/>
    <s v="Total: 3129 Policies"/>
    <s v=""/>
    <x v="27"/>
  </r>
  <r>
    <x v="1"/>
    <x v="6"/>
    <d v="2019-04-29T00:00:00"/>
    <s v="Mon"/>
    <d v="1899-12-30T08:30:00"/>
    <d v="1899-12-30T21:30:00"/>
    <n v="0"/>
    <n v="12.000000000000002"/>
    <n v="4"/>
    <s v="Normal Working Days before 10pm"/>
    <s v="Total: 3129 Policies"/>
    <s v=""/>
    <x v="27"/>
  </r>
  <r>
    <x v="0"/>
    <x v="2"/>
    <d v="2019-05-02T00:00:00"/>
    <s v="Thu"/>
    <d v="1899-12-30T17:30:00"/>
    <d v="1899-12-30T21:30:00"/>
    <n v="8.0000000000000036"/>
    <n v="3.9999999999999982"/>
    <n v="3.9999999999999982"/>
    <s v="Normal Working Days before 10pm"/>
    <s v="Total: 2901 Policies"/>
    <n v="1"/>
    <x v="28"/>
  </r>
  <r>
    <x v="0"/>
    <x v="15"/>
    <d v="2019-05-02T00:00:00"/>
    <s v="Thu"/>
    <d v="1899-12-30T17:30:00"/>
    <d v="1899-12-30T21:30:00"/>
    <n v="8.0000000000000036"/>
    <n v="3.9999999999999982"/>
    <n v="3.9999999999999982"/>
    <s v="Normal Working Days before 10pm"/>
    <s v="Total: 2901 Policies"/>
    <n v="1"/>
    <x v="28"/>
  </r>
  <r>
    <x v="0"/>
    <x v="16"/>
    <d v="2019-05-02T00:00:00"/>
    <s v="Thu"/>
    <d v="1899-12-30T15:30:00"/>
    <d v="1899-12-30T19:30:00"/>
    <n v="8.0000000000000036"/>
    <n v="3.9999999999999982"/>
    <n v="3.9999999999999982"/>
    <s v="Normal Working Days before 10pm"/>
    <s v="Total: 2901 Policies"/>
    <n v="1"/>
    <x v="28"/>
  </r>
  <r>
    <x v="0"/>
    <x v="43"/>
    <d v="2019-05-02T00:00:00"/>
    <s v="Thu"/>
    <d v="1899-12-30T17:30:00"/>
    <d v="1899-12-30T21:30:00"/>
    <n v="8.0000000000000036"/>
    <n v="3.9999999999999982"/>
    <n v="3.9999999999999982"/>
    <s v="Normal Working Days before 10pm"/>
    <s v="Total: 2901 Policies"/>
    <n v="1"/>
    <x v="28"/>
  </r>
  <r>
    <x v="0"/>
    <x v="44"/>
    <d v="2019-05-02T00:00:00"/>
    <s v="Thu"/>
    <d v="1899-12-30T17:30:00"/>
    <d v="1899-12-30T21:30:00"/>
    <n v="8.0000000000000036"/>
    <n v="3.9999999999999982"/>
    <n v="3.9999999999999982"/>
    <s v="Normal Working Days before 10pm"/>
    <s v="Total: 2901 Policies"/>
    <n v="1"/>
    <x v="28"/>
  </r>
  <r>
    <x v="0"/>
    <x v="53"/>
    <d v="2019-05-02T00:00:00"/>
    <s v="Thu"/>
    <d v="1899-12-30T17:30:00"/>
    <d v="1899-12-30T21:30:00"/>
    <n v="8.0000000000000036"/>
    <n v="3.9999999999999982"/>
    <n v="3.9999999999999982"/>
    <s v="Normal Working Days before 10pm"/>
    <s v="Total: 2901 Policies"/>
    <n v="1"/>
    <x v="28"/>
  </r>
  <r>
    <x v="0"/>
    <x v="57"/>
    <d v="2019-05-02T00:00:00"/>
    <s v="Thu"/>
    <d v="1899-12-30T17:30:00"/>
    <d v="1899-12-30T21:30:00"/>
    <n v="8.0000000000000036"/>
    <n v="3.9999999999999982"/>
    <n v="3.9999999999999982"/>
    <s v="Normal Working Days before 10pm"/>
    <s v="Total: 2901 Policies"/>
    <n v="1"/>
    <x v="28"/>
  </r>
  <r>
    <x v="0"/>
    <x v="60"/>
    <d v="2019-05-02T00:00:00"/>
    <s v="Thu"/>
    <d v="1899-12-30T17:30:00"/>
    <d v="1899-12-30T21:30:00"/>
    <n v="8.0000000000000036"/>
    <n v="3.9999999999999982"/>
    <n v="3.9999999999999982"/>
    <s v="Normal Working Days before 10pm"/>
    <s v="Total: 2901 Policies"/>
    <n v="1"/>
    <x v="28"/>
  </r>
  <r>
    <x v="1"/>
    <x v="49"/>
    <d v="2019-05-02T00:00:00"/>
    <s v="Thu"/>
    <d v="1899-12-30T08:30:00"/>
    <d v="1899-12-30T21:30:00"/>
    <n v="0"/>
    <n v="12.000000000000002"/>
    <n v="12.000000000000002"/>
    <s v="Normal Working Days before 10pm"/>
    <s v="Total: 2901 Policies"/>
    <s v=""/>
    <x v="28"/>
  </r>
  <r>
    <x v="1"/>
    <x v="59"/>
    <d v="2019-05-02T00:00:00"/>
    <s v="Thu"/>
    <d v="1899-12-30T08:30:00"/>
    <d v="1899-12-30T19:30:00"/>
    <n v="0"/>
    <n v="10"/>
    <n v="10"/>
    <s v="Normal Working Days before 10pm"/>
    <s v="Total: 2901 Policies"/>
    <s v=""/>
    <x v="28"/>
  </r>
  <r>
    <x v="0"/>
    <x v="2"/>
    <d v="2019-05-03T00:00:00"/>
    <s v="Fri"/>
    <d v="1899-12-30T17:30:00"/>
    <d v="1899-12-30T22:00:00"/>
    <n v="8.0000000000000036"/>
    <n v="4.4999999999999964"/>
    <n v="4.4999999999999964"/>
    <s v="Normal Working Days before 10pm"/>
    <s v="Total: 3586 Policies"/>
    <n v="1"/>
    <x v="28"/>
  </r>
  <r>
    <x v="0"/>
    <x v="15"/>
    <d v="2019-05-03T00:00:00"/>
    <s v="Fri"/>
    <d v="1899-12-30T17:30:00"/>
    <d v="1899-12-30T22:00:00"/>
    <n v="8.0000000000000036"/>
    <n v="4.4999999999999964"/>
    <n v="4.4999999999999964"/>
    <s v="Normal Working Days before 10pm"/>
    <s v="Total: 3586 Policies"/>
    <n v="1"/>
    <x v="28"/>
  </r>
  <r>
    <x v="0"/>
    <x v="16"/>
    <d v="2019-05-03T00:00:00"/>
    <s v="Fri"/>
    <d v="1899-12-30T17:30:00"/>
    <d v="1899-12-30T22:00:00"/>
    <n v="8.0000000000000036"/>
    <n v="4.4999999999999964"/>
    <n v="4.4999999999999964"/>
    <s v="Normal Working Days before 10pm"/>
    <s v="Total: 3586 Policies"/>
    <n v="1"/>
    <x v="28"/>
  </r>
  <r>
    <x v="0"/>
    <x v="43"/>
    <d v="2019-05-03T00:00:00"/>
    <s v="Fri"/>
    <d v="1899-12-30T17:30:00"/>
    <d v="1899-12-30T22:00:00"/>
    <n v="8.0000000000000036"/>
    <n v="4.4999999999999964"/>
    <n v="4.4999999999999964"/>
    <s v="Normal Working Days before 10pm"/>
    <s v="Total: 3586 Policies"/>
    <n v="1"/>
    <x v="28"/>
  </r>
  <r>
    <x v="0"/>
    <x v="44"/>
    <d v="2019-05-03T00:00:00"/>
    <s v="Fri"/>
    <d v="1899-12-30T17:30:00"/>
    <d v="1899-12-30T22:00:00"/>
    <n v="8.0000000000000036"/>
    <n v="4.4999999999999964"/>
    <n v="4.4999999999999964"/>
    <s v="Normal Working Days before 10pm"/>
    <s v="Total: 3586 Policies"/>
    <n v="1"/>
    <x v="28"/>
  </r>
  <r>
    <x v="0"/>
    <x v="53"/>
    <d v="2019-05-03T00:00:00"/>
    <s v="Fri"/>
    <d v="1899-12-30T15:30:00"/>
    <d v="1899-12-30T19:30:00"/>
    <n v="8.0000000000000036"/>
    <n v="3.9999999999999982"/>
    <n v="3.9999999999999982"/>
    <s v="Normal Working Days before 10pm"/>
    <s v="Total: 3586 Policies"/>
    <n v="1"/>
    <x v="28"/>
  </r>
  <r>
    <x v="0"/>
    <x v="57"/>
    <d v="2019-05-03T00:00:00"/>
    <s v="Fri"/>
    <d v="1899-12-30T17:30:00"/>
    <d v="1899-12-30T22:00:00"/>
    <n v="8.0000000000000036"/>
    <n v="4.4999999999999964"/>
    <n v="4.4999999999999964"/>
    <s v="Normal Working Days before 10pm"/>
    <s v="Total: 3586 Policies"/>
    <n v="1"/>
    <x v="28"/>
  </r>
  <r>
    <x v="0"/>
    <x v="60"/>
    <d v="2019-05-03T00:00:00"/>
    <s v="Fri"/>
    <d v="1899-12-30T17:30:00"/>
    <d v="1899-12-30T22:00:00"/>
    <n v="8.0000000000000036"/>
    <n v="4.4999999999999964"/>
    <n v="4.4999999999999964"/>
    <s v="Normal Working Days before 10pm"/>
    <s v="Total: 3586 Policies"/>
    <n v="1"/>
    <x v="28"/>
  </r>
  <r>
    <x v="1"/>
    <x v="49"/>
    <d v="2019-05-03T00:00:00"/>
    <s v="Fri"/>
    <d v="1899-12-30T08:30:00"/>
    <d v="1899-12-30T22:00:00"/>
    <n v="0"/>
    <n v="12.5"/>
    <n v="12.5"/>
    <s v="Normal Working Days before 10pm"/>
    <s v="Total: 3586 Policies"/>
    <s v=""/>
    <x v="28"/>
  </r>
  <r>
    <x v="1"/>
    <x v="6"/>
    <d v="2019-05-03T00:00:00"/>
    <s v="Fri"/>
    <d v="1899-12-30T08:30:00"/>
    <d v="1899-12-30T20:00:00"/>
    <n v="0"/>
    <n v="10.5"/>
    <n v="10.5"/>
    <s v="Normal Working Days before 10pm"/>
    <s v="Total: 3586 Policies"/>
    <s v=""/>
    <x v="28"/>
  </r>
  <r>
    <x v="1"/>
    <x v="12"/>
    <d v="2019-05-03T00:00:00"/>
    <s v="Fri"/>
    <d v="1899-12-30T08:30:00"/>
    <d v="1899-12-30T22:00:00"/>
    <n v="0"/>
    <n v="12.5"/>
    <n v="12.5"/>
    <s v="Normal Working Days before 10pm"/>
    <s v="Total: 3586 Policies"/>
    <s v=""/>
    <x v="28"/>
  </r>
  <r>
    <x v="1"/>
    <x v="6"/>
    <d v="2019-05-06T00:00:00"/>
    <s v="Mon"/>
    <d v="1899-12-30T08:30:00"/>
    <d v="1899-12-30T17:30:00"/>
    <n v="0"/>
    <n v="7.9999999999999982"/>
    <n v="7.9999999999999982"/>
    <s v="Normal Working Days before 10pm"/>
    <s v="Total: 1765 Policies (Backfill for Truong Loc)"/>
    <s v=""/>
    <x v="28"/>
  </r>
  <r>
    <x v="1"/>
    <x v="12"/>
    <d v="2019-05-07T00:00:00"/>
    <s v="Tue"/>
    <d v="1899-12-30T08:30:00"/>
    <d v="1899-12-30T17:30:00"/>
    <n v="0"/>
    <n v="7.9999999999999982"/>
    <n v="7.9999999999999982"/>
    <s v="Normal Working Days before 10pm"/>
    <s v="Total: 1043 Policies (Backfill for Truong Loc)"/>
    <s v=""/>
    <x v="28"/>
  </r>
  <r>
    <x v="1"/>
    <x v="6"/>
    <d v="2019-05-08T00:00:00"/>
    <s v="Wed"/>
    <d v="1899-12-30T08:30:00"/>
    <d v="1899-12-30T17:30:00"/>
    <n v="0"/>
    <n v="7.9999999999999982"/>
    <n v="7.9999999999999982"/>
    <s v="Normal Working Days before 10pm"/>
    <s v="Total: 928 Policies (Backfill for Truong Loc)"/>
    <s v=""/>
    <x v="28"/>
  </r>
  <r>
    <x v="1"/>
    <x v="49"/>
    <d v="2019-05-09T00:00:00"/>
    <s v="Thu"/>
    <d v="1899-12-30T08:30:00"/>
    <d v="1899-12-30T17:30:00"/>
    <n v="0"/>
    <n v="7.9999999999999982"/>
    <n v="7.9999999999999982"/>
    <s v="Normal Working Days before 10pm"/>
    <s v="Total: 783 Policies"/>
    <s v=""/>
    <x v="28"/>
  </r>
  <r>
    <x v="1"/>
    <x v="12"/>
    <d v="2019-05-09T00:00:00"/>
    <s v="Thu"/>
    <d v="1899-12-30T08:30:00"/>
    <d v="1899-12-30T12:00:00"/>
    <n v="0"/>
    <n v="3.4999999999999996"/>
    <n v="3.4999999999999996"/>
    <s v="Normal Working Days before 10pm"/>
    <s v="Total: 783 Policies (Backfill for Oanh)"/>
    <s v=""/>
    <x v="28"/>
  </r>
  <r>
    <x v="1"/>
    <x v="49"/>
    <d v="2019-05-10T00:00:00"/>
    <s v="Fri"/>
    <d v="1899-12-30T08:30:00"/>
    <d v="1899-12-30T17:30:00"/>
    <n v="0"/>
    <n v="7.9999999999999982"/>
    <n v="7.9999999999999982"/>
    <s v="Normal Working Days before 10pm"/>
    <s v="Total: 724 Policies"/>
    <s v=""/>
    <x v="28"/>
  </r>
  <r>
    <x v="1"/>
    <x v="6"/>
    <d v="2019-05-10T00:00:00"/>
    <s v="Fri"/>
    <d v="1899-12-30T08:30:00"/>
    <d v="1899-12-30T17:30:00"/>
    <n v="0"/>
    <n v="7.9999999999999982"/>
    <n v="7.9999999999999982"/>
    <s v="Normal Working Days before 10pm"/>
    <s v="Total: 724 Policies (Backfill for Oanh)"/>
    <s v=""/>
    <x v="28"/>
  </r>
  <r>
    <x v="1"/>
    <x v="49"/>
    <d v="2019-05-13T00:00:00"/>
    <s v="Mon"/>
    <d v="1899-12-30T08:30:00"/>
    <d v="1899-12-30T17:30:00"/>
    <n v="0"/>
    <n v="7.9999999999999982"/>
    <n v="7.9999999999999982"/>
    <s v="Normal Working Days before 10pm"/>
    <s v="Total: 808 Policies"/>
    <s v=""/>
    <x v="28"/>
  </r>
  <r>
    <x v="1"/>
    <x v="6"/>
    <d v="2019-05-13T00:00:00"/>
    <s v="Mon"/>
    <d v="1899-12-30T08:30:00"/>
    <d v="1899-12-30T17:30:00"/>
    <n v="0"/>
    <n v="7.9999999999999982"/>
    <n v="7.9999999999999982"/>
    <s v="Normal Working Days before 10pm"/>
    <s v="Total: 808 Policies (Backfill for Minh Tuan)"/>
    <s v=""/>
    <x v="28"/>
  </r>
  <r>
    <x v="1"/>
    <x v="49"/>
    <d v="2019-05-14T00:00:00"/>
    <s v="Tue"/>
    <d v="1899-12-30T08:30:00"/>
    <d v="1899-12-30T17:30:00"/>
    <n v="0"/>
    <n v="7.9999999999999982"/>
    <n v="7.9999999999999982"/>
    <s v="Normal Working Days before 10pm"/>
    <s v="Total: 1295 Policies"/>
    <s v=""/>
    <x v="28"/>
  </r>
  <r>
    <x v="1"/>
    <x v="6"/>
    <d v="2019-05-14T00:00:00"/>
    <s v="Tue"/>
    <d v="1899-12-30T08:30:00"/>
    <d v="1899-12-30T17:30:00"/>
    <n v="0"/>
    <n v="7.9999999999999982"/>
    <n v="7.9999999999999982"/>
    <s v="Normal Working Days before 10pm"/>
    <s v="Total: 1295 Policies (Backfill for Minh Tuan)"/>
    <s v=""/>
    <x v="28"/>
  </r>
  <r>
    <x v="1"/>
    <x v="49"/>
    <d v="2019-05-15T00:00:00"/>
    <s v="Wed"/>
    <d v="1899-12-30T08:30:00"/>
    <d v="1899-12-30T17:30:00"/>
    <n v="0"/>
    <n v="7.9999999999999982"/>
    <n v="7.9999999999999982"/>
    <s v="Normal Working Days before 10pm"/>
    <s v="Total: 1085 Policies"/>
    <s v=""/>
    <x v="28"/>
  </r>
  <r>
    <x v="1"/>
    <x v="55"/>
    <d v="2019-05-17T00:00:00"/>
    <s v="Fri"/>
    <d v="1899-12-30T10:30:00"/>
    <d v="1899-12-30T17:30:00"/>
    <n v="0"/>
    <n v="5.9999999999999991"/>
    <n v="5.9999999999999991"/>
    <s v="Normal Working Days before 10pm"/>
    <s v="Total: 800 Policies (Backfill for Thanh Loc)"/>
    <s v=""/>
    <x v="28"/>
  </r>
  <r>
    <x v="1"/>
    <x v="49"/>
    <d v="2019-05-20T00:00:00"/>
    <s v="Mon"/>
    <d v="1899-12-30T08:30:00"/>
    <d v="1899-12-30T17:30:00"/>
    <n v="0"/>
    <n v="7.9999999999999982"/>
    <n v="7.9999999999999982"/>
    <s v="Normal Working Days before 10pm"/>
    <s v="Total: 992 Policies"/>
    <s v=""/>
    <x v="28"/>
  </r>
  <r>
    <x v="1"/>
    <x v="6"/>
    <d v="2019-05-21T00:00:00"/>
    <s v="Tue"/>
    <d v="1899-12-30T08:30:00"/>
    <d v="1899-12-30T17:30:00"/>
    <n v="0"/>
    <n v="7.9999999999999982"/>
    <n v="7.9999999999999982"/>
    <s v="Normal Working Days before 10pm"/>
    <s v="Total: 1149 Policies (Backfill for Truong Loc)"/>
    <s v=""/>
    <x v="28"/>
  </r>
  <r>
    <x v="1"/>
    <x v="49"/>
    <d v="2019-05-22T00:00:00"/>
    <s v="Wed"/>
    <d v="1899-12-30T08:30:00"/>
    <d v="1899-12-30T17:30:00"/>
    <n v="0"/>
    <n v="7.9999999999999982"/>
    <n v="7.9999999999999982"/>
    <s v="Normal Working Days before 10pm"/>
    <s v="Total: 1362 Policies"/>
    <s v=""/>
    <x v="28"/>
  </r>
  <r>
    <x v="1"/>
    <x v="49"/>
    <d v="2019-05-23T00:00:00"/>
    <s v="Thu"/>
    <d v="1899-12-30T08:30:00"/>
    <d v="1899-12-30T17:30:00"/>
    <n v="0"/>
    <n v="7.9999999999999982"/>
    <n v="7.9999999999999982"/>
    <s v="Normal Working Days before 10pm"/>
    <s v="Total: 846 Policies"/>
    <s v=""/>
    <x v="28"/>
  </r>
  <r>
    <x v="1"/>
    <x v="6"/>
    <d v="2019-05-23T00:00:00"/>
    <s v="Thu"/>
    <d v="1899-12-30T08:30:00"/>
    <d v="1899-12-30T17:30:00"/>
    <n v="0"/>
    <n v="7.9999999999999982"/>
    <n v="7.9999999999999982"/>
    <s v="Normal Working Days before 10pm"/>
    <s v="Total: 846 Policies (Backfill for Phuc)"/>
    <s v=""/>
    <x v="28"/>
  </r>
  <r>
    <x v="1"/>
    <x v="49"/>
    <d v="2019-05-24T00:00:00"/>
    <s v="Fri"/>
    <d v="1899-12-30T08:30:00"/>
    <d v="1899-12-30T17:30:00"/>
    <n v="0"/>
    <n v="7.9999999999999982"/>
    <n v="7.9999999999999982"/>
    <s v="Normal Working Days before 10pm"/>
    <s v="Total: 1005 Policies"/>
    <s v=""/>
    <x v="28"/>
  </r>
  <r>
    <x v="1"/>
    <x v="6"/>
    <d v="2019-05-24T00:00:00"/>
    <s v="Fri"/>
    <d v="1899-12-30T08:30:00"/>
    <d v="1899-12-30T17:30:00"/>
    <n v="0"/>
    <n v="7.9999999999999982"/>
    <n v="7.9999999999999982"/>
    <s v="Normal Working Days before 10pm"/>
    <s v="Total: 1005 Policies (Backfill for Phuc)"/>
    <s v=""/>
    <x v="28"/>
  </r>
  <r>
    <x v="1"/>
    <x v="49"/>
    <d v="2019-05-27T00:00:00"/>
    <s v="Mon"/>
    <d v="1899-12-30T08:30:00"/>
    <d v="1899-12-30T17:30:00"/>
    <n v="0"/>
    <n v="7.9999999999999982"/>
    <n v="7.9999999999999982"/>
    <s v="Normal Working Days before 10pm"/>
    <s v="Total: 1922 Policies"/>
    <s v=""/>
    <x v="28"/>
  </r>
  <r>
    <x v="1"/>
    <x v="55"/>
    <d v="2019-05-27T00:00:00"/>
    <s v="Mon"/>
    <d v="1899-12-30T08:30:00"/>
    <d v="1899-12-30T17:30:00"/>
    <n v="0"/>
    <n v="7.9999999999999982"/>
    <n v="7.9999999999999982"/>
    <s v="Normal Working Days before 10pm"/>
    <s v="Total: 1922 Policies"/>
    <s v=""/>
    <x v="28"/>
  </r>
  <r>
    <x v="1"/>
    <x v="49"/>
    <d v="2019-05-28T00:00:00"/>
    <s v="Tue"/>
    <d v="1899-12-30T08:30:00"/>
    <d v="1899-12-30T17:30:00"/>
    <n v="0"/>
    <n v="7.9999999999999982"/>
    <n v="7.9999999999999982"/>
    <s v="Normal Working Days before 10pm"/>
    <s v="Total: 1901 Policies"/>
    <s v=""/>
    <x v="28"/>
  </r>
  <r>
    <x v="1"/>
    <x v="6"/>
    <d v="2019-05-28T00:00:00"/>
    <s v="Tue"/>
    <d v="1899-12-30T09:30:00"/>
    <d v="1899-12-30T17:30:00"/>
    <n v="0"/>
    <n v="7"/>
    <n v="7"/>
    <s v="Normal Working Days before 10pm"/>
    <s v="Total: 1901 Policies"/>
    <s v=""/>
    <x v="28"/>
  </r>
  <r>
    <x v="1"/>
    <x v="55"/>
    <d v="2019-05-28T00:00:00"/>
    <s v="Tue"/>
    <d v="1899-12-30T13:00:00"/>
    <d v="1899-12-30T17:30:00"/>
    <n v="0"/>
    <n v="4.5"/>
    <n v="4.5"/>
    <s v="Normal Working Days before 10pm"/>
    <s v="Total: 1901 Policies"/>
    <s v=""/>
    <x v="28"/>
  </r>
  <r>
    <x v="1"/>
    <x v="49"/>
    <d v="2019-05-29T00:00:00"/>
    <s v="Wed"/>
    <d v="1899-12-30T08:30:00"/>
    <d v="1899-12-30T17:30:00"/>
    <n v="0"/>
    <n v="7.9999999999999982"/>
    <n v="7.9999999999999982"/>
    <s v="Normal Working Days before 10pm"/>
    <s v="Total: 1983 Policies"/>
    <s v=""/>
    <x v="28"/>
  </r>
  <r>
    <x v="1"/>
    <x v="6"/>
    <d v="2019-05-29T00:00:00"/>
    <s v="Wed"/>
    <d v="1899-12-30T08:30:00"/>
    <d v="1899-12-30T17:30:00"/>
    <n v="0"/>
    <n v="7.9999999999999982"/>
    <n v="7.9999999999999982"/>
    <s v="Normal Working Days before 10pm"/>
    <s v="Total: 1983 Policies"/>
    <s v=""/>
    <x v="28"/>
  </r>
  <r>
    <x v="1"/>
    <x v="55"/>
    <d v="2019-05-29T00:00:00"/>
    <s v="Wed"/>
    <d v="1899-12-30T08:30:00"/>
    <d v="1899-12-30T17:30:00"/>
    <n v="0"/>
    <n v="7.9999999999999982"/>
    <n v="7.9999999999999982"/>
    <s v="Normal Working Days before 10pm"/>
    <s v="Total: 1983 Policies (Backfill for Loc)"/>
    <s v=""/>
    <x v="28"/>
  </r>
  <r>
    <x v="1"/>
    <x v="49"/>
    <d v="2019-05-30T00:00:00"/>
    <s v="Thu"/>
    <d v="1899-12-30T08:30:00"/>
    <d v="1899-12-30T17:30:00"/>
    <n v="0"/>
    <n v="7.9999999999999982"/>
    <n v="7.9999999999999982"/>
    <s v="Normal Working Days before 10pm"/>
    <s v="Total: 1915 Policies"/>
    <s v=""/>
    <x v="28"/>
  </r>
  <r>
    <x v="1"/>
    <x v="6"/>
    <d v="2019-05-30T00:00:00"/>
    <s v="Thu"/>
    <d v="1899-12-30T08:30:00"/>
    <d v="1899-12-30T17:30:00"/>
    <n v="0"/>
    <n v="7.9999999999999982"/>
    <n v="7.9999999999999982"/>
    <s v="Normal Working Days before 10pm"/>
    <s v="Total: 1915 Policies"/>
    <s v=""/>
    <x v="28"/>
  </r>
  <r>
    <x v="0"/>
    <x v="2"/>
    <d v="2019-05-31T00:00:00"/>
    <s v="Fri"/>
    <d v="1899-12-30T16:30:00"/>
    <d v="1899-12-30T20:30:00"/>
    <n v="8.0000000000000036"/>
    <n v="3.9999999999999964"/>
    <n v="3.9999999999999964"/>
    <s v="Normal Working Days before 10pm"/>
    <s v="Total: 3260 Policies"/>
    <n v="1"/>
    <x v="28"/>
  </r>
  <r>
    <x v="0"/>
    <x v="15"/>
    <d v="2019-05-31T00:00:00"/>
    <s v="Fri"/>
    <d v="1899-12-30T17:30:00"/>
    <d v="1899-12-30T22:00:00"/>
    <n v="8.0000000000000036"/>
    <n v="4.4999999999999964"/>
    <n v="4.4999999999999964"/>
    <s v="Normal Working Days before 10pm"/>
    <s v="Total: 3260 Policies"/>
    <n v="1"/>
    <x v="28"/>
  </r>
  <r>
    <x v="0"/>
    <x v="16"/>
    <d v="2019-05-31T00:00:00"/>
    <s v="Fri"/>
    <d v="1899-12-30T17:30:00"/>
    <d v="1899-12-30T22:00:00"/>
    <n v="8.0000000000000036"/>
    <n v="4.4999999999999964"/>
    <n v="4.4999999999999964"/>
    <s v="Normal Working Days before 10pm"/>
    <s v="Total: 3260 Policies"/>
    <n v="1"/>
    <x v="28"/>
  </r>
  <r>
    <x v="0"/>
    <x v="43"/>
    <d v="2019-05-31T00:00:00"/>
    <s v="Fri"/>
    <d v="1899-12-30T17:30:00"/>
    <d v="1899-12-30T22:00:00"/>
    <n v="8.0000000000000036"/>
    <n v="4.4999999999999964"/>
    <n v="4.4999999999999964"/>
    <s v="Normal Working Days before 10pm"/>
    <s v="Total: 3260 Policies"/>
    <n v="1"/>
    <x v="28"/>
  </r>
  <r>
    <x v="0"/>
    <x v="44"/>
    <d v="2019-05-31T00:00:00"/>
    <s v="Fri"/>
    <d v="1899-12-30T17:30:00"/>
    <d v="1899-12-30T22:00:00"/>
    <n v="8.0000000000000036"/>
    <n v="4.4999999999999964"/>
    <n v="4.4999999999999964"/>
    <s v="Normal Working Days before 10pm"/>
    <s v="Total: 3260 Policies"/>
    <n v="1"/>
    <x v="28"/>
  </r>
  <r>
    <x v="0"/>
    <x v="53"/>
    <d v="2019-05-31T00:00:00"/>
    <s v="Fri"/>
    <d v="1899-12-30T17:30:00"/>
    <d v="1899-12-30T22:00:00"/>
    <n v="8.0000000000000036"/>
    <n v="4.4999999999999964"/>
    <n v="4.4999999999999964"/>
    <s v="Normal Working Days before 10pm"/>
    <s v="Total: 3260 Policies"/>
    <n v="1"/>
    <x v="28"/>
  </r>
  <r>
    <x v="0"/>
    <x v="57"/>
    <d v="2019-05-31T00:00:00"/>
    <s v="Fri"/>
    <d v="1899-12-30T17:30:00"/>
    <d v="1899-12-30T22:00:00"/>
    <n v="8.0000000000000036"/>
    <n v="4.4999999999999964"/>
    <n v="4.4999999999999964"/>
    <s v="Normal Working Days before 10pm"/>
    <s v="Total: 3260 Policies"/>
    <n v="1"/>
    <x v="28"/>
  </r>
  <r>
    <x v="0"/>
    <x v="60"/>
    <d v="2019-05-31T00:00:00"/>
    <s v="Fri"/>
    <d v="1899-12-30T17:30:00"/>
    <d v="1899-12-30T21:30:00"/>
    <n v="8.0000000000000036"/>
    <n v="3.9999999999999982"/>
    <n v="3.9999999999999982"/>
    <s v="Normal Working Days before 10pm"/>
    <s v="Total: 3260 Policies"/>
    <n v="1"/>
    <x v="28"/>
  </r>
  <r>
    <x v="1"/>
    <x v="49"/>
    <d v="2019-05-31T00:00:00"/>
    <s v="Fri"/>
    <d v="1899-12-30T08:30:00"/>
    <d v="1899-12-30T17:30:00"/>
    <n v="0"/>
    <n v="7.9999999999999982"/>
    <n v="7.9999999999999982"/>
    <s v="Normal Working Days before 10pm"/>
    <s v="Total: 3260 Policies"/>
    <s v=""/>
    <x v="28"/>
  </r>
  <r>
    <x v="1"/>
    <x v="6"/>
    <d v="2019-05-31T00:00:00"/>
    <s v="Fri"/>
    <d v="1899-12-30T13:00:00"/>
    <d v="1899-12-30T22:00:00"/>
    <n v="0"/>
    <n v="9"/>
    <n v="9"/>
    <s v="Normal Working Days before 10pm"/>
    <s v="Total: 3260 Policies"/>
    <s v=""/>
    <x v="28"/>
  </r>
  <r>
    <x v="0"/>
    <x v="2"/>
    <d v="2019-06-03T00:00:00"/>
    <s v="Mon"/>
    <d v="1899-12-30T17:30:00"/>
    <d v="1899-12-30T21:30:00"/>
    <n v="8.0000000000000036"/>
    <n v="3.9999999999999982"/>
    <n v="3.9999999999999982"/>
    <s v="Normal Working Days before 10pm"/>
    <s v="Total: 2946 Policies"/>
    <n v="1"/>
    <x v="29"/>
  </r>
  <r>
    <x v="0"/>
    <x v="15"/>
    <d v="2019-06-03T00:00:00"/>
    <s v="Mon"/>
    <d v="1899-12-30T17:30:00"/>
    <d v="1899-12-30T21:30:00"/>
    <n v="8.0000000000000036"/>
    <n v="3.9999999999999982"/>
    <n v="3.9999999999999982"/>
    <s v="Normal Working Days before 10pm"/>
    <s v="Total: 2946 Policies"/>
    <n v="1"/>
    <x v="29"/>
  </r>
  <r>
    <x v="0"/>
    <x v="16"/>
    <d v="2019-06-03T00:00:00"/>
    <s v="Mon"/>
    <d v="1899-12-30T17:30:00"/>
    <d v="1899-12-30T21:30:00"/>
    <n v="8.0000000000000036"/>
    <n v="3.9999999999999982"/>
    <n v="3.9999999999999982"/>
    <s v="Normal Working Days before 10pm"/>
    <s v="Total: 2946 Policies"/>
    <n v="1"/>
    <x v="29"/>
  </r>
  <r>
    <x v="0"/>
    <x v="43"/>
    <d v="2019-06-03T00:00:00"/>
    <s v="Mon"/>
    <d v="1899-12-30T17:30:00"/>
    <d v="1899-12-30T21:30:00"/>
    <n v="8.0000000000000036"/>
    <n v="3.9999999999999982"/>
    <n v="3.9999999999999982"/>
    <s v="Normal Working Days before 10pm"/>
    <s v="Total: 2946 Policies"/>
    <n v="1"/>
    <x v="29"/>
  </r>
  <r>
    <x v="0"/>
    <x v="44"/>
    <d v="2019-06-03T00:00:00"/>
    <s v="Mon"/>
    <d v="1899-12-30T17:30:00"/>
    <d v="1899-12-30T21:30:00"/>
    <n v="8.0000000000000036"/>
    <n v="3.9999999999999982"/>
    <n v="3.9999999999999982"/>
    <s v="Normal Working Days before 10pm"/>
    <s v="Total: 2946 Policies"/>
    <n v="1"/>
    <x v="29"/>
  </r>
  <r>
    <x v="0"/>
    <x v="53"/>
    <d v="2019-06-03T00:00:00"/>
    <s v="Mon"/>
    <d v="1899-12-30T16:30:00"/>
    <d v="1899-12-30T20:30:00"/>
    <n v="8.0000000000000036"/>
    <n v="3.9999999999999964"/>
    <n v="3.9999999999999964"/>
    <s v="Normal Working Days before 10pm"/>
    <s v="Total: 2946 Policies"/>
    <n v="1"/>
    <x v="29"/>
  </r>
  <r>
    <x v="0"/>
    <x v="57"/>
    <d v="2019-06-03T00:00:00"/>
    <s v="Mon"/>
    <d v="1899-12-30T17:30:00"/>
    <d v="1899-12-30T21:30:00"/>
    <n v="8.0000000000000036"/>
    <n v="3.9999999999999982"/>
    <n v="3.9999999999999982"/>
    <s v="Normal Working Days before 10pm"/>
    <s v="Total: 2946 Policies"/>
    <n v="1"/>
    <x v="29"/>
  </r>
  <r>
    <x v="0"/>
    <x v="60"/>
    <d v="2019-06-03T00:00:00"/>
    <s v="Mon"/>
    <d v="1899-12-30T17:30:00"/>
    <d v="1899-12-30T21:30:00"/>
    <n v="8.0000000000000036"/>
    <n v="3.9999999999999982"/>
    <n v="3.9999999999999982"/>
    <s v="Normal Working Days before 10pm"/>
    <s v="Total: 2946 Policies"/>
    <n v="1"/>
    <x v="29"/>
  </r>
  <r>
    <x v="1"/>
    <x v="49"/>
    <d v="2019-06-03T00:00:00"/>
    <s v="Mon"/>
    <d v="1899-12-30T08:30:00"/>
    <d v="1899-12-30T21:30:00"/>
    <n v="0"/>
    <n v="12.000000000000002"/>
    <n v="12.000000000000002"/>
    <s v="Normal Working Days before 10pm"/>
    <s v="Total: 2946 Policies"/>
    <s v=""/>
    <x v="29"/>
  </r>
  <r>
    <x v="1"/>
    <x v="28"/>
    <d v="2019-06-03T00:00:00"/>
    <s v="Mon"/>
    <d v="1899-12-30T08:30:00"/>
    <d v="1899-12-30T21:00:00"/>
    <n v="0"/>
    <n v="11.499999999999998"/>
    <n v="11.499999999999998"/>
    <s v="Normal Working Days before 10pm"/>
    <s v="Total: 2946 Policies"/>
    <s v=""/>
    <x v="29"/>
  </r>
  <r>
    <x v="1"/>
    <x v="49"/>
    <d v="2019-06-04T00:00:00"/>
    <s v="Tue"/>
    <d v="1899-12-30T08:30:00"/>
    <d v="1899-12-30T17:30:00"/>
    <n v="0"/>
    <n v="7.9999999999999982"/>
    <n v="7.9999999999999982"/>
    <s v="Normal Working Days before 10pm"/>
    <s v="Total: 1404 Policies"/>
    <s v=""/>
    <x v="29"/>
  </r>
  <r>
    <x v="1"/>
    <x v="6"/>
    <d v="2019-06-04T00:00:00"/>
    <s v="Tue"/>
    <d v="1899-12-30T08:30:00"/>
    <d v="1899-12-30T17:30:00"/>
    <n v="0"/>
    <n v="7.9999999999999982"/>
    <n v="7.9999999999999982"/>
    <s v="Normal Working Days before 10pm"/>
    <s v="Total: 1404 Policies"/>
    <s v=""/>
    <x v="29"/>
  </r>
  <r>
    <x v="1"/>
    <x v="49"/>
    <d v="2019-06-05T00:00:00"/>
    <s v="Wed"/>
    <d v="1899-12-30T08:30:00"/>
    <d v="1899-12-30T17:30:00"/>
    <n v="0"/>
    <n v="7.9999999999999982"/>
    <n v="7.9999999999999982"/>
    <s v="Normal Working Days before 10pm"/>
    <s v="Total: 1280 Policies"/>
    <s v=""/>
    <x v="29"/>
  </r>
  <r>
    <x v="1"/>
    <x v="6"/>
    <d v="2019-06-05T00:00:00"/>
    <s v="Wed"/>
    <d v="1899-12-30T08:30:00"/>
    <d v="1899-12-30T17:30:00"/>
    <n v="0"/>
    <n v="7.9999999999999982"/>
    <n v="7.9999999999999982"/>
    <s v="Normal Working Days before 10pm"/>
    <s v="Total: 1280 Policies"/>
    <s v=""/>
    <x v="29"/>
  </r>
  <r>
    <x v="1"/>
    <x v="49"/>
    <d v="2019-06-06T00:00:00"/>
    <s v="Thu"/>
    <d v="1899-12-30T08:30:00"/>
    <d v="1899-12-30T17:30:00"/>
    <n v="0"/>
    <n v="7.9999999999999982"/>
    <n v="7.9999999999999982"/>
    <s v="Normal Working Days before 10pm"/>
    <s v="Total: 1061 Policies"/>
    <s v=""/>
    <x v="29"/>
  </r>
  <r>
    <x v="1"/>
    <x v="49"/>
    <d v="2019-06-07T00:00:00"/>
    <s v="Fri"/>
    <d v="1899-12-30T08:30:00"/>
    <d v="1899-12-30T17:30:00"/>
    <n v="0"/>
    <n v="7.9999999999999982"/>
    <n v="7.9999999999999982"/>
    <s v="Normal Working Days before 10pm"/>
    <s v="Total: 835 Policies"/>
    <s v=""/>
    <x v="29"/>
  </r>
  <r>
    <x v="1"/>
    <x v="49"/>
    <d v="2019-06-10T00:00:00"/>
    <s v="Mon"/>
    <d v="1899-12-30T08:30:00"/>
    <d v="1899-12-30T17:30:00"/>
    <n v="0"/>
    <n v="7.9999999999999982"/>
    <n v="7.9999999999999982"/>
    <s v="Normal Working Days before 10pm"/>
    <s v="Total: 647 Policies"/>
    <s v=""/>
    <x v="29"/>
  </r>
  <r>
    <x v="1"/>
    <x v="49"/>
    <d v="2019-06-11T00:00:00"/>
    <s v="Tue"/>
    <d v="1899-12-30T08:30:00"/>
    <d v="1899-12-30T17:30:00"/>
    <n v="0"/>
    <n v="7.9999999999999982"/>
    <n v="7.9999999999999982"/>
    <s v="Normal Working Days before 10pm"/>
    <s v="Total: 991 Policies"/>
    <s v=""/>
    <x v="29"/>
  </r>
  <r>
    <x v="1"/>
    <x v="49"/>
    <d v="2019-06-13T00:00:00"/>
    <s v="Thu"/>
    <d v="1899-12-30T08:30:00"/>
    <d v="1899-12-30T17:30:00"/>
    <n v="0"/>
    <n v="7.9999999999999982"/>
    <n v="7.9999999999999982"/>
    <s v="Normal Working Days before 10pm"/>
    <s v="Total: 1350 Policies"/>
    <s v=""/>
    <x v="29"/>
  </r>
  <r>
    <x v="1"/>
    <x v="6"/>
    <d v="2019-06-13T00:00:00"/>
    <s v="Thu"/>
    <d v="1899-12-30T08:30:00"/>
    <d v="1899-12-30T17:30:00"/>
    <n v="0"/>
    <n v="7.9999999999999982"/>
    <n v="7.9999999999999982"/>
    <s v="Normal Working Days before 10pm"/>
    <s v="Total: 1350 Policies (Backfill for Y Vi)"/>
    <s v=""/>
    <x v="29"/>
  </r>
  <r>
    <x v="1"/>
    <x v="28"/>
    <d v="2019-06-13T00:00:00"/>
    <s v="Thu"/>
    <d v="1899-12-30T13:00:00"/>
    <d v="1899-12-30T17:30:00"/>
    <n v="0"/>
    <n v="4.5"/>
    <n v="4.5"/>
    <s v="Normal Working Days before 10pm"/>
    <s v="Total: 1350 Policies (Backfill for Tuan)"/>
    <s v=""/>
    <x v="29"/>
  </r>
  <r>
    <x v="1"/>
    <x v="49"/>
    <d v="2019-06-14T00:00:00"/>
    <s v="Fri"/>
    <d v="1899-12-30T08:30:00"/>
    <d v="1899-12-30T17:30:00"/>
    <n v="0"/>
    <n v="7.9999999999999982"/>
    <n v="7.9999999999999982"/>
    <s v="Normal Working Days before 10pm"/>
    <s v="Total: 1088 Policies"/>
    <s v=""/>
    <x v="29"/>
  </r>
  <r>
    <x v="1"/>
    <x v="6"/>
    <d v="2019-06-14T00:00:00"/>
    <s v="Fri"/>
    <d v="1899-12-30T08:30:00"/>
    <d v="1899-12-30T17:30:00"/>
    <n v="0"/>
    <n v="7.9999999999999982"/>
    <n v="7.9999999999999982"/>
    <s v="Normal Working Days before 10pm"/>
    <s v="Total: 1088 Policies (Backfill for Y Vi)"/>
    <s v=""/>
    <x v="29"/>
  </r>
  <r>
    <x v="1"/>
    <x v="61"/>
    <d v="2019-06-14T00:00:00"/>
    <s v="Fri"/>
    <d v="1899-12-30T08:30:00"/>
    <d v="1899-12-30T17:30:00"/>
    <n v="0"/>
    <n v="7.9999999999999982"/>
    <n v="7.9999999999999982"/>
    <s v="Normal Working Days before 10pm"/>
    <s v="Total: 1088 Policies (Backfill for Tuan)"/>
    <s v=""/>
    <x v="29"/>
  </r>
  <r>
    <x v="1"/>
    <x v="49"/>
    <d v="2019-06-19T00:00:00"/>
    <s v="Wed"/>
    <d v="1899-12-30T08:30:00"/>
    <d v="1899-12-30T17:30:00"/>
    <n v="0"/>
    <n v="7.9999999999999982"/>
    <n v="7.9999999999999982"/>
    <s v="Normal Working Days before 10pm"/>
    <s v="Total: 1321 Policies"/>
    <s v=""/>
    <x v="29"/>
  </r>
  <r>
    <x v="1"/>
    <x v="49"/>
    <d v="2019-06-20T00:00:00"/>
    <s v="Thu"/>
    <d v="1899-12-30T08:30:00"/>
    <d v="1899-12-30T17:30:00"/>
    <n v="0"/>
    <n v="7.9999999999999982"/>
    <n v="7.9999999999999982"/>
    <s v="Normal Working Days before 10pm"/>
    <s v="Total: 1166 Policies"/>
    <s v=""/>
    <x v="29"/>
  </r>
  <r>
    <x v="1"/>
    <x v="49"/>
    <d v="2019-06-21T00:00:00"/>
    <s v="Fri"/>
    <d v="1899-12-30T08:30:00"/>
    <d v="1899-12-30T17:30:00"/>
    <n v="0"/>
    <n v="7.9999999999999982"/>
    <n v="7.9999999999999982"/>
    <s v="Normal Working Days before 10pm"/>
    <s v="Total: 1273 Policies"/>
    <s v=""/>
    <x v="29"/>
  </r>
  <r>
    <x v="1"/>
    <x v="6"/>
    <d v="2019-06-21T00:00:00"/>
    <s v="Fri"/>
    <d v="1899-12-30T09:00:00"/>
    <d v="1899-12-30T16:00:00"/>
    <n v="0"/>
    <n v="5.9999999999999991"/>
    <n v="5.9999999999999991"/>
    <s v="Normal Working Days before 10pm"/>
    <s v="Total: 1273 Policies"/>
    <s v=""/>
    <x v="29"/>
  </r>
  <r>
    <x v="1"/>
    <x v="6"/>
    <d v="2019-06-24T00:00:00"/>
    <s v="Mon"/>
    <d v="1899-12-30T08:30:00"/>
    <d v="1899-12-30T17:30:00"/>
    <n v="0"/>
    <n v="7.9999999999999982"/>
    <n v="7.9999999999999982"/>
    <s v="Normal Working Days before 10pm"/>
    <s v="Total: 1821 Policies"/>
    <s v=""/>
    <x v="29"/>
  </r>
  <r>
    <x v="1"/>
    <x v="61"/>
    <d v="2019-06-24T00:00:00"/>
    <s v="Mon"/>
    <d v="1899-12-30T08:30:00"/>
    <d v="1899-12-30T18:00:00"/>
    <n v="0"/>
    <n v="8.5"/>
    <n v="8.5"/>
    <s v="Normal Working Days before 10pm"/>
    <s v="Total: 1821 Policies"/>
    <s v=""/>
    <x v="29"/>
  </r>
  <r>
    <x v="1"/>
    <x v="6"/>
    <d v="2019-06-25T00:00:00"/>
    <s v="Tue"/>
    <d v="1899-12-30T08:30:00"/>
    <d v="1899-12-30T17:30:00"/>
    <n v="0"/>
    <n v="7.9999999999999982"/>
    <n v="7.9999999999999982"/>
    <s v="Normal Working Days before 10pm"/>
    <s v="Total: 1929 Policies"/>
    <s v=""/>
    <x v="29"/>
  </r>
  <r>
    <x v="1"/>
    <x v="61"/>
    <d v="2019-06-25T00:00:00"/>
    <s v="Tue"/>
    <d v="1899-12-30T08:30:00"/>
    <d v="1899-12-30T17:30:00"/>
    <n v="0"/>
    <n v="7.9999999999999982"/>
    <n v="7.9999999999999982"/>
    <s v="Normal Working Days before 10pm"/>
    <s v="Total: 1929 Policies"/>
    <s v=""/>
    <x v="29"/>
  </r>
  <r>
    <x v="1"/>
    <x v="49"/>
    <d v="2019-06-26T00:00:00"/>
    <s v="Wed"/>
    <d v="1899-12-30T08:30:00"/>
    <d v="1899-12-30T17:30:00"/>
    <n v="0"/>
    <n v="7.9999999999999982"/>
    <n v="7.9999999999999982"/>
    <s v="Normal Working Days before 10pm"/>
    <s v="Total: 1831 Policies"/>
    <s v=""/>
    <x v="29"/>
  </r>
  <r>
    <x v="1"/>
    <x v="49"/>
    <d v="2019-06-27T00:00:00"/>
    <s v="Thu"/>
    <d v="1899-12-30T08:30:00"/>
    <d v="1899-12-30T17:30:00"/>
    <n v="0"/>
    <n v="7.9999999999999982"/>
    <n v="7.9999999999999982"/>
    <s v="Normal Working Days before 10pm"/>
    <s v="Total: 1618 Policies"/>
    <s v=""/>
    <x v="29"/>
  </r>
  <r>
    <x v="1"/>
    <x v="6"/>
    <d v="2019-06-27T00:00:00"/>
    <s v="Thu"/>
    <d v="1899-12-30T08:30:00"/>
    <d v="1899-12-30T17:30:00"/>
    <n v="0"/>
    <n v="7.9999999999999982"/>
    <n v="7.9999999999999982"/>
    <s v="Normal Working Days before 10pm"/>
    <s v="Total: 1618 Policies (Backfill for 2 half day off of fulltime due to Company Annual Health Check)"/>
    <s v=""/>
    <x v="29"/>
  </r>
  <r>
    <x v="0"/>
    <x v="2"/>
    <d v="2019-06-28T00:00:00"/>
    <s v="Fri"/>
    <d v="1899-12-30T17:30:00"/>
    <d v="1899-12-30T22:00:00"/>
    <n v="8.0000000000000036"/>
    <n v="4.4999999999999964"/>
    <n v="4.4999999999999964"/>
    <s v="Normal Working Days before 10pm"/>
    <s v="Total: 2937 Policies"/>
    <n v="1"/>
    <x v="29"/>
  </r>
  <r>
    <x v="0"/>
    <x v="15"/>
    <d v="2019-06-28T00:00:00"/>
    <s v="Fri"/>
    <d v="1899-12-30T17:30:00"/>
    <d v="1899-12-30T20:30:00"/>
    <n v="8.0000000000000036"/>
    <n v="2.9999999999999947"/>
    <n v="2.9999999999999947"/>
    <s v="Normal Working Days before 10pm"/>
    <s v="Total: 2937 Policies"/>
    <n v="1"/>
    <x v="29"/>
  </r>
  <r>
    <x v="0"/>
    <x v="16"/>
    <d v="2019-06-28T00:00:00"/>
    <s v="Fri"/>
    <d v="1899-12-30T17:30:00"/>
    <d v="1899-12-30T20:30:00"/>
    <n v="8.0000000000000036"/>
    <n v="2.9999999999999947"/>
    <n v="2.9999999999999947"/>
    <s v="Normal Working Days before 10pm"/>
    <s v="Total: 2937 Policies"/>
    <n v="1"/>
    <x v="29"/>
  </r>
  <r>
    <x v="0"/>
    <x v="43"/>
    <d v="2019-06-28T00:00:00"/>
    <s v="Fri"/>
    <d v="1899-12-30T17:30:00"/>
    <d v="1899-12-30T22:00:00"/>
    <n v="8.0000000000000036"/>
    <n v="4.4999999999999964"/>
    <n v="4.4999999999999964"/>
    <s v="Normal Working Days before 10pm"/>
    <s v="Total: 2937 Policies"/>
    <n v="1"/>
    <x v="29"/>
  </r>
  <r>
    <x v="0"/>
    <x v="44"/>
    <d v="2019-06-28T00:00:00"/>
    <s v="Fri"/>
    <d v="1899-12-30T17:30:00"/>
    <d v="1899-12-30T22:00:00"/>
    <n v="8.0000000000000036"/>
    <n v="4.4999999999999964"/>
    <n v="4.4999999999999964"/>
    <s v="Normal Working Days before 10pm"/>
    <s v="Total: 2937 Policies"/>
    <n v="1"/>
    <x v="29"/>
  </r>
  <r>
    <x v="0"/>
    <x v="53"/>
    <d v="2019-06-28T00:00:00"/>
    <s v="Fri"/>
    <d v="1899-12-30T16:30:00"/>
    <d v="1899-12-30T20:30:00"/>
    <n v="8.0000000000000036"/>
    <n v="3.9999999999999964"/>
    <n v="3.9999999999999964"/>
    <s v="Normal Working Days before 10pm"/>
    <s v="Total: 2937 Policies"/>
    <n v="1"/>
    <x v="29"/>
  </r>
  <r>
    <x v="0"/>
    <x v="57"/>
    <d v="2019-06-28T00:00:00"/>
    <s v="Fri"/>
    <d v="1899-12-30T17:30:00"/>
    <d v="1899-12-30T22:00:00"/>
    <n v="8.0000000000000036"/>
    <n v="4.4999999999999964"/>
    <n v="4.4999999999999964"/>
    <s v="Normal Working Days before 10pm"/>
    <s v="Total: 2937 Policies"/>
    <n v="1"/>
    <x v="29"/>
  </r>
  <r>
    <x v="0"/>
    <x v="60"/>
    <d v="2019-06-28T00:00:00"/>
    <s v="Fri"/>
    <d v="1899-12-30T17:30:00"/>
    <d v="1899-12-30T21:30:00"/>
    <n v="8.0000000000000036"/>
    <n v="3.9999999999999982"/>
    <n v="3.9999999999999982"/>
    <s v="Normal Working Days before 10pm"/>
    <s v="Total: 2937 Policies"/>
    <n v="1"/>
    <x v="29"/>
  </r>
  <r>
    <x v="1"/>
    <x v="49"/>
    <d v="2019-06-28T00:00:00"/>
    <s v="Fri"/>
    <d v="1899-12-30T08:30:00"/>
    <d v="1899-12-30T17:30:00"/>
    <n v="0"/>
    <n v="7.9999999999999982"/>
    <n v="7.9999999999999982"/>
    <s v="Normal Working Days before 10pm"/>
    <s v="Total: 2937 Policies"/>
    <s v=""/>
    <x v="29"/>
  </r>
  <r>
    <x v="1"/>
    <x v="6"/>
    <d v="2019-06-28T00:00:00"/>
    <s v="Fri"/>
    <d v="1899-12-30T08:30:00"/>
    <d v="1899-12-30T17:30:00"/>
    <n v="0"/>
    <n v="7.9999999999999982"/>
    <n v="7.9999999999999982"/>
    <s v="Normal Working Days before 10pm"/>
    <s v="Total: 2937 Policies (Backfill for 2 half day off of fulltime due to Company Annual Health Check)"/>
    <s v=""/>
    <x v="29"/>
  </r>
  <r>
    <x v="1"/>
    <x v="50"/>
    <d v="2019-06-28T00:00:00"/>
    <s v="Fri"/>
    <d v="1899-12-30T13:00:00"/>
    <d v="1899-12-30T22:00:00"/>
    <n v="0"/>
    <n v="8"/>
    <n v="8"/>
    <s v="Normal Working Days before 10pm"/>
    <s v="Total: 2937 Policies (Backfill for fulltime staffs and partime who was unable to work Overtime)"/>
    <s v=""/>
    <x v="29"/>
  </r>
  <r>
    <x v="0"/>
    <x v="62"/>
    <d v="2019-06-28T00:00:00"/>
    <s v="Fri"/>
    <d v="1899-12-30T17:30:00"/>
    <d v="1899-12-30T22:00:00"/>
    <n v="8.0000000000000036"/>
    <n v="4.4999999999999964"/>
    <n v="4.4999999999999964"/>
    <s v="Normal Working Days before 10pm"/>
    <s v="Total: 2937 Policies"/>
    <n v="1"/>
    <x v="29"/>
  </r>
  <r>
    <x v="1"/>
    <x v="63"/>
    <d v="2019-06-28T00:00:00"/>
    <s v="Fri"/>
    <d v="1899-12-30T13:00:00"/>
    <d v="1899-12-30T22:00:00"/>
    <n v="0"/>
    <n v="8"/>
    <n v="8"/>
    <s v="Normal Working Days before 10pm"/>
    <s v="Total: 2937 Policies (Backfill for fulltime staffs and partime who was unable to work Overtime)"/>
    <s v=""/>
    <x v="29"/>
  </r>
  <r>
    <x v="0"/>
    <x v="64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2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15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16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43"/>
    <d v="2019-07-01T00:00:00"/>
    <s v="Mon"/>
    <d v="1899-12-30T16:30:00"/>
    <d v="1899-12-30T20:30:00"/>
    <n v="8.0000000000000036"/>
    <n v="3.9999999999999964"/>
    <n v="3.9999999999999964"/>
    <s v="Normal Working Days before 10pm"/>
    <s v="Total: 2696 Policies"/>
    <n v="1"/>
    <x v="30"/>
  </r>
  <r>
    <x v="0"/>
    <x v="44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53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57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60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0"/>
    <x v="62"/>
    <d v="2019-07-01T00:00:00"/>
    <s v="Mon"/>
    <d v="1899-12-30T17:30:00"/>
    <d v="1899-12-30T21:30:00"/>
    <n v="8.0000000000000036"/>
    <n v="3.9999999999999982"/>
    <n v="3.9999999999999982"/>
    <s v="Normal Working Days before 10pm"/>
    <s v="Total: 2696 Policies"/>
    <n v="1"/>
    <x v="30"/>
  </r>
  <r>
    <x v="1"/>
    <x v="49"/>
    <d v="2019-07-01T00:00:00"/>
    <s v="Mon"/>
    <d v="1899-12-30T08:30:00"/>
    <d v="1899-12-30T21:30:00"/>
    <n v="0"/>
    <n v="12.000000000000002"/>
    <n v="12.000000000000002"/>
    <s v="Normal Working Days before 10pm"/>
    <s v="Total: 2696 Policies"/>
    <s v=""/>
    <x v="30"/>
  </r>
  <r>
    <x v="0"/>
    <x v="64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2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15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16"/>
    <d v="2019-07-02T00:00:00"/>
    <s v="Tue"/>
    <d v="1899-12-30T16:30:00"/>
    <d v="1899-12-30T20:30:00"/>
    <n v="8.0000000000000036"/>
    <n v="3.9999999999999964"/>
    <n v="3.9999999999999964"/>
    <s v="Normal Working Days before 10pm"/>
    <s v="Total: 2778 Policies"/>
    <n v="1"/>
    <x v="30"/>
  </r>
  <r>
    <x v="0"/>
    <x v="43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44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53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57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60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0"/>
    <x v="62"/>
    <d v="2019-07-02T00:00:00"/>
    <s v="Tue"/>
    <d v="1899-12-30T17:30:00"/>
    <d v="1899-12-30T21:30:00"/>
    <n v="8.0000000000000036"/>
    <n v="3.9999999999999982"/>
    <n v="3.9999999999999982"/>
    <s v="Normal Working Days before 10pm"/>
    <s v="Total: 2778 Policies"/>
    <n v="1"/>
    <x v="30"/>
  </r>
  <r>
    <x v="1"/>
    <x v="49"/>
    <d v="2019-07-02T00:00:00"/>
    <s v="Tue"/>
    <d v="1899-12-30T08:30:00"/>
    <d v="1899-12-30T21:30:00"/>
    <n v="0"/>
    <n v="12.000000000000002"/>
    <n v="12.000000000000002"/>
    <s v="Normal Working Days before 10pm"/>
    <s v="Total: 2778 Policies"/>
    <s v=""/>
    <x v="30"/>
  </r>
  <r>
    <x v="0"/>
    <x v="64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0"/>
    <x v="2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0"/>
    <x v="15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0"/>
    <x v="16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0"/>
    <x v="43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0"/>
    <x v="44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0"/>
    <x v="53"/>
    <d v="2019-07-03T00:00:00"/>
    <s v="Wed"/>
    <d v="1899-12-30T15:30:00"/>
    <d v="1899-12-30T21:30:00"/>
    <n v="8.0000000000000036"/>
    <n v="5.9999999999999964"/>
    <n v="5.9999999999999964"/>
    <s v="Normal Working Days before 10pm"/>
    <s v="Total: 2713 Policies"/>
    <n v="1"/>
    <x v="30"/>
  </r>
  <r>
    <x v="0"/>
    <x v="57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0"/>
    <x v="60"/>
    <d v="2019-07-03T00:00:00"/>
    <s v="Wed"/>
    <d v="1899-12-30T17:30:00"/>
    <d v="1899-12-30T21:30:00"/>
    <n v="8.0000000000000036"/>
    <n v="3.9999999999999982"/>
    <n v="3.9999999999999982"/>
    <s v="Normal Working Days before 10pm"/>
    <s v="Total: 2713 Policies"/>
    <n v="1"/>
    <x v="30"/>
  </r>
  <r>
    <x v="1"/>
    <x v="49"/>
    <d v="2019-07-03T00:00:00"/>
    <s v="Wed"/>
    <d v="1899-12-30T08:30:00"/>
    <d v="1899-12-30T21:30:00"/>
    <n v="0"/>
    <n v="12.000000000000002"/>
    <n v="12.000000000000002"/>
    <s v="Normal Working Days before 10pm"/>
    <s v="Total: 2713 Policies"/>
    <s v=""/>
    <x v="30"/>
  </r>
  <r>
    <x v="1"/>
    <x v="50"/>
    <d v="2019-07-03T00:00:00"/>
    <s v="Wed"/>
    <d v="1899-12-30T13:00:00"/>
    <d v="1899-12-30T21:30:00"/>
    <n v="0"/>
    <n v="7.5000000000000018"/>
    <n v="7.5000000000000018"/>
    <s v="Normal Working Days before 10pm"/>
    <s v="Total: 2713 Policies"/>
    <s v=""/>
    <x v="30"/>
  </r>
  <r>
    <x v="0"/>
    <x v="64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2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15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16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43"/>
    <d v="2019-07-04T00:00:00"/>
    <s v="Thu"/>
    <d v="1899-12-30T16:30:00"/>
    <d v="1899-12-30T20:30:00"/>
    <n v="8.0000000000000036"/>
    <n v="3.9999999999999964"/>
    <n v="3.9999999999999964"/>
    <s v="Normal Working Days before 10pm"/>
    <s v="Total: 2666 Policies"/>
    <n v="1"/>
    <x v="30"/>
  </r>
  <r>
    <x v="0"/>
    <x v="44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53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57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60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0"/>
    <x v="62"/>
    <d v="2019-07-04T00:00:00"/>
    <s v="Thu"/>
    <d v="1899-12-30T17:30:00"/>
    <d v="1899-12-30T21:30:00"/>
    <n v="8.0000000000000036"/>
    <n v="3.9999999999999982"/>
    <n v="3.9999999999999982"/>
    <s v="Normal Working Days before 10pm"/>
    <s v="Total: 2666 Policies"/>
    <n v="1"/>
    <x v="30"/>
  </r>
  <r>
    <x v="1"/>
    <x v="49"/>
    <d v="2019-07-04T00:00:00"/>
    <s v="Thu"/>
    <d v="1899-12-30T08:30:00"/>
    <d v="1899-12-30T21:30:00"/>
    <n v="0"/>
    <n v="12.000000000000002"/>
    <n v="12.000000000000002"/>
    <s v="Normal Working Days before 10pm"/>
    <s v="Total: 2666 Policies"/>
    <s v=""/>
    <x v="30"/>
  </r>
  <r>
    <x v="0"/>
    <x v="64"/>
    <d v="2019-07-05T00:00:00"/>
    <s v="Fri"/>
    <d v="1899-12-30T17:30:00"/>
    <d v="1899-12-30T22:00:00"/>
    <n v="8.0000000000000036"/>
    <n v="4.4999999999999964"/>
    <n v="4.4999999999999964"/>
    <s v="Normal Working Days before 10pm"/>
    <s v="Total: 2915 Policies ( 20190704_1437: Total Pol Policies,)"/>
    <n v="1"/>
    <x v="30"/>
  </r>
  <r>
    <x v="0"/>
    <x v="2"/>
    <d v="2019-07-05T00:00:00"/>
    <s v="Fri"/>
    <d v="1899-12-30T17:30:00"/>
    <d v="1899-12-30T22:00:00"/>
    <n v="8.0000000000000036"/>
    <n v="4.4999999999999964"/>
    <n v="4.4999999999999964"/>
    <s v="Normal Working Days before 10pm"/>
    <s v="Total: 2915 Policies ( 20190704_1437: Total Pol Policies,)"/>
    <n v="1"/>
    <x v="30"/>
  </r>
  <r>
    <x v="0"/>
    <x v="15"/>
    <d v="2019-07-05T00:00:00"/>
    <s v="Fri"/>
    <d v="1899-12-30T17:30:00"/>
    <d v="1899-12-30T22:00:00"/>
    <n v="8.0000000000000036"/>
    <n v="4.4999999999999964"/>
    <n v="4.4999999999999964"/>
    <s v="Normal Working Days before 10pm"/>
    <s v="Total: 2915 Policies ( 20190704_1437: Total Pol Policies,)"/>
    <n v="1"/>
    <x v="30"/>
  </r>
  <r>
    <x v="0"/>
    <x v="16"/>
    <d v="2019-07-05T00:00:00"/>
    <s v="Fri"/>
    <d v="1899-12-30T16:30:00"/>
    <d v="1899-12-30T20:30:00"/>
    <n v="8.0000000000000036"/>
    <n v="3.9999999999999964"/>
    <n v="3.9999999999999964"/>
    <s v="Normal Working Days before 10pm"/>
    <s v="Total: 2915 Policies ( 20190704_1437: Total Pol Policies,)"/>
    <n v="1"/>
    <x v="30"/>
  </r>
  <r>
    <x v="0"/>
    <x v="43"/>
    <d v="2019-07-05T00:00:00"/>
    <s v="Fri"/>
    <d v="1899-12-30T17:30:00"/>
    <d v="1899-12-30T22:00:00"/>
    <n v="8.0000000000000036"/>
    <n v="4.4999999999999964"/>
    <n v="4.4999999999999964"/>
    <s v="Normal Working Days before 10pm"/>
    <s v="Total: 2915 Policies ( 20190704_1437: Total Pol Policies,)"/>
    <n v="1"/>
    <x v="30"/>
  </r>
  <r>
    <x v="0"/>
    <x v="44"/>
    <d v="2019-07-05T00:00:00"/>
    <s v="Fri"/>
    <d v="1899-12-30T17:30:00"/>
    <d v="1899-12-30T21:30:00"/>
    <n v="8.0000000000000036"/>
    <n v="3.9999999999999982"/>
    <n v="3.9999999999999982"/>
    <s v="Normal Working Days before 10pm"/>
    <s v="Total: 2915 Policies ( 20190704_1437: Total Pol Policies,)"/>
    <n v="1"/>
    <x v="30"/>
  </r>
  <r>
    <x v="0"/>
    <x v="53"/>
    <d v="2019-07-05T00:00:00"/>
    <s v="Fri"/>
    <d v="1899-12-30T17:30:00"/>
    <d v="1899-12-30T21:30:00"/>
    <n v="8.0000000000000036"/>
    <n v="3.9999999999999982"/>
    <n v="3.9999999999999982"/>
    <s v="Normal Working Days before 10pm"/>
    <s v="Total: 2915 Policies ( 20190704_1437: Total Pol Policies,)"/>
    <n v="1"/>
    <x v="30"/>
  </r>
  <r>
    <x v="0"/>
    <x v="57"/>
    <d v="2019-07-05T00:00:00"/>
    <s v="Fri"/>
    <d v="1899-12-30T17:30:00"/>
    <d v="1899-12-30T22:00:00"/>
    <n v="8.0000000000000036"/>
    <n v="4.4999999999999964"/>
    <n v="4.4999999999999964"/>
    <s v="Normal Working Days before 10pm"/>
    <s v="Total: 2915 Policies ( 20190704_1437: Total Pol Policies,)"/>
    <n v="1"/>
    <x v="30"/>
  </r>
  <r>
    <x v="0"/>
    <x v="60"/>
    <d v="2019-07-05T00:00:00"/>
    <s v="Fri"/>
    <d v="1899-12-30T17:30:00"/>
    <d v="1899-12-30T21:30:00"/>
    <n v="8.0000000000000036"/>
    <n v="3.9999999999999982"/>
    <n v="3.9999999999999982"/>
    <s v="Normal Working Days before 10pm"/>
    <s v="Total: 2915 Policies ( 20190704_1437: Total Pol Policies,)"/>
    <n v="1"/>
    <x v="30"/>
  </r>
  <r>
    <x v="1"/>
    <x v="49"/>
    <d v="2019-07-05T00:00:00"/>
    <s v="Fri"/>
    <d v="1899-12-30T08:30:00"/>
    <d v="1899-12-30T21:30:00"/>
    <n v="0"/>
    <n v="12.000000000000002"/>
    <n v="12.000000000000002"/>
    <s v="Normal Working Days before 10pm"/>
    <s v="Total: 2915 Policies ( 20190704_1437: Total Pol Policies,)"/>
    <s v=""/>
    <x v="30"/>
  </r>
  <r>
    <x v="1"/>
    <x v="6"/>
    <d v="2019-07-05T00:00:00"/>
    <s v="Fri"/>
    <d v="1899-12-30T08:30:00"/>
    <d v="1899-12-30T22:00:00"/>
    <n v="0"/>
    <n v="12.5"/>
    <n v="12.5"/>
    <s v="Normal Working Days before 10pm"/>
    <s v="Total: 2915 Policies ( 20190704_1437: Total Pol Policies,)"/>
    <s v=""/>
    <x v="30"/>
  </r>
  <r>
    <x v="1"/>
    <x v="61"/>
    <d v="2019-07-05T00:00:00"/>
    <s v="Fri"/>
    <d v="1899-12-30T14:00:00"/>
    <d v="1899-12-30T21:30:00"/>
    <n v="0"/>
    <n v="6.5"/>
    <n v="6.5"/>
    <s v="Normal Working Days before 10pm"/>
    <s v="Total: 2915 Policies ( 20190704_1437: Total Pol Policies,)"/>
    <s v=""/>
    <x v="30"/>
  </r>
  <r>
    <x v="1"/>
    <x v="50"/>
    <d v="2019-07-05T00:00:00"/>
    <s v="Fri"/>
    <d v="1899-12-30T12:00:00"/>
    <d v="1899-12-30T21:30:00"/>
    <n v="0"/>
    <n v="8.5"/>
    <n v="8.5"/>
    <s v="Normal Working Days before 10pm"/>
    <s v="Total: 2915 Policies ( 20190704_1437: Total Pol Policies,)"/>
    <s v=""/>
    <x v="30"/>
  </r>
  <r>
    <x v="1"/>
    <x v="49"/>
    <d v="2019-07-08T00:00:00"/>
    <s v="Mon"/>
    <d v="1899-12-30T08:30:00"/>
    <d v="1899-12-30T17:30:00"/>
    <n v="0"/>
    <n v="7.9999999999999982"/>
    <n v="7.9999999999999982"/>
    <s v="Normal Working Days before 10pm"/>
    <s v="Total: 1049 Policies"/>
    <s v=""/>
    <x v="30"/>
  </r>
  <r>
    <x v="1"/>
    <x v="49"/>
    <d v="2019-07-09T00:00:00"/>
    <s v="Tue"/>
    <d v="1899-12-30T08:30:00"/>
    <d v="1899-12-30T17:30:00"/>
    <n v="0"/>
    <n v="7.9999999999999982"/>
    <n v="7.9999999999999982"/>
    <s v="Normal Working Days before 10pm"/>
    <s v="Total: 808 Policies"/>
    <s v=""/>
    <x v="30"/>
  </r>
  <r>
    <x v="1"/>
    <x v="49"/>
    <d v="2019-07-10T00:00:00"/>
    <s v="Wed"/>
    <d v="1899-12-30T08:30:00"/>
    <d v="1899-12-30T17:30:00"/>
    <n v="0"/>
    <n v="7.9999999999999982"/>
    <n v="7.9999999999999982"/>
    <s v="Normal Working Days before 10pm"/>
    <s v="Total: 867 Policies"/>
    <s v=""/>
    <x v="30"/>
  </r>
  <r>
    <x v="1"/>
    <x v="49"/>
    <d v="2019-07-11T00:00:00"/>
    <s v="Thu"/>
    <d v="1899-12-30T08:30:00"/>
    <d v="1899-12-30T17:30:00"/>
    <n v="0"/>
    <n v="7.9999999999999982"/>
    <n v="7.9999999999999982"/>
    <s v="Normal Working Days before 10pm"/>
    <s v="Total: 668 Policies"/>
    <s v=""/>
    <x v="30"/>
  </r>
  <r>
    <x v="1"/>
    <x v="49"/>
    <d v="2019-07-12T00:00:00"/>
    <s v="Fri"/>
    <d v="1899-12-30T08:30:00"/>
    <d v="1899-12-30T17:30:00"/>
    <n v="0"/>
    <n v="7.9999999999999982"/>
    <n v="7.9999999999999982"/>
    <s v="Normal Working Days before 10pm"/>
    <s v="Total: 781 Policies"/>
    <s v=""/>
    <x v="30"/>
  </r>
  <r>
    <x v="1"/>
    <x v="49"/>
    <d v="2019-07-15T00:00:00"/>
    <s v="Mon"/>
    <d v="1899-12-30T08:30:00"/>
    <d v="1899-12-30T17:30:00"/>
    <n v="0"/>
    <n v="7.9999999999999982"/>
    <n v="7.9999999999999982"/>
    <s v="Normal Working Days before 10pm"/>
    <s v="Total: 724 Policies"/>
    <s v=""/>
    <x v="30"/>
  </r>
  <r>
    <x v="1"/>
    <x v="6"/>
    <d v="2019-07-15T00:00:00"/>
    <s v="Mon"/>
    <d v="1899-12-30T08:30:00"/>
    <d v="1899-12-30T17:30:00"/>
    <n v="0"/>
    <n v="7.9999999999999982"/>
    <n v="7.9999999999999982"/>
    <s v="Normal Working Days before 10pm"/>
    <s v="Total: 724 Policies (Back fill for Vi)"/>
    <s v=""/>
    <x v="30"/>
  </r>
  <r>
    <x v="1"/>
    <x v="49"/>
    <d v="2019-07-16T00:00:00"/>
    <s v="Tue"/>
    <d v="1899-12-30T08:30:00"/>
    <d v="1899-12-30T17:30:00"/>
    <n v="0"/>
    <n v="7.9999999999999982"/>
    <n v="7.9999999999999982"/>
    <s v="Normal Working Days before 10pm"/>
    <s v="Total: 1034 Policies"/>
    <s v=""/>
    <x v="30"/>
  </r>
  <r>
    <x v="1"/>
    <x v="6"/>
    <d v="2019-07-16T00:00:00"/>
    <s v="Tue"/>
    <d v="1899-12-30T08:30:00"/>
    <d v="1899-12-30T17:30:00"/>
    <n v="0"/>
    <n v="7.9999999999999982"/>
    <n v="7.9999999999999982"/>
    <s v="Normal Working Days before 10pm"/>
    <s v="Total: 1034 Policies (Back fill for Vi)"/>
    <s v=""/>
    <x v="30"/>
  </r>
  <r>
    <x v="1"/>
    <x v="6"/>
    <d v="2019-07-17T00:00:00"/>
    <s v="Wed"/>
    <d v="1899-12-30T08:30:00"/>
    <d v="1899-12-30T17:30:00"/>
    <n v="0"/>
    <n v="7.9999999999999982"/>
    <n v="7.9999999999999982"/>
    <s v="Normal Working Days before 10pm"/>
    <s v="Total: 957 Policies"/>
    <s v=""/>
    <x v="30"/>
  </r>
  <r>
    <x v="1"/>
    <x v="12"/>
    <d v="2019-07-17T00:00:00"/>
    <s v="Wed"/>
    <d v="1899-12-30T12:00:00"/>
    <d v="1899-12-30T17:30:00"/>
    <n v="0"/>
    <n v="4.4999999999999991"/>
    <n v="4.4999999999999991"/>
    <s v="Normal Working Days before 10pm"/>
    <s v="Total: 957 Policies"/>
    <s v=""/>
    <x v="30"/>
  </r>
  <r>
    <x v="1"/>
    <x v="49"/>
    <d v="2019-07-19T00:00:00"/>
    <s v="Fri"/>
    <d v="1899-12-30T08:30:00"/>
    <d v="1899-12-30T17:30:00"/>
    <n v="0"/>
    <n v="7.9999999999999982"/>
    <n v="7.9999999999999982"/>
    <s v="Normal Working Days before 10pm"/>
    <s v="Total: 890 Policies"/>
    <s v=""/>
    <x v="30"/>
  </r>
  <r>
    <x v="1"/>
    <x v="49"/>
    <d v="2019-07-22T00:00:00"/>
    <s v="Mon"/>
    <d v="1899-12-30T08:30:00"/>
    <d v="1899-12-30T17:30:00"/>
    <n v="0"/>
    <n v="7.9999999999999982"/>
    <n v="7.9999999999999982"/>
    <s v="Normal Working Days before 10pm"/>
    <s v="Total: 381 Policies"/>
    <s v=""/>
    <x v="30"/>
  </r>
  <r>
    <x v="1"/>
    <x v="49"/>
    <d v="2019-07-23T00:00:00"/>
    <s v="Tue"/>
    <d v="1899-12-30T08:30:00"/>
    <d v="1899-12-30T17:30:00"/>
    <n v="0"/>
    <n v="7.9999999999999982"/>
    <n v="7.9999999999999982"/>
    <s v="Normal Working Days before 10pm"/>
    <s v="Total: 1762 Policies"/>
    <s v=""/>
    <x v="30"/>
  </r>
  <r>
    <x v="1"/>
    <x v="49"/>
    <d v="2019-07-24T00:00:00"/>
    <s v="Wed"/>
    <d v="1899-12-30T08:30:00"/>
    <d v="1899-12-30T17:30:00"/>
    <n v="0"/>
    <n v="7.9999999999999982"/>
    <n v="7.9999999999999982"/>
    <s v="Normal Working Days before 10pm"/>
    <s v="Total: 1448 Policies"/>
    <s v=""/>
    <x v="30"/>
  </r>
  <r>
    <x v="1"/>
    <x v="49"/>
    <d v="2019-07-25T00:00:00"/>
    <s v="Thu"/>
    <d v="1899-12-30T08:30:00"/>
    <d v="1899-12-30T17:30:00"/>
    <n v="0"/>
    <n v="7.9999999999999982"/>
    <n v="7.9999999999999982"/>
    <s v="Normal Working Days before 10pm"/>
    <s v="Total: 1473 Policies"/>
    <s v=""/>
    <x v="30"/>
  </r>
  <r>
    <x v="1"/>
    <x v="49"/>
    <d v="2019-07-26T00:00:00"/>
    <s v="Fri"/>
    <d v="1899-12-30T08:30:00"/>
    <d v="1899-12-30T17:30:00"/>
    <n v="0"/>
    <n v="7.9999999999999982"/>
    <n v="7.9999999999999982"/>
    <s v="Normal Working Days before 10pm"/>
    <s v="Total: 1409 Policies"/>
    <s v=""/>
    <x v="30"/>
  </r>
  <r>
    <x v="0"/>
    <x v="64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0"/>
    <x v="2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0"/>
    <x v="15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0"/>
    <x v="16"/>
    <d v="2019-07-29T00:00:00"/>
    <s v="Mon"/>
    <d v="1899-12-30T16:30:00"/>
    <d v="1899-12-30T20:30:00"/>
    <n v="8.0000000000000036"/>
    <n v="3.9999999999999964"/>
    <n v="3.9999999999999964"/>
    <s v="Normal Working Days before 10pm"/>
    <s v="Total: 2617 Policies"/>
    <n v="1"/>
    <x v="30"/>
  </r>
  <r>
    <x v="0"/>
    <x v="43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0"/>
    <x v="53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0"/>
    <x v="57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0"/>
    <x v="60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0"/>
    <x v="62"/>
    <d v="2019-07-29T00:00:00"/>
    <s v="Mon"/>
    <d v="1899-12-30T17:30:00"/>
    <d v="1899-12-30T21:30:00"/>
    <n v="8.0000000000000036"/>
    <n v="3.9999999999999982"/>
    <n v="3.9999999999999982"/>
    <s v="Normal Working Days before 10pm"/>
    <s v="Total: 2617 Policies"/>
    <n v="1"/>
    <x v="30"/>
  </r>
  <r>
    <x v="1"/>
    <x v="49"/>
    <d v="2019-07-29T00:00:00"/>
    <s v="Mon"/>
    <d v="1899-12-30T08:30:00"/>
    <d v="1899-12-30T21:30:00"/>
    <n v="0"/>
    <n v="12.000000000000002"/>
    <n v="12.000000000000002"/>
    <s v="Normal Working Days before 10pm"/>
    <s v="Total: 2617 Policies"/>
    <s v=""/>
    <x v="30"/>
  </r>
  <r>
    <x v="0"/>
    <x v="64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0"/>
    <x v="2"/>
    <d v="2019-07-30T00:00:00"/>
    <s v="Tue"/>
    <d v="1899-12-30T16:30:00"/>
    <d v="1899-12-30T20:30:00"/>
    <n v="8.0000000000000036"/>
    <n v="3.9999999999999964"/>
    <n v="3.9999999999999964"/>
    <s v="Normal Working Days before 10pm"/>
    <s v="Total: 2284 Policies"/>
    <n v="1"/>
    <x v="30"/>
  </r>
  <r>
    <x v="0"/>
    <x v="15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0"/>
    <x v="16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0"/>
    <x v="43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0"/>
    <x v="53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0"/>
    <x v="57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0"/>
    <x v="60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0"/>
    <x v="62"/>
    <d v="2019-07-30T00:00:00"/>
    <s v="Tue"/>
    <d v="1899-12-30T17:30:00"/>
    <d v="1899-12-30T21:30:00"/>
    <n v="8.0000000000000036"/>
    <n v="3.9999999999999982"/>
    <n v="3.9999999999999982"/>
    <s v="Normal Working Days before 10pm"/>
    <s v="Total: 2284 Policies"/>
    <n v="1"/>
    <x v="30"/>
  </r>
  <r>
    <x v="1"/>
    <x v="49"/>
    <d v="2019-07-30T00:00:00"/>
    <s v="Tue"/>
    <d v="1899-12-30T08:30:00"/>
    <d v="1899-12-30T21:30:00"/>
    <n v="0"/>
    <n v="12.000000000000002"/>
    <n v="12.000000000000002"/>
    <s v="Normal Working Days before 10pm"/>
    <s v="Total: 2284 Policies"/>
    <s v=""/>
    <x v="30"/>
  </r>
  <r>
    <x v="0"/>
    <x v="64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0"/>
    <x v="2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0"/>
    <x v="15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0"/>
    <x v="16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0"/>
    <x v="43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0"/>
    <x v="53"/>
    <d v="2019-07-31T00:00:00"/>
    <s v="Wed"/>
    <d v="1899-12-30T16:30:00"/>
    <d v="1899-12-30T20:30:00"/>
    <n v="8.0000000000000036"/>
    <n v="3.9999999999999964"/>
    <n v="3.9999999999999964"/>
    <s v="Normal Working Days before 10pm"/>
    <s v="Total: 2640 Policies"/>
    <n v="1"/>
    <x v="30"/>
  </r>
  <r>
    <x v="0"/>
    <x v="57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0"/>
    <x v="60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0"/>
    <x v="62"/>
    <d v="2019-07-31T00:00:00"/>
    <s v="Wed"/>
    <d v="1899-12-30T17:30:00"/>
    <d v="1899-12-30T21:30:00"/>
    <n v="8.0000000000000036"/>
    <n v="3.9999999999999982"/>
    <n v="3.9999999999999982"/>
    <s v="Normal Working Days before 10pm"/>
    <s v="Total: 2640 Policies"/>
    <n v="1"/>
    <x v="30"/>
  </r>
  <r>
    <x v="1"/>
    <x v="49"/>
    <d v="2019-07-31T00:00:00"/>
    <s v="Wed"/>
    <d v="1899-12-30T08:30:00"/>
    <d v="1899-12-30T21:30:00"/>
    <n v="0"/>
    <n v="12.000000000000002"/>
    <n v="12.000000000000002"/>
    <s v="Normal Working Days before 10pm"/>
    <s v="Total: 2640 Policies"/>
    <s v=""/>
    <x v="30"/>
  </r>
  <r>
    <x v="2"/>
    <x v="65"/>
    <m/>
    <m/>
    <m/>
    <m/>
    <m/>
    <m/>
    <m/>
    <m/>
    <m/>
    <m/>
    <x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A10:C28" firstHeaderRow="0" firstDataRow="1" firstDataCol="1" rowPageCount="1" colPageCount="1"/>
  <pivotFields count="13">
    <pivotField axis="axisRow" showAll="0" sortType="ascending">
      <items count="4">
        <item x="1"/>
        <item x="0"/>
        <item x="2"/>
        <item t="default"/>
      </items>
    </pivotField>
    <pivotField axis="axisRow" showAll="0">
      <items count="72">
        <item x="9"/>
        <item x="14"/>
        <item m="1" x="68"/>
        <item x="17"/>
        <item x="2"/>
        <item x="8"/>
        <item x="12"/>
        <item x="6"/>
        <item x="3"/>
        <item x="13"/>
        <item x="11"/>
        <item x="16"/>
        <item x="15"/>
        <item x="0"/>
        <item x="7"/>
        <item x="18"/>
        <item x="10"/>
        <item x="5"/>
        <item x="4"/>
        <item x="1"/>
        <item x="65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66"/>
        <item x="41"/>
        <item x="42"/>
        <item x="43"/>
        <item m="1" x="67"/>
        <item x="45"/>
        <item x="44"/>
        <item x="40"/>
        <item x="46"/>
        <item m="1" x="69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m="1" x="70"/>
        <item x="61"/>
        <item x="62"/>
        <item x="63"/>
        <item x="64"/>
        <item t="default"/>
      </items>
    </pivotField>
    <pivotField numFmtId="14" showAll="0"/>
    <pivotField showAll="0"/>
    <pivotField numFmtId="164" showAll="0"/>
    <pivotField numFmtId="164" showAll="0"/>
    <pivotField showAll="0"/>
    <pivotField dataField="1" showAll="0"/>
    <pivotField dataField="1" showAll="0"/>
    <pivotField showAll="0"/>
    <pivotField showAll="0"/>
    <pivotField showAll="0"/>
    <pivotField axis="axisPage" multipleItemSelectionAllowed="1" showAll="0">
      <items count="33">
        <item h="1" x="3"/>
        <item h="1" x="1"/>
        <item h="1" x="0"/>
        <item h="1" x="6"/>
        <item h="1" x="5"/>
        <item h="1" x="2"/>
        <item h="1" x="4"/>
        <item h="1" x="31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t="default"/>
      </items>
    </pivotField>
  </pivotFields>
  <rowFields count="2">
    <field x="0"/>
    <field x="1"/>
  </rowFields>
  <rowItems count="18">
    <i>
      <x/>
    </i>
    <i r="1">
      <x v="6"/>
    </i>
    <i r="1">
      <x v="7"/>
    </i>
    <i r="1">
      <x v="54"/>
    </i>
    <i r="1">
      <x v="55"/>
    </i>
    <i r="1">
      <x v="67"/>
    </i>
    <i>
      <x v="1"/>
    </i>
    <i r="1">
      <x v="4"/>
    </i>
    <i r="1">
      <x v="11"/>
    </i>
    <i r="1">
      <x v="12"/>
    </i>
    <i r="1">
      <x v="45"/>
    </i>
    <i r="1">
      <x v="48"/>
    </i>
    <i r="1">
      <x v="58"/>
    </i>
    <i r="1">
      <x v="62"/>
    </i>
    <i r="1">
      <x v="65"/>
    </i>
    <i r="1">
      <x v="68"/>
    </i>
    <i r="1">
      <x v="70"/>
    </i>
    <i t="grand">
      <x/>
    </i>
  </rowItems>
  <colFields count="1">
    <field x="-2"/>
  </colFields>
  <colItems count="2">
    <i>
      <x/>
    </i>
    <i i="1">
      <x v="1"/>
    </i>
  </colItems>
  <pageFields count="1">
    <pageField fld="12" hier="-1"/>
  </pageFields>
  <dataFields count="2">
    <dataField name="Sum of Total OT Hours FXV" fld="7" baseField="0" baseItem="0"/>
    <dataField name="Sum of MLV-Billable Total OT Hours" fld="8" baseField="0" baseItem="0"/>
  </dataFields>
  <formats count="5">
    <format dxfId="112">
      <pivotArea type="all" dataOnly="0" outline="0" fieldPosition="0"/>
    </format>
    <format dxfId="111">
      <pivotArea type="all" dataOnly="0" outline="0" fieldPosition="0"/>
    </format>
    <format dxfId="1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9">
      <pivotArea grandRow="1" outline="0" collapsedLevelsAreSubtotals="1" fieldPosition="0"/>
    </format>
    <format dxfId="10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841"/>
  <sheetViews>
    <sheetView showGridLines="0" zoomScale="85" zoomScaleNormal="85" workbookViewId="0">
      <pane xSplit="2" ySplit="1" topLeftCell="E2816" activePane="bottomRight" state="frozen"/>
      <selection pane="topRight" activeCell="C1" sqref="C1"/>
      <selection pane="bottomLeft" activeCell="A2" sqref="A2"/>
      <selection pane="bottomRight" sqref="A1:M1"/>
    </sheetView>
  </sheetViews>
  <sheetFormatPr defaultRowHeight="15.75"/>
  <cols>
    <col min="1" max="1" width="17.85546875" bestFit="1" customWidth="1"/>
    <col min="2" max="2" width="27.7109375" bestFit="1" customWidth="1"/>
    <col min="3" max="3" width="12.42578125" bestFit="1" customWidth="1"/>
    <col min="7" max="7" width="13.5703125" customWidth="1"/>
    <col min="8" max="8" width="14.7109375" customWidth="1"/>
    <col min="9" max="9" width="16.42578125" customWidth="1"/>
    <col min="10" max="10" width="38.85546875" customWidth="1"/>
    <col min="11" max="11" width="28.28515625" customWidth="1"/>
    <col min="12" max="12" width="12" style="109" customWidth="1"/>
    <col min="13" max="13" width="11.28515625" bestFit="1" customWidth="1"/>
    <col min="14" max="16384" width="9.140625" style="56"/>
  </cols>
  <sheetData>
    <row r="1" spans="1:13" s="55" customFormat="1" ht="57" customHeight="1">
      <c r="A1" s="2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60" t="s">
        <v>8</v>
      </c>
      <c r="J1" s="2" t="s">
        <v>9</v>
      </c>
      <c r="K1" s="2" t="s">
        <v>10</v>
      </c>
      <c r="L1" s="65" t="s">
        <v>213</v>
      </c>
      <c r="M1" s="2" t="s">
        <v>243</v>
      </c>
    </row>
    <row r="2" spans="1:13">
      <c r="A2" s="3" t="s">
        <v>11</v>
      </c>
      <c r="B2" s="62" t="s">
        <v>12</v>
      </c>
      <c r="C2" s="5">
        <v>42736</v>
      </c>
      <c r="D2" s="5" t="s">
        <v>13</v>
      </c>
      <c r="E2" s="6">
        <v>0.72916666666666674</v>
      </c>
      <c r="F2" s="7">
        <v>0.79166666666666663</v>
      </c>
      <c r="G2" s="10">
        <v>0</v>
      </c>
      <c r="H2" s="10">
        <v>9.4999999999999982</v>
      </c>
      <c r="I2" s="59">
        <v>9.4999999999999982</v>
      </c>
      <c r="J2" s="38" t="s">
        <v>30</v>
      </c>
      <c r="K2" s="11" t="s">
        <v>31</v>
      </c>
      <c r="L2" s="66">
        <f t="shared" ref="L2:L65" si="0">IF(AND($A2="Perm Staff Onsite",$H2&gt;=2),1,"")</f>
        <v>1</v>
      </c>
      <c r="M2" s="19" t="str">
        <f>IF($C2="","",TEXT(DATE(YEAR($C2),MONTH($C2),DAY($C2)),"MMM")&amp;"_"&amp;YEAR($C2))</f>
        <v>Jan_2017</v>
      </c>
    </row>
    <row r="3" spans="1:13">
      <c r="A3" s="4" t="s">
        <v>11</v>
      </c>
      <c r="B3" s="62" t="s">
        <v>12</v>
      </c>
      <c r="C3" s="5">
        <v>42738</v>
      </c>
      <c r="D3" s="5" t="s">
        <v>14</v>
      </c>
      <c r="E3" s="6">
        <v>0.64583333333333326</v>
      </c>
      <c r="F3" s="6">
        <v>0.72916666666666663</v>
      </c>
      <c r="G3" s="10">
        <v>8</v>
      </c>
      <c r="H3" s="10">
        <v>2</v>
      </c>
      <c r="I3" s="59">
        <v>2</v>
      </c>
      <c r="J3" s="39" t="s">
        <v>30</v>
      </c>
      <c r="K3" s="12" t="s">
        <v>32</v>
      </c>
      <c r="L3" s="66">
        <f t="shared" si="0"/>
        <v>1</v>
      </c>
      <c r="M3" s="19" t="str">
        <f t="shared" ref="M3:M66" si="1">IF($C3="","",TEXT(DATE(YEAR($C3),MONTH($C3),DAY($C3)),"MMM")&amp;"_"&amp;YEAR($C3))</f>
        <v>Jan_2017</v>
      </c>
    </row>
    <row r="4" spans="1:13">
      <c r="A4" s="4" t="s">
        <v>11</v>
      </c>
      <c r="B4" s="62" t="s">
        <v>12</v>
      </c>
      <c r="C4" s="5">
        <v>42739</v>
      </c>
      <c r="D4" s="5" t="s">
        <v>15</v>
      </c>
      <c r="E4" s="6">
        <v>0.66666666666666674</v>
      </c>
      <c r="F4" s="6">
        <v>0.72916666666666663</v>
      </c>
      <c r="G4" s="10">
        <v>8</v>
      </c>
      <c r="H4" s="13">
        <v>1.4999999999999982</v>
      </c>
      <c r="I4" s="59">
        <v>1.4999999999999982</v>
      </c>
      <c r="J4" s="40" t="s">
        <v>30</v>
      </c>
      <c r="K4" s="12" t="s">
        <v>33</v>
      </c>
      <c r="L4" s="66" t="str">
        <f t="shared" si="0"/>
        <v/>
      </c>
      <c r="M4" s="19" t="str">
        <f t="shared" si="1"/>
        <v>Jan_2017</v>
      </c>
    </row>
    <row r="5" spans="1:13">
      <c r="A5" s="4" t="s">
        <v>11</v>
      </c>
      <c r="B5" s="62" t="s">
        <v>12</v>
      </c>
      <c r="C5" s="5">
        <v>42744</v>
      </c>
      <c r="D5" s="5" t="s">
        <v>16</v>
      </c>
      <c r="E5" s="6">
        <v>0.72916666666666674</v>
      </c>
      <c r="F5" s="6">
        <v>0.83333333333333337</v>
      </c>
      <c r="G5" s="10">
        <v>8</v>
      </c>
      <c r="H5" s="13">
        <v>2.5</v>
      </c>
      <c r="I5" s="59">
        <v>2.5</v>
      </c>
      <c r="J5" s="40" t="s">
        <v>30</v>
      </c>
      <c r="K5" s="12" t="s">
        <v>34</v>
      </c>
      <c r="L5" s="66">
        <f t="shared" si="0"/>
        <v>1</v>
      </c>
      <c r="M5" s="19" t="str">
        <f t="shared" si="1"/>
        <v>Jan_2017</v>
      </c>
    </row>
    <row r="6" spans="1:13">
      <c r="A6" s="4" t="s">
        <v>11</v>
      </c>
      <c r="B6" s="62" t="s">
        <v>12</v>
      </c>
      <c r="C6" s="5">
        <v>42745</v>
      </c>
      <c r="D6" s="5" t="s">
        <v>14</v>
      </c>
      <c r="E6" s="6">
        <v>0.72916666666666696</v>
      </c>
      <c r="F6" s="6">
        <v>0.85416666666666696</v>
      </c>
      <c r="G6" s="10">
        <v>8</v>
      </c>
      <c r="H6" s="13">
        <v>2.9999999999999982</v>
      </c>
      <c r="I6" s="59">
        <v>2.9999999999999982</v>
      </c>
      <c r="J6" s="40" t="s">
        <v>30</v>
      </c>
      <c r="K6" s="12" t="s">
        <v>35</v>
      </c>
      <c r="L6" s="66">
        <f t="shared" si="0"/>
        <v>1</v>
      </c>
      <c r="M6" s="19" t="str">
        <f t="shared" si="1"/>
        <v>Jan_2017</v>
      </c>
    </row>
    <row r="7" spans="1:13">
      <c r="A7" s="4" t="s">
        <v>11</v>
      </c>
      <c r="B7" s="62" t="s">
        <v>12</v>
      </c>
      <c r="C7" s="5">
        <v>42746</v>
      </c>
      <c r="D7" s="5" t="s">
        <v>15</v>
      </c>
      <c r="E7" s="6">
        <v>0.70833333333333304</v>
      </c>
      <c r="F7" s="6">
        <v>0.75</v>
      </c>
      <c r="G7" s="10">
        <v>8</v>
      </c>
      <c r="H7" s="13">
        <v>1.0000000000000089</v>
      </c>
      <c r="I7" s="59">
        <v>1.0000000000000089</v>
      </c>
      <c r="J7" s="40" t="s">
        <v>30</v>
      </c>
      <c r="K7" s="12" t="s">
        <v>36</v>
      </c>
      <c r="L7" s="66" t="str">
        <f t="shared" si="0"/>
        <v/>
      </c>
      <c r="M7" s="19" t="str">
        <f t="shared" si="1"/>
        <v>Jan_2017</v>
      </c>
    </row>
    <row r="8" spans="1:13">
      <c r="A8" s="4" t="s">
        <v>11</v>
      </c>
      <c r="B8" s="62" t="s">
        <v>12</v>
      </c>
      <c r="C8" s="5">
        <v>42748</v>
      </c>
      <c r="D8" s="5" t="s">
        <v>17</v>
      </c>
      <c r="E8" s="6">
        <v>0.72916666666666696</v>
      </c>
      <c r="F8" s="6">
        <v>0.75</v>
      </c>
      <c r="G8" s="10">
        <v>8</v>
      </c>
      <c r="H8" s="13">
        <v>0.49999999999999112</v>
      </c>
      <c r="I8" s="59">
        <v>0.49999999999999112</v>
      </c>
      <c r="J8" s="40" t="s">
        <v>30</v>
      </c>
      <c r="K8" s="12" t="s">
        <v>37</v>
      </c>
      <c r="L8" s="66" t="str">
        <f t="shared" si="0"/>
        <v/>
      </c>
      <c r="M8" s="19" t="str">
        <f t="shared" si="1"/>
        <v>Jan_2017</v>
      </c>
    </row>
    <row r="9" spans="1:13">
      <c r="A9" s="4" t="s">
        <v>11</v>
      </c>
      <c r="B9" s="62" t="s">
        <v>12</v>
      </c>
      <c r="C9" s="5">
        <v>42758</v>
      </c>
      <c r="D9" s="5" t="s">
        <v>16</v>
      </c>
      <c r="E9" s="6">
        <v>0.72916666666666696</v>
      </c>
      <c r="F9" s="6">
        <v>0.875</v>
      </c>
      <c r="G9" s="10">
        <v>8</v>
      </c>
      <c r="H9" s="13">
        <v>3.4999999999999929</v>
      </c>
      <c r="I9" s="59">
        <v>3.4999999999999929</v>
      </c>
      <c r="J9" s="40" t="s">
        <v>30</v>
      </c>
      <c r="K9" s="12" t="s">
        <v>38</v>
      </c>
      <c r="L9" s="66">
        <f t="shared" si="0"/>
        <v>1</v>
      </c>
      <c r="M9" s="19" t="str">
        <f t="shared" si="1"/>
        <v>Jan_2017</v>
      </c>
    </row>
    <row r="10" spans="1:13">
      <c r="A10" s="4" t="s">
        <v>11</v>
      </c>
      <c r="B10" s="62" t="s">
        <v>12</v>
      </c>
      <c r="C10" s="5">
        <v>42759</v>
      </c>
      <c r="D10" s="5" t="s">
        <v>14</v>
      </c>
      <c r="E10" s="6">
        <v>0.6875</v>
      </c>
      <c r="F10" s="6">
        <v>0.91666666666666696</v>
      </c>
      <c r="G10" s="10">
        <v>8</v>
      </c>
      <c r="H10" s="13">
        <v>5.5000000000000071</v>
      </c>
      <c r="I10" s="59">
        <v>5.5000000000000071</v>
      </c>
      <c r="J10" s="40" t="s">
        <v>30</v>
      </c>
      <c r="K10" s="12" t="s">
        <v>39</v>
      </c>
      <c r="L10" s="66">
        <f t="shared" si="0"/>
        <v>1</v>
      </c>
      <c r="M10" s="19" t="str">
        <f t="shared" si="1"/>
        <v>Jan_2017</v>
      </c>
    </row>
    <row r="11" spans="1:13">
      <c r="A11" s="4" t="s">
        <v>11</v>
      </c>
      <c r="B11" s="62" t="s">
        <v>12</v>
      </c>
      <c r="C11" s="5">
        <v>42760</v>
      </c>
      <c r="D11" s="5" t="s">
        <v>15</v>
      </c>
      <c r="E11" s="6">
        <v>0.66666666666666696</v>
      </c>
      <c r="F11" s="6">
        <v>0.875</v>
      </c>
      <c r="G11" s="10">
        <v>8</v>
      </c>
      <c r="H11" s="13">
        <v>4.9999999999999929</v>
      </c>
      <c r="I11" s="59">
        <v>4.9999999999999929</v>
      </c>
      <c r="J11" s="40" t="s">
        <v>30</v>
      </c>
      <c r="K11" s="12" t="s">
        <v>40</v>
      </c>
      <c r="L11" s="66">
        <f t="shared" si="0"/>
        <v>1</v>
      </c>
      <c r="M11" s="19" t="str">
        <f t="shared" si="1"/>
        <v>Jan_2017</v>
      </c>
    </row>
    <row r="12" spans="1:13">
      <c r="A12" s="4" t="s">
        <v>11</v>
      </c>
      <c r="B12" s="62" t="s">
        <v>18</v>
      </c>
      <c r="C12" s="5">
        <v>42736</v>
      </c>
      <c r="D12" s="5" t="s">
        <v>13</v>
      </c>
      <c r="E12" s="6">
        <v>0.4375</v>
      </c>
      <c r="F12" s="6">
        <v>0.54166666666666663</v>
      </c>
      <c r="G12" s="10">
        <v>0</v>
      </c>
      <c r="H12" s="13">
        <v>2.5</v>
      </c>
      <c r="I12" s="59">
        <v>2.5</v>
      </c>
      <c r="J12" s="40" t="s">
        <v>30</v>
      </c>
      <c r="K12" s="12" t="s">
        <v>31</v>
      </c>
      <c r="L12" s="66">
        <f t="shared" si="0"/>
        <v>1</v>
      </c>
      <c r="M12" s="19" t="str">
        <f t="shared" si="1"/>
        <v>Jan_2017</v>
      </c>
    </row>
    <row r="13" spans="1:13">
      <c r="A13" s="4" t="s">
        <v>11</v>
      </c>
      <c r="B13" s="62" t="s">
        <v>18</v>
      </c>
      <c r="C13" s="5">
        <v>42746</v>
      </c>
      <c r="D13" s="5" t="s">
        <v>15</v>
      </c>
      <c r="E13" s="6">
        <v>0.70833333333333304</v>
      </c>
      <c r="F13" s="6">
        <v>0.72916666666666696</v>
      </c>
      <c r="G13" s="10">
        <v>8</v>
      </c>
      <c r="H13" s="13">
        <v>0.50000000000001599</v>
      </c>
      <c r="I13" s="59">
        <v>0.50000000000001599</v>
      </c>
      <c r="J13" s="40" t="s">
        <v>30</v>
      </c>
      <c r="K13" s="12" t="s">
        <v>36</v>
      </c>
      <c r="L13" s="66" t="str">
        <f t="shared" si="0"/>
        <v/>
      </c>
      <c r="M13" s="19" t="str">
        <f t="shared" si="1"/>
        <v>Jan_2017</v>
      </c>
    </row>
    <row r="14" spans="1:13">
      <c r="A14" s="4" t="s">
        <v>11</v>
      </c>
      <c r="B14" s="62" t="s">
        <v>19</v>
      </c>
      <c r="C14" s="5">
        <v>42736</v>
      </c>
      <c r="D14" s="5" t="s">
        <v>13</v>
      </c>
      <c r="E14" s="6">
        <v>0.66666666666666674</v>
      </c>
      <c r="F14" s="6">
        <v>0.79166666666666663</v>
      </c>
      <c r="G14" s="10">
        <v>0</v>
      </c>
      <c r="H14" s="13">
        <v>11</v>
      </c>
      <c r="I14" s="59">
        <v>11</v>
      </c>
      <c r="J14" s="40" t="s">
        <v>30</v>
      </c>
      <c r="K14" s="12" t="s">
        <v>31</v>
      </c>
      <c r="L14" s="66">
        <f t="shared" si="0"/>
        <v>1</v>
      </c>
      <c r="M14" s="19" t="str">
        <f t="shared" si="1"/>
        <v>Jan_2017</v>
      </c>
    </row>
    <row r="15" spans="1:13">
      <c r="A15" s="4" t="s">
        <v>11</v>
      </c>
      <c r="B15" s="62" t="s">
        <v>19</v>
      </c>
      <c r="C15" s="5">
        <v>42738</v>
      </c>
      <c r="D15" s="5" t="s">
        <v>14</v>
      </c>
      <c r="E15" s="6">
        <v>0.64583333333333326</v>
      </c>
      <c r="F15" s="6">
        <v>0.70833333333333337</v>
      </c>
      <c r="G15" s="10">
        <v>8</v>
      </c>
      <c r="H15" s="13">
        <v>1.5000000000000018</v>
      </c>
      <c r="I15" s="59">
        <v>1.5000000000000018</v>
      </c>
      <c r="J15" s="40" t="s">
        <v>30</v>
      </c>
      <c r="K15" s="12" t="s">
        <v>32</v>
      </c>
      <c r="L15" s="66" t="str">
        <f t="shared" si="0"/>
        <v/>
      </c>
      <c r="M15" s="19" t="str">
        <f t="shared" si="1"/>
        <v>Jan_2017</v>
      </c>
    </row>
    <row r="16" spans="1:13">
      <c r="A16" s="4" t="s">
        <v>11</v>
      </c>
      <c r="B16" s="62" t="s">
        <v>19</v>
      </c>
      <c r="C16" s="5">
        <v>42739</v>
      </c>
      <c r="D16" s="5" t="s">
        <v>15</v>
      </c>
      <c r="E16" s="6">
        <v>0.66666666666666674</v>
      </c>
      <c r="F16" s="6">
        <v>0.6875</v>
      </c>
      <c r="G16" s="10">
        <v>8</v>
      </c>
      <c r="H16" s="13">
        <v>0.5</v>
      </c>
      <c r="I16" s="59">
        <v>0.5</v>
      </c>
      <c r="J16" s="40" t="s">
        <v>30</v>
      </c>
      <c r="K16" s="12" t="s">
        <v>33</v>
      </c>
      <c r="L16" s="66" t="str">
        <f t="shared" si="0"/>
        <v/>
      </c>
      <c r="M16" s="19" t="str">
        <f t="shared" si="1"/>
        <v>Jan_2017</v>
      </c>
    </row>
    <row r="17" spans="1:13">
      <c r="A17" s="4" t="s">
        <v>11</v>
      </c>
      <c r="B17" s="62" t="s">
        <v>19</v>
      </c>
      <c r="C17" s="5">
        <v>42744</v>
      </c>
      <c r="D17" s="5" t="s">
        <v>16</v>
      </c>
      <c r="E17" s="6">
        <v>0.72916666666666674</v>
      </c>
      <c r="F17" s="6">
        <v>0.83333333333333337</v>
      </c>
      <c r="G17" s="10">
        <v>8</v>
      </c>
      <c r="H17" s="13">
        <v>2.5</v>
      </c>
      <c r="I17" s="59">
        <v>2.5</v>
      </c>
      <c r="J17" s="40" t="s">
        <v>30</v>
      </c>
      <c r="K17" s="12" t="s">
        <v>34</v>
      </c>
      <c r="L17" s="66">
        <f t="shared" si="0"/>
        <v>1</v>
      </c>
      <c r="M17" s="19" t="str">
        <f t="shared" si="1"/>
        <v>Jan_2017</v>
      </c>
    </row>
    <row r="18" spans="1:13">
      <c r="A18" s="4" t="s">
        <v>11</v>
      </c>
      <c r="B18" s="62" t="s">
        <v>19</v>
      </c>
      <c r="C18" s="5">
        <v>42745</v>
      </c>
      <c r="D18" s="5" t="s">
        <v>14</v>
      </c>
      <c r="E18" s="6">
        <v>0.72916666666666696</v>
      </c>
      <c r="F18" s="6">
        <v>0.75</v>
      </c>
      <c r="G18" s="10">
        <v>8</v>
      </c>
      <c r="H18" s="13">
        <v>0.49999999999999112</v>
      </c>
      <c r="I18" s="59">
        <v>0.49999999999999112</v>
      </c>
      <c r="J18" s="40" t="s">
        <v>30</v>
      </c>
      <c r="K18" s="12" t="s">
        <v>35</v>
      </c>
      <c r="L18" s="66" t="str">
        <f t="shared" si="0"/>
        <v/>
      </c>
      <c r="M18" s="19" t="str">
        <f t="shared" si="1"/>
        <v>Jan_2017</v>
      </c>
    </row>
    <row r="19" spans="1:13">
      <c r="A19" s="4" t="s">
        <v>11</v>
      </c>
      <c r="B19" s="62" t="s">
        <v>19</v>
      </c>
      <c r="C19" s="5">
        <v>42746</v>
      </c>
      <c r="D19" s="5" t="s">
        <v>15</v>
      </c>
      <c r="E19" s="6">
        <v>0.70833333333333304</v>
      </c>
      <c r="F19" s="6">
        <v>0.75</v>
      </c>
      <c r="G19" s="10">
        <v>8</v>
      </c>
      <c r="H19" s="13">
        <v>1.0000000000000089</v>
      </c>
      <c r="I19" s="59">
        <v>1.0000000000000089</v>
      </c>
      <c r="J19" s="40" t="s">
        <v>30</v>
      </c>
      <c r="K19" s="12" t="s">
        <v>36</v>
      </c>
      <c r="L19" s="66" t="str">
        <f t="shared" si="0"/>
        <v/>
      </c>
      <c r="M19" s="19" t="str">
        <f t="shared" si="1"/>
        <v>Jan_2017</v>
      </c>
    </row>
    <row r="20" spans="1:13">
      <c r="A20" s="4" t="s">
        <v>11</v>
      </c>
      <c r="B20" s="62" t="s">
        <v>19</v>
      </c>
      <c r="C20" s="5">
        <v>42748</v>
      </c>
      <c r="D20" s="5" t="s">
        <v>17</v>
      </c>
      <c r="E20" s="6">
        <v>0.72916666666666696</v>
      </c>
      <c r="F20" s="6">
        <v>0.75</v>
      </c>
      <c r="G20" s="10">
        <v>8</v>
      </c>
      <c r="H20" s="13">
        <v>0.49999999999999112</v>
      </c>
      <c r="I20" s="59">
        <v>0.49999999999999112</v>
      </c>
      <c r="J20" s="40" t="s">
        <v>30</v>
      </c>
      <c r="K20" s="12" t="s">
        <v>37</v>
      </c>
      <c r="L20" s="66" t="str">
        <f t="shared" si="0"/>
        <v/>
      </c>
      <c r="M20" s="19" t="str">
        <f t="shared" si="1"/>
        <v>Jan_2017</v>
      </c>
    </row>
    <row r="21" spans="1:13">
      <c r="A21" s="4" t="s">
        <v>11</v>
      </c>
      <c r="B21" s="62" t="s">
        <v>20</v>
      </c>
      <c r="C21" s="5">
        <v>42736</v>
      </c>
      <c r="D21" s="5" t="s">
        <v>13</v>
      </c>
      <c r="E21" s="6">
        <v>0.64583333333333326</v>
      </c>
      <c r="F21" s="6">
        <v>0.79166666666666663</v>
      </c>
      <c r="G21" s="10">
        <v>0</v>
      </c>
      <c r="H21" s="13">
        <v>11.5</v>
      </c>
      <c r="I21" s="59">
        <v>11.5</v>
      </c>
      <c r="J21" s="40" t="s">
        <v>30</v>
      </c>
      <c r="K21" s="12" t="s">
        <v>31</v>
      </c>
      <c r="L21" s="66">
        <f t="shared" si="0"/>
        <v>1</v>
      </c>
      <c r="M21" s="19" t="str">
        <f t="shared" si="1"/>
        <v>Jan_2017</v>
      </c>
    </row>
    <row r="22" spans="1:13">
      <c r="A22" s="4" t="s">
        <v>11</v>
      </c>
      <c r="B22" s="62" t="s">
        <v>20</v>
      </c>
      <c r="C22" s="5">
        <v>42744</v>
      </c>
      <c r="D22" s="5" t="s">
        <v>16</v>
      </c>
      <c r="E22" s="6">
        <v>0.72916666666666674</v>
      </c>
      <c r="F22" s="6">
        <v>0.83333333333333337</v>
      </c>
      <c r="G22" s="10">
        <v>8</v>
      </c>
      <c r="H22" s="13">
        <v>2.5</v>
      </c>
      <c r="I22" s="59">
        <v>2.5</v>
      </c>
      <c r="J22" s="40" t="s">
        <v>30</v>
      </c>
      <c r="K22" s="12" t="s">
        <v>34</v>
      </c>
      <c r="L22" s="66">
        <f t="shared" si="0"/>
        <v>1</v>
      </c>
      <c r="M22" s="19" t="str">
        <f t="shared" si="1"/>
        <v>Jan_2017</v>
      </c>
    </row>
    <row r="23" spans="1:13">
      <c r="A23" s="4" t="s">
        <v>11</v>
      </c>
      <c r="B23" s="62" t="s">
        <v>20</v>
      </c>
      <c r="C23" s="5">
        <v>42745</v>
      </c>
      <c r="D23" s="5" t="s">
        <v>14</v>
      </c>
      <c r="E23" s="6">
        <v>0.72916666666666696</v>
      </c>
      <c r="F23" s="6">
        <v>0.77083333333333304</v>
      </c>
      <c r="G23" s="10">
        <v>8</v>
      </c>
      <c r="H23" s="13">
        <v>0.99999999999998401</v>
      </c>
      <c r="I23" s="59">
        <v>0.99999999999998401</v>
      </c>
      <c r="J23" s="40" t="s">
        <v>30</v>
      </c>
      <c r="K23" s="12" t="s">
        <v>35</v>
      </c>
      <c r="L23" s="66" t="str">
        <f t="shared" si="0"/>
        <v/>
      </c>
      <c r="M23" s="19" t="str">
        <f t="shared" si="1"/>
        <v>Jan_2017</v>
      </c>
    </row>
    <row r="24" spans="1:13">
      <c r="A24" s="4" t="s">
        <v>11</v>
      </c>
      <c r="B24" s="62" t="s">
        <v>20</v>
      </c>
      <c r="C24" s="5">
        <v>42746</v>
      </c>
      <c r="D24" s="5" t="s">
        <v>15</v>
      </c>
      <c r="E24" s="6">
        <v>0.70833333333333304</v>
      </c>
      <c r="F24" s="6">
        <v>0.75</v>
      </c>
      <c r="G24" s="10">
        <v>8</v>
      </c>
      <c r="H24" s="13">
        <v>1.0000000000000089</v>
      </c>
      <c r="I24" s="59">
        <v>1.0000000000000089</v>
      </c>
      <c r="J24" s="40" t="s">
        <v>30</v>
      </c>
      <c r="K24" s="12" t="s">
        <v>36</v>
      </c>
      <c r="L24" s="66" t="str">
        <f t="shared" si="0"/>
        <v/>
      </c>
      <c r="M24" s="19" t="str">
        <f t="shared" si="1"/>
        <v>Jan_2017</v>
      </c>
    </row>
    <row r="25" spans="1:13">
      <c r="A25" s="4" t="s">
        <v>11</v>
      </c>
      <c r="B25" s="62" t="s">
        <v>20</v>
      </c>
      <c r="C25" s="5">
        <v>42748</v>
      </c>
      <c r="D25" s="5" t="s">
        <v>17</v>
      </c>
      <c r="E25" s="6">
        <v>0.72916666666666696</v>
      </c>
      <c r="F25" s="6">
        <v>0.75</v>
      </c>
      <c r="G25" s="10">
        <v>8</v>
      </c>
      <c r="H25" s="13">
        <v>0.49999999999999112</v>
      </c>
      <c r="I25" s="59">
        <v>0.49999999999999112</v>
      </c>
      <c r="J25" s="40" t="s">
        <v>30</v>
      </c>
      <c r="K25" s="12" t="s">
        <v>37</v>
      </c>
      <c r="L25" s="66" t="str">
        <f t="shared" si="0"/>
        <v/>
      </c>
      <c r="M25" s="19" t="str">
        <f t="shared" si="1"/>
        <v>Jan_2017</v>
      </c>
    </row>
    <row r="26" spans="1:13">
      <c r="A26" s="4" t="s">
        <v>11</v>
      </c>
      <c r="B26" s="62" t="s">
        <v>20</v>
      </c>
      <c r="C26" s="5">
        <v>42758</v>
      </c>
      <c r="D26" s="5" t="s">
        <v>16</v>
      </c>
      <c r="E26" s="6">
        <v>0.72916666666666696</v>
      </c>
      <c r="F26" s="6">
        <v>0.75</v>
      </c>
      <c r="G26" s="10">
        <v>8</v>
      </c>
      <c r="H26" s="13">
        <v>0.49999999999999112</v>
      </c>
      <c r="I26" s="59">
        <v>0.49999999999999112</v>
      </c>
      <c r="J26" s="40" t="s">
        <v>30</v>
      </c>
      <c r="K26" s="12" t="s">
        <v>38</v>
      </c>
      <c r="L26" s="66" t="str">
        <f t="shared" si="0"/>
        <v/>
      </c>
      <c r="M26" s="19" t="str">
        <f t="shared" si="1"/>
        <v>Jan_2017</v>
      </c>
    </row>
    <row r="27" spans="1:13">
      <c r="A27" s="4" t="s">
        <v>11</v>
      </c>
      <c r="B27" s="62" t="s">
        <v>20</v>
      </c>
      <c r="C27" s="5">
        <v>42759</v>
      </c>
      <c r="D27" s="5" t="s">
        <v>14</v>
      </c>
      <c r="E27" s="6">
        <v>0.6875</v>
      </c>
      <c r="F27" s="6">
        <v>0.875</v>
      </c>
      <c r="G27" s="10">
        <v>8</v>
      </c>
      <c r="H27" s="13">
        <v>4.5</v>
      </c>
      <c r="I27" s="59">
        <v>4.5</v>
      </c>
      <c r="J27" s="40" t="s">
        <v>30</v>
      </c>
      <c r="K27" s="12" t="s">
        <v>39</v>
      </c>
      <c r="L27" s="66">
        <f t="shared" si="0"/>
        <v>1</v>
      </c>
      <c r="M27" s="19" t="str">
        <f t="shared" si="1"/>
        <v>Jan_2017</v>
      </c>
    </row>
    <row r="28" spans="1:13">
      <c r="A28" s="4" t="s">
        <v>11</v>
      </c>
      <c r="B28" s="62" t="s">
        <v>20</v>
      </c>
      <c r="C28" s="5">
        <v>42760</v>
      </c>
      <c r="D28" s="5" t="s">
        <v>15</v>
      </c>
      <c r="E28" s="6">
        <v>0.66666666666666696</v>
      </c>
      <c r="F28" s="6">
        <v>0.75</v>
      </c>
      <c r="G28" s="10">
        <v>8</v>
      </c>
      <c r="H28" s="13">
        <v>1.9999999999999911</v>
      </c>
      <c r="I28" s="59">
        <v>1.9999999999999911</v>
      </c>
      <c r="J28" s="40" t="s">
        <v>30</v>
      </c>
      <c r="K28" s="12" t="s">
        <v>40</v>
      </c>
      <c r="L28" s="66" t="str">
        <f t="shared" si="0"/>
        <v/>
      </c>
      <c r="M28" s="19" t="str">
        <f t="shared" si="1"/>
        <v>Jan_2017</v>
      </c>
    </row>
    <row r="29" spans="1:13">
      <c r="A29" s="4" t="s">
        <v>11</v>
      </c>
      <c r="B29" s="62" t="s">
        <v>21</v>
      </c>
      <c r="C29" s="5">
        <v>42736</v>
      </c>
      <c r="D29" s="5" t="s">
        <v>13</v>
      </c>
      <c r="E29" s="6">
        <v>0.66666666666666674</v>
      </c>
      <c r="F29" s="6">
        <v>0.79166666666666663</v>
      </c>
      <c r="G29" s="10">
        <v>0</v>
      </c>
      <c r="H29" s="13">
        <v>11</v>
      </c>
      <c r="I29" s="59">
        <v>11</v>
      </c>
      <c r="J29" s="40" t="s">
        <v>30</v>
      </c>
      <c r="K29" s="12" t="s">
        <v>31</v>
      </c>
      <c r="L29" s="66">
        <f t="shared" si="0"/>
        <v>1</v>
      </c>
      <c r="M29" s="19" t="str">
        <f t="shared" si="1"/>
        <v>Jan_2017</v>
      </c>
    </row>
    <row r="30" spans="1:13">
      <c r="A30" s="4" t="s">
        <v>11</v>
      </c>
      <c r="B30" s="62" t="s">
        <v>21</v>
      </c>
      <c r="C30" s="5">
        <v>42738</v>
      </c>
      <c r="D30" s="5" t="s">
        <v>14</v>
      </c>
      <c r="E30" s="6">
        <v>0.66666666666666674</v>
      </c>
      <c r="F30" s="6">
        <v>0.83333333333333337</v>
      </c>
      <c r="G30" s="10">
        <v>8</v>
      </c>
      <c r="H30" s="13">
        <v>4.0000000000000018</v>
      </c>
      <c r="I30" s="59">
        <v>4.0000000000000018</v>
      </c>
      <c r="J30" s="40" t="s">
        <v>30</v>
      </c>
      <c r="K30" s="12" t="s">
        <v>32</v>
      </c>
      <c r="L30" s="66">
        <f t="shared" si="0"/>
        <v>1</v>
      </c>
      <c r="M30" s="19" t="str">
        <f t="shared" si="1"/>
        <v>Jan_2017</v>
      </c>
    </row>
    <row r="31" spans="1:13">
      <c r="A31" s="4" t="s">
        <v>11</v>
      </c>
      <c r="B31" s="62" t="s">
        <v>21</v>
      </c>
      <c r="C31" s="5">
        <v>42739</v>
      </c>
      <c r="D31" s="5" t="s">
        <v>15</v>
      </c>
      <c r="E31" s="6">
        <v>0.64583333333333326</v>
      </c>
      <c r="F31" s="6">
        <v>0.83333333333333337</v>
      </c>
      <c r="G31" s="10">
        <v>8</v>
      </c>
      <c r="H31" s="13">
        <v>4.5</v>
      </c>
      <c r="I31" s="59">
        <v>4.5</v>
      </c>
      <c r="J31" s="40" t="s">
        <v>30</v>
      </c>
      <c r="K31" s="12" t="s">
        <v>33</v>
      </c>
      <c r="L31" s="66">
        <f t="shared" si="0"/>
        <v>1</v>
      </c>
      <c r="M31" s="19" t="str">
        <f t="shared" si="1"/>
        <v>Jan_2017</v>
      </c>
    </row>
    <row r="32" spans="1:13">
      <c r="A32" s="4" t="s">
        <v>11</v>
      </c>
      <c r="B32" s="62" t="s">
        <v>21</v>
      </c>
      <c r="C32" s="5">
        <v>42744</v>
      </c>
      <c r="D32" s="5" t="s">
        <v>16</v>
      </c>
      <c r="E32" s="6">
        <v>0.72916666666666674</v>
      </c>
      <c r="F32" s="6">
        <v>0.83333333333333337</v>
      </c>
      <c r="G32" s="10">
        <v>8</v>
      </c>
      <c r="H32" s="13">
        <v>2.5</v>
      </c>
      <c r="I32" s="59">
        <v>2.5</v>
      </c>
      <c r="J32" s="40" t="s">
        <v>30</v>
      </c>
      <c r="K32" s="12" t="s">
        <v>34</v>
      </c>
      <c r="L32" s="66">
        <f t="shared" si="0"/>
        <v>1</v>
      </c>
      <c r="M32" s="19" t="str">
        <f t="shared" si="1"/>
        <v>Jan_2017</v>
      </c>
    </row>
    <row r="33" spans="1:13">
      <c r="A33" s="4" t="s">
        <v>11</v>
      </c>
      <c r="B33" s="62" t="s">
        <v>21</v>
      </c>
      <c r="C33" s="5">
        <v>42745</v>
      </c>
      <c r="D33" s="5" t="s">
        <v>14</v>
      </c>
      <c r="E33" s="6">
        <v>0.72916666666666696</v>
      </c>
      <c r="F33" s="6">
        <v>0.85416666666666696</v>
      </c>
      <c r="G33" s="10">
        <v>8</v>
      </c>
      <c r="H33" s="13">
        <v>2.9999999999999982</v>
      </c>
      <c r="I33" s="59">
        <v>2.9999999999999982</v>
      </c>
      <c r="J33" s="40" t="s">
        <v>30</v>
      </c>
      <c r="K33" s="12" t="s">
        <v>35</v>
      </c>
      <c r="L33" s="66">
        <f t="shared" si="0"/>
        <v>1</v>
      </c>
      <c r="M33" s="19" t="str">
        <f t="shared" si="1"/>
        <v>Jan_2017</v>
      </c>
    </row>
    <row r="34" spans="1:13">
      <c r="A34" s="4" t="s">
        <v>11</v>
      </c>
      <c r="B34" s="62" t="s">
        <v>21</v>
      </c>
      <c r="C34" s="5">
        <v>42746</v>
      </c>
      <c r="D34" s="5" t="s">
        <v>15</v>
      </c>
      <c r="E34" s="6">
        <v>0.72916666666666696</v>
      </c>
      <c r="F34" s="6">
        <v>0.75</v>
      </c>
      <c r="G34" s="10">
        <v>8</v>
      </c>
      <c r="H34" s="13">
        <v>0.49999999999999112</v>
      </c>
      <c r="I34" s="59">
        <v>0.49999999999999112</v>
      </c>
      <c r="J34" s="40" t="s">
        <v>30</v>
      </c>
      <c r="K34" s="12" t="s">
        <v>36</v>
      </c>
      <c r="L34" s="66" t="str">
        <f t="shared" si="0"/>
        <v/>
      </c>
      <c r="M34" s="19" t="str">
        <f t="shared" si="1"/>
        <v>Jan_2017</v>
      </c>
    </row>
    <row r="35" spans="1:13">
      <c r="A35" s="4" t="s">
        <v>11</v>
      </c>
      <c r="B35" s="62" t="s">
        <v>21</v>
      </c>
      <c r="C35" s="5">
        <v>42748</v>
      </c>
      <c r="D35" s="5" t="s">
        <v>17</v>
      </c>
      <c r="E35" s="6">
        <v>0.72916666666666696</v>
      </c>
      <c r="F35" s="6">
        <v>0.75</v>
      </c>
      <c r="G35" s="10">
        <v>8</v>
      </c>
      <c r="H35" s="13">
        <v>0.49999999999999112</v>
      </c>
      <c r="I35" s="59">
        <v>0.49999999999999112</v>
      </c>
      <c r="J35" s="40" t="s">
        <v>30</v>
      </c>
      <c r="K35" s="12" t="s">
        <v>37</v>
      </c>
      <c r="L35" s="66" t="str">
        <f t="shared" si="0"/>
        <v/>
      </c>
      <c r="M35" s="19" t="str">
        <f t="shared" si="1"/>
        <v>Jan_2017</v>
      </c>
    </row>
    <row r="36" spans="1:13">
      <c r="A36" s="4" t="s">
        <v>22</v>
      </c>
      <c r="B36" s="62" t="s">
        <v>23</v>
      </c>
      <c r="C36" s="5">
        <v>42736</v>
      </c>
      <c r="D36" s="5" t="s">
        <v>13</v>
      </c>
      <c r="E36" s="6">
        <v>0.29166666666666669</v>
      </c>
      <c r="F36" s="6">
        <v>0.79166666666666663</v>
      </c>
      <c r="G36" s="10">
        <v>0</v>
      </c>
      <c r="H36" s="13">
        <v>10.999999999999998</v>
      </c>
      <c r="I36" s="59">
        <v>10.999999999999998</v>
      </c>
      <c r="J36" s="40" t="s">
        <v>30</v>
      </c>
      <c r="K36" s="12" t="s">
        <v>31</v>
      </c>
      <c r="L36" s="66" t="str">
        <f t="shared" si="0"/>
        <v/>
      </c>
      <c r="M36" s="19" t="str">
        <f t="shared" si="1"/>
        <v>Jan_2017</v>
      </c>
    </row>
    <row r="37" spans="1:13">
      <c r="A37" s="4" t="s">
        <v>22</v>
      </c>
      <c r="B37" s="62" t="s">
        <v>23</v>
      </c>
      <c r="C37" s="5">
        <v>42738</v>
      </c>
      <c r="D37" s="5" t="s">
        <v>14</v>
      </c>
      <c r="E37" s="6">
        <v>0.4375</v>
      </c>
      <c r="F37" s="6">
        <v>0.91666666666666663</v>
      </c>
      <c r="G37" s="10">
        <v>0</v>
      </c>
      <c r="H37" s="13">
        <v>10.5</v>
      </c>
      <c r="I37" s="59">
        <v>10.5</v>
      </c>
      <c r="J37" s="40" t="s">
        <v>30</v>
      </c>
      <c r="K37" s="12" t="s">
        <v>32</v>
      </c>
      <c r="L37" s="66" t="str">
        <f t="shared" si="0"/>
        <v/>
      </c>
      <c r="M37" s="19" t="str">
        <f t="shared" si="1"/>
        <v>Jan_2017</v>
      </c>
    </row>
    <row r="38" spans="1:13">
      <c r="A38" s="4" t="s">
        <v>22</v>
      </c>
      <c r="B38" s="62" t="s">
        <v>23</v>
      </c>
      <c r="C38" s="5">
        <v>42739</v>
      </c>
      <c r="D38" s="5" t="s">
        <v>15</v>
      </c>
      <c r="E38" s="6">
        <v>0.35416666666666669</v>
      </c>
      <c r="F38" s="6">
        <v>0.9375</v>
      </c>
      <c r="G38" s="10">
        <v>0</v>
      </c>
      <c r="H38" s="13">
        <v>12.999999999999998</v>
      </c>
      <c r="I38" s="59">
        <v>12.999999999999998</v>
      </c>
      <c r="J38" s="40" t="s">
        <v>30</v>
      </c>
      <c r="K38" s="12" t="s">
        <v>33</v>
      </c>
      <c r="L38" s="66" t="str">
        <f t="shared" si="0"/>
        <v/>
      </c>
      <c r="M38" s="19" t="str">
        <f t="shared" si="1"/>
        <v>Jan_2017</v>
      </c>
    </row>
    <row r="39" spans="1:13">
      <c r="A39" s="4" t="s">
        <v>22</v>
      </c>
      <c r="B39" s="62" t="s">
        <v>23</v>
      </c>
      <c r="C39" s="5">
        <v>42741</v>
      </c>
      <c r="D39" s="5" t="s">
        <v>17</v>
      </c>
      <c r="E39" s="6">
        <v>0.35416666666666669</v>
      </c>
      <c r="F39" s="6">
        <v>0.72916666666666663</v>
      </c>
      <c r="G39" s="10">
        <v>0</v>
      </c>
      <c r="H39" s="10">
        <v>7.9999999999999982</v>
      </c>
      <c r="I39" s="59">
        <v>7.9999999999999982</v>
      </c>
      <c r="J39" s="39" t="s">
        <v>30</v>
      </c>
      <c r="K39" s="12" t="s">
        <v>41</v>
      </c>
      <c r="L39" s="66" t="str">
        <f t="shared" si="0"/>
        <v/>
      </c>
      <c r="M39" s="19" t="str">
        <f t="shared" si="1"/>
        <v>Jan_2017</v>
      </c>
    </row>
    <row r="40" spans="1:13">
      <c r="A40" s="4" t="s">
        <v>22</v>
      </c>
      <c r="B40" s="62" t="s">
        <v>23</v>
      </c>
      <c r="C40" s="5">
        <v>42742</v>
      </c>
      <c r="D40" s="5" t="s">
        <v>24</v>
      </c>
      <c r="E40" s="6">
        <v>0.35416666666666669</v>
      </c>
      <c r="F40" s="6">
        <v>0.5</v>
      </c>
      <c r="G40" s="10">
        <v>0</v>
      </c>
      <c r="H40" s="10">
        <v>3.4999999999999996</v>
      </c>
      <c r="I40" s="59">
        <v>3.4999999999999996</v>
      </c>
      <c r="J40" s="39" t="s">
        <v>30</v>
      </c>
      <c r="K40" s="12" t="s">
        <v>42</v>
      </c>
      <c r="L40" s="66" t="str">
        <f t="shared" si="0"/>
        <v/>
      </c>
      <c r="M40" s="19" t="str">
        <f t="shared" si="1"/>
        <v>Jan_2017</v>
      </c>
    </row>
    <row r="41" spans="1:13">
      <c r="A41" s="4" t="s">
        <v>22</v>
      </c>
      <c r="B41" s="62" t="s">
        <v>23</v>
      </c>
      <c r="C41" s="5">
        <v>42744</v>
      </c>
      <c r="D41" s="5" t="s">
        <v>16</v>
      </c>
      <c r="E41" s="6">
        <v>0.35416666666666669</v>
      </c>
      <c r="F41" s="6">
        <v>0.83333333333333337</v>
      </c>
      <c r="G41" s="10">
        <v>0</v>
      </c>
      <c r="H41" s="10">
        <v>10.5</v>
      </c>
      <c r="I41" s="59">
        <v>10.5</v>
      </c>
      <c r="J41" s="39" t="s">
        <v>30</v>
      </c>
      <c r="K41" s="12" t="s">
        <v>34</v>
      </c>
      <c r="L41" s="66" t="str">
        <f t="shared" si="0"/>
        <v/>
      </c>
      <c r="M41" s="19" t="str">
        <f t="shared" si="1"/>
        <v>Jan_2017</v>
      </c>
    </row>
    <row r="42" spans="1:13">
      <c r="A42" s="4" t="s">
        <v>22</v>
      </c>
      <c r="B42" s="62" t="s">
        <v>23</v>
      </c>
      <c r="C42" s="5">
        <v>42745</v>
      </c>
      <c r="D42" s="5" t="s">
        <v>14</v>
      </c>
      <c r="E42" s="6">
        <v>0.35416666666666702</v>
      </c>
      <c r="F42" s="6">
        <v>0.72916666666666696</v>
      </c>
      <c r="G42" s="10">
        <v>0</v>
      </c>
      <c r="H42" s="10">
        <v>7.9999999999999982</v>
      </c>
      <c r="I42" s="59">
        <v>7.9999999999999982</v>
      </c>
      <c r="J42" s="39" t="s">
        <v>30</v>
      </c>
      <c r="K42" s="12" t="s">
        <v>35</v>
      </c>
      <c r="L42" s="66" t="str">
        <f t="shared" si="0"/>
        <v/>
      </c>
      <c r="M42" s="19" t="str">
        <f t="shared" si="1"/>
        <v>Jan_2017</v>
      </c>
    </row>
    <row r="43" spans="1:13">
      <c r="A43" s="4" t="s">
        <v>22</v>
      </c>
      <c r="B43" s="62" t="s">
        <v>23</v>
      </c>
      <c r="C43" s="5">
        <v>42746</v>
      </c>
      <c r="D43" s="5" t="s">
        <v>15</v>
      </c>
      <c r="E43" s="6">
        <v>0.33333333333333298</v>
      </c>
      <c r="F43" s="6">
        <v>0.75</v>
      </c>
      <c r="G43" s="10">
        <v>0</v>
      </c>
      <c r="H43" s="10">
        <v>9.0000000000000089</v>
      </c>
      <c r="I43" s="59">
        <v>9.0000000000000089</v>
      </c>
      <c r="J43" s="39" t="s">
        <v>30</v>
      </c>
      <c r="K43" s="12" t="s">
        <v>36</v>
      </c>
      <c r="L43" s="66" t="str">
        <f t="shared" si="0"/>
        <v/>
      </c>
      <c r="M43" s="19" t="str">
        <f t="shared" si="1"/>
        <v>Jan_2017</v>
      </c>
    </row>
    <row r="44" spans="1:13">
      <c r="A44" s="4" t="s">
        <v>22</v>
      </c>
      <c r="B44" s="62" t="s">
        <v>23</v>
      </c>
      <c r="C44" s="5">
        <v>42747</v>
      </c>
      <c r="D44" s="5" t="s">
        <v>25</v>
      </c>
      <c r="E44" s="6">
        <v>0.35416666666666702</v>
      </c>
      <c r="F44" s="6">
        <v>0.72916666666666696</v>
      </c>
      <c r="G44" s="10">
        <v>0</v>
      </c>
      <c r="H44" s="10">
        <v>7.9999999999999982</v>
      </c>
      <c r="I44" s="59">
        <v>7.9999999999999982</v>
      </c>
      <c r="J44" s="39" t="s">
        <v>30</v>
      </c>
      <c r="K44" s="12" t="s">
        <v>43</v>
      </c>
      <c r="L44" s="66" t="str">
        <f t="shared" si="0"/>
        <v/>
      </c>
      <c r="M44" s="19" t="str">
        <f t="shared" si="1"/>
        <v>Jan_2017</v>
      </c>
    </row>
    <row r="45" spans="1:13">
      <c r="A45" s="4" t="s">
        <v>22</v>
      </c>
      <c r="B45" s="62" t="s">
        <v>23</v>
      </c>
      <c r="C45" s="5">
        <v>42748</v>
      </c>
      <c r="D45" s="5" t="s">
        <v>17</v>
      </c>
      <c r="E45" s="6">
        <v>0.35416666666666702</v>
      </c>
      <c r="F45" s="6">
        <v>0.75</v>
      </c>
      <c r="G45" s="10">
        <v>0</v>
      </c>
      <c r="H45" s="10">
        <v>8.4999999999999911</v>
      </c>
      <c r="I45" s="59">
        <v>8.4999999999999911</v>
      </c>
      <c r="J45" s="39" t="s">
        <v>30</v>
      </c>
      <c r="K45" s="12" t="s">
        <v>37</v>
      </c>
      <c r="L45" s="66" t="str">
        <f t="shared" si="0"/>
        <v/>
      </c>
      <c r="M45" s="19" t="str">
        <f t="shared" si="1"/>
        <v>Jan_2017</v>
      </c>
    </row>
    <row r="46" spans="1:13">
      <c r="A46" s="4" t="s">
        <v>22</v>
      </c>
      <c r="B46" s="62" t="s">
        <v>23</v>
      </c>
      <c r="C46" s="5">
        <v>42751</v>
      </c>
      <c r="D46" s="5" t="s">
        <v>16</v>
      </c>
      <c r="E46" s="6">
        <v>0.35416666666666702</v>
      </c>
      <c r="F46" s="6">
        <v>0.72916666666666696</v>
      </c>
      <c r="G46" s="10">
        <v>0</v>
      </c>
      <c r="H46" s="10">
        <v>7.9999999999999982</v>
      </c>
      <c r="I46" s="59">
        <v>7.9999999999999982</v>
      </c>
      <c r="J46" s="39" t="s">
        <v>30</v>
      </c>
      <c r="K46" s="12" t="s">
        <v>44</v>
      </c>
      <c r="L46" s="66" t="str">
        <f t="shared" si="0"/>
        <v/>
      </c>
      <c r="M46" s="19" t="str">
        <f t="shared" si="1"/>
        <v>Jan_2017</v>
      </c>
    </row>
    <row r="47" spans="1:13">
      <c r="A47" s="4" t="s">
        <v>22</v>
      </c>
      <c r="B47" s="62" t="s">
        <v>23</v>
      </c>
      <c r="C47" s="5">
        <v>42752</v>
      </c>
      <c r="D47" s="5" t="s">
        <v>14</v>
      </c>
      <c r="E47" s="6">
        <v>0.35416666666666702</v>
      </c>
      <c r="F47" s="6">
        <v>0.72916666666666696</v>
      </c>
      <c r="G47" s="10">
        <v>0</v>
      </c>
      <c r="H47" s="10">
        <v>7.9999999999999982</v>
      </c>
      <c r="I47" s="59">
        <v>7.9999999999999982</v>
      </c>
      <c r="J47" s="39" t="s">
        <v>30</v>
      </c>
      <c r="K47" s="12" t="s">
        <v>45</v>
      </c>
      <c r="L47" s="66" t="str">
        <f t="shared" si="0"/>
        <v/>
      </c>
      <c r="M47" s="19" t="str">
        <f t="shared" si="1"/>
        <v>Jan_2017</v>
      </c>
    </row>
    <row r="48" spans="1:13">
      <c r="A48" s="4" t="s">
        <v>22</v>
      </c>
      <c r="B48" s="62" t="s">
        <v>23</v>
      </c>
      <c r="C48" s="5">
        <v>42753</v>
      </c>
      <c r="D48" s="5" t="s">
        <v>15</v>
      </c>
      <c r="E48" s="6">
        <v>0.35416666666666702</v>
      </c>
      <c r="F48" s="6">
        <v>0.66666666666666696</v>
      </c>
      <c r="G48" s="10">
        <v>0</v>
      </c>
      <c r="H48" s="10">
        <v>6.4999999999999982</v>
      </c>
      <c r="I48" s="59">
        <v>6.4999999999999982</v>
      </c>
      <c r="J48" s="39" t="s">
        <v>30</v>
      </c>
      <c r="K48" s="12" t="s">
        <v>46</v>
      </c>
      <c r="L48" s="66" t="str">
        <f t="shared" si="0"/>
        <v/>
      </c>
      <c r="M48" s="19" t="str">
        <f t="shared" si="1"/>
        <v>Jan_2017</v>
      </c>
    </row>
    <row r="49" spans="1:13">
      <c r="A49" s="4" t="s">
        <v>22</v>
      </c>
      <c r="B49" s="62" t="s">
        <v>23</v>
      </c>
      <c r="C49" s="5">
        <v>42754</v>
      </c>
      <c r="D49" s="5" t="s">
        <v>25</v>
      </c>
      <c r="E49" s="6">
        <v>0.35416666666666702</v>
      </c>
      <c r="F49" s="6">
        <v>0.72916666666666696</v>
      </c>
      <c r="G49" s="10">
        <v>0</v>
      </c>
      <c r="H49" s="10">
        <v>7.9999999999999982</v>
      </c>
      <c r="I49" s="59">
        <v>7.9999999999999982</v>
      </c>
      <c r="J49" s="39" t="s">
        <v>30</v>
      </c>
      <c r="K49" s="12" t="s">
        <v>47</v>
      </c>
      <c r="L49" s="66" t="str">
        <f t="shared" si="0"/>
        <v/>
      </c>
      <c r="M49" s="19" t="str">
        <f t="shared" si="1"/>
        <v>Jan_2017</v>
      </c>
    </row>
    <row r="50" spans="1:13">
      <c r="A50" s="4" t="s">
        <v>22</v>
      </c>
      <c r="B50" s="62" t="s">
        <v>23</v>
      </c>
      <c r="C50" s="5">
        <v>42755</v>
      </c>
      <c r="D50" s="5" t="s">
        <v>17</v>
      </c>
      <c r="E50" s="6">
        <v>0.35416666666666702</v>
      </c>
      <c r="F50" s="6">
        <v>0.72916666666666696</v>
      </c>
      <c r="G50" s="10">
        <v>0</v>
      </c>
      <c r="H50" s="10">
        <v>7.9999999999999982</v>
      </c>
      <c r="I50" s="59">
        <v>7.9999999999999982</v>
      </c>
      <c r="J50" s="39" t="s">
        <v>30</v>
      </c>
      <c r="K50" s="12" t="s">
        <v>48</v>
      </c>
      <c r="L50" s="66" t="str">
        <f t="shared" si="0"/>
        <v/>
      </c>
      <c r="M50" s="19" t="str">
        <f t="shared" si="1"/>
        <v>Jan_2017</v>
      </c>
    </row>
    <row r="51" spans="1:13">
      <c r="A51" s="4" t="s">
        <v>22</v>
      </c>
      <c r="B51" s="62" t="s">
        <v>23</v>
      </c>
      <c r="C51" s="5">
        <v>42758</v>
      </c>
      <c r="D51" s="5" t="s">
        <v>16</v>
      </c>
      <c r="E51" s="6">
        <v>0.35416666666666702</v>
      </c>
      <c r="F51" s="6">
        <v>0.875</v>
      </c>
      <c r="G51" s="10">
        <v>0</v>
      </c>
      <c r="H51" s="10">
        <v>11.499999999999993</v>
      </c>
      <c r="I51" s="59">
        <v>11.499999999999993</v>
      </c>
      <c r="J51" s="39" t="s">
        <v>30</v>
      </c>
      <c r="K51" s="12" t="s">
        <v>38</v>
      </c>
      <c r="L51" s="66" t="str">
        <f t="shared" si="0"/>
        <v/>
      </c>
      <c r="M51" s="19" t="str">
        <f t="shared" si="1"/>
        <v>Jan_2017</v>
      </c>
    </row>
    <row r="52" spans="1:13">
      <c r="A52" s="4" t="s">
        <v>22</v>
      </c>
      <c r="B52" s="62" t="s">
        <v>23</v>
      </c>
      <c r="C52" s="5">
        <v>42759</v>
      </c>
      <c r="D52" s="5" t="s">
        <v>14</v>
      </c>
      <c r="E52" s="6">
        <v>0.27083333333333298</v>
      </c>
      <c r="F52" s="6">
        <v>0.95833333333333304</v>
      </c>
      <c r="G52" s="10">
        <v>0</v>
      </c>
      <c r="H52" s="10">
        <v>15.5</v>
      </c>
      <c r="I52" s="59">
        <v>15.5</v>
      </c>
      <c r="J52" s="39" t="s">
        <v>30</v>
      </c>
      <c r="K52" s="12" t="s">
        <v>39</v>
      </c>
      <c r="L52" s="66" t="str">
        <f t="shared" si="0"/>
        <v/>
      </c>
      <c r="M52" s="19" t="str">
        <f t="shared" si="1"/>
        <v>Jan_2017</v>
      </c>
    </row>
    <row r="53" spans="1:13">
      <c r="A53" s="4" t="s">
        <v>22</v>
      </c>
      <c r="B53" s="62" t="s">
        <v>23</v>
      </c>
      <c r="C53" s="5">
        <v>42760</v>
      </c>
      <c r="D53" s="5" t="s">
        <v>15</v>
      </c>
      <c r="E53" s="6">
        <v>0.25</v>
      </c>
      <c r="F53" s="6">
        <v>0.91666666666666696</v>
      </c>
      <c r="G53" s="10">
        <v>0</v>
      </c>
      <c r="H53" s="10">
        <v>15.000000000000007</v>
      </c>
      <c r="I53" s="59">
        <v>15.000000000000007</v>
      </c>
      <c r="J53" s="39" t="s">
        <v>30</v>
      </c>
      <c r="K53" s="12" t="s">
        <v>40</v>
      </c>
      <c r="L53" s="66" t="str">
        <f t="shared" si="0"/>
        <v/>
      </c>
      <c r="M53" s="19" t="str">
        <f t="shared" si="1"/>
        <v>Jan_2017</v>
      </c>
    </row>
    <row r="54" spans="1:13">
      <c r="A54" s="4" t="s">
        <v>22</v>
      </c>
      <c r="B54" s="62" t="s">
        <v>23</v>
      </c>
      <c r="C54" s="5">
        <v>42761</v>
      </c>
      <c r="D54" s="5" t="s">
        <v>25</v>
      </c>
      <c r="E54" s="6">
        <v>0.29166666666666702</v>
      </c>
      <c r="F54" s="6">
        <v>0.79166666666666696</v>
      </c>
      <c r="G54" s="10">
        <v>0</v>
      </c>
      <c r="H54" s="10">
        <v>10.999999999999998</v>
      </c>
      <c r="I54" s="59">
        <v>10.999999999999998</v>
      </c>
      <c r="J54" s="39" t="s">
        <v>30</v>
      </c>
      <c r="K54" s="12" t="s">
        <v>49</v>
      </c>
      <c r="L54" s="66" t="str">
        <f t="shared" si="0"/>
        <v/>
      </c>
      <c r="M54" s="19" t="str">
        <f t="shared" si="1"/>
        <v>Jan_2017</v>
      </c>
    </row>
    <row r="55" spans="1:13">
      <c r="A55" s="4" t="s">
        <v>22</v>
      </c>
      <c r="B55" s="62" t="s">
        <v>26</v>
      </c>
      <c r="C55" s="5">
        <v>42738</v>
      </c>
      <c r="D55" s="5" t="s">
        <v>14</v>
      </c>
      <c r="E55" s="6">
        <v>0.27083333333333331</v>
      </c>
      <c r="F55" s="6">
        <v>0.70833333333333337</v>
      </c>
      <c r="G55" s="10">
        <v>0</v>
      </c>
      <c r="H55" s="10">
        <v>9.5000000000000018</v>
      </c>
      <c r="I55" s="59">
        <v>9.5000000000000018</v>
      </c>
      <c r="J55" s="39" t="s">
        <v>30</v>
      </c>
      <c r="K55" s="12" t="s">
        <v>32</v>
      </c>
      <c r="L55" s="66" t="str">
        <f t="shared" si="0"/>
        <v/>
      </c>
      <c r="M55" s="19" t="str">
        <f t="shared" si="1"/>
        <v>Jan_2017</v>
      </c>
    </row>
    <row r="56" spans="1:13">
      <c r="A56" s="4" t="s">
        <v>22</v>
      </c>
      <c r="B56" s="62" t="s">
        <v>26</v>
      </c>
      <c r="C56" s="5">
        <v>42739</v>
      </c>
      <c r="D56" s="5" t="s">
        <v>15</v>
      </c>
      <c r="E56" s="6">
        <v>0.29166666666666669</v>
      </c>
      <c r="F56" s="6">
        <v>0.70833333333333337</v>
      </c>
      <c r="G56" s="10">
        <v>0</v>
      </c>
      <c r="H56" s="10">
        <v>9</v>
      </c>
      <c r="I56" s="59">
        <v>9</v>
      </c>
      <c r="J56" s="39" t="s">
        <v>30</v>
      </c>
      <c r="K56" s="12" t="s">
        <v>33</v>
      </c>
      <c r="L56" s="66" t="str">
        <f t="shared" si="0"/>
        <v/>
      </c>
      <c r="M56" s="19" t="str">
        <f t="shared" si="1"/>
        <v>Jan_2017</v>
      </c>
    </row>
    <row r="57" spans="1:13">
      <c r="A57" s="4" t="s">
        <v>22</v>
      </c>
      <c r="B57" s="62" t="s">
        <v>26</v>
      </c>
      <c r="C57" s="5">
        <v>42742</v>
      </c>
      <c r="D57" s="5" t="s">
        <v>24</v>
      </c>
      <c r="E57" s="6">
        <v>0.35416666666666669</v>
      </c>
      <c r="F57" s="6">
        <v>0.5</v>
      </c>
      <c r="G57" s="10">
        <v>0</v>
      </c>
      <c r="H57" s="10">
        <v>3.4999999999999996</v>
      </c>
      <c r="I57" s="59">
        <v>3.4999999999999996</v>
      </c>
      <c r="J57" s="39" t="s">
        <v>30</v>
      </c>
      <c r="K57" s="12" t="s">
        <v>42</v>
      </c>
      <c r="L57" s="66" t="str">
        <f t="shared" si="0"/>
        <v/>
      </c>
      <c r="M57" s="19" t="str">
        <f t="shared" si="1"/>
        <v>Jan_2017</v>
      </c>
    </row>
    <row r="58" spans="1:13">
      <c r="A58" s="4" t="s">
        <v>22</v>
      </c>
      <c r="B58" s="62" t="s">
        <v>26</v>
      </c>
      <c r="C58" s="5">
        <v>42746</v>
      </c>
      <c r="D58" s="5" t="s">
        <v>15</v>
      </c>
      <c r="E58" s="6">
        <v>0.33333333333333298</v>
      </c>
      <c r="F58" s="6">
        <v>0.75</v>
      </c>
      <c r="G58" s="10">
        <v>0</v>
      </c>
      <c r="H58" s="10">
        <v>9.0000000000000089</v>
      </c>
      <c r="I58" s="59">
        <v>9.0000000000000089</v>
      </c>
      <c r="J58" s="39" t="s">
        <v>30</v>
      </c>
      <c r="K58" s="12" t="s">
        <v>36</v>
      </c>
      <c r="L58" s="66" t="str">
        <f t="shared" si="0"/>
        <v/>
      </c>
      <c r="M58" s="19" t="str">
        <f t="shared" si="1"/>
        <v>Jan_2017</v>
      </c>
    </row>
    <row r="59" spans="1:13">
      <c r="A59" s="4" t="s">
        <v>22</v>
      </c>
      <c r="B59" s="62" t="s">
        <v>26</v>
      </c>
      <c r="C59" s="5">
        <v>42747</v>
      </c>
      <c r="D59" s="5" t="s">
        <v>25</v>
      </c>
      <c r="E59" s="6">
        <v>0.35416666666666702</v>
      </c>
      <c r="F59" s="6">
        <v>0.5</v>
      </c>
      <c r="G59" s="10">
        <v>0</v>
      </c>
      <c r="H59" s="10">
        <v>2.4999999999999916</v>
      </c>
      <c r="I59" s="59">
        <v>2.4999999999999916</v>
      </c>
      <c r="J59" s="39" t="s">
        <v>30</v>
      </c>
      <c r="K59" s="12" t="s">
        <v>43</v>
      </c>
      <c r="L59" s="66" t="str">
        <f t="shared" si="0"/>
        <v/>
      </c>
      <c r="M59" s="19" t="str">
        <f t="shared" si="1"/>
        <v>Jan_2017</v>
      </c>
    </row>
    <row r="60" spans="1:13">
      <c r="A60" s="4" t="s">
        <v>22</v>
      </c>
      <c r="B60" s="62" t="s">
        <v>26</v>
      </c>
      <c r="C60" s="5">
        <v>42748</v>
      </c>
      <c r="D60" s="5" t="s">
        <v>17</v>
      </c>
      <c r="E60" s="6">
        <v>0.35416666666666702</v>
      </c>
      <c r="F60" s="6">
        <v>0.75</v>
      </c>
      <c r="G60" s="10">
        <v>0</v>
      </c>
      <c r="H60" s="10">
        <v>8.4999999999999911</v>
      </c>
      <c r="I60" s="59">
        <v>8.4999999999999911</v>
      </c>
      <c r="J60" s="39" t="s">
        <v>30</v>
      </c>
      <c r="K60" s="12" t="s">
        <v>37</v>
      </c>
      <c r="L60" s="66" t="str">
        <f t="shared" si="0"/>
        <v/>
      </c>
      <c r="M60" s="19" t="str">
        <f t="shared" si="1"/>
        <v>Jan_2017</v>
      </c>
    </row>
    <row r="61" spans="1:13">
      <c r="A61" s="4" t="s">
        <v>22</v>
      </c>
      <c r="B61" s="62" t="s">
        <v>26</v>
      </c>
      <c r="C61" s="5">
        <v>42751</v>
      </c>
      <c r="D61" s="5" t="s">
        <v>16</v>
      </c>
      <c r="E61" s="6">
        <v>0.35416666666666702</v>
      </c>
      <c r="F61" s="6">
        <v>0.72916666666666696</v>
      </c>
      <c r="G61" s="10">
        <v>0</v>
      </c>
      <c r="H61" s="10">
        <v>7.9999999999999982</v>
      </c>
      <c r="I61" s="59">
        <v>7.9999999999999982</v>
      </c>
      <c r="J61" s="39" t="s">
        <v>30</v>
      </c>
      <c r="K61" s="12" t="s">
        <v>44</v>
      </c>
      <c r="L61" s="66" t="str">
        <f t="shared" si="0"/>
        <v/>
      </c>
      <c r="M61" s="19" t="str">
        <f t="shared" si="1"/>
        <v>Jan_2017</v>
      </c>
    </row>
    <row r="62" spans="1:13">
      <c r="A62" s="4" t="s">
        <v>22</v>
      </c>
      <c r="B62" s="62" t="s">
        <v>26</v>
      </c>
      <c r="C62" s="5">
        <v>42752</v>
      </c>
      <c r="D62" s="5" t="s">
        <v>14</v>
      </c>
      <c r="E62" s="6">
        <v>0.35416666666666702</v>
      </c>
      <c r="F62" s="6">
        <v>0.72916666666666696</v>
      </c>
      <c r="G62" s="10">
        <v>0</v>
      </c>
      <c r="H62" s="10">
        <v>7.9999999999999982</v>
      </c>
      <c r="I62" s="59">
        <v>7.9999999999999982</v>
      </c>
      <c r="J62" s="39" t="s">
        <v>30</v>
      </c>
      <c r="K62" s="12" t="s">
        <v>45</v>
      </c>
      <c r="L62" s="66" t="str">
        <f t="shared" si="0"/>
        <v/>
      </c>
      <c r="M62" s="19" t="str">
        <f t="shared" si="1"/>
        <v>Jan_2017</v>
      </c>
    </row>
    <row r="63" spans="1:13">
      <c r="A63" s="4" t="s">
        <v>22</v>
      </c>
      <c r="B63" s="62" t="s">
        <v>26</v>
      </c>
      <c r="C63" s="5">
        <v>42753</v>
      </c>
      <c r="D63" s="5" t="s">
        <v>15</v>
      </c>
      <c r="E63" s="6">
        <v>0.35416666666666702</v>
      </c>
      <c r="F63" s="6">
        <v>0.72916666666666696</v>
      </c>
      <c r="G63" s="10">
        <v>0</v>
      </c>
      <c r="H63" s="10">
        <v>7.9999999999999982</v>
      </c>
      <c r="I63" s="59">
        <v>7.9999999999999982</v>
      </c>
      <c r="J63" s="39" t="s">
        <v>30</v>
      </c>
      <c r="K63" s="12" t="s">
        <v>46</v>
      </c>
      <c r="L63" s="66" t="str">
        <f t="shared" si="0"/>
        <v/>
      </c>
      <c r="M63" s="19" t="str">
        <f t="shared" si="1"/>
        <v>Jan_2017</v>
      </c>
    </row>
    <row r="64" spans="1:13">
      <c r="A64" s="4" t="s">
        <v>22</v>
      </c>
      <c r="B64" s="62" t="s">
        <v>26</v>
      </c>
      <c r="C64" s="5">
        <v>42754</v>
      </c>
      <c r="D64" s="5" t="s">
        <v>25</v>
      </c>
      <c r="E64" s="6">
        <v>0.35416666666666702</v>
      </c>
      <c r="F64" s="6">
        <v>0.72916666666666696</v>
      </c>
      <c r="G64" s="10">
        <v>0</v>
      </c>
      <c r="H64" s="10">
        <v>7.9999999999999982</v>
      </c>
      <c r="I64" s="59">
        <v>7.9999999999999982</v>
      </c>
      <c r="J64" s="39" t="s">
        <v>30</v>
      </c>
      <c r="K64" s="12" t="s">
        <v>47</v>
      </c>
      <c r="L64" s="66" t="str">
        <f t="shared" si="0"/>
        <v/>
      </c>
      <c r="M64" s="19" t="str">
        <f t="shared" si="1"/>
        <v>Jan_2017</v>
      </c>
    </row>
    <row r="65" spans="1:13">
      <c r="A65" s="4" t="s">
        <v>22</v>
      </c>
      <c r="B65" s="62" t="s">
        <v>26</v>
      </c>
      <c r="C65" s="5">
        <v>42755</v>
      </c>
      <c r="D65" s="5" t="s">
        <v>17</v>
      </c>
      <c r="E65" s="6">
        <v>0.35416666666666702</v>
      </c>
      <c r="F65" s="6">
        <v>0.72916666666666696</v>
      </c>
      <c r="G65" s="10">
        <v>0</v>
      </c>
      <c r="H65" s="10">
        <v>7.9999999999999982</v>
      </c>
      <c r="I65" s="59">
        <v>7.9999999999999982</v>
      </c>
      <c r="J65" s="39" t="s">
        <v>30</v>
      </c>
      <c r="K65" s="12" t="s">
        <v>48</v>
      </c>
      <c r="L65" s="66" t="str">
        <f t="shared" si="0"/>
        <v/>
      </c>
      <c r="M65" s="19" t="str">
        <f t="shared" si="1"/>
        <v>Jan_2017</v>
      </c>
    </row>
    <row r="66" spans="1:13">
      <c r="A66" s="4" t="s">
        <v>22</v>
      </c>
      <c r="B66" s="62" t="s">
        <v>27</v>
      </c>
      <c r="C66" s="5">
        <v>42736</v>
      </c>
      <c r="D66" s="5" t="s">
        <v>13</v>
      </c>
      <c r="E66" s="6">
        <v>0.60416666666666663</v>
      </c>
      <c r="F66" s="6">
        <v>0.79166666666666663</v>
      </c>
      <c r="G66" s="10">
        <v>0</v>
      </c>
      <c r="H66" s="10">
        <v>4.5</v>
      </c>
      <c r="I66" s="59">
        <v>4.5</v>
      </c>
      <c r="J66" s="39" t="s">
        <v>30</v>
      </c>
      <c r="K66" s="12" t="s">
        <v>31</v>
      </c>
      <c r="L66" s="66" t="str">
        <f t="shared" ref="L66:L129" si="2">IF(AND($A66="Perm Staff Onsite",$H66&gt;=2),1,"")</f>
        <v/>
      </c>
      <c r="M66" s="19" t="str">
        <f t="shared" si="1"/>
        <v>Jan_2017</v>
      </c>
    </row>
    <row r="67" spans="1:13">
      <c r="A67" s="4" t="s">
        <v>22</v>
      </c>
      <c r="B67" s="62" t="s">
        <v>27</v>
      </c>
      <c r="C67" s="5">
        <v>42740</v>
      </c>
      <c r="D67" s="5" t="s">
        <v>25</v>
      </c>
      <c r="E67" s="6">
        <v>0.60416666666666663</v>
      </c>
      <c r="F67" s="6">
        <v>0.85416666666666663</v>
      </c>
      <c r="G67" s="10">
        <v>0</v>
      </c>
      <c r="H67" s="10">
        <v>6</v>
      </c>
      <c r="I67" s="59">
        <v>6</v>
      </c>
      <c r="J67" s="39" t="s">
        <v>30</v>
      </c>
      <c r="K67" s="12" t="s">
        <v>50</v>
      </c>
      <c r="L67" s="66" t="str">
        <f t="shared" si="2"/>
        <v/>
      </c>
      <c r="M67" s="19" t="str">
        <f t="shared" ref="M67:M130" si="3">IF($C67="","",TEXT(DATE(YEAR($C67),MONTH($C67),DAY($C67)),"MMM")&amp;"_"&amp;YEAR($C67))</f>
        <v>Jan_2017</v>
      </c>
    </row>
    <row r="68" spans="1:13">
      <c r="A68" s="4" t="s">
        <v>22</v>
      </c>
      <c r="B68" s="62" t="s">
        <v>28</v>
      </c>
      <c r="C68" s="5">
        <v>42736</v>
      </c>
      <c r="D68" s="5" t="s">
        <v>13</v>
      </c>
      <c r="E68" s="6">
        <v>0.29166666666666669</v>
      </c>
      <c r="F68" s="6">
        <v>0.625</v>
      </c>
      <c r="G68" s="10">
        <v>0</v>
      </c>
      <c r="H68" s="10">
        <v>7</v>
      </c>
      <c r="I68" s="59">
        <v>7</v>
      </c>
      <c r="J68" s="39" t="s">
        <v>30</v>
      </c>
      <c r="K68" s="12" t="s">
        <v>31</v>
      </c>
      <c r="L68" s="66" t="str">
        <f t="shared" si="2"/>
        <v/>
      </c>
      <c r="M68" s="19" t="str">
        <f t="shared" si="3"/>
        <v>Jan_2017</v>
      </c>
    </row>
    <row r="69" spans="1:13">
      <c r="A69" s="4" t="s">
        <v>22</v>
      </c>
      <c r="B69" s="62" t="s">
        <v>28</v>
      </c>
      <c r="C69" s="5">
        <v>42738</v>
      </c>
      <c r="D69" s="5" t="s">
        <v>14</v>
      </c>
      <c r="E69" s="6">
        <v>0.29166666666666669</v>
      </c>
      <c r="F69" s="6">
        <v>0.91666666666666663</v>
      </c>
      <c r="G69" s="10">
        <v>0</v>
      </c>
      <c r="H69" s="10">
        <v>14</v>
      </c>
      <c r="I69" s="59">
        <v>14</v>
      </c>
      <c r="J69" s="39" t="s">
        <v>30</v>
      </c>
      <c r="K69" s="12" t="s">
        <v>32</v>
      </c>
      <c r="L69" s="66" t="str">
        <f t="shared" si="2"/>
        <v/>
      </c>
      <c r="M69" s="19" t="str">
        <f t="shared" si="3"/>
        <v>Jan_2017</v>
      </c>
    </row>
    <row r="70" spans="1:13">
      <c r="A70" s="4" t="s">
        <v>22</v>
      </c>
      <c r="B70" s="62" t="s">
        <v>28</v>
      </c>
      <c r="C70" s="5">
        <v>42739</v>
      </c>
      <c r="D70" s="5" t="s">
        <v>15</v>
      </c>
      <c r="E70" s="6">
        <v>0.29166666666666669</v>
      </c>
      <c r="F70" s="6">
        <v>0.9375</v>
      </c>
      <c r="G70" s="10">
        <v>0</v>
      </c>
      <c r="H70" s="10">
        <v>14.499999999999998</v>
      </c>
      <c r="I70" s="59">
        <v>14.499999999999998</v>
      </c>
      <c r="J70" s="39" t="s">
        <v>30</v>
      </c>
      <c r="K70" s="12" t="s">
        <v>33</v>
      </c>
      <c r="L70" s="66" t="str">
        <f t="shared" si="2"/>
        <v/>
      </c>
      <c r="M70" s="19" t="str">
        <f t="shared" si="3"/>
        <v>Jan_2017</v>
      </c>
    </row>
    <row r="71" spans="1:13">
      <c r="A71" s="4" t="s">
        <v>22</v>
      </c>
      <c r="B71" s="62" t="s">
        <v>28</v>
      </c>
      <c r="C71" s="5">
        <v>42740</v>
      </c>
      <c r="D71" s="5" t="s">
        <v>25</v>
      </c>
      <c r="E71" s="6">
        <v>0.375</v>
      </c>
      <c r="F71" s="6">
        <v>0.85416666666666663</v>
      </c>
      <c r="G71" s="10">
        <v>0</v>
      </c>
      <c r="H71" s="10">
        <v>10.5</v>
      </c>
      <c r="I71" s="59">
        <v>10.5</v>
      </c>
      <c r="J71" s="39" t="s">
        <v>30</v>
      </c>
      <c r="K71" s="12" t="s">
        <v>50</v>
      </c>
      <c r="L71" s="66" t="str">
        <f t="shared" si="2"/>
        <v/>
      </c>
      <c r="M71" s="19" t="str">
        <f t="shared" si="3"/>
        <v>Jan_2017</v>
      </c>
    </row>
    <row r="72" spans="1:13">
      <c r="A72" s="4" t="s">
        <v>22</v>
      </c>
      <c r="B72" s="62" t="s">
        <v>28</v>
      </c>
      <c r="C72" s="5">
        <v>42758</v>
      </c>
      <c r="D72" s="5" t="s">
        <v>16</v>
      </c>
      <c r="E72" s="6">
        <v>0.35416666666666702</v>
      </c>
      <c r="F72" s="6">
        <v>0.875</v>
      </c>
      <c r="G72" s="10">
        <v>0</v>
      </c>
      <c r="H72" s="10">
        <v>11.499999999999993</v>
      </c>
      <c r="I72" s="59">
        <v>11.499999999999993</v>
      </c>
      <c r="J72" s="39" t="s">
        <v>30</v>
      </c>
      <c r="K72" s="12" t="s">
        <v>38</v>
      </c>
      <c r="L72" s="66" t="str">
        <f t="shared" si="2"/>
        <v/>
      </c>
      <c r="M72" s="19" t="str">
        <f t="shared" si="3"/>
        <v>Jan_2017</v>
      </c>
    </row>
    <row r="73" spans="1:13">
      <c r="A73" s="4" t="s">
        <v>22</v>
      </c>
      <c r="B73" s="62" t="s">
        <v>28</v>
      </c>
      <c r="C73" s="5">
        <v>42759</v>
      </c>
      <c r="D73" s="5" t="s">
        <v>14</v>
      </c>
      <c r="E73" s="6">
        <v>0.3125</v>
      </c>
      <c r="F73" s="6">
        <v>0.6875</v>
      </c>
      <c r="G73" s="10">
        <v>0</v>
      </c>
      <c r="H73" s="10">
        <v>8</v>
      </c>
      <c r="I73" s="59">
        <v>8</v>
      </c>
      <c r="J73" s="39" t="s">
        <v>30</v>
      </c>
      <c r="K73" s="12" t="s">
        <v>39</v>
      </c>
      <c r="L73" s="66" t="str">
        <f t="shared" si="2"/>
        <v/>
      </c>
      <c r="M73" s="19" t="str">
        <f t="shared" si="3"/>
        <v>Jan_2017</v>
      </c>
    </row>
    <row r="74" spans="1:13">
      <c r="A74" s="4" t="s">
        <v>22</v>
      </c>
      <c r="B74" s="62" t="s">
        <v>29</v>
      </c>
      <c r="C74" s="5">
        <v>42736</v>
      </c>
      <c r="D74" s="5" t="s">
        <v>13</v>
      </c>
      <c r="E74" s="6">
        <v>0.29166666666666669</v>
      </c>
      <c r="F74" s="6">
        <v>0.79166666666666663</v>
      </c>
      <c r="G74" s="10">
        <v>0</v>
      </c>
      <c r="H74" s="10">
        <v>10.999999999999998</v>
      </c>
      <c r="I74" s="59">
        <v>10.999999999999998</v>
      </c>
      <c r="J74" s="39" t="s">
        <v>30</v>
      </c>
      <c r="K74" s="12" t="s">
        <v>31</v>
      </c>
      <c r="L74" s="66" t="str">
        <f t="shared" si="2"/>
        <v/>
      </c>
      <c r="M74" s="19" t="str">
        <f t="shared" si="3"/>
        <v>Jan_2017</v>
      </c>
    </row>
    <row r="75" spans="1:13">
      <c r="A75" s="4" t="s">
        <v>22</v>
      </c>
      <c r="B75" s="62" t="s">
        <v>29</v>
      </c>
      <c r="C75" s="5">
        <v>42738</v>
      </c>
      <c r="D75" s="5" t="s">
        <v>14</v>
      </c>
      <c r="E75" s="6">
        <v>0.60416666666666663</v>
      </c>
      <c r="F75" s="6">
        <v>0.91666666666666663</v>
      </c>
      <c r="G75" s="10">
        <v>0</v>
      </c>
      <c r="H75" s="10">
        <v>7.5</v>
      </c>
      <c r="I75" s="59">
        <v>7.5</v>
      </c>
      <c r="J75" s="39" t="s">
        <v>30</v>
      </c>
      <c r="K75" s="12" t="s">
        <v>32</v>
      </c>
      <c r="L75" s="66" t="str">
        <f t="shared" si="2"/>
        <v/>
      </c>
      <c r="M75" s="19" t="str">
        <f t="shared" si="3"/>
        <v>Jan_2017</v>
      </c>
    </row>
    <row r="76" spans="1:13">
      <c r="A76" s="4" t="s">
        <v>22</v>
      </c>
      <c r="B76" s="62" t="s">
        <v>29</v>
      </c>
      <c r="C76" s="5">
        <v>42739</v>
      </c>
      <c r="D76" s="5" t="s">
        <v>15</v>
      </c>
      <c r="E76" s="6">
        <v>0.29166666666666669</v>
      </c>
      <c r="F76" s="6">
        <v>0.9375</v>
      </c>
      <c r="G76" s="10">
        <v>0</v>
      </c>
      <c r="H76" s="10">
        <v>14.499999999999998</v>
      </c>
      <c r="I76" s="59">
        <v>14.499999999999998</v>
      </c>
      <c r="J76" s="39" t="s">
        <v>30</v>
      </c>
      <c r="K76" s="12" t="s">
        <v>33</v>
      </c>
      <c r="L76" s="66" t="str">
        <f t="shared" si="2"/>
        <v/>
      </c>
      <c r="M76" s="19" t="str">
        <f t="shared" si="3"/>
        <v>Jan_2017</v>
      </c>
    </row>
    <row r="77" spans="1:13">
      <c r="A77" s="4" t="s">
        <v>22</v>
      </c>
      <c r="B77" s="62" t="s">
        <v>29</v>
      </c>
      <c r="C77" s="5">
        <v>42740</v>
      </c>
      <c r="D77" s="5" t="s">
        <v>25</v>
      </c>
      <c r="E77" s="6">
        <v>0.29166666666666669</v>
      </c>
      <c r="F77" s="6">
        <v>0.85416666666666663</v>
      </c>
      <c r="G77" s="10">
        <v>0</v>
      </c>
      <c r="H77" s="10">
        <v>12.5</v>
      </c>
      <c r="I77" s="59">
        <v>12.5</v>
      </c>
      <c r="J77" s="39" t="s">
        <v>30</v>
      </c>
      <c r="K77" s="12" t="s">
        <v>50</v>
      </c>
      <c r="L77" s="66" t="str">
        <f t="shared" si="2"/>
        <v/>
      </c>
      <c r="M77" s="19" t="str">
        <f t="shared" si="3"/>
        <v>Jan_2017</v>
      </c>
    </row>
    <row r="78" spans="1:13">
      <c r="A78" s="4" t="s">
        <v>22</v>
      </c>
      <c r="B78" s="62" t="s">
        <v>29</v>
      </c>
      <c r="C78" s="5">
        <v>42748</v>
      </c>
      <c r="D78" s="5" t="s">
        <v>17</v>
      </c>
      <c r="E78" s="7">
        <v>0.5625</v>
      </c>
      <c r="F78" s="7">
        <v>0.75</v>
      </c>
      <c r="G78" s="10">
        <v>0</v>
      </c>
      <c r="H78" s="10">
        <v>3.5</v>
      </c>
      <c r="I78" s="59">
        <v>3.5</v>
      </c>
      <c r="J78" s="39" t="s">
        <v>30</v>
      </c>
      <c r="K78" s="12" t="s">
        <v>37</v>
      </c>
      <c r="L78" s="66" t="str">
        <f t="shared" si="2"/>
        <v/>
      </c>
      <c r="M78" s="19" t="str">
        <f t="shared" si="3"/>
        <v>Jan_2017</v>
      </c>
    </row>
    <row r="79" spans="1:13">
      <c r="A79" s="4" t="s">
        <v>22</v>
      </c>
      <c r="B79" s="62" t="s">
        <v>29</v>
      </c>
      <c r="C79" s="5">
        <v>42758</v>
      </c>
      <c r="D79" s="5" t="s">
        <v>16</v>
      </c>
      <c r="E79" s="7">
        <v>0.375</v>
      </c>
      <c r="F79" s="7">
        <v>0.875</v>
      </c>
      <c r="G79" s="10">
        <v>0</v>
      </c>
      <c r="H79" s="10">
        <v>11</v>
      </c>
      <c r="I79" s="59">
        <v>11</v>
      </c>
      <c r="J79" s="39" t="s">
        <v>30</v>
      </c>
      <c r="K79" s="12" t="s">
        <v>38</v>
      </c>
      <c r="L79" s="66" t="str">
        <f t="shared" si="2"/>
        <v/>
      </c>
      <c r="M79" s="19" t="str">
        <f t="shared" si="3"/>
        <v>Jan_2017</v>
      </c>
    </row>
    <row r="80" spans="1:13">
      <c r="A80" s="4" t="s">
        <v>22</v>
      </c>
      <c r="B80" s="57" t="s">
        <v>29</v>
      </c>
      <c r="C80" s="5">
        <v>42759</v>
      </c>
      <c r="D80" s="5" t="s">
        <v>14</v>
      </c>
      <c r="E80" s="8">
        <v>0.3125</v>
      </c>
      <c r="F80" s="9">
        <v>0.91666666666666696</v>
      </c>
      <c r="G80" s="10">
        <v>0</v>
      </c>
      <c r="H80" s="14">
        <v>13.500000000000007</v>
      </c>
      <c r="I80" s="59">
        <v>13.500000000000007</v>
      </c>
      <c r="J80" s="38" t="s">
        <v>30</v>
      </c>
      <c r="K80" s="15" t="s">
        <v>39</v>
      </c>
      <c r="L80" s="66" t="str">
        <f t="shared" si="2"/>
        <v/>
      </c>
      <c r="M80" s="19" t="str">
        <f t="shared" si="3"/>
        <v>Jan_2017</v>
      </c>
    </row>
    <row r="81" spans="1:13">
      <c r="A81" s="4" t="s">
        <v>22</v>
      </c>
      <c r="B81" s="57" t="s">
        <v>29</v>
      </c>
      <c r="C81" s="5">
        <v>42760</v>
      </c>
      <c r="D81" s="5" t="s">
        <v>15</v>
      </c>
      <c r="E81" s="8">
        <v>0.29166666666666702</v>
      </c>
      <c r="F81" s="9">
        <v>0.875</v>
      </c>
      <c r="G81" s="10">
        <v>0</v>
      </c>
      <c r="H81" s="14">
        <v>12.999999999999993</v>
      </c>
      <c r="I81" s="59">
        <v>12.999999999999993</v>
      </c>
      <c r="J81" s="38" t="s">
        <v>30</v>
      </c>
      <c r="K81" s="15" t="s">
        <v>40</v>
      </c>
      <c r="L81" s="66" t="str">
        <f t="shared" si="2"/>
        <v/>
      </c>
      <c r="M81" s="19" t="str">
        <f t="shared" si="3"/>
        <v>Jan_2017</v>
      </c>
    </row>
    <row r="82" spans="1:13">
      <c r="A82" s="4" t="s">
        <v>11</v>
      </c>
      <c r="B82" s="62" t="s">
        <v>12</v>
      </c>
      <c r="C82" s="5">
        <v>42769</v>
      </c>
      <c r="D82" s="5" t="s">
        <v>17</v>
      </c>
      <c r="E82" s="16">
        <v>0.70833333333333304</v>
      </c>
      <c r="F82" s="16">
        <v>0.91666666666666696</v>
      </c>
      <c r="G82" s="10">
        <v>8</v>
      </c>
      <c r="H82" s="10">
        <v>5.0000000000000107</v>
      </c>
      <c r="I82" s="59">
        <v>5.0000000000000107</v>
      </c>
      <c r="J82" s="39" t="s">
        <v>30</v>
      </c>
      <c r="K82" s="12" t="s">
        <v>51</v>
      </c>
      <c r="L82" s="66">
        <f t="shared" si="2"/>
        <v>1</v>
      </c>
      <c r="M82" s="19" t="str">
        <f t="shared" si="3"/>
        <v>Feb_2017</v>
      </c>
    </row>
    <row r="83" spans="1:13">
      <c r="A83" s="4" t="s">
        <v>11</v>
      </c>
      <c r="B83" s="62" t="s">
        <v>12</v>
      </c>
      <c r="C83" s="5">
        <v>42770</v>
      </c>
      <c r="D83" s="5" t="s">
        <v>24</v>
      </c>
      <c r="E83" s="16">
        <v>0.29166666666666702</v>
      </c>
      <c r="F83" s="16">
        <v>0.70833333333333304</v>
      </c>
      <c r="G83" s="10">
        <v>8</v>
      </c>
      <c r="H83" s="10">
        <v>0.99999999999998046</v>
      </c>
      <c r="I83" s="59">
        <v>8.9999999999999805</v>
      </c>
      <c r="J83" s="39" t="s">
        <v>52</v>
      </c>
      <c r="K83" s="12" t="s">
        <v>51</v>
      </c>
      <c r="L83" s="66" t="str">
        <f t="shared" si="2"/>
        <v/>
      </c>
      <c r="M83" s="19" t="str">
        <f t="shared" si="3"/>
        <v>Feb_2017</v>
      </c>
    </row>
    <row r="84" spans="1:13">
      <c r="A84" s="4" t="s">
        <v>11</v>
      </c>
      <c r="B84" s="62" t="s">
        <v>12</v>
      </c>
      <c r="C84" s="5">
        <v>42771</v>
      </c>
      <c r="D84" s="5" t="s">
        <v>13</v>
      </c>
      <c r="E84" s="16">
        <v>0.29166666666666702</v>
      </c>
      <c r="F84" s="16">
        <v>0.70833333333333304</v>
      </c>
      <c r="G84" s="10">
        <v>0</v>
      </c>
      <c r="H84" s="10">
        <v>8.999999999999984</v>
      </c>
      <c r="I84" s="59">
        <v>8.999999999999984</v>
      </c>
      <c r="J84" s="39" t="s">
        <v>52</v>
      </c>
      <c r="K84" s="12" t="s">
        <v>51</v>
      </c>
      <c r="L84" s="66">
        <f t="shared" si="2"/>
        <v>1</v>
      </c>
      <c r="M84" s="19" t="str">
        <f t="shared" si="3"/>
        <v>Feb_2017</v>
      </c>
    </row>
    <row r="85" spans="1:13">
      <c r="A85" s="4" t="s">
        <v>11</v>
      </c>
      <c r="B85" s="62" t="s">
        <v>12</v>
      </c>
      <c r="C85" s="5">
        <v>42781</v>
      </c>
      <c r="D85" s="5" t="s">
        <v>15</v>
      </c>
      <c r="E85" s="16">
        <v>0.72916666666666696</v>
      </c>
      <c r="F85" s="16">
        <v>0.85416666666666696</v>
      </c>
      <c r="G85" s="10">
        <v>8</v>
      </c>
      <c r="H85" s="10">
        <v>2.9999999999999947</v>
      </c>
      <c r="I85" s="59">
        <v>2.9999999999999947</v>
      </c>
      <c r="J85" s="39" t="s">
        <v>30</v>
      </c>
      <c r="K85" s="12" t="s">
        <v>53</v>
      </c>
      <c r="L85" s="66">
        <f t="shared" si="2"/>
        <v>1</v>
      </c>
      <c r="M85" s="19" t="str">
        <f t="shared" si="3"/>
        <v>Feb_2017</v>
      </c>
    </row>
    <row r="86" spans="1:13">
      <c r="A86" s="4" t="s">
        <v>11</v>
      </c>
      <c r="B86" s="62" t="s">
        <v>12</v>
      </c>
      <c r="C86" s="5">
        <v>42783</v>
      </c>
      <c r="D86" s="5" t="s">
        <v>17</v>
      </c>
      <c r="E86" s="16">
        <v>0.72916666666666696</v>
      </c>
      <c r="F86" s="16">
        <v>0.79166666666666696</v>
      </c>
      <c r="G86" s="10">
        <v>8</v>
      </c>
      <c r="H86" s="10">
        <v>1.4999999999999947</v>
      </c>
      <c r="I86" s="59">
        <v>1.4999999999999947</v>
      </c>
      <c r="J86" s="39" t="s">
        <v>30</v>
      </c>
      <c r="K86" s="12" t="s">
        <v>54</v>
      </c>
      <c r="L86" s="66" t="str">
        <f t="shared" si="2"/>
        <v/>
      </c>
      <c r="M86" s="19" t="str">
        <f t="shared" si="3"/>
        <v>Feb_2017</v>
      </c>
    </row>
    <row r="87" spans="1:13">
      <c r="A87" s="4" t="s">
        <v>11</v>
      </c>
      <c r="B87" s="62" t="s">
        <v>12</v>
      </c>
      <c r="C87" s="5">
        <v>42786</v>
      </c>
      <c r="D87" s="5" t="s">
        <v>16</v>
      </c>
      <c r="E87" s="16">
        <v>0.70833333333333304</v>
      </c>
      <c r="F87" s="16">
        <v>0.77083333333333304</v>
      </c>
      <c r="G87" s="10">
        <v>8</v>
      </c>
      <c r="H87" s="10">
        <v>1.4999999999999982</v>
      </c>
      <c r="I87" s="59">
        <v>1.4999999999999982</v>
      </c>
      <c r="J87" s="39" t="s">
        <v>30</v>
      </c>
      <c r="K87" s="12" t="s">
        <v>55</v>
      </c>
      <c r="L87" s="66" t="str">
        <f t="shared" si="2"/>
        <v/>
      </c>
      <c r="M87" s="19" t="str">
        <f t="shared" si="3"/>
        <v>Feb_2017</v>
      </c>
    </row>
    <row r="88" spans="1:13">
      <c r="A88" s="4" t="s">
        <v>11</v>
      </c>
      <c r="B88" s="62" t="s">
        <v>12</v>
      </c>
      <c r="C88" s="5">
        <v>42787</v>
      </c>
      <c r="D88" s="5" t="s">
        <v>14</v>
      </c>
      <c r="E88" s="16">
        <v>0.70833333333333304</v>
      </c>
      <c r="F88" s="16">
        <v>0.95833333333333304</v>
      </c>
      <c r="G88" s="10">
        <v>8</v>
      </c>
      <c r="H88" s="10">
        <v>5.9999999999999964</v>
      </c>
      <c r="I88" s="59">
        <v>5.9999999999999964</v>
      </c>
      <c r="J88" s="39" t="s">
        <v>56</v>
      </c>
      <c r="K88" s="12" t="s">
        <v>57</v>
      </c>
      <c r="L88" s="66">
        <f t="shared" si="2"/>
        <v>1</v>
      </c>
      <c r="M88" s="19" t="str">
        <f t="shared" si="3"/>
        <v>Feb_2017</v>
      </c>
    </row>
    <row r="89" spans="1:13">
      <c r="A89" s="4" t="s">
        <v>11</v>
      </c>
      <c r="B89" s="62" t="s">
        <v>12</v>
      </c>
      <c r="C89" s="5">
        <v>42791</v>
      </c>
      <c r="D89" s="5" t="s">
        <v>24</v>
      </c>
      <c r="E89" s="16">
        <v>0.35416666666666702</v>
      </c>
      <c r="F89" s="16">
        <v>0.79166666666666696</v>
      </c>
      <c r="G89" s="10">
        <v>8</v>
      </c>
      <c r="H89" s="10">
        <v>1.4999999999999947</v>
      </c>
      <c r="I89" s="59">
        <v>9.4999999999999947</v>
      </c>
      <c r="J89" s="39" t="s">
        <v>52</v>
      </c>
      <c r="K89" s="12" t="s">
        <v>58</v>
      </c>
      <c r="L89" s="66" t="str">
        <f t="shared" si="2"/>
        <v/>
      </c>
      <c r="M89" s="19" t="str">
        <f t="shared" si="3"/>
        <v>Feb_2017</v>
      </c>
    </row>
    <row r="90" spans="1:13">
      <c r="A90" s="4" t="s">
        <v>11</v>
      </c>
      <c r="B90" s="62" t="s">
        <v>12</v>
      </c>
      <c r="C90" s="5">
        <v>42792</v>
      </c>
      <c r="D90" s="5" t="s">
        <v>13</v>
      </c>
      <c r="E90" s="16">
        <v>0.35416666666666702</v>
      </c>
      <c r="F90" s="16">
        <v>0.72916666666666696</v>
      </c>
      <c r="G90" s="10">
        <v>0</v>
      </c>
      <c r="H90" s="10">
        <v>7.9999999999999982</v>
      </c>
      <c r="I90" s="59">
        <v>7.9999999999999982</v>
      </c>
      <c r="J90" s="39" t="s">
        <v>52</v>
      </c>
      <c r="K90" s="12" t="s">
        <v>59</v>
      </c>
      <c r="L90" s="66">
        <f t="shared" si="2"/>
        <v>1</v>
      </c>
      <c r="M90" s="19" t="str">
        <f t="shared" si="3"/>
        <v>Feb_2017</v>
      </c>
    </row>
    <row r="91" spans="1:13">
      <c r="A91" s="4" t="s">
        <v>11</v>
      </c>
      <c r="B91" s="62" t="s">
        <v>12</v>
      </c>
      <c r="C91" s="5">
        <v>42793</v>
      </c>
      <c r="D91" s="5" t="s">
        <v>16</v>
      </c>
      <c r="E91" s="16">
        <v>0.72916666666666696</v>
      </c>
      <c r="F91" s="16">
        <v>0.88541666666666663</v>
      </c>
      <c r="G91" s="10">
        <v>8</v>
      </c>
      <c r="H91" s="10">
        <v>3.7499999999999858</v>
      </c>
      <c r="I91" s="59">
        <v>3.7499999999999858</v>
      </c>
      <c r="J91" s="39" t="s">
        <v>30</v>
      </c>
      <c r="K91" s="12" t="s">
        <v>60</v>
      </c>
      <c r="L91" s="66">
        <f t="shared" si="2"/>
        <v>1</v>
      </c>
      <c r="M91" s="19" t="str">
        <f t="shared" si="3"/>
        <v>Feb_2017</v>
      </c>
    </row>
    <row r="92" spans="1:13">
      <c r="A92" s="4" t="s">
        <v>11</v>
      </c>
      <c r="B92" s="62" t="s">
        <v>12</v>
      </c>
      <c r="C92" s="5">
        <v>42794</v>
      </c>
      <c r="D92" s="5" t="s">
        <v>14</v>
      </c>
      <c r="E92" s="16">
        <v>0.72916666666666696</v>
      </c>
      <c r="F92" s="16">
        <v>0.89583333333333304</v>
      </c>
      <c r="G92" s="10">
        <v>8</v>
      </c>
      <c r="H92" s="10">
        <v>3.9999999999999822</v>
      </c>
      <c r="I92" s="59">
        <v>3.9999999999999822</v>
      </c>
      <c r="J92" s="39" t="s">
        <v>30</v>
      </c>
      <c r="K92" s="12" t="s">
        <v>61</v>
      </c>
      <c r="L92" s="66">
        <f t="shared" si="2"/>
        <v>1</v>
      </c>
      <c r="M92" s="19" t="str">
        <f t="shared" si="3"/>
        <v>Feb_2017</v>
      </c>
    </row>
    <row r="93" spans="1:13">
      <c r="A93" s="4" t="s">
        <v>11</v>
      </c>
      <c r="B93" s="62" t="s">
        <v>19</v>
      </c>
      <c r="C93" s="5">
        <v>42769</v>
      </c>
      <c r="D93" s="5" t="s">
        <v>17</v>
      </c>
      <c r="E93" s="16">
        <v>0.70833333333333304</v>
      </c>
      <c r="F93" s="16">
        <v>0.91666666666666696</v>
      </c>
      <c r="G93" s="10">
        <v>8</v>
      </c>
      <c r="H93" s="10">
        <v>5.0000000000000107</v>
      </c>
      <c r="I93" s="59">
        <v>5.0000000000000107</v>
      </c>
      <c r="J93" s="39" t="s">
        <v>30</v>
      </c>
      <c r="K93" s="12" t="s">
        <v>51</v>
      </c>
      <c r="L93" s="66">
        <f t="shared" si="2"/>
        <v>1</v>
      </c>
      <c r="M93" s="19" t="str">
        <f t="shared" si="3"/>
        <v>Feb_2017</v>
      </c>
    </row>
    <row r="94" spans="1:13">
      <c r="A94" s="4" t="s">
        <v>11</v>
      </c>
      <c r="B94" s="62" t="s">
        <v>19</v>
      </c>
      <c r="C94" s="5">
        <v>42770</v>
      </c>
      <c r="D94" s="5" t="s">
        <v>24</v>
      </c>
      <c r="E94" s="16">
        <v>0.29166666666666702</v>
      </c>
      <c r="F94" s="16">
        <v>0.70833333333333304</v>
      </c>
      <c r="G94" s="10">
        <v>8</v>
      </c>
      <c r="H94" s="10">
        <v>0.99999999999998046</v>
      </c>
      <c r="I94" s="59">
        <v>8.9999999999999805</v>
      </c>
      <c r="J94" s="39" t="s">
        <v>52</v>
      </c>
      <c r="K94" s="12" t="s">
        <v>51</v>
      </c>
      <c r="L94" s="66" t="str">
        <f t="shared" si="2"/>
        <v/>
      </c>
      <c r="M94" s="19" t="str">
        <f t="shared" si="3"/>
        <v>Feb_2017</v>
      </c>
    </row>
    <row r="95" spans="1:13">
      <c r="A95" s="4" t="s">
        <v>11</v>
      </c>
      <c r="B95" s="62" t="s">
        <v>19</v>
      </c>
      <c r="C95" s="5">
        <v>42771</v>
      </c>
      <c r="D95" s="5" t="s">
        <v>13</v>
      </c>
      <c r="E95" s="16">
        <v>0.29166666666666702</v>
      </c>
      <c r="F95" s="16">
        <v>0.70833333333333304</v>
      </c>
      <c r="G95" s="10">
        <v>0</v>
      </c>
      <c r="H95" s="10">
        <v>8.999999999999984</v>
      </c>
      <c r="I95" s="59">
        <v>8.999999999999984</v>
      </c>
      <c r="J95" s="39" t="s">
        <v>52</v>
      </c>
      <c r="K95" s="12" t="s">
        <v>51</v>
      </c>
      <c r="L95" s="66">
        <f t="shared" si="2"/>
        <v>1</v>
      </c>
      <c r="M95" s="19" t="str">
        <f t="shared" si="3"/>
        <v>Feb_2017</v>
      </c>
    </row>
    <row r="96" spans="1:13">
      <c r="A96" s="4" t="s">
        <v>11</v>
      </c>
      <c r="B96" s="62" t="s">
        <v>19</v>
      </c>
      <c r="C96" s="5">
        <v>42772</v>
      </c>
      <c r="D96" s="5" t="s">
        <v>16</v>
      </c>
      <c r="E96" s="16">
        <v>0.72916666666666696</v>
      </c>
      <c r="F96" s="16">
        <v>0.75</v>
      </c>
      <c r="G96" s="10">
        <v>8</v>
      </c>
      <c r="H96" s="10">
        <v>0.49999999999998757</v>
      </c>
      <c r="I96" s="59">
        <v>0.49999999999998757</v>
      </c>
      <c r="J96" s="39" t="s">
        <v>30</v>
      </c>
      <c r="K96" s="12" t="s">
        <v>62</v>
      </c>
      <c r="L96" s="66" t="str">
        <f t="shared" si="2"/>
        <v/>
      </c>
      <c r="M96" s="19" t="str">
        <f t="shared" si="3"/>
        <v>Feb_2017</v>
      </c>
    </row>
    <row r="97" spans="1:13">
      <c r="A97" s="4" t="s">
        <v>11</v>
      </c>
      <c r="B97" s="62" t="s">
        <v>19</v>
      </c>
      <c r="C97" s="5">
        <v>42773</v>
      </c>
      <c r="D97" s="5" t="s">
        <v>14</v>
      </c>
      <c r="E97" s="16">
        <v>0.70833333333333304</v>
      </c>
      <c r="F97" s="16">
        <v>0.79166666666666696</v>
      </c>
      <c r="G97" s="10">
        <v>8</v>
      </c>
      <c r="H97" s="10">
        <v>2.0000000000000124</v>
      </c>
      <c r="I97" s="59">
        <v>2.0000000000000124</v>
      </c>
      <c r="J97" s="39" t="s">
        <v>30</v>
      </c>
      <c r="K97" s="12" t="s">
        <v>63</v>
      </c>
      <c r="L97" s="66">
        <f t="shared" si="2"/>
        <v>1</v>
      </c>
      <c r="M97" s="19" t="str">
        <f t="shared" si="3"/>
        <v>Feb_2017</v>
      </c>
    </row>
    <row r="98" spans="1:13">
      <c r="A98" s="4" t="s">
        <v>11</v>
      </c>
      <c r="B98" s="62" t="s">
        <v>19</v>
      </c>
      <c r="C98" s="5">
        <v>42774</v>
      </c>
      <c r="D98" s="5" t="s">
        <v>15</v>
      </c>
      <c r="E98" s="16">
        <v>0.70833333333333304</v>
      </c>
      <c r="F98" s="16">
        <v>0.72916666666666696</v>
      </c>
      <c r="G98" s="10">
        <v>8</v>
      </c>
      <c r="H98" s="10">
        <v>0.50000000000001243</v>
      </c>
      <c r="I98" s="59">
        <v>0.50000000000001243</v>
      </c>
      <c r="J98" s="39" t="s">
        <v>30</v>
      </c>
      <c r="K98" s="12" t="s">
        <v>64</v>
      </c>
      <c r="L98" s="66" t="str">
        <f t="shared" si="2"/>
        <v/>
      </c>
      <c r="M98" s="19" t="str">
        <f t="shared" si="3"/>
        <v>Feb_2017</v>
      </c>
    </row>
    <row r="99" spans="1:13">
      <c r="A99" s="4" t="s">
        <v>11</v>
      </c>
      <c r="B99" s="62" t="s">
        <v>19</v>
      </c>
      <c r="C99" s="5">
        <v>42775</v>
      </c>
      <c r="D99" s="5" t="s">
        <v>25</v>
      </c>
      <c r="E99" s="16">
        <v>0.70833333333333304</v>
      </c>
      <c r="F99" s="16">
        <v>0.72916666666666696</v>
      </c>
      <c r="G99" s="10">
        <v>8</v>
      </c>
      <c r="H99" s="10">
        <v>0.50000000000001243</v>
      </c>
      <c r="I99" s="59">
        <v>0.50000000000001243</v>
      </c>
      <c r="J99" s="39" t="s">
        <v>30</v>
      </c>
      <c r="K99" s="12" t="s">
        <v>65</v>
      </c>
      <c r="L99" s="66" t="str">
        <f t="shared" si="2"/>
        <v/>
      </c>
      <c r="M99" s="19" t="str">
        <f t="shared" si="3"/>
        <v>Feb_2017</v>
      </c>
    </row>
    <row r="100" spans="1:13">
      <c r="A100" s="4" t="s">
        <v>11</v>
      </c>
      <c r="B100" s="62" t="s">
        <v>19</v>
      </c>
      <c r="C100" s="5">
        <v>42776</v>
      </c>
      <c r="D100" s="5" t="s">
        <v>17</v>
      </c>
      <c r="E100" s="16">
        <v>0.70833333333333304</v>
      </c>
      <c r="F100" s="16">
        <v>0.72916666666666696</v>
      </c>
      <c r="G100" s="10">
        <v>8</v>
      </c>
      <c r="H100" s="10">
        <v>0.50000000000001243</v>
      </c>
      <c r="I100" s="59">
        <v>0.50000000000001243</v>
      </c>
      <c r="J100" s="39" t="s">
        <v>30</v>
      </c>
      <c r="K100" s="12" t="s">
        <v>66</v>
      </c>
      <c r="L100" s="66" t="str">
        <f t="shared" si="2"/>
        <v/>
      </c>
      <c r="M100" s="19" t="str">
        <f t="shared" si="3"/>
        <v>Feb_2017</v>
      </c>
    </row>
    <row r="101" spans="1:13">
      <c r="A101" s="4" t="s">
        <v>11</v>
      </c>
      <c r="B101" s="62" t="s">
        <v>19</v>
      </c>
      <c r="C101" s="5">
        <v>42783</v>
      </c>
      <c r="D101" s="5" t="s">
        <v>17</v>
      </c>
      <c r="E101" s="16">
        <v>0.72916666666666696</v>
      </c>
      <c r="F101" s="16">
        <v>0.79166666666666696</v>
      </c>
      <c r="G101" s="10">
        <v>8</v>
      </c>
      <c r="H101" s="10">
        <v>1.4999999999999947</v>
      </c>
      <c r="I101" s="59">
        <v>1.4999999999999947</v>
      </c>
      <c r="J101" s="39" t="s">
        <v>30</v>
      </c>
      <c r="K101" s="12" t="s">
        <v>54</v>
      </c>
      <c r="L101" s="66" t="str">
        <f t="shared" si="2"/>
        <v/>
      </c>
      <c r="M101" s="19" t="str">
        <f t="shared" si="3"/>
        <v>Feb_2017</v>
      </c>
    </row>
    <row r="102" spans="1:13">
      <c r="A102" s="4" t="s">
        <v>11</v>
      </c>
      <c r="B102" s="62" t="s">
        <v>19</v>
      </c>
      <c r="C102" s="5">
        <v>42786</v>
      </c>
      <c r="D102" s="5" t="s">
        <v>16</v>
      </c>
      <c r="E102" s="16">
        <v>0.72916666666666696</v>
      </c>
      <c r="F102" s="16">
        <v>0.77083333333333304</v>
      </c>
      <c r="G102" s="10">
        <v>8</v>
      </c>
      <c r="H102" s="10">
        <v>0.99999999999998046</v>
      </c>
      <c r="I102" s="59">
        <v>0.99999999999998046</v>
      </c>
      <c r="J102" s="39" t="s">
        <v>30</v>
      </c>
      <c r="K102" s="12" t="s">
        <v>55</v>
      </c>
      <c r="L102" s="66" t="str">
        <f t="shared" si="2"/>
        <v/>
      </c>
      <c r="M102" s="19" t="str">
        <f t="shared" si="3"/>
        <v>Feb_2017</v>
      </c>
    </row>
    <row r="103" spans="1:13">
      <c r="A103" s="4" t="s">
        <v>11</v>
      </c>
      <c r="B103" s="62" t="s">
        <v>19</v>
      </c>
      <c r="C103" s="5">
        <v>42787</v>
      </c>
      <c r="D103" s="5" t="s">
        <v>14</v>
      </c>
      <c r="E103" s="16">
        <v>0.72916666666666696</v>
      </c>
      <c r="F103" s="16">
        <v>0.95833333333333304</v>
      </c>
      <c r="G103" s="10">
        <v>8</v>
      </c>
      <c r="H103" s="10">
        <v>5.4999999999999822</v>
      </c>
      <c r="I103" s="59">
        <v>5.4999999999999822</v>
      </c>
      <c r="J103" s="39" t="s">
        <v>56</v>
      </c>
      <c r="K103" s="12" t="s">
        <v>57</v>
      </c>
      <c r="L103" s="66">
        <f t="shared" si="2"/>
        <v>1</v>
      </c>
      <c r="M103" s="19" t="str">
        <f t="shared" si="3"/>
        <v>Feb_2017</v>
      </c>
    </row>
    <row r="104" spans="1:13">
      <c r="A104" s="4" t="s">
        <v>11</v>
      </c>
      <c r="B104" s="62" t="s">
        <v>19</v>
      </c>
      <c r="C104" s="5">
        <v>42791</v>
      </c>
      <c r="D104" s="5" t="s">
        <v>24</v>
      </c>
      <c r="E104" s="16">
        <v>0.35416666666666702</v>
      </c>
      <c r="F104" s="16">
        <v>0.79166666666666696</v>
      </c>
      <c r="G104" s="10">
        <v>8</v>
      </c>
      <c r="H104" s="10">
        <v>1.4999999999999947</v>
      </c>
      <c r="I104" s="59">
        <v>9.4999999999999947</v>
      </c>
      <c r="J104" s="39" t="s">
        <v>52</v>
      </c>
      <c r="K104" s="12" t="s">
        <v>58</v>
      </c>
      <c r="L104" s="66" t="str">
        <f t="shared" si="2"/>
        <v/>
      </c>
      <c r="M104" s="19" t="str">
        <f t="shared" si="3"/>
        <v>Feb_2017</v>
      </c>
    </row>
    <row r="105" spans="1:13">
      <c r="A105" s="4" t="s">
        <v>11</v>
      </c>
      <c r="B105" s="62" t="s">
        <v>19</v>
      </c>
      <c r="C105" s="5">
        <v>42792</v>
      </c>
      <c r="D105" s="5" t="s">
        <v>13</v>
      </c>
      <c r="E105" s="16">
        <v>0.35416666666666702</v>
      </c>
      <c r="F105" s="16">
        <v>0.72916666666666696</v>
      </c>
      <c r="G105" s="10">
        <v>0</v>
      </c>
      <c r="H105" s="10">
        <v>7.9999999999999982</v>
      </c>
      <c r="I105" s="59">
        <v>7.9999999999999982</v>
      </c>
      <c r="J105" s="39" t="s">
        <v>52</v>
      </c>
      <c r="K105" s="12" t="s">
        <v>59</v>
      </c>
      <c r="L105" s="66">
        <f t="shared" si="2"/>
        <v>1</v>
      </c>
      <c r="M105" s="19" t="str">
        <f t="shared" si="3"/>
        <v>Feb_2017</v>
      </c>
    </row>
    <row r="106" spans="1:13">
      <c r="A106" s="4" t="s">
        <v>11</v>
      </c>
      <c r="B106" s="62" t="s">
        <v>19</v>
      </c>
      <c r="C106" s="5">
        <v>42793</v>
      </c>
      <c r="D106" s="5" t="s">
        <v>16</v>
      </c>
      <c r="E106" s="16">
        <v>0.70833333333333304</v>
      </c>
      <c r="F106" s="16">
        <v>0.88541666666666663</v>
      </c>
      <c r="G106" s="10">
        <v>8</v>
      </c>
      <c r="H106" s="10">
        <v>4.2500000000000053</v>
      </c>
      <c r="I106" s="59">
        <v>4.2500000000000053</v>
      </c>
      <c r="J106" s="39" t="s">
        <v>30</v>
      </c>
      <c r="K106" s="12" t="s">
        <v>60</v>
      </c>
      <c r="L106" s="66">
        <f t="shared" si="2"/>
        <v>1</v>
      </c>
      <c r="M106" s="19" t="str">
        <f t="shared" si="3"/>
        <v>Feb_2017</v>
      </c>
    </row>
    <row r="107" spans="1:13">
      <c r="A107" s="4" t="s">
        <v>11</v>
      </c>
      <c r="B107" s="62" t="s">
        <v>19</v>
      </c>
      <c r="C107" s="5">
        <v>42794</v>
      </c>
      <c r="D107" s="5" t="s">
        <v>14</v>
      </c>
      <c r="E107" s="16">
        <v>0.70833333333333304</v>
      </c>
      <c r="F107" s="16">
        <v>0.89583333333333304</v>
      </c>
      <c r="G107" s="10">
        <v>8</v>
      </c>
      <c r="H107" s="10">
        <v>4.4999999999999964</v>
      </c>
      <c r="I107" s="59">
        <v>4.4999999999999964</v>
      </c>
      <c r="J107" s="39" t="s">
        <v>30</v>
      </c>
      <c r="K107" s="12" t="s">
        <v>61</v>
      </c>
      <c r="L107" s="66">
        <f t="shared" si="2"/>
        <v>1</v>
      </c>
      <c r="M107" s="19" t="str">
        <f t="shared" si="3"/>
        <v>Feb_2017</v>
      </c>
    </row>
    <row r="108" spans="1:13">
      <c r="A108" s="4" t="s">
        <v>11</v>
      </c>
      <c r="B108" s="62" t="s">
        <v>20</v>
      </c>
      <c r="C108" s="5">
        <v>42769</v>
      </c>
      <c r="D108" s="5" t="s">
        <v>17</v>
      </c>
      <c r="E108" s="16">
        <v>0.70833333333333304</v>
      </c>
      <c r="F108" s="16">
        <v>0.875</v>
      </c>
      <c r="G108" s="10">
        <v>8</v>
      </c>
      <c r="H108" s="10">
        <v>4.0000000000000036</v>
      </c>
      <c r="I108" s="59">
        <v>4.0000000000000036</v>
      </c>
      <c r="J108" s="39" t="s">
        <v>30</v>
      </c>
      <c r="K108" s="12" t="s">
        <v>51</v>
      </c>
      <c r="L108" s="66">
        <f t="shared" si="2"/>
        <v>1</v>
      </c>
      <c r="M108" s="19" t="str">
        <f t="shared" si="3"/>
        <v>Feb_2017</v>
      </c>
    </row>
    <row r="109" spans="1:13">
      <c r="A109" s="4" t="s">
        <v>11</v>
      </c>
      <c r="B109" s="57" t="s">
        <v>20</v>
      </c>
      <c r="C109" s="5">
        <v>42770</v>
      </c>
      <c r="D109" s="5" t="s">
        <v>24</v>
      </c>
      <c r="E109" s="8">
        <v>0.29166666666666702</v>
      </c>
      <c r="F109" s="9">
        <v>0.70833333333333304</v>
      </c>
      <c r="G109" s="10">
        <v>8</v>
      </c>
      <c r="H109" s="14">
        <v>0.99999999999998046</v>
      </c>
      <c r="I109" s="59">
        <v>8.9999999999999805</v>
      </c>
      <c r="J109" s="39" t="s">
        <v>52</v>
      </c>
      <c r="K109" s="15" t="s">
        <v>51</v>
      </c>
      <c r="L109" s="66" t="str">
        <f t="shared" si="2"/>
        <v/>
      </c>
      <c r="M109" s="19" t="str">
        <f t="shared" si="3"/>
        <v>Feb_2017</v>
      </c>
    </row>
    <row r="110" spans="1:13">
      <c r="A110" s="4" t="s">
        <v>11</v>
      </c>
      <c r="B110" s="57" t="s">
        <v>20</v>
      </c>
      <c r="C110" s="5">
        <v>42772</v>
      </c>
      <c r="D110" s="5" t="s">
        <v>16</v>
      </c>
      <c r="E110" s="8">
        <v>0.72916666666666696</v>
      </c>
      <c r="F110" s="9">
        <v>0.75</v>
      </c>
      <c r="G110" s="10">
        <v>8</v>
      </c>
      <c r="H110" s="14">
        <v>0.49999999999998757</v>
      </c>
      <c r="I110" s="59">
        <v>0.49999999999998757</v>
      </c>
      <c r="J110" s="39" t="s">
        <v>30</v>
      </c>
      <c r="K110" s="15" t="s">
        <v>62</v>
      </c>
      <c r="L110" s="66" t="str">
        <f t="shared" si="2"/>
        <v/>
      </c>
      <c r="M110" s="19" t="str">
        <f t="shared" si="3"/>
        <v>Feb_2017</v>
      </c>
    </row>
    <row r="111" spans="1:13">
      <c r="A111" s="4" t="s">
        <v>11</v>
      </c>
      <c r="B111" s="57" t="s">
        <v>20</v>
      </c>
      <c r="C111" s="5">
        <v>42773</v>
      </c>
      <c r="D111" s="5" t="s">
        <v>14</v>
      </c>
      <c r="E111" s="8">
        <v>0.72916666666666696</v>
      </c>
      <c r="F111" s="9">
        <v>0.79166666666666696</v>
      </c>
      <c r="G111" s="10">
        <v>8</v>
      </c>
      <c r="H111" s="14">
        <v>1.4999999999999947</v>
      </c>
      <c r="I111" s="59">
        <v>1.4999999999999947</v>
      </c>
      <c r="J111" s="38" t="s">
        <v>30</v>
      </c>
      <c r="K111" s="15" t="s">
        <v>63</v>
      </c>
      <c r="L111" s="66" t="str">
        <f t="shared" si="2"/>
        <v/>
      </c>
      <c r="M111" s="19" t="str">
        <f t="shared" si="3"/>
        <v>Feb_2017</v>
      </c>
    </row>
    <row r="112" spans="1:13">
      <c r="A112" s="4" t="s">
        <v>11</v>
      </c>
      <c r="B112" s="57" t="s">
        <v>20</v>
      </c>
      <c r="C112" s="5">
        <v>42787</v>
      </c>
      <c r="D112" s="5" t="s">
        <v>14</v>
      </c>
      <c r="E112" s="8">
        <v>0.70833333333333304</v>
      </c>
      <c r="F112" s="9">
        <v>0.88541666666666696</v>
      </c>
      <c r="G112" s="10">
        <v>8</v>
      </c>
      <c r="H112" s="14">
        <v>4.2500000000000107</v>
      </c>
      <c r="I112" s="59">
        <v>4.2500000000000107</v>
      </c>
      <c r="J112" s="39" t="s">
        <v>30</v>
      </c>
      <c r="K112" s="15" t="s">
        <v>57</v>
      </c>
      <c r="L112" s="66">
        <f t="shared" si="2"/>
        <v>1</v>
      </c>
      <c r="M112" s="19" t="str">
        <f t="shared" si="3"/>
        <v>Feb_2017</v>
      </c>
    </row>
    <row r="113" spans="1:13" s="58" customFormat="1">
      <c r="A113" s="35" t="s">
        <v>11</v>
      </c>
      <c r="B113" s="62" t="s">
        <v>20</v>
      </c>
      <c r="C113" s="36">
        <v>42794</v>
      </c>
      <c r="D113" s="36" t="s">
        <v>14</v>
      </c>
      <c r="E113" s="16">
        <v>0.72916666666666696</v>
      </c>
      <c r="F113" s="16">
        <v>0.8125</v>
      </c>
      <c r="G113" s="10">
        <v>8</v>
      </c>
      <c r="H113" s="37">
        <v>1.9999999999999876</v>
      </c>
      <c r="I113" s="59">
        <v>1.9999999999999876</v>
      </c>
      <c r="J113" s="39" t="s">
        <v>30</v>
      </c>
      <c r="K113" s="12" t="s">
        <v>61</v>
      </c>
      <c r="L113" s="66" t="str">
        <f t="shared" si="2"/>
        <v/>
      </c>
      <c r="M113" s="57" t="str">
        <f t="shared" si="3"/>
        <v>Feb_2017</v>
      </c>
    </row>
    <row r="114" spans="1:13">
      <c r="A114" s="4" t="s">
        <v>11</v>
      </c>
      <c r="B114" s="62" t="s">
        <v>21</v>
      </c>
      <c r="C114" s="5">
        <v>42772</v>
      </c>
      <c r="D114" s="5" t="s">
        <v>16</v>
      </c>
      <c r="E114" s="16">
        <v>0.72916666666666696</v>
      </c>
      <c r="F114" s="16">
        <v>0.75</v>
      </c>
      <c r="G114" s="10">
        <v>8</v>
      </c>
      <c r="H114" s="10">
        <v>0.49999999999998757</v>
      </c>
      <c r="I114" s="59">
        <v>0.49999999999998757</v>
      </c>
      <c r="J114" s="39" t="s">
        <v>30</v>
      </c>
      <c r="K114" s="12" t="s">
        <v>62</v>
      </c>
      <c r="L114" s="66" t="str">
        <f t="shared" si="2"/>
        <v/>
      </c>
      <c r="M114" s="19" t="str">
        <f t="shared" si="3"/>
        <v>Feb_2017</v>
      </c>
    </row>
    <row r="115" spans="1:13">
      <c r="A115" s="4" t="s">
        <v>11</v>
      </c>
      <c r="B115" s="62" t="s">
        <v>21</v>
      </c>
      <c r="C115" s="5">
        <v>42773</v>
      </c>
      <c r="D115" s="5" t="s">
        <v>14</v>
      </c>
      <c r="E115" s="16">
        <v>0.72916666666666696</v>
      </c>
      <c r="F115" s="16">
        <v>0.79166666666666696</v>
      </c>
      <c r="G115" s="10">
        <v>8</v>
      </c>
      <c r="H115" s="13">
        <v>1.4999999999999947</v>
      </c>
      <c r="I115" s="59">
        <v>1.4999999999999947</v>
      </c>
      <c r="J115" s="39" t="s">
        <v>30</v>
      </c>
      <c r="K115" s="12" t="s">
        <v>63</v>
      </c>
      <c r="L115" s="66" t="str">
        <f t="shared" si="2"/>
        <v/>
      </c>
      <c r="M115" s="19" t="str">
        <f t="shared" si="3"/>
        <v>Feb_2017</v>
      </c>
    </row>
    <row r="116" spans="1:13">
      <c r="A116" s="4" t="s">
        <v>11</v>
      </c>
      <c r="B116" s="62" t="s">
        <v>21</v>
      </c>
      <c r="C116" s="5">
        <v>42787</v>
      </c>
      <c r="D116" s="5" t="s">
        <v>14</v>
      </c>
      <c r="E116" s="16">
        <v>0.72916666666666696</v>
      </c>
      <c r="F116" s="16">
        <v>0.88541666666666696</v>
      </c>
      <c r="G116" s="10">
        <v>8</v>
      </c>
      <c r="H116" s="13">
        <v>3.7499999999999964</v>
      </c>
      <c r="I116" s="59">
        <v>3.7499999999999964</v>
      </c>
      <c r="J116" s="40" t="s">
        <v>30</v>
      </c>
      <c r="K116" s="12" t="s">
        <v>57</v>
      </c>
      <c r="L116" s="66">
        <f t="shared" si="2"/>
        <v>1</v>
      </c>
      <c r="M116" s="19" t="str">
        <f t="shared" si="3"/>
        <v>Feb_2017</v>
      </c>
    </row>
    <row r="117" spans="1:13">
      <c r="A117" s="4" t="s">
        <v>11</v>
      </c>
      <c r="B117" s="62" t="s">
        <v>21</v>
      </c>
      <c r="C117" s="5">
        <v>42791</v>
      </c>
      <c r="D117" s="5" t="s">
        <v>24</v>
      </c>
      <c r="E117" s="16">
        <v>0.35416666666666702</v>
      </c>
      <c r="F117" s="16">
        <v>0.79166666666666696</v>
      </c>
      <c r="G117" s="10">
        <v>8</v>
      </c>
      <c r="H117" s="13">
        <v>1.4999999999999947</v>
      </c>
      <c r="I117" s="59">
        <v>9.4999999999999947</v>
      </c>
      <c r="J117" s="40" t="s">
        <v>52</v>
      </c>
      <c r="K117" s="12" t="s">
        <v>58</v>
      </c>
      <c r="L117" s="66" t="str">
        <f t="shared" si="2"/>
        <v/>
      </c>
      <c r="M117" s="19" t="str">
        <f t="shared" si="3"/>
        <v>Feb_2017</v>
      </c>
    </row>
    <row r="118" spans="1:13">
      <c r="A118" s="4" t="s">
        <v>11</v>
      </c>
      <c r="B118" s="62" t="s">
        <v>21</v>
      </c>
      <c r="C118" s="5">
        <v>42792</v>
      </c>
      <c r="D118" s="5" t="s">
        <v>13</v>
      </c>
      <c r="E118" s="16">
        <v>0.35416666666666702</v>
      </c>
      <c r="F118" s="16">
        <v>0.72916666666666696</v>
      </c>
      <c r="G118" s="10">
        <v>0</v>
      </c>
      <c r="H118" s="13">
        <v>7.9999999999999982</v>
      </c>
      <c r="I118" s="59">
        <v>7.9999999999999982</v>
      </c>
      <c r="J118" s="40" t="s">
        <v>52</v>
      </c>
      <c r="K118" s="12" t="s">
        <v>59</v>
      </c>
      <c r="L118" s="66">
        <f t="shared" si="2"/>
        <v>1</v>
      </c>
      <c r="M118" s="19" t="str">
        <f t="shared" si="3"/>
        <v>Feb_2017</v>
      </c>
    </row>
    <row r="119" spans="1:13">
      <c r="A119" s="4" t="s">
        <v>11</v>
      </c>
      <c r="B119" s="62" t="s">
        <v>21</v>
      </c>
      <c r="C119" s="5">
        <v>42793</v>
      </c>
      <c r="D119" s="5" t="s">
        <v>16</v>
      </c>
      <c r="E119" s="16">
        <v>0.72916666666666696</v>
      </c>
      <c r="F119" s="16">
        <v>0.88541666666666663</v>
      </c>
      <c r="G119" s="10">
        <v>8</v>
      </c>
      <c r="H119" s="13">
        <v>3.7499999999999858</v>
      </c>
      <c r="I119" s="59">
        <v>3.7499999999999858</v>
      </c>
      <c r="J119" s="39" t="s">
        <v>30</v>
      </c>
      <c r="K119" s="12" t="s">
        <v>60</v>
      </c>
      <c r="L119" s="66">
        <f t="shared" si="2"/>
        <v>1</v>
      </c>
      <c r="M119" s="19" t="str">
        <f t="shared" si="3"/>
        <v>Feb_2017</v>
      </c>
    </row>
    <row r="120" spans="1:13">
      <c r="A120" s="4" t="s">
        <v>11</v>
      </c>
      <c r="B120" s="62" t="s">
        <v>21</v>
      </c>
      <c r="C120" s="5">
        <v>42794</v>
      </c>
      <c r="D120" s="5" t="s">
        <v>14</v>
      </c>
      <c r="E120" s="16">
        <v>0.72916666666666696</v>
      </c>
      <c r="F120" s="16">
        <v>0.89583333333333304</v>
      </c>
      <c r="G120" s="10">
        <v>8</v>
      </c>
      <c r="H120" s="13">
        <v>3.9999999999999822</v>
      </c>
      <c r="I120" s="59">
        <v>3.9999999999999822</v>
      </c>
      <c r="J120" s="39" t="s">
        <v>30</v>
      </c>
      <c r="K120" s="12" t="s">
        <v>61</v>
      </c>
      <c r="L120" s="66">
        <f t="shared" si="2"/>
        <v>1</v>
      </c>
      <c r="M120" s="19" t="str">
        <f t="shared" si="3"/>
        <v>Feb_2017</v>
      </c>
    </row>
    <row r="121" spans="1:13">
      <c r="A121" s="4" t="s">
        <v>22</v>
      </c>
      <c r="B121" s="62" t="s">
        <v>23</v>
      </c>
      <c r="C121" s="5">
        <v>42769</v>
      </c>
      <c r="D121" s="5" t="s">
        <v>17</v>
      </c>
      <c r="E121" s="16">
        <v>0.33333333333333298</v>
      </c>
      <c r="F121" s="16">
        <v>0.91666666666666696</v>
      </c>
      <c r="G121" s="10">
        <v>0</v>
      </c>
      <c r="H121" s="13">
        <v>13.000000000000014</v>
      </c>
      <c r="I121" s="59">
        <v>13.000000000000014</v>
      </c>
      <c r="J121" s="39" t="s">
        <v>30</v>
      </c>
      <c r="K121" s="12" t="s">
        <v>51</v>
      </c>
      <c r="L121" s="66" t="str">
        <f t="shared" si="2"/>
        <v/>
      </c>
      <c r="M121" s="19" t="str">
        <f t="shared" si="3"/>
        <v>Feb_2017</v>
      </c>
    </row>
    <row r="122" spans="1:13">
      <c r="A122" s="4" t="s">
        <v>22</v>
      </c>
      <c r="B122" s="62" t="s">
        <v>23</v>
      </c>
      <c r="C122" s="5">
        <v>42770</v>
      </c>
      <c r="D122" s="5" t="s">
        <v>24</v>
      </c>
      <c r="E122" s="16">
        <v>0.29166666666666702</v>
      </c>
      <c r="F122" s="16">
        <v>0.70833333333333304</v>
      </c>
      <c r="G122" s="10">
        <v>0</v>
      </c>
      <c r="H122" s="13">
        <v>8.999999999999984</v>
      </c>
      <c r="I122" s="59">
        <v>8.999999999999984</v>
      </c>
      <c r="J122" s="40" t="s">
        <v>52</v>
      </c>
      <c r="K122" s="12" t="s">
        <v>51</v>
      </c>
      <c r="L122" s="66" t="str">
        <f t="shared" si="2"/>
        <v/>
      </c>
      <c r="M122" s="19" t="str">
        <f t="shared" si="3"/>
        <v>Feb_2017</v>
      </c>
    </row>
    <row r="123" spans="1:13">
      <c r="A123" s="4" t="s">
        <v>22</v>
      </c>
      <c r="B123" s="62" t="s">
        <v>23</v>
      </c>
      <c r="C123" s="5">
        <v>42771</v>
      </c>
      <c r="D123" s="5" t="s">
        <v>13</v>
      </c>
      <c r="E123" s="16">
        <v>0.29166666666666702</v>
      </c>
      <c r="F123" s="16">
        <v>0.70833333333333304</v>
      </c>
      <c r="G123" s="10">
        <v>0</v>
      </c>
      <c r="H123" s="13">
        <v>8.999999999999984</v>
      </c>
      <c r="I123" s="59">
        <v>8.999999999999984</v>
      </c>
      <c r="J123" s="40" t="s">
        <v>52</v>
      </c>
      <c r="K123" s="12" t="s">
        <v>51</v>
      </c>
      <c r="L123" s="66" t="str">
        <f t="shared" si="2"/>
        <v/>
      </c>
      <c r="M123" s="19" t="str">
        <f t="shared" si="3"/>
        <v>Feb_2017</v>
      </c>
    </row>
    <row r="124" spans="1:13">
      <c r="A124" s="4" t="s">
        <v>22</v>
      </c>
      <c r="B124" s="62" t="s">
        <v>23</v>
      </c>
      <c r="C124" s="5">
        <v>42772</v>
      </c>
      <c r="D124" s="5" t="s">
        <v>16</v>
      </c>
      <c r="E124" s="16">
        <v>0.35416666666666702</v>
      </c>
      <c r="F124" s="16">
        <v>0.75</v>
      </c>
      <c r="G124" s="10">
        <v>0</v>
      </c>
      <c r="H124" s="13">
        <v>8.4999999999999911</v>
      </c>
      <c r="I124" s="59">
        <v>8.4999999999999911</v>
      </c>
      <c r="J124" s="40" t="s">
        <v>30</v>
      </c>
      <c r="K124" s="12" t="s">
        <v>62</v>
      </c>
      <c r="L124" s="66" t="str">
        <f t="shared" si="2"/>
        <v/>
      </c>
      <c r="M124" s="19" t="str">
        <f t="shared" si="3"/>
        <v>Feb_2017</v>
      </c>
    </row>
    <row r="125" spans="1:13">
      <c r="A125" s="4" t="s">
        <v>22</v>
      </c>
      <c r="B125" s="62" t="s">
        <v>23</v>
      </c>
      <c r="C125" s="5">
        <v>42773</v>
      </c>
      <c r="D125" s="5" t="s">
        <v>14</v>
      </c>
      <c r="E125" s="16">
        <v>0.35416666666666702</v>
      </c>
      <c r="F125" s="16">
        <v>0.79166666666666696</v>
      </c>
      <c r="G125" s="10">
        <v>0</v>
      </c>
      <c r="H125" s="13">
        <v>9.4999999999999982</v>
      </c>
      <c r="I125" s="59">
        <v>9.4999999999999982</v>
      </c>
      <c r="J125" s="39" t="s">
        <v>30</v>
      </c>
      <c r="K125" s="12" t="s">
        <v>63</v>
      </c>
      <c r="L125" s="66" t="str">
        <f t="shared" si="2"/>
        <v/>
      </c>
      <c r="M125" s="19" t="str">
        <f t="shared" si="3"/>
        <v>Feb_2017</v>
      </c>
    </row>
    <row r="126" spans="1:13">
      <c r="A126" s="4" t="s">
        <v>22</v>
      </c>
      <c r="B126" s="62" t="s">
        <v>23</v>
      </c>
      <c r="C126" s="5">
        <v>42774</v>
      </c>
      <c r="D126" s="5" t="s">
        <v>15</v>
      </c>
      <c r="E126" s="16">
        <v>0.35416666666666702</v>
      </c>
      <c r="F126" s="16">
        <v>0.72916666666666696</v>
      </c>
      <c r="G126" s="10">
        <v>0</v>
      </c>
      <c r="H126" s="13">
        <v>7.9999999999999982</v>
      </c>
      <c r="I126" s="59">
        <v>7.9999999999999982</v>
      </c>
      <c r="J126" s="40" t="s">
        <v>30</v>
      </c>
      <c r="K126" s="12" t="s">
        <v>64</v>
      </c>
      <c r="L126" s="66" t="str">
        <f t="shared" si="2"/>
        <v/>
      </c>
      <c r="M126" s="19" t="str">
        <f t="shared" si="3"/>
        <v>Feb_2017</v>
      </c>
    </row>
    <row r="127" spans="1:13">
      <c r="A127" s="4" t="s">
        <v>22</v>
      </c>
      <c r="B127" s="62" t="s">
        <v>23</v>
      </c>
      <c r="C127" s="5">
        <v>42775</v>
      </c>
      <c r="D127" s="5" t="s">
        <v>25</v>
      </c>
      <c r="E127" s="16">
        <v>0.35416666666666702</v>
      </c>
      <c r="F127" s="16">
        <v>0.72916666666666696</v>
      </c>
      <c r="G127" s="10">
        <v>0</v>
      </c>
      <c r="H127" s="10">
        <v>7.9999999999999982</v>
      </c>
      <c r="I127" s="59">
        <v>7.9999999999999982</v>
      </c>
      <c r="J127" s="39" t="s">
        <v>30</v>
      </c>
      <c r="K127" s="12" t="s">
        <v>65</v>
      </c>
      <c r="L127" s="66" t="str">
        <f t="shared" si="2"/>
        <v/>
      </c>
      <c r="M127" s="19" t="str">
        <f t="shared" si="3"/>
        <v>Feb_2017</v>
      </c>
    </row>
    <row r="128" spans="1:13">
      <c r="A128" s="4" t="s">
        <v>22</v>
      </c>
      <c r="B128" s="62" t="s">
        <v>23</v>
      </c>
      <c r="C128" s="5">
        <v>42776</v>
      </c>
      <c r="D128" s="5" t="s">
        <v>17</v>
      </c>
      <c r="E128" s="16">
        <v>0.35416666666666702</v>
      </c>
      <c r="F128" s="16">
        <v>0.72916666666666696</v>
      </c>
      <c r="G128" s="10">
        <v>0</v>
      </c>
      <c r="H128" s="10">
        <v>7.9999999999999982</v>
      </c>
      <c r="I128" s="59">
        <v>7.9999999999999982</v>
      </c>
      <c r="J128" s="39" t="s">
        <v>30</v>
      </c>
      <c r="K128" s="12" t="s">
        <v>66</v>
      </c>
      <c r="L128" s="66" t="str">
        <f t="shared" si="2"/>
        <v/>
      </c>
      <c r="M128" s="19" t="str">
        <f t="shared" si="3"/>
        <v>Feb_2017</v>
      </c>
    </row>
    <row r="129" spans="1:13">
      <c r="A129" s="4" t="s">
        <v>22</v>
      </c>
      <c r="B129" s="62" t="s">
        <v>23</v>
      </c>
      <c r="C129" s="5">
        <v>42779</v>
      </c>
      <c r="D129" s="5" t="s">
        <v>16</v>
      </c>
      <c r="E129" s="16">
        <v>0.35416666666666702</v>
      </c>
      <c r="F129" s="16">
        <v>0.70833333333333304</v>
      </c>
      <c r="G129" s="10">
        <v>0</v>
      </c>
      <c r="H129" s="10">
        <v>7.499999999999984</v>
      </c>
      <c r="I129" s="59">
        <v>7.499999999999984</v>
      </c>
      <c r="J129" s="39" t="s">
        <v>30</v>
      </c>
      <c r="K129" s="12" t="s">
        <v>67</v>
      </c>
      <c r="L129" s="66" t="str">
        <f t="shared" si="2"/>
        <v/>
      </c>
      <c r="M129" s="19" t="str">
        <f t="shared" si="3"/>
        <v>Feb_2017</v>
      </c>
    </row>
    <row r="130" spans="1:13">
      <c r="A130" s="4" t="s">
        <v>22</v>
      </c>
      <c r="B130" s="62" t="s">
        <v>23</v>
      </c>
      <c r="C130" s="5">
        <v>42780</v>
      </c>
      <c r="D130" s="5" t="s">
        <v>14</v>
      </c>
      <c r="E130" s="16">
        <v>0.35416666666666702</v>
      </c>
      <c r="F130" s="16">
        <v>0.72916666666666696</v>
      </c>
      <c r="G130" s="10">
        <v>0</v>
      </c>
      <c r="H130" s="10">
        <v>7.9999999999999982</v>
      </c>
      <c r="I130" s="59">
        <v>7.9999999999999982</v>
      </c>
      <c r="J130" s="39" t="s">
        <v>30</v>
      </c>
      <c r="K130" s="12" t="s">
        <v>68</v>
      </c>
      <c r="L130" s="66" t="str">
        <f t="shared" ref="L130:L193" si="4">IF(AND($A130="Perm Staff Onsite",$H130&gt;=2),1,"")</f>
        <v/>
      </c>
      <c r="M130" s="19" t="str">
        <f t="shared" si="3"/>
        <v>Feb_2017</v>
      </c>
    </row>
    <row r="131" spans="1:13">
      <c r="A131" s="4" t="s">
        <v>22</v>
      </c>
      <c r="B131" s="62" t="s">
        <v>23</v>
      </c>
      <c r="C131" s="5">
        <v>42781</v>
      </c>
      <c r="D131" s="5" t="s">
        <v>15</v>
      </c>
      <c r="E131" s="16">
        <v>0.35416666666666702</v>
      </c>
      <c r="F131" s="16">
        <v>0.72916666666666696</v>
      </c>
      <c r="G131" s="10">
        <v>0</v>
      </c>
      <c r="H131" s="10">
        <v>7.9999999999999982</v>
      </c>
      <c r="I131" s="59">
        <v>7.9999999999999982</v>
      </c>
      <c r="J131" s="39" t="s">
        <v>30</v>
      </c>
      <c r="K131" s="12" t="s">
        <v>69</v>
      </c>
      <c r="L131" s="66" t="str">
        <f t="shared" si="4"/>
        <v/>
      </c>
      <c r="M131" s="19" t="str">
        <f t="shared" ref="M131:M194" si="5">IF($C131="","",TEXT(DATE(YEAR($C131),MONTH($C131),DAY($C131)),"MMM")&amp;"_"&amp;YEAR($C131))</f>
        <v>Feb_2017</v>
      </c>
    </row>
    <row r="132" spans="1:13">
      <c r="A132" s="4" t="s">
        <v>22</v>
      </c>
      <c r="B132" s="62" t="s">
        <v>23</v>
      </c>
      <c r="C132" s="5">
        <v>42782</v>
      </c>
      <c r="D132" s="5" t="s">
        <v>25</v>
      </c>
      <c r="E132" s="16">
        <v>0.35416666666666702</v>
      </c>
      <c r="F132" s="16">
        <v>0.72916666666666696</v>
      </c>
      <c r="G132" s="10">
        <v>0</v>
      </c>
      <c r="H132" s="10">
        <v>7.9999999999999982</v>
      </c>
      <c r="I132" s="59">
        <v>7.9999999999999982</v>
      </c>
      <c r="J132" s="39" t="s">
        <v>30</v>
      </c>
      <c r="K132" s="12" t="s">
        <v>70</v>
      </c>
      <c r="L132" s="66" t="str">
        <f t="shared" si="4"/>
        <v/>
      </c>
      <c r="M132" s="19" t="str">
        <f t="shared" si="5"/>
        <v>Feb_2017</v>
      </c>
    </row>
    <row r="133" spans="1:13">
      <c r="A133" s="4" t="s">
        <v>22</v>
      </c>
      <c r="B133" s="62" t="s">
        <v>23</v>
      </c>
      <c r="C133" s="5">
        <v>42783</v>
      </c>
      <c r="D133" s="5" t="s">
        <v>17</v>
      </c>
      <c r="E133" s="16">
        <v>0.35416666666666702</v>
      </c>
      <c r="F133" s="16">
        <v>0.72916666666666696</v>
      </c>
      <c r="G133" s="10">
        <v>0</v>
      </c>
      <c r="H133" s="10">
        <v>7.9999999999999982</v>
      </c>
      <c r="I133" s="59">
        <v>7.9999999999999982</v>
      </c>
      <c r="J133" s="39" t="s">
        <v>30</v>
      </c>
      <c r="K133" s="12" t="s">
        <v>71</v>
      </c>
      <c r="L133" s="66" t="str">
        <f t="shared" si="4"/>
        <v/>
      </c>
      <c r="M133" s="19" t="str">
        <f t="shared" si="5"/>
        <v>Feb_2017</v>
      </c>
    </row>
    <row r="134" spans="1:13">
      <c r="A134" s="4" t="s">
        <v>22</v>
      </c>
      <c r="B134" s="62" t="s">
        <v>23</v>
      </c>
      <c r="C134" s="5">
        <v>42786</v>
      </c>
      <c r="D134" s="5" t="s">
        <v>16</v>
      </c>
      <c r="E134" s="16">
        <v>0.35416666666666702</v>
      </c>
      <c r="F134" s="16">
        <v>0.72916666666666696</v>
      </c>
      <c r="G134" s="10">
        <v>0</v>
      </c>
      <c r="H134" s="10">
        <v>7.9999999999999982</v>
      </c>
      <c r="I134" s="59">
        <v>7.9999999999999982</v>
      </c>
      <c r="J134" s="39" t="s">
        <v>30</v>
      </c>
      <c r="K134" s="12" t="s">
        <v>55</v>
      </c>
      <c r="L134" s="66" t="str">
        <f t="shared" si="4"/>
        <v/>
      </c>
      <c r="M134" s="19" t="str">
        <f t="shared" si="5"/>
        <v>Feb_2017</v>
      </c>
    </row>
    <row r="135" spans="1:13">
      <c r="A135" s="4" t="s">
        <v>22</v>
      </c>
      <c r="B135" s="62" t="s">
        <v>23</v>
      </c>
      <c r="C135" s="5">
        <v>42787</v>
      </c>
      <c r="D135" s="5" t="s">
        <v>14</v>
      </c>
      <c r="E135" s="16">
        <v>0.35416666666666702</v>
      </c>
      <c r="F135" s="16">
        <v>0.72916666666666696</v>
      </c>
      <c r="G135" s="10">
        <v>0</v>
      </c>
      <c r="H135" s="10">
        <v>7.9999999999999982</v>
      </c>
      <c r="I135" s="59">
        <v>7.9999999999999982</v>
      </c>
      <c r="J135" s="39" t="s">
        <v>30</v>
      </c>
      <c r="K135" s="12" t="s">
        <v>57</v>
      </c>
      <c r="L135" s="66" t="str">
        <f t="shared" si="4"/>
        <v/>
      </c>
      <c r="M135" s="19" t="str">
        <f t="shared" si="5"/>
        <v>Feb_2017</v>
      </c>
    </row>
    <row r="136" spans="1:13">
      <c r="A136" s="4" t="s">
        <v>22</v>
      </c>
      <c r="B136" s="62" t="s">
        <v>23</v>
      </c>
      <c r="C136" s="5">
        <v>42788</v>
      </c>
      <c r="D136" s="5" t="s">
        <v>15</v>
      </c>
      <c r="E136" s="16">
        <v>0.35416666666666702</v>
      </c>
      <c r="F136" s="16">
        <v>0.72916666666666696</v>
      </c>
      <c r="G136" s="10">
        <v>0</v>
      </c>
      <c r="H136" s="10">
        <v>7.9999999999999982</v>
      </c>
      <c r="I136" s="59">
        <v>7.9999999999999982</v>
      </c>
      <c r="J136" s="39" t="s">
        <v>30</v>
      </c>
      <c r="K136" s="12" t="s">
        <v>72</v>
      </c>
      <c r="L136" s="66" t="str">
        <f t="shared" si="4"/>
        <v/>
      </c>
      <c r="M136" s="19" t="str">
        <f t="shared" si="5"/>
        <v>Feb_2017</v>
      </c>
    </row>
    <row r="137" spans="1:13">
      <c r="A137" s="4" t="s">
        <v>22</v>
      </c>
      <c r="B137" s="62" t="s">
        <v>23</v>
      </c>
      <c r="C137" s="5">
        <v>42789</v>
      </c>
      <c r="D137" s="5" t="s">
        <v>25</v>
      </c>
      <c r="E137" s="16">
        <v>0.35416666666666702</v>
      </c>
      <c r="F137" s="16">
        <v>0.72916666666666696</v>
      </c>
      <c r="G137" s="10">
        <v>0</v>
      </c>
      <c r="H137" s="10">
        <v>7.9999999999999982</v>
      </c>
      <c r="I137" s="59">
        <v>7.9999999999999982</v>
      </c>
      <c r="J137" s="39" t="s">
        <v>30</v>
      </c>
      <c r="K137" s="12" t="s">
        <v>73</v>
      </c>
      <c r="L137" s="66" t="str">
        <f t="shared" si="4"/>
        <v/>
      </c>
      <c r="M137" s="19" t="str">
        <f t="shared" si="5"/>
        <v>Feb_2017</v>
      </c>
    </row>
    <row r="138" spans="1:13">
      <c r="A138" s="4" t="s">
        <v>22</v>
      </c>
      <c r="B138" s="62" t="s">
        <v>23</v>
      </c>
      <c r="C138" s="5">
        <v>42790</v>
      </c>
      <c r="D138" s="5" t="s">
        <v>17</v>
      </c>
      <c r="E138" s="16">
        <v>0.35416666666666702</v>
      </c>
      <c r="F138" s="16">
        <v>0.6875</v>
      </c>
      <c r="G138" s="10">
        <v>0</v>
      </c>
      <c r="H138" s="10">
        <v>6.9999999999999911</v>
      </c>
      <c r="I138" s="59">
        <v>6.9999999999999911</v>
      </c>
      <c r="J138" s="39" t="s">
        <v>30</v>
      </c>
      <c r="K138" s="12" t="s">
        <v>74</v>
      </c>
      <c r="L138" s="66" t="str">
        <f t="shared" si="4"/>
        <v/>
      </c>
      <c r="M138" s="19" t="str">
        <f t="shared" si="5"/>
        <v>Feb_2017</v>
      </c>
    </row>
    <row r="139" spans="1:13">
      <c r="A139" s="4" t="s">
        <v>22</v>
      </c>
      <c r="B139" s="62" t="s">
        <v>23</v>
      </c>
      <c r="C139" s="5">
        <v>42793</v>
      </c>
      <c r="D139" s="5" t="s">
        <v>16</v>
      </c>
      <c r="E139" s="16">
        <v>0.35416666666666702</v>
      </c>
      <c r="F139" s="16">
        <v>0.72916666666666696</v>
      </c>
      <c r="G139" s="10">
        <v>0</v>
      </c>
      <c r="H139" s="10">
        <v>7.9999999999999982</v>
      </c>
      <c r="I139" s="59">
        <v>7.9999999999999982</v>
      </c>
      <c r="J139" s="39" t="s">
        <v>30</v>
      </c>
      <c r="K139" s="12" t="s">
        <v>60</v>
      </c>
      <c r="L139" s="66" t="str">
        <f t="shared" si="4"/>
        <v/>
      </c>
      <c r="M139" s="19" t="str">
        <f t="shared" si="5"/>
        <v>Feb_2017</v>
      </c>
    </row>
    <row r="140" spans="1:13">
      <c r="A140" s="4" t="s">
        <v>22</v>
      </c>
      <c r="B140" s="62" t="s">
        <v>23</v>
      </c>
      <c r="C140" s="5">
        <v>42794</v>
      </c>
      <c r="D140" s="5" t="s">
        <v>14</v>
      </c>
      <c r="E140" s="16">
        <v>0.35416666666666702</v>
      </c>
      <c r="F140" s="16">
        <v>0.89583333333333304</v>
      </c>
      <c r="G140" s="10">
        <v>0</v>
      </c>
      <c r="H140" s="10">
        <v>11.999999999999986</v>
      </c>
      <c r="I140" s="59">
        <v>11.999999999999986</v>
      </c>
      <c r="J140" s="39" t="s">
        <v>30</v>
      </c>
      <c r="K140" s="12" t="s">
        <v>61</v>
      </c>
      <c r="L140" s="66" t="str">
        <f t="shared" si="4"/>
        <v/>
      </c>
      <c r="M140" s="19" t="str">
        <f t="shared" si="5"/>
        <v>Feb_2017</v>
      </c>
    </row>
    <row r="141" spans="1:13">
      <c r="A141" s="4" t="s">
        <v>11</v>
      </c>
      <c r="B141" s="57" t="s">
        <v>26</v>
      </c>
      <c r="C141" s="5">
        <v>42769</v>
      </c>
      <c r="D141" s="5" t="s">
        <v>17</v>
      </c>
      <c r="E141" s="8">
        <v>0.72916666666666696</v>
      </c>
      <c r="F141" s="9">
        <v>0.91666666666666696</v>
      </c>
      <c r="G141" s="10">
        <v>8</v>
      </c>
      <c r="H141" s="14">
        <v>4.4999999999999964</v>
      </c>
      <c r="I141" s="59">
        <v>4.4999999999999964</v>
      </c>
      <c r="J141" s="38" t="s">
        <v>30</v>
      </c>
      <c r="K141" s="15" t="s">
        <v>51</v>
      </c>
      <c r="L141" s="66">
        <f t="shared" si="4"/>
        <v>1</v>
      </c>
      <c r="M141" s="19" t="str">
        <f t="shared" si="5"/>
        <v>Feb_2017</v>
      </c>
    </row>
    <row r="142" spans="1:13">
      <c r="A142" s="4" t="s">
        <v>11</v>
      </c>
      <c r="B142" s="57" t="s">
        <v>26</v>
      </c>
      <c r="C142" s="5">
        <v>42770</v>
      </c>
      <c r="D142" s="5" t="s">
        <v>24</v>
      </c>
      <c r="E142" s="8">
        <v>0.29166666666666702</v>
      </c>
      <c r="F142" s="9">
        <v>0.70833333333333304</v>
      </c>
      <c r="G142" s="10">
        <v>8</v>
      </c>
      <c r="H142" s="14">
        <v>0.99999999999998046</v>
      </c>
      <c r="I142" s="59">
        <v>8.9999999999999805</v>
      </c>
      <c r="J142" s="38" t="s">
        <v>52</v>
      </c>
      <c r="K142" s="15" t="s">
        <v>51</v>
      </c>
      <c r="L142" s="66" t="str">
        <f t="shared" si="4"/>
        <v/>
      </c>
      <c r="M142" s="19" t="str">
        <f t="shared" si="5"/>
        <v>Feb_2017</v>
      </c>
    </row>
    <row r="143" spans="1:13">
      <c r="A143" s="4" t="s">
        <v>11</v>
      </c>
      <c r="B143" s="57" t="s">
        <v>26</v>
      </c>
      <c r="C143" s="5">
        <v>42771</v>
      </c>
      <c r="D143" s="5" t="s">
        <v>13</v>
      </c>
      <c r="E143" s="8">
        <v>0.29166666666666702</v>
      </c>
      <c r="F143" s="9">
        <v>0.70833333333333304</v>
      </c>
      <c r="G143" s="10">
        <v>0</v>
      </c>
      <c r="H143" s="14">
        <v>8.999999999999984</v>
      </c>
      <c r="I143" s="59">
        <v>8.999999999999984</v>
      </c>
      <c r="J143" s="38" t="s">
        <v>52</v>
      </c>
      <c r="K143" s="15" t="s">
        <v>51</v>
      </c>
      <c r="L143" s="66">
        <f t="shared" si="4"/>
        <v>1</v>
      </c>
      <c r="M143" s="19" t="str">
        <f t="shared" si="5"/>
        <v>Feb_2017</v>
      </c>
    </row>
    <row r="144" spans="1:13">
      <c r="A144" s="4" t="s">
        <v>11</v>
      </c>
      <c r="B144" s="57" t="s">
        <v>26</v>
      </c>
      <c r="C144" s="5">
        <v>42772</v>
      </c>
      <c r="D144" s="5" t="s">
        <v>16</v>
      </c>
      <c r="E144" s="8">
        <v>0.72916666666666696</v>
      </c>
      <c r="F144" s="9">
        <v>0.75</v>
      </c>
      <c r="G144" s="10">
        <v>8</v>
      </c>
      <c r="H144" s="14">
        <v>0.49999999999998757</v>
      </c>
      <c r="I144" s="59">
        <v>0.49999999999998757</v>
      </c>
      <c r="J144" s="38" t="s">
        <v>30</v>
      </c>
      <c r="K144" s="15" t="s">
        <v>62</v>
      </c>
      <c r="L144" s="66" t="str">
        <f t="shared" si="4"/>
        <v/>
      </c>
      <c r="M144" s="19" t="str">
        <f t="shared" si="5"/>
        <v>Feb_2017</v>
      </c>
    </row>
    <row r="145" spans="1:13">
      <c r="A145" s="4" t="s">
        <v>11</v>
      </c>
      <c r="B145" s="57" t="s">
        <v>26</v>
      </c>
      <c r="C145" s="5">
        <v>42773</v>
      </c>
      <c r="D145" s="5" t="s">
        <v>14</v>
      </c>
      <c r="E145" s="8">
        <v>0.70833333333333304</v>
      </c>
      <c r="F145" s="9">
        <v>0.79166666666666696</v>
      </c>
      <c r="G145" s="10">
        <v>8</v>
      </c>
      <c r="H145" s="14">
        <v>2.0000000000000124</v>
      </c>
      <c r="I145" s="59">
        <v>2.0000000000000124</v>
      </c>
      <c r="J145" s="38" t="s">
        <v>30</v>
      </c>
      <c r="K145" s="15" t="s">
        <v>63</v>
      </c>
      <c r="L145" s="66">
        <f t="shared" si="4"/>
        <v>1</v>
      </c>
      <c r="M145" s="19" t="str">
        <f t="shared" si="5"/>
        <v>Feb_2017</v>
      </c>
    </row>
    <row r="146" spans="1:13">
      <c r="A146" s="4" t="s">
        <v>11</v>
      </c>
      <c r="B146" s="57" t="s">
        <v>26</v>
      </c>
      <c r="C146" s="5">
        <v>42775</v>
      </c>
      <c r="D146" s="5" t="s">
        <v>25</v>
      </c>
      <c r="E146" s="8">
        <v>0.70833333333333304</v>
      </c>
      <c r="F146" s="9">
        <v>0.72916666666666696</v>
      </c>
      <c r="G146" s="10">
        <v>8</v>
      </c>
      <c r="H146" s="14">
        <v>0.50000000000001243</v>
      </c>
      <c r="I146" s="59">
        <v>0.50000000000001243</v>
      </c>
      <c r="J146" s="38" t="s">
        <v>30</v>
      </c>
      <c r="K146" s="15" t="s">
        <v>65</v>
      </c>
      <c r="L146" s="66" t="str">
        <f t="shared" si="4"/>
        <v/>
      </c>
      <c r="M146" s="19" t="str">
        <f t="shared" si="5"/>
        <v>Feb_2017</v>
      </c>
    </row>
    <row r="147" spans="1:13">
      <c r="A147" s="4" t="s">
        <v>11</v>
      </c>
      <c r="B147" s="57" t="s">
        <v>26</v>
      </c>
      <c r="C147" s="5">
        <v>42787</v>
      </c>
      <c r="D147" s="5" t="s">
        <v>14</v>
      </c>
      <c r="E147" s="8">
        <v>0.72916666666666696</v>
      </c>
      <c r="F147" s="9">
        <v>0.88541666666666696</v>
      </c>
      <c r="G147" s="10">
        <v>8</v>
      </c>
      <c r="H147" s="14">
        <v>3.7499999999999964</v>
      </c>
      <c r="I147" s="59">
        <v>3.7499999999999964</v>
      </c>
      <c r="J147" s="38" t="s">
        <v>30</v>
      </c>
      <c r="K147" s="15" t="s">
        <v>57</v>
      </c>
      <c r="L147" s="66">
        <f t="shared" si="4"/>
        <v>1</v>
      </c>
      <c r="M147" s="19" t="str">
        <f t="shared" si="5"/>
        <v>Feb_2017</v>
      </c>
    </row>
    <row r="148" spans="1:13">
      <c r="A148" s="4" t="s">
        <v>11</v>
      </c>
      <c r="B148" s="57" t="s">
        <v>26</v>
      </c>
      <c r="C148" s="5">
        <v>42791</v>
      </c>
      <c r="D148" s="5" t="s">
        <v>24</v>
      </c>
      <c r="E148" s="8">
        <v>0.35416666666666702</v>
      </c>
      <c r="F148" s="9">
        <v>0.79166666666666696</v>
      </c>
      <c r="G148" s="10">
        <v>8</v>
      </c>
      <c r="H148" s="14">
        <v>1.4999999999999947</v>
      </c>
      <c r="I148" s="59">
        <v>9.4999999999999947</v>
      </c>
      <c r="J148" s="38" t="s">
        <v>52</v>
      </c>
      <c r="K148" s="15" t="s">
        <v>58</v>
      </c>
      <c r="L148" s="66" t="str">
        <f t="shared" si="4"/>
        <v/>
      </c>
      <c r="M148" s="19" t="str">
        <f t="shared" si="5"/>
        <v>Feb_2017</v>
      </c>
    </row>
    <row r="149" spans="1:13">
      <c r="A149" s="4" t="s">
        <v>11</v>
      </c>
      <c r="B149" s="57" t="s">
        <v>26</v>
      </c>
      <c r="C149" s="5">
        <v>42792</v>
      </c>
      <c r="D149" s="5" t="s">
        <v>13</v>
      </c>
      <c r="E149" s="8">
        <v>0.35416666666666702</v>
      </c>
      <c r="F149" s="9">
        <v>0.72916666666666696</v>
      </c>
      <c r="G149" s="10">
        <v>0</v>
      </c>
      <c r="H149" s="14">
        <v>7.9999999999999982</v>
      </c>
      <c r="I149" s="59">
        <v>7.9999999999999982</v>
      </c>
      <c r="J149" s="38" t="s">
        <v>52</v>
      </c>
      <c r="K149" s="15" t="s">
        <v>59</v>
      </c>
      <c r="L149" s="66">
        <f t="shared" si="4"/>
        <v>1</v>
      </c>
      <c r="M149" s="19" t="str">
        <f t="shared" si="5"/>
        <v>Feb_2017</v>
      </c>
    </row>
    <row r="150" spans="1:13">
      <c r="A150" s="4" t="s">
        <v>11</v>
      </c>
      <c r="B150" s="57" t="s">
        <v>26</v>
      </c>
      <c r="C150" s="5">
        <v>42793</v>
      </c>
      <c r="D150" s="5" t="s">
        <v>16</v>
      </c>
      <c r="E150" s="8">
        <v>0.70833333333333304</v>
      </c>
      <c r="F150" s="9">
        <v>0.72916666666666696</v>
      </c>
      <c r="G150" s="10">
        <v>8</v>
      </c>
      <c r="H150" s="14">
        <v>0.50000000000001243</v>
      </c>
      <c r="I150" s="59">
        <v>0.50000000000001243</v>
      </c>
      <c r="J150" s="38" t="s">
        <v>30</v>
      </c>
      <c r="K150" s="15" t="s">
        <v>60</v>
      </c>
      <c r="L150" s="66" t="str">
        <f t="shared" si="4"/>
        <v/>
      </c>
      <c r="M150" s="19" t="str">
        <f t="shared" si="5"/>
        <v>Feb_2017</v>
      </c>
    </row>
    <row r="151" spans="1:13">
      <c r="A151" s="4" t="s">
        <v>11</v>
      </c>
      <c r="B151" s="57" t="s">
        <v>26</v>
      </c>
      <c r="C151" s="5">
        <v>42794</v>
      </c>
      <c r="D151" s="5" t="s">
        <v>14</v>
      </c>
      <c r="E151" s="8">
        <v>0.70833333333333304</v>
      </c>
      <c r="F151" s="9">
        <v>0.89583333333333304</v>
      </c>
      <c r="G151" s="10">
        <v>8</v>
      </c>
      <c r="H151" s="14">
        <v>4.4999999999999964</v>
      </c>
      <c r="I151" s="59">
        <v>4.4999999999999964</v>
      </c>
      <c r="J151" s="38" t="s">
        <v>30</v>
      </c>
      <c r="K151" s="15" t="s">
        <v>61</v>
      </c>
      <c r="L151" s="66">
        <f t="shared" si="4"/>
        <v>1</v>
      </c>
      <c r="M151" s="19" t="str">
        <f t="shared" si="5"/>
        <v>Feb_2017</v>
      </c>
    </row>
    <row r="152" spans="1:13">
      <c r="A152" s="4" t="s">
        <v>22</v>
      </c>
      <c r="B152" s="57" t="s">
        <v>27</v>
      </c>
      <c r="C152" s="5">
        <v>42770</v>
      </c>
      <c r="D152" s="5" t="s">
        <v>24</v>
      </c>
      <c r="E152" s="8">
        <v>0.33333333333333298</v>
      </c>
      <c r="F152" s="9">
        <v>0.70833333333333304</v>
      </c>
      <c r="G152" s="10">
        <v>0</v>
      </c>
      <c r="H152" s="14">
        <v>8.0000000000000018</v>
      </c>
      <c r="I152" s="59">
        <v>8.0000000000000018</v>
      </c>
      <c r="J152" s="39" t="s">
        <v>52</v>
      </c>
      <c r="K152" s="15" t="s">
        <v>51</v>
      </c>
      <c r="L152" s="66" t="str">
        <f t="shared" si="4"/>
        <v/>
      </c>
      <c r="M152" s="19" t="str">
        <f t="shared" si="5"/>
        <v>Feb_2017</v>
      </c>
    </row>
    <row r="153" spans="1:13">
      <c r="A153" s="4" t="s">
        <v>22</v>
      </c>
      <c r="B153" s="57" t="s">
        <v>27</v>
      </c>
      <c r="C153" s="5">
        <v>42771</v>
      </c>
      <c r="D153" s="5" t="s">
        <v>13</v>
      </c>
      <c r="E153" s="8">
        <v>0.29166666666666702</v>
      </c>
      <c r="F153" s="9">
        <v>0.70833333333333304</v>
      </c>
      <c r="G153" s="10">
        <v>0</v>
      </c>
      <c r="H153" s="14">
        <v>8.999999999999984</v>
      </c>
      <c r="I153" s="59">
        <v>8.999999999999984</v>
      </c>
      <c r="J153" s="39" t="s">
        <v>52</v>
      </c>
      <c r="K153" s="15" t="s">
        <v>51</v>
      </c>
      <c r="L153" s="66" t="str">
        <f t="shared" si="4"/>
        <v/>
      </c>
      <c r="M153" s="19" t="str">
        <f t="shared" si="5"/>
        <v>Feb_2017</v>
      </c>
    </row>
    <row r="154" spans="1:13">
      <c r="A154" s="4" t="s">
        <v>22</v>
      </c>
      <c r="B154" s="57" t="s">
        <v>27</v>
      </c>
      <c r="C154" s="5">
        <v>42774</v>
      </c>
      <c r="D154" s="5" t="s">
        <v>15</v>
      </c>
      <c r="E154" s="8">
        <v>0.41666666666666702</v>
      </c>
      <c r="F154" s="9">
        <v>0.72916666666666696</v>
      </c>
      <c r="G154" s="10">
        <v>0</v>
      </c>
      <c r="H154" s="14">
        <v>6.4999999999999982</v>
      </c>
      <c r="I154" s="59">
        <v>6.4999999999999982</v>
      </c>
      <c r="J154" s="38" t="s">
        <v>30</v>
      </c>
      <c r="K154" s="15" t="s">
        <v>64</v>
      </c>
      <c r="L154" s="66" t="str">
        <f t="shared" si="4"/>
        <v/>
      </c>
      <c r="M154" s="19" t="str">
        <f t="shared" si="5"/>
        <v>Feb_2017</v>
      </c>
    </row>
    <row r="155" spans="1:13">
      <c r="A155" s="4" t="s">
        <v>22</v>
      </c>
      <c r="B155" s="57" t="s">
        <v>27</v>
      </c>
      <c r="C155" s="5">
        <v>42792</v>
      </c>
      <c r="D155" s="5" t="s">
        <v>13</v>
      </c>
      <c r="E155" s="8">
        <v>0.35416666666666702</v>
      </c>
      <c r="F155" s="9">
        <v>0.72916666666666696</v>
      </c>
      <c r="G155" s="10">
        <v>0</v>
      </c>
      <c r="H155" s="14">
        <v>7.9999999999999982</v>
      </c>
      <c r="I155" s="59">
        <v>7.9999999999999982</v>
      </c>
      <c r="J155" s="38" t="s">
        <v>52</v>
      </c>
      <c r="K155" s="15" t="s">
        <v>59</v>
      </c>
      <c r="L155" s="66" t="str">
        <f t="shared" si="4"/>
        <v/>
      </c>
      <c r="M155" s="19" t="str">
        <f t="shared" si="5"/>
        <v>Feb_2017</v>
      </c>
    </row>
    <row r="156" spans="1:13">
      <c r="A156" s="4" t="s">
        <v>22</v>
      </c>
      <c r="B156" s="62" t="s">
        <v>28</v>
      </c>
      <c r="C156" s="5">
        <v>42772</v>
      </c>
      <c r="D156" s="5" t="s">
        <v>16</v>
      </c>
      <c r="E156" s="16">
        <v>0.35416666666666702</v>
      </c>
      <c r="F156" s="16">
        <v>0.75</v>
      </c>
      <c r="G156" s="10">
        <v>0</v>
      </c>
      <c r="H156" s="13">
        <v>8.4999999999999911</v>
      </c>
      <c r="I156" s="59">
        <v>8.4999999999999911</v>
      </c>
      <c r="J156" s="40" t="s">
        <v>30</v>
      </c>
      <c r="K156" s="12" t="s">
        <v>62</v>
      </c>
      <c r="L156" s="66" t="str">
        <f t="shared" si="4"/>
        <v/>
      </c>
      <c r="M156" s="19" t="str">
        <f t="shared" si="5"/>
        <v>Feb_2017</v>
      </c>
    </row>
    <row r="157" spans="1:13">
      <c r="A157" s="4" t="s">
        <v>22</v>
      </c>
      <c r="B157" s="62" t="s">
        <v>28</v>
      </c>
      <c r="C157" s="5">
        <v>42773</v>
      </c>
      <c r="D157" s="5" t="s">
        <v>14</v>
      </c>
      <c r="E157" s="16">
        <v>0.35416666666666702</v>
      </c>
      <c r="F157" s="16">
        <v>0.79166666666666696</v>
      </c>
      <c r="G157" s="10">
        <v>0</v>
      </c>
      <c r="H157" s="13">
        <v>9.4999999999999982</v>
      </c>
      <c r="I157" s="59">
        <v>9.4999999999999982</v>
      </c>
      <c r="J157" s="39" t="s">
        <v>30</v>
      </c>
      <c r="K157" s="12" t="s">
        <v>63</v>
      </c>
      <c r="L157" s="66" t="str">
        <f t="shared" si="4"/>
        <v/>
      </c>
      <c r="M157" s="19" t="str">
        <f t="shared" si="5"/>
        <v>Feb_2017</v>
      </c>
    </row>
    <row r="158" spans="1:13">
      <c r="A158" s="4" t="s">
        <v>22</v>
      </c>
      <c r="B158" s="62" t="s">
        <v>28</v>
      </c>
      <c r="C158" s="5">
        <v>42774</v>
      </c>
      <c r="D158" s="5" t="s">
        <v>15</v>
      </c>
      <c r="E158" s="16">
        <v>0.35416666666666702</v>
      </c>
      <c r="F158" s="16">
        <v>0.72916666666666696</v>
      </c>
      <c r="G158" s="10">
        <v>0</v>
      </c>
      <c r="H158" s="13">
        <v>7.9999999999999982</v>
      </c>
      <c r="I158" s="59">
        <v>7.9999999999999982</v>
      </c>
      <c r="J158" s="39" t="s">
        <v>30</v>
      </c>
      <c r="K158" s="12" t="s">
        <v>64</v>
      </c>
      <c r="L158" s="66" t="str">
        <f t="shared" si="4"/>
        <v/>
      </c>
      <c r="M158" s="19" t="str">
        <f t="shared" si="5"/>
        <v>Feb_2017</v>
      </c>
    </row>
    <row r="159" spans="1:13">
      <c r="A159" s="4" t="s">
        <v>22</v>
      </c>
      <c r="B159" s="62" t="s">
        <v>28</v>
      </c>
      <c r="C159" s="5">
        <v>42775</v>
      </c>
      <c r="D159" s="5" t="s">
        <v>25</v>
      </c>
      <c r="E159" s="16">
        <v>0.35416666666666702</v>
      </c>
      <c r="F159" s="16">
        <v>0.72916666666666696</v>
      </c>
      <c r="G159" s="10">
        <v>0</v>
      </c>
      <c r="H159" s="13">
        <v>7.9999999999999982</v>
      </c>
      <c r="I159" s="59">
        <v>7.9999999999999982</v>
      </c>
      <c r="J159" s="40" t="s">
        <v>30</v>
      </c>
      <c r="K159" s="12" t="s">
        <v>65</v>
      </c>
      <c r="L159" s="66" t="str">
        <f t="shared" si="4"/>
        <v/>
      </c>
      <c r="M159" s="19" t="str">
        <f t="shared" si="5"/>
        <v>Feb_2017</v>
      </c>
    </row>
    <row r="160" spans="1:13">
      <c r="A160" s="4" t="s">
        <v>22</v>
      </c>
      <c r="B160" s="62" t="s">
        <v>28</v>
      </c>
      <c r="C160" s="5">
        <v>42776</v>
      </c>
      <c r="D160" s="5" t="s">
        <v>17</v>
      </c>
      <c r="E160" s="16">
        <v>0.35416666666666702</v>
      </c>
      <c r="F160" s="16">
        <v>0.6875</v>
      </c>
      <c r="G160" s="10">
        <v>0</v>
      </c>
      <c r="H160" s="13">
        <v>6.9999999999999911</v>
      </c>
      <c r="I160" s="59">
        <v>6.9999999999999911</v>
      </c>
      <c r="J160" s="40" t="s">
        <v>30</v>
      </c>
      <c r="K160" s="12" t="s">
        <v>66</v>
      </c>
      <c r="L160" s="66" t="str">
        <f t="shared" si="4"/>
        <v/>
      </c>
      <c r="M160" s="19" t="str">
        <f t="shared" si="5"/>
        <v>Feb_2017</v>
      </c>
    </row>
    <row r="161" spans="1:13">
      <c r="A161" s="4" t="s">
        <v>22</v>
      </c>
      <c r="B161" s="62" t="s">
        <v>28</v>
      </c>
      <c r="C161" s="5">
        <v>42782</v>
      </c>
      <c r="D161" s="5" t="s">
        <v>25</v>
      </c>
      <c r="E161" s="16">
        <v>0.35416666666666702</v>
      </c>
      <c r="F161" s="16">
        <v>0.72916666666666696</v>
      </c>
      <c r="G161" s="10">
        <v>0</v>
      </c>
      <c r="H161" s="13">
        <v>7.9999999999999982</v>
      </c>
      <c r="I161" s="59">
        <v>7.9999999999999982</v>
      </c>
      <c r="J161" s="40" t="s">
        <v>30</v>
      </c>
      <c r="K161" s="12" t="s">
        <v>75</v>
      </c>
      <c r="L161" s="66" t="str">
        <f t="shared" si="4"/>
        <v/>
      </c>
      <c r="M161" s="19" t="str">
        <f t="shared" si="5"/>
        <v>Feb_2017</v>
      </c>
    </row>
    <row r="162" spans="1:13">
      <c r="A162" s="4" t="s">
        <v>22</v>
      </c>
      <c r="B162" s="62" t="s">
        <v>28</v>
      </c>
      <c r="C162" s="5">
        <v>42786</v>
      </c>
      <c r="D162" s="5" t="s">
        <v>16</v>
      </c>
      <c r="E162" s="16">
        <v>0.35416666666666702</v>
      </c>
      <c r="F162" s="16">
        <v>0.72916666666666696</v>
      </c>
      <c r="G162" s="10">
        <v>0</v>
      </c>
      <c r="H162" s="13">
        <v>7.9999999999999982</v>
      </c>
      <c r="I162" s="59">
        <v>7.9999999999999982</v>
      </c>
      <c r="J162" s="40" t="s">
        <v>30</v>
      </c>
      <c r="K162" s="12" t="s">
        <v>55</v>
      </c>
      <c r="L162" s="66" t="str">
        <f t="shared" si="4"/>
        <v/>
      </c>
      <c r="M162" s="19" t="str">
        <f t="shared" si="5"/>
        <v>Feb_2017</v>
      </c>
    </row>
    <row r="163" spans="1:13">
      <c r="A163" s="4" t="s">
        <v>22</v>
      </c>
      <c r="B163" s="62" t="s">
        <v>28</v>
      </c>
      <c r="C163" s="5">
        <v>42787</v>
      </c>
      <c r="D163" s="5" t="s">
        <v>14</v>
      </c>
      <c r="E163" s="16">
        <v>0.35416666666666702</v>
      </c>
      <c r="F163" s="16">
        <v>0.72916666666666696</v>
      </c>
      <c r="G163" s="10">
        <v>0</v>
      </c>
      <c r="H163" s="13">
        <v>7.9999999999999982</v>
      </c>
      <c r="I163" s="59">
        <v>7.9999999999999982</v>
      </c>
      <c r="J163" s="40" t="s">
        <v>30</v>
      </c>
      <c r="K163" s="12" t="s">
        <v>57</v>
      </c>
      <c r="L163" s="66" t="str">
        <f t="shared" si="4"/>
        <v/>
      </c>
      <c r="M163" s="19" t="str">
        <f t="shared" si="5"/>
        <v>Feb_2017</v>
      </c>
    </row>
    <row r="164" spans="1:13">
      <c r="A164" s="4" t="s">
        <v>22</v>
      </c>
      <c r="B164" s="62" t="s">
        <v>28</v>
      </c>
      <c r="C164" s="5">
        <v>42788</v>
      </c>
      <c r="D164" s="5" t="s">
        <v>15</v>
      </c>
      <c r="E164" s="16">
        <v>0.35416666666666702</v>
      </c>
      <c r="F164" s="16">
        <v>0.72916666666666696</v>
      </c>
      <c r="G164" s="10">
        <v>0</v>
      </c>
      <c r="H164" s="13">
        <v>7.9999999999999982</v>
      </c>
      <c r="I164" s="59">
        <v>7.9999999999999982</v>
      </c>
      <c r="J164" s="40" t="s">
        <v>30</v>
      </c>
      <c r="K164" s="12" t="s">
        <v>72</v>
      </c>
      <c r="L164" s="66" t="str">
        <f t="shared" si="4"/>
        <v/>
      </c>
      <c r="M164" s="19" t="str">
        <f t="shared" si="5"/>
        <v>Feb_2017</v>
      </c>
    </row>
    <row r="165" spans="1:13">
      <c r="A165" s="4" t="s">
        <v>22</v>
      </c>
      <c r="B165" s="62" t="s">
        <v>28</v>
      </c>
      <c r="C165" s="5">
        <v>42789</v>
      </c>
      <c r="D165" s="5" t="s">
        <v>25</v>
      </c>
      <c r="E165" s="16">
        <v>0.35416666666666702</v>
      </c>
      <c r="F165" s="16">
        <v>0.72916666666666696</v>
      </c>
      <c r="G165" s="10">
        <v>0</v>
      </c>
      <c r="H165" s="13">
        <v>7.9999999999999982</v>
      </c>
      <c r="I165" s="59">
        <v>7.9999999999999982</v>
      </c>
      <c r="J165" s="40" t="s">
        <v>30</v>
      </c>
      <c r="K165" s="12" t="s">
        <v>73</v>
      </c>
      <c r="L165" s="66" t="str">
        <f t="shared" si="4"/>
        <v/>
      </c>
      <c r="M165" s="19" t="str">
        <f t="shared" si="5"/>
        <v>Feb_2017</v>
      </c>
    </row>
    <row r="166" spans="1:13">
      <c r="A166" s="4" t="s">
        <v>22</v>
      </c>
      <c r="B166" s="62" t="s">
        <v>28</v>
      </c>
      <c r="C166" s="5">
        <v>42790</v>
      </c>
      <c r="D166" s="5" t="s">
        <v>17</v>
      </c>
      <c r="E166" s="16">
        <v>0.35416666666666702</v>
      </c>
      <c r="F166" s="16">
        <v>0.72916666666666696</v>
      </c>
      <c r="G166" s="10">
        <v>0</v>
      </c>
      <c r="H166" s="13">
        <v>7.9999999999999982</v>
      </c>
      <c r="I166" s="59">
        <v>7.9999999999999982</v>
      </c>
      <c r="J166" s="39" t="s">
        <v>30</v>
      </c>
      <c r="K166" s="12" t="s">
        <v>74</v>
      </c>
      <c r="L166" s="66" t="str">
        <f t="shared" si="4"/>
        <v/>
      </c>
      <c r="M166" s="19" t="str">
        <f t="shared" si="5"/>
        <v>Feb_2017</v>
      </c>
    </row>
    <row r="167" spans="1:13">
      <c r="A167" s="4" t="s">
        <v>22</v>
      </c>
      <c r="B167" s="62" t="s">
        <v>28</v>
      </c>
      <c r="C167" s="5">
        <v>42791</v>
      </c>
      <c r="D167" s="5" t="s">
        <v>24</v>
      </c>
      <c r="E167" s="16">
        <v>0.35416666666666702</v>
      </c>
      <c r="F167" s="16">
        <v>0.72916666666666696</v>
      </c>
      <c r="G167" s="10">
        <v>0</v>
      </c>
      <c r="H167" s="13">
        <v>7.9999999999999982</v>
      </c>
      <c r="I167" s="59">
        <v>7.9999999999999982</v>
      </c>
      <c r="J167" s="39" t="s">
        <v>52</v>
      </c>
      <c r="K167" s="12" t="s">
        <v>58</v>
      </c>
      <c r="L167" s="66" t="str">
        <f t="shared" si="4"/>
        <v/>
      </c>
      <c r="M167" s="19" t="str">
        <f t="shared" si="5"/>
        <v>Feb_2017</v>
      </c>
    </row>
    <row r="168" spans="1:13">
      <c r="A168" s="4" t="s">
        <v>22</v>
      </c>
      <c r="B168" s="62" t="s">
        <v>28</v>
      </c>
      <c r="C168" s="5">
        <v>42792</v>
      </c>
      <c r="D168" s="5" t="s">
        <v>13</v>
      </c>
      <c r="E168" s="16">
        <v>0.35416666666666702</v>
      </c>
      <c r="F168" s="16">
        <v>0.72916666666666696</v>
      </c>
      <c r="G168" s="10">
        <v>0</v>
      </c>
      <c r="H168" s="13">
        <v>7.9999999999999982</v>
      </c>
      <c r="I168" s="59">
        <v>7.9999999999999982</v>
      </c>
      <c r="J168" s="39" t="s">
        <v>52</v>
      </c>
      <c r="K168" s="12" t="s">
        <v>59</v>
      </c>
      <c r="L168" s="66" t="str">
        <f t="shared" si="4"/>
        <v/>
      </c>
      <c r="M168" s="19" t="str">
        <f t="shared" si="5"/>
        <v>Feb_2017</v>
      </c>
    </row>
    <row r="169" spans="1:13">
      <c r="A169" s="4" t="s">
        <v>22</v>
      </c>
      <c r="B169" s="62" t="s">
        <v>28</v>
      </c>
      <c r="C169" s="5">
        <v>42793</v>
      </c>
      <c r="D169" s="5" t="s">
        <v>16</v>
      </c>
      <c r="E169" s="16">
        <v>0.35416666666666702</v>
      </c>
      <c r="F169" s="16">
        <v>0.72916666666666696</v>
      </c>
      <c r="G169" s="10">
        <v>0</v>
      </c>
      <c r="H169" s="13">
        <v>7.9999999999999982</v>
      </c>
      <c r="I169" s="59">
        <v>7.9999999999999982</v>
      </c>
      <c r="J169" s="40" t="s">
        <v>30</v>
      </c>
      <c r="K169" s="12" t="s">
        <v>60</v>
      </c>
      <c r="L169" s="66" t="str">
        <f t="shared" si="4"/>
        <v/>
      </c>
      <c r="M169" s="19" t="str">
        <f t="shared" si="5"/>
        <v>Feb_2017</v>
      </c>
    </row>
    <row r="170" spans="1:13">
      <c r="A170" s="4" t="s">
        <v>22</v>
      </c>
      <c r="B170" s="62" t="s">
        <v>28</v>
      </c>
      <c r="C170" s="5">
        <v>42794</v>
      </c>
      <c r="D170" s="5" t="s">
        <v>14</v>
      </c>
      <c r="E170" s="16">
        <v>0.35416666666666702</v>
      </c>
      <c r="F170" s="16">
        <v>0.89583333333333304</v>
      </c>
      <c r="G170" s="10">
        <v>0</v>
      </c>
      <c r="H170" s="13">
        <v>11.999999999999986</v>
      </c>
      <c r="I170" s="59">
        <v>11.999999999999986</v>
      </c>
      <c r="J170" s="40" t="s">
        <v>30</v>
      </c>
      <c r="K170" s="15" t="s">
        <v>61</v>
      </c>
      <c r="L170" s="66" t="str">
        <f t="shared" si="4"/>
        <v/>
      </c>
      <c r="M170" s="19" t="str">
        <f t="shared" si="5"/>
        <v>Feb_2017</v>
      </c>
    </row>
    <row r="171" spans="1:13">
      <c r="A171" s="4" t="s">
        <v>22</v>
      </c>
      <c r="B171" s="57" t="s">
        <v>29</v>
      </c>
      <c r="C171" s="5">
        <v>42771</v>
      </c>
      <c r="D171" s="5" t="s">
        <v>13</v>
      </c>
      <c r="E171" s="8">
        <v>0.33333333333333298</v>
      </c>
      <c r="F171" s="9">
        <v>0.70833333333333304</v>
      </c>
      <c r="G171" s="10">
        <v>0</v>
      </c>
      <c r="H171" s="14">
        <v>8.0000000000000018</v>
      </c>
      <c r="I171" s="59">
        <v>8.0000000000000018</v>
      </c>
      <c r="J171" s="39" t="s">
        <v>52</v>
      </c>
      <c r="K171" s="15" t="s">
        <v>51</v>
      </c>
      <c r="L171" s="66" t="str">
        <f t="shared" si="4"/>
        <v/>
      </c>
      <c r="M171" s="19" t="str">
        <f t="shared" si="5"/>
        <v>Feb_2017</v>
      </c>
    </row>
    <row r="172" spans="1:13">
      <c r="A172" s="4" t="s">
        <v>22</v>
      </c>
      <c r="B172" s="57" t="s">
        <v>29</v>
      </c>
      <c r="C172" s="5">
        <v>42772</v>
      </c>
      <c r="D172" s="5" t="s">
        <v>16</v>
      </c>
      <c r="E172" s="8">
        <v>0.35416666666666702</v>
      </c>
      <c r="F172" s="9">
        <v>0.75</v>
      </c>
      <c r="G172" s="10">
        <v>0</v>
      </c>
      <c r="H172" s="14">
        <v>8.4999999999999911</v>
      </c>
      <c r="I172" s="59">
        <v>8.4999999999999911</v>
      </c>
      <c r="J172" s="38" t="s">
        <v>30</v>
      </c>
      <c r="K172" s="15" t="s">
        <v>62</v>
      </c>
      <c r="L172" s="66" t="str">
        <f t="shared" si="4"/>
        <v/>
      </c>
      <c r="M172" s="19" t="str">
        <f t="shared" si="5"/>
        <v>Feb_2017</v>
      </c>
    </row>
    <row r="173" spans="1:13">
      <c r="A173" s="4" t="s">
        <v>22</v>
      </c>
      <c r="B173" s="57" t="s">
        <v>29</v>
      </c>
      <c r="C173" s="5">
        <v>42791</v>
      </c>
      <c r="D173" s="5" t="s">
        <v>24</v>
      </c>
      <c r="E173" s="8">
        <v>0.54166666666666696</v>
      </c>
      <c r="F173" s="9">
        <v>0.79166666666666696</v>
      </c>
      <c r="G173" s="10">
        <v>0</v>
      </c>
      <c r="H173" s="14">
        <v>6</v>
      </c>
      <c r="I173" s="59">
        <v>6</v>
      </c>
      <c r="J173" s="39" t="s">
        <v>52</v>
      </c>
      <c r="K173" s="15" t="s">
        <v>58</v>
      </c>
      <c r="L173" s="66" t="str">
        <f t="shared" si="4"/>
        <v/>
      </c>
      <c r="M173" s="19" t="str">
        <f t="shared" si="5"/>
        <v>Feb_2017</v>
      </c>
    </row>
    <row r="174" spans="1:13">
      <c r="A174" s="4" t="s">
        <v>22</v>
      </c>
      <c r="B174" s="57" t="s">
        <v>29</v>
      </c>
      <c r="C174" s="5">
        <v>42792</v>
      </c>
      <c r="D174" s="5" t="s">
        <v>13</v>
      </c>
      <c r="E174" s="8">
        <v>0.35416666666666702</v>
      </c>
      <c r="F174" s="9">
        <v>0.72916666666666696</v>
      </c>
      <c r="G174" s="10">
        <v>0</v>
      </c>
      <c r="H174" s="14">
        <v>7.9999999999999982</v>
      </c>
      <c r="I174" s="59">
        <v>7.9999999999999982</v>
      </c>
      <c r="J174" s="39" t="s">
        <v>52</v>
      </c>
      <c r="K174" s="15" t="s">
        <v>59</v>
      </c>
      <c r="L174" s="66" t="str">
        <f t="shared" si="4"/>
        <v/>
      </c>
      <c r="M174" s="19" t="str">
        <f t="shared" si="5"/>
        <v>Feb_2017</v>
      </c>
    </row>
    <row r="175" spans="1:13">
      <c r="A175" s="4" t="s">
        <v>11</v>
      </c>
      <c r="B175" s="57" t="s">
        <v>12</v>
      </c>
      <c r="C175" s="5">
        <v>42795</v>
      </c>
      <c r="D175" s="5" t="s">
        <v>15</v>
      </c>
      <c r="E175" s="8">
        <v>0.70833333333333304</v>
      </c>
      <c r="F175" s="8">
        <v>0.91666666666666696</v>
      </c>
      <c r="G175" s="10">
        <v>8</v>
      </c>
      <c r="H175" s="14">
        <v>5.0000000000000107</v>
      </c>
      <c r="I175" s="59">
        <v>5.0000000000000107</v>
      </c>
      <c r="J175" s="38" t="s">
        <v>30</v>
      </c>
      <c r="K175" s="15" t="s">
        <v>81</v>
      </c>
      <c r="L175" s="66">
        <f t="shared" si="4"/>
        <v>1</v>
      </c>
      <c r="M175" s="19" t="str">
        <f t="shared" si="5"/>
        <v>Mar_2017</v>
      </c>
    </row>
    <row r="176" spans="1:13">
      <c r="A176" s="4" t="s">
        <v>11</v>
      </c>
      <c r="B176" s="57" t="s">
        <v>12</v>
      </c>
      <c r="C176" s="5">
        <v>42796</v>
      </c>
      <c r="D176" s="5" t="s">
        <v>25</v>
      </c>
      <c r="E176" s="8">
        <v>0.72916666666666696</v>
      </c>
      <c r="F176" s="8">
        <v>0.91666666666666696</v>
      </c>
      <c r="G176" s="10">
        <v>8</v>
      </c>
      <c r="H176" s="14">
        <v>4.4999999999999964</v>
      </c>
      <c r="I176" s="59">
        <v>4.4999999999999964</v>
      </c>
      <c r="J176" s="38" t="s">
        <v>30</v>
      </c>
      <c r="K176" s="15" t="s">
        <v>82</v>
      </c>
      <c r="L176" s="66">
        <f t="shared" si="4"/>
        <v>1</v>
      </c>
      <c r="M176" s="19" t="str">
        <f t="shared" si="5"/>
        <v>Mar_2017</v>
      </c>
    </row>
    <row r="177" spans="1:13">
      <c r="A177" s="4" t="s">
        <v>11</v>
      </c>
      <c r="B177" s="57" t="s">
        <v>12</v>
      </c>
      <c r="C177" s="5">
        <v>42797</v>
      </c>
      <c r="D177" s="5" t="s">
        <v>17</v>
      </c>
      <c r="E177" s="8">
        <v>0.72916666666666696</v>
      </c>
      <c r="F177" s="8">
        <v>0.85416666666666696</v>
      </c>
      <c r="G177" s="10">
        <v>8</v>
      </c>
      <c r="H177" s="14">
        <v>2.9999999999999947</v>
      </c>
      <c r="I177" s="59">
        <v>2.9999999999999947</v>
      </c>
      <c r="J177" s="38" t="s">
        <v>30</v>
      </c>
      <c r="K177" s="15" t="s">
        <v>83</v>
      </c>
      <c r="L177" s="66">
        <f t="shared" si="4"/>
        <v>1</v>
      </c>
      <c r="M177" s="19" t="str">
        <f t="shared" si="5"/>
        <v>Mar_2017</v>
      </c>
    </row>
    <row r="178" spans="1:13">
      <c r="A178" s="4" t="s">
        <v>11</v>
      </c>
      <c r="B178" s="57" t="s">
        <v>12</v>
      </c>
      <c r="C178" s="5">
        <v>42798</v>
      </c>
      <c r="D178" s="5" t="s">
        <v>24</v>
      </c>
      <c r="E178" s="8">
        <v>0.39583333333333298</v>
      </c>
      <c r="F178" s="8">
        <v>0.72916666666666696</v>
      </c>
      <c r="G178" s="10">
        <v>8</v>
      </c>
      <c r="H178" s="14">
        <v>8.000000000000016</v>
      </c>
      <c r="I178" s="59">
        <v>8</v>
      </c>
      <c r="J178" s="38" t="s">
        <v>52</v>
      </c>
      <c r="K178" s="15" t="s">
        <v>84</v>
      </c>
      <c r="L178" s="66">
        <f t="shared" si="4"/>
        <v>1</v>
      </c>
      <c r="M178" s="19" t="str">
        <f t="shared" si="5"/>
        <v>Mar_2017</v>
      </c>
    </row>
    <row r="179" spans="1:13">
      <c r="A179" s="4" t="s">
        <v>11</v>
      </c>
      <c r="B179" s="57" t="s">
        <v>12</v>
      </c>
      <c r="C179" s="5">
        <v>42804</v>
      </c>
      <c r="D179" s="5" t="s">
        <v>17</v>
      </c>
      <c r="E179" s="8">
        <v>0.72916666666666696</v>
      </c>
      <c r="F179" s="8">
        <v>0.79166666666666696</v>
      </c>
      <c r="G179" s="10">
        <v>8</v>
      </c>
      <c r="H179" s="14">
        <v>1.4999999999999947</v>
      </c>
      <c r="I179" s="59">
        <v>1.4999999999999947</v>
      </c>
      <c r="J179" s="38" t="s">
        <v>30</v>
      </c>
      <c r="K179" s="15" t="s">
        <v>85</v>
      </c>
      <c r="L179" s="66" t="str">
        <f t="shared" si="4"/>
        <v/>
      </c>
      <c r="M179" s="19" t="str">
        <f t="shared" si="5"/>
        <v>Mar_2017</v>
      </c>
    </row>
    <row r="180" spans="1:13">
      <c r="A180" s="4" t="s">
        <v>11</v>
      </c>
      <c r="B180" s="57" t="s">
        <v>12</v>
      </c>
      <c r="C180" s="5">
        <v>42810</v>
      </c>
      <c r="D180" s="5" t="s">
        <v>25</v>
      </c>
      <c r="E180" s="8">
        <v>0.70833333333333304</v>
      </c>
      <c r="F180" s="8">
        <v>0.91666666666666696</v>
      </c>
      <c r="G180" s="10">
        <v>8</v>
      </c>
      <c r="H180" s="14">
        <v>5.0000000000000107</v>
      </c>
      <c r="I180" s="59">
        <v>5.0000000000000107</v>
      </c>
      <c r="J180" s="38" t="s">
        <v>30</v>
      </c>
      <c r="K180" s="15" t="s">
        <v>86</v>
      </c>
      <c r="L180" s="66">
        <f t="shared" si="4"/>
        <v>1</v>
      </c>
      <c r="M180" s="19" t="str">
        <f t="shared" si="5"/>
        <v>Mar_2017</v>
      </c>
    </row>
    <row r="181" spans="1:13">
      <c r="A181" s="4" t="s">
        <v>11</v>
      </c>
      <c r="B181" s="57" t="s">
        <v>12</v>
      </c>
      <c r="C181" s="5">
        <v>42814</v>
      </c>
      <c r="D181" s="5" t="s">
        <v>16</v>
      </c>
      <c r="E181" s="8">
        <v>0.70833333333333304</v>
      </c>
      <c r="F181" s="8">
        <v>0.78125</v>
      </c>
      <c r="G181" s="10">
        <v>8</v>
      </c>
      <c r="H181" s="14">
        <v>1.7500000000000053</v>
      </c>
      <c r="I181" s="59">
        <v>1.7500000000000053</v>
      </c>
      <c r="J181" s="38" t="s">
        <v>30</v>
      </c>
      <c r="K181" s="15" t="s">
        <v>87</v>
      </c>
      <c r="L181" s="66" t="str">
        <f t="shared" si="4"/>
        <v/>
      </c>
      <c r="M181" s="19" t="str">
        <f t="shared" si="5"/>
        <v>Mar_2017</v>
      </c>
    </row>
    <row r="182" spans="1:13">
      <c r="A182" s="4" t="s">
        <v>11</v>
      </c>
      <c r="B182" s="57" t="s">
        <v>12</v>
      </c>
      <c r="C182" s="5">
        <v>42815</v>
      </c>
      <c r="D182" s="5" t="s">
        <v>14</v>
      </c>
      <c r="E182" s="8">
        <v>0.70833333333333304</v>
      </c>
      <c r="F182" s="8">
        <v>0.90625</v>
      </c>
      <c r="G182" s="10">
        <v>8</v>
      </c>
      <c r="H182" s="14">
        <v>4.7500000000000036</v>
      </c>
      <c r="I182" s="59">
        <v>4.7500000000000036</v>
      </c>
      <c r="J182" s="38" t="s">
        <v>30</v>
      </c>
      <c r="K182" s="15" t="s">
        <v>88</v>
      </c>
      <c r="L182" s="66">
        <f t="shared" si="4"/>
        <v>1</v>
      </c>
      <c r="M182" s="19" t="str">
        <f t="shared" si="5"/>
        <v>Mar_2017</v>
      </c>
    </row>
    <row r="183" spans="1:13">
      <c r="A183" s="4" t="s">
        <v>11</v>
      </c>
      <c r="B183" s="57" t="s">
        <v>12</v>
      </c>
      <c r="C183" s="5">
        <v>42816</v>
      </c>
      <c r="D183" s="5" t="s">
        <v>15</v>
      </c>
      <c r="E183" s="8">
        <v>0.73958333333333304</v>
      </c>
      <c r="F183" s="8">
        <v>0.8125</v>
      </c>
      <c r="G183" s="10">
        <v>8</v>
      </c>
      <c r="H183" s="14">
        <v>1.7500000000000053</v>
      </c>
      <c r="I183" s="59">
        <v>1.7500000000000053</v>
      </c>
      <c r="J183" s="38" t="s">
        <v>30</v>
      </c>
      <c r="K183" s="15" t="s">
        <v>89</v>
      </c>
      <c r="L183" s="66" t="str">
        <f t="shared" si="4"/>
        <v/>
      </c>
      <c r="M183" s="19" t="str">
        <f t="shared" si="5"/>
        <v>Mar_2017</v>
      </c>
    </row>
    <row r="184" spans="1:13">
      <c r="A184" s="4" t="s">
        <v>11</v>
      </c>
      <c r="B184" s="57" t="s">
        <v>12</v>
      </c>
      <c r="C184" s="5">
        <v>42817</v>
      </c>
      <c r="D184" s="5" t="s">
        <v>25</v>
      </c>
      <c r="E184" s="8">
        <v>0.72916666666666696</v>
      </c>
      <c r="F184" s="8">
        <v>0.77083333333333304</v>
      </c>
      <c r="G184" s="10">
        <v>8</v>
      </c>
      <c r="H184" s="14">
        <v>0.99999999999998046</v>
      </c>
      <c r="I184" s="59">
        <v>0.99999999999998046</v>
      </c>
      <c r="J184" s="38" t="s">
        <v>30</v>
      </c>
      <c r="K184" s="15" t="s">
        <v>90</v>
      </c>
      <c r="L184" s="66" t="str">
        <f t="shared" si="4"/>
        <v/>
      </c>
      <c r="M184" s="19" t="str">
        <f t="shared" si="5"/>
        <v>Mar_2017</v>
      </c>
    </row>
    <row r="185" spans="1:13">
      <c r="A185" s="4" t="s">
        <v>11</v>
      </c>
      <c r="B185" s="57" t="s">
        <v>12</v>
      </c>
      <c r="C185" s="5">
        <v>42819</v>
      </c>
      <c r="D185" s="5" t="s">
        <v>24</v>
      </c>
      <c r="E185" s="8">
        <v>0.35416666666666702</v>
      </c>
      <c r="F185" s="8">
        <v>0.72916666666666696</v>
      </c>
      <c r="G185" s="10">
        <v>8</v>
      </c>
      <c r="H185" s="14">
        <v>7.9999999999999982</v>
      </c>
      <c r="I185" s="59">
        <v>8</v>
      </c>
      <c r="J185" s="38" t="s">
        <v>52</v>
      </c>
      <c r="K185" s="15" t="s">
        <v>91</v>
      </c>
      <c r="L185" s="66">
        <f t="shared" si="4"/>
        <v>1</v>
      </c>
      <c r="M185" s="19" t="str">
        <f t="shared" si="5"/>
        <v>Mar_2017</v>
      </c>
    </row>
    <row r="186" spans="1:13">
      <c r="A186" s="4" t="s">
        <v>11</v>
      </c>
      <c r="B186" s="57" t="s">
        <v>12</v>
      </c>
      <c r="C186" s="5">
        <v>42821</v>
      </c>
      <c r="D186" s="5" t="s">
        <v>16</v>
      </c>
      <c r="E186" s="8">
        <v>0.70833333333333304</v>
      </c>
      <c r="F186" s="8">
        <v>0.89583333333333304</v>
      </c>
      <c r="G186" s="10">
        <v>8</v>
      </c>
      <c r="H186" s="14">
        <v>4.4999999999999964</v>
      </c>
      <c r="I186" s="59">
        <v>4.4999999999999964</v>
      </c>
      <c r="J186" s="38" t="s">
        <v>30</v>
      </c>
      <c r="K186" s="15" t="s">
        <v>92</v>
      </c>
      <c r="L186" s="66">
        <f t="shared" si="4"/>
        <v>1</v>
      </c>
      <c r="M186" s="19" t="str">
        <f t="shared" si="5"/>
        <v>Mar_2017</v>
      </c>
    </row>
    <row r="187" spans="1:13">
      <c r="A187" s="4" t="s">
        <v>11</v>
      </c>
      <c r="B187" s="57" t="s">
        <v>12</v>
      </c>
      <c r="C187" s="5">
        <v>42822</v>
      </c>
      <c r="D187" s="5" t="s">
        <v>14</v>
      </c>
      <c r="E187" s="8">
        <v>0.72916666666666696</v>
      </c>
      <c r="F187" s="8">
        <v>0.79166666666666696</v>
      </c>
      <c r="G187" s="10">
        <v>8</v>
      </c>
      <c r="H187" s="14">
        <v>1.4999999999999947</v>
      </c>
      <c r="I187" s="59">
        <v>1.4999999999999947</v>
      </c>
      <c r="J187" s="38" t="s">
        <v>30</v>
      </c>
      <c r="K187" s="15" t="s">
        <v>93</v>
      </c>
      <c r="L187" s="66" t="str">
        <f t="shared" si="4"/>
        <v/>
      </c>
      <c r="M187" s="19" t="str">
        <f t="shared" si="5"/>
        <v>Mar_2017</v>
      </c>
    </row>
    <row r="188" spans="1:13">
      <c r="A188" s="4" t="s">
        <v>11</v>
      </c>
      <c r="B188" s="57" t="s">
        <v>12</v>
      </c>
      <c r="C188" s="5">
        <v>42824</v>
      </c>
      <c r="D188" s="5" t="s">
        <v>25</v>
      </c>
      <c r="E188" s="8">
        <v>0.72916666666666696</v>
      </c>
      <c r="F188" s="8">
        <v>0.89583333333333304</v>
      </c>
      <c r="G188" s="10">
        <v>8</v>
      </c>
      <c r="H188" s="14">
        <v>3.9999999999999822</v>
      </c>
      <c r="I188" s="59">
        <v>3.9999999999999822</v>
      </c>
      <c r="J188" s="38" t="s">
        <v>30</v>
      </c>
      <c r="K188" s="15" t="s">
        <v>94</v>
      </c>
      <c r="L188" s="66">
        <f t="shared" si="4"/>
        <v>1</v>
      </c>
      <c r="M188" s="19" t="str">
        <f t="shared" si="5"/>
        <v>Mar_2017</v>
      </c>
    </row>
    <row r="189" spans="1:13">
      <c r="A189" s="4" t="s">
        <v>11</v>
      </c>
      <c r="B189" s="57" t="s">
        <v>19</v>
      </c>
      <c r="C189" s="5">
        <v>42795</v>
      </c>
      <c r="D189" s="5" t="s">
        <v>15</v>
      </c>
      <c r="E189" s="8">
        <v>0.70833333333333304</v>
      </c>
      <c r="F189" s="8">
        <v>0.89583333333333304</v>
      </c>
      <c r="G189" s="10">
        <v>8</v>
      </c>
      <c r="H189" s="14">
        <v>4.4999999999999964</v>
      </c>
      <c r="I189" s="59">
        <v>4.4999999999999964</v>
      </c>
      <c r="J189" s="38" t="s">
        <v>30</v>
      </c>
      <c r="K189" s="15" t="s">
        <v>81</v>
      </c>
      <c r="L189" s="66">
        <f t="shared" si="4"/>
        <v>1</v>
      </c>
      <c r="M189" s="19" t="str">
        <f t="shared" si="5"/>
        <v>Mar_2017</v>
      </c>
    </row>
    <row r="190" spans="1:13">
      <c r="A190" s="4" t="s">
        <v>11</v>
      </c>
      <c r="B190" s="57" t="s">
        <v>19</v>
      </c>
      <c r="C190" s="5">
        <v>42796</v>
      </c>
      <c r="D190" s="5" t="s">
        <v>25</v>
      </c>
      <c r="E190" s="8">
        <v>0.72916666666666696</v>
      </c>
      <c r="F190" s="8">
        <v>0.89583333333333304</v>
      </c>
      <c r="G190" s="10">
        <v>8</v>
      </c>
      <c r="H190" s="14">
        <v>3.9999999999999822</v>
      </c>
      <c r="I190" s="59">
        <v>3.9999999999999822</v>
      </c>
      <c r="J190" s="38" t="s">
        <v>30</v>
      </c>
      <c r="K190" s="15" t="s">
        <v>82</v>
      </c>
      <c r="L190" s="66">
        <f t="shared" si="4"/>
        <v>1</v>
      </c>
      <c r="M190" s="19" t="str">
        <f t="shared" si="5"/>
        <v>Mar_2017</v>
      </c>
    </row>
    <row r="191" spans="1:13">
      <c r="A191" s="4" t="s">
        <v>11</v>
      </c>
      <c r="B191" s="57" t="s">
        <v>19</v>
      </c>
      <c r="C191" s="5">
        <v>42797</v>
      </c>
      <c r="D191" s="5" t="s">
        <v>17</v>
      </c>
      <c r="E191" s="8">
        <v>0.70833333333333304</v>
      </c>
      <c r="F191" s="8">
        <v>0.72916666666666696</v>
      </c>
      <c r="G191" s="10">
        <v>8</v>
      </c>
      <c r="H191" s="14">
        <v>0.50000000000001243</v>
      </c>
      <c r="I191" s="59">
        <v>0.50000000000001243</v>
      </c>
      <c r="J191" s="38" t="s">
        <v>30</v>
      </c>
      <c r="K191" s="15" t="s">
        <v>83</v>
      </c>
      <c r="L191" s="66" t="str">
        <f t="shared" si="4"/>
        <v/>
      </c>
      <c r="M191" s="19" t="str">
        <f t="shared" si="5"/>
        <v>Mar_2017</v>
      </c>
    </row>
    <row r="192" spans="1:13">
      <c r="A192" s="4" t="s">
        <v>11</v>
      </c>
      <c r="B192" s="57" t="s">
        <v>19</v>
      </c>
      <c r="C192" s="5">
        <v>42798</v>
      </c>
      <c r="D192" s="5" t="s">
        <v>24</v>
      </c>
      <c r="E192" s="8">
        <v>0.41666666666666702</v>
      </c>
      <c r="F192" s="8">
        <v>0.72916666666666696</v>
      </c>
      <c r="G192" s="10">
        <v>8</v>
      </c>
      <c r="H192" s="14">
        <v>7.4999999999999982</v>
      </c>
      <c r="I192" s="59">
        <v>7.5</v>
      </c>
      <c r="J192" s="38" t="s">
        <v>52</v>
      </c>
      <c r="K192" s="15" t="s">
        <v>84</v>
      </c>
      <c r="L192" s="66">
        <f t="shared" si="4"/>
        <v>1</v>
      </c>
      <c r="M192" s="19" t="str">
        <f t="shared" si="5"/>
        <v>Mar_2017</v>
      </c>
    </row>
    <row r="193" spans="1:13">
      <c r="A193" s="4" t="s">
        <v>11</v>
      </c>
      <c r="B193" s="57" t="s">
        <v>19</v>
      </c>
      <c r="C193" s="5">
        <v>42804</v>
      </c>
      <c r="D193" s="5" t="s">
        <v>17</v>
      </c>
      <c r="E193" s="8">
        <v>0.72916666666666696</v>
      </c>
      <c r="F193" s="8">
        <v>0.79166666666666696</v>
      </c>
      <c r="G193" s="10">
        <v>8</v>
      </c>
      <c r="H193" s="14">
        <v>1.4999999999999947</v>
      </c>
      <c r="I193" s="59">
        <v>1.4999999999999947</v>
      </c>
      <c r="J193" s="38" t="s">
        <v>30</v>
      </c>
      <c r="K193" s="15" t="s">
        <v>85</v>
      </c>
      <c r="L193" s="66" t="str">
        <f t="shared" si="4"/>
        <v/>
      </c>
      <c r="M193" s="19" t="str">
        <f t="shared" si="5"/>
        <v>Mar_2017</v>
      </c>
    </row>
    <row r="194" spans="1:13">
      <c r="A194" s="18" t="s">
        <v>11</v>
      </c>
      <c r="B194" s="63" t="s">
        <v>19</v>
      </c>
      <c r="C194" s="5">
        <v>42806</v>
      </c>
      <c r="D194" s="5" t="s">
        <v>13</v>
      </c>
      <c r="E194" s="8">
        <v>0.41666666666666702</v>
      </c>
      <c r="F194" s="8">
        <v>0.54166666666666696</v>
      </c>
      <c r="G194" s="10">
        <v>0</v>
      </c>
      <c r="H194" s="14">
        <v>2.9999999999999987</v>
      </c>
      <c r="I194" s="59">
        <v>2.9999999999999987</v>
      </c>
      <c r="J194" s="38" t="s">
        <v>52</v>
      </c>
      <c r="K194" s="15" t="s">
        <v>95</v>
      </c>
      <c r="L194" s="66">
        <f t="shared" ref="L194:L257" si="6">IF(AND($A194="Perm Staff Onsite",$H194&gt;=2),1,"")</f>
        <v>1</v>
      </c>
      <c r="M194" s="19" t="str">
        <f t="shared" si="5"/>
        <v>Mar_2017</v>
      </c>
    </row>
    <row r="195" spans="1:13">
      <c r="A195" s="4" t="s">
        <v>11</v>
      </c>
      <c r="B195" s="57" t="s">
        <v>19</v>
      </c>
      <c r="C195" s="5">
        <v>42810</v>
      </c>
      <c r="D195" s="5" t="s">
        <v>25</v>
      </c>
      <c r="E195" s="8">
        <v>0.72916666666666696</v>
      </c>
      <c r="F195" s="8">
        <v>0.91666666666666696</v>
      </c>
      <c r="G195" s="10">
        <v>8</v>
      </c>
      <c r="H195" s="14">
        <v>4.4999999999999964</v>
      </c>
      <c r="I195" s="59">
        <v>4.4999999999999964</v>
      </c>
      <c r="J195" s="38" t="s">
        <v>30</v>
      </c>
      <c r="K195" s="15" t="s">
        <v>86</v>
      </c>
      <c r="L195" s="66">
        <f t="shared" si="6"/>
        <v>1</v>
      </c>
      <c r="M195" s="19" t="str">
        <f t="shared" ref="M195:M258" si="7">IF($C195="","",TEXT(DATE(YEAR($C195),MONTH($C195),DAY($C195)),"MMM")&amp;"_"&amp;YEAR($C195))</f>
        <v>Mar_2017</v>
      </c>
    </row>
    <row r="196" spans="1:13">
      <c r="A196" s="4" t="s">
        <v>11</v>
      </c>
      <c r="B196" s="57" t="s">
        <v>19</v>
      </c>
      <c r="C196" s="5">
        <v>42814</v>
      </c>
      <c r="D196" s="5" t="s">
        <v>16</v>
      </c>
      <c r="E196" s="8">
        <v>0.70833333333333304</v>
      </c>
      <c r="F196" s="8">
        <v>0.78125</v>
      </c>
      <c r="G196" s="10">
        <v>8</v>
      </c>
      <c r="H196" s="14">
        <v>1.7500000000000053</v>
      </c>
      <c r="I196" s="59">
        <v>1.7500000000000053</v>
      </c>
      <c r="J196" s="38" t="s">
        <v>30</v>
      </c>
      <c r="K196" s="15" t="s">
        <v>87</v>
      </c>
      <c r="L196" s="66" t="str">
        <f t="shared" si="6"/>
        <v/>
      </c>
      <c r="M196" s="19" t="str">
        <f t="shared" si="7"/>
        <v>Mar_2017</v>
      </c>
    </row>
    <row r="197" spans="1:13">
      <c r="A197" s="4" t="s">
        <v>11</v>
      </c>
      <c r="B197" s="57" t="s">
        <v>19</v>
      </c>
      <c r="C197" s="5">
        <v>42815</v>
      </c>
      <c r="D197" s="5" t="s">
        <v>14</v>
      </c>
      <c r="E197" s="8">
        <v>0.70833333333333304</v>
      </c>
      <c r="F197" s="8">
        <v>0.89583333333333304</v>
      </c>
      <c r="G197" s="10">
        <v>8</v>
      </c>
      <c r="H197" s="14">
        <v>4.4999999999999964</v>
      </c>
      <c r="I197" s="59">
        <v>4.4999999999999964</v>
      </c>
      <c r="J197" s="38" t="s">
        <v>30</v>
      </c>
      <c r="K197" s="15" t="s">
        <v>88</v>
      </c>
      <c r="L197" s="66">
        <f t="shared" si="6"/>
        <v>1</v>
      </c>
      <c r="M197" s="19" t="str">
        <f t="shared" si="7"/>
        <v>Mar_2017</v>
      </c>
    </row>
    <row r="198" spans="1:13">
      <c r="A198" s="4" t="s">
        <v>11</v>
      </c>
      <c r="B198" s="57" t="s">
        <v>19</v>
      </c>
      <c r="C198" s="5">
        <v>42816</v>
      </c>
      <c r="D198" s="5" t="s">
        <v>15</v>
      </c>
      <c r="E198" s="8">
        <v>0.70833333333333304</v>
      </c>
      <c r="F198" s="8">
        <v>0.77083333333333304</v>
      </c>
      <c r="G198" s="10">
        <v>8</v>
      </c>
      <c r="H198" s="14">
        <v>1.4999999999999982</v>
      </c>
      <c r="I198" s="59">
        <v>1.4999999999999982</v>
      </c>
      <c r="J198" s="38" t="s">
        <v>30</v>
      </c>
      <c r="K198" s="15" t="s">
        <v>89</v>
      </c>
      <c r="L198" s="66" t="str">
        <f t="shared" si="6"/>
        <v/>
      </c>
      <c r="M198" s="19" t="str">
        <f t="shared" si="7"/>
        <v>Mar_2017</v>
      </c>
    </row>
    <row r="199" spans="1:13">
      <c r="A199" s="4" t="s">
        <v>11</v>
      </c>
      <c r="B199" s="57" t="s">
        <v>19</v>
      </c>
      <c r="C199" s="5">
        <v>42817</v>
      </c>
      <c r="D199" s="5" t="s">
        <v>25</v>
      </c>
      <c r="E199" s="8">
        <v>0.70833333333333304</v>
      </c>
      <c r="F199" s="8">
        <v>0.77083333333333304</v>
      </c>
      <c r="G199" s="10">
        <v>8</v>
      </c>
      <c r="H199" s="14">
        <v>1.4999999999999982</v>
      </c>
      <c r="I199" s="59">
        <v>1.4999999999999982</v>
      </c>
      <c r="J199" s="38" t="s">
        <v>30</v>
      </c>
      <c r="K199" s="15" t="s">
        <v>90</v>
      </c>
      <c r="L199" s="66" t="str">
        <f t="shared" si="6"/>
        <v/>
      </c>
      <c r="M199" s="19" t="str">
        <f t="shared" si="7"/>
        <v>Mar_2017</v>
      </c>
    </row>
    <row r="200" spans="1:13">
      <c r="A200" s="4" t="s">
        <v>11</v>
      </c>
      <c r="B200" s="57" t="s">
        <v>19</v>
      </c>
      <c r="C200" s="5">
        <v>42819</v>
      </c>
      <c r="D200" s="5" t="s">
        <v>24</v>
      </c>
      <c r="E200" s="8">
        <v>0.35416666666666702</v>
      </c>
      <c r="F200" s="8">
        <v>0.72916666666666696</v>
      </c>
      <c r="G200" s="10">
        <v>8</v>
      </c>
      <c r="H200" s="14">
        <v>7.9999999999999982</v>
      </c>
      <c r="I200" s="59">
        <v>8</v>
      </c>
      <c r="J200" s="38" t="s">
        <v>52</v>
      </c>
      <c r="K200" s="15" t="s">
        <v>91</v>
      </c>
      <c r="L200" s="66">
        <f t="shared" si="6"/>
        <v>1</v>
      </c>
      <c r="M200" s="19" t="str">
        <f t="shared" si="7"/>
        <v>Mar_2017</v>
      </c>
    </row>
    <row r="201" spans="1:13">
      <c r="A201" s="4" t="s">
        <v>11</v>
      </c>
      <c r="B201" s="57" t="s">
        <v>19</v>
      </c>
      <c r="C201" s="5">
        <v>42821</v>
      </c>
      <c r="D201" s="5" t="s">
        <v>16</v>
      </c>
      <c r="E201" s="8">
        <v>0.72916666666666696</v>
      </c>
      <c r="F201" s="8">
        <v>0.89583333333333304</v>
      </c>
      <c r="G201" s="10">
        <v>8</v>
      </c>
      <c r="H201" s="14">
        <v>3.9999999999999822</v>
      </c>
      <c r="I201" s="59">
        <v>3.9999999999999822</v>
      </c>
      <c r="J201" s="38" t="s">
        <v>30</v>
      </c>
      <c r="K201" s="15" t="s">
        <v>92</v>
      </c>
      <c r="L201" s="66">
        <f t="shared" si="6"/>
        <v>1</v>
      </c>
      <c r="M201" s="19" t="str">
        <f t="shared" si="7"/>
        <v>Mar_2017</v>
      </c>
    </row>
    <row r="202" spans="1:13">
      <c r="A202" s="4" t="s">
        <v>11</v>
      </c>
      <c r="B202" s="57" t="s">
        <v>19</v>
      </c>
      <c r="C202" s="5">
        <v>42823</v>
      </c>
      <c r="D202" s="5" t="s">
        <v>15</v>
      </c>
      <c r="E202" s="8">
        <v>0.72916666666666696</v>
      </c>
      <c r="F202" s="8">
        <v>0.89583333333333304</v>
      </c>
      <c r="G202" s="10">
        <v>8</v>
      </c>
      <c r="H202" s="14">
        <v>3.9999999999999822</v>
      </c>
      <c r="I202" s="59">
        <v>3.9999999999999822</v>
      </c>
      <c r="J202" s="38" t="s">
        <v>30</v>
      </c>
      <c r="K202" s="15" t="s">
        <v>96</v>
      </c>
      <c r="L202" s="66">
        <f t="shared" si="6"/>
        <v>1</v>
      </c>
      <c r="M202" s="19" t="str">
        <f t="shared" si="7"/>
        <v>Mar_2017</v>
      </c>
    </row>
    <row r="203" spans="1:13">
      <c r="A203" s="4" t="s">
        <v>11</v>
      </c>
      <c r="B203" s="57" t="s">
        <v>19</v>
      </c>
      <c r="C203" s="5">
        <v>42824</v>
      </c>
      <c r="D203" s="5" t="s">
        <v>25</v>
      </c>
      <c r="E203" s="8">
        <v>0.72916666666666696</v>
      </c>
      <c r="F203" s="8">
        <v>0.89583333333333304</v>
      </c>
      <c r="G203" s="10">
        <v>8</v>
      </c>
      <c r="H203" s="14">
        <v>3.9999999999999822</v>
      </c>
      <c r="I203" s="59">
        <v>3.9999999999999822</v>
      </c>
      <c r="J203" s="38" t="s">
        <v>30</v>
      </c>
      <c r="K203" s="15" t="s">
        <v>94</v>
      </c>
      <c r="L203" s="66">
        <f t="shared" si="6"/>
        <v>1</v>
      </c>
      <c r="M203" s="19" t="str">
        <f t="shared" si="7"/>
        <v>Mar_2017</v>
      </c>
    </row>
    <row r="204" spans="1:13">
      <c r="A204" s="4" t="s">
        <v>11</v>
      </c>
      <c r="B204" s="57" t="s">
        <v>19</v>
      </c>
      <c r="C204" s="5">
        <v>42825</v>
      </c>
      <c r="D204" s="5" t="s">
        <v>17</v>
      </c>
      <c r="E204" s="8">
        <v>0.72916666666666696</v>
      </c>
      <c r="F204" s="8">
        <v>0.89583333333333304</v>
      </c>
      <c r="G204" s="10">
        <v>8</v>
      </c>
      <c r="H204" s="14">
        <v>3.9999999999999822</v>
      </c>
      <c r="I204" s="59">
        <v>3.9999999999999822</v>
      </c>
      <c r="J204" s="38" t="s">
        <v>30</v>
      </c>
      <c r="K204" s="15" t="s">
        <v>97</v>
      </c>
      <c r="L204" s="66">
        <f t="shared" si="6"/>
        <v>1</v>
      </c>
      <c r="M204" s="19" t="str">
        <f t="shared" si="7"/>
        <v>Mar_2017</v>
      </c>
    </row>
    <row r="205" spans="1:13">
      <c r="A205" s="4" t="s">
        <v>11</v>
      </c>
      <c r="B205" s="57" t="s">
        <v>20</v>
      </c>
      <c r="C205" s="5">
        <v>42795</v>
      </c>
      <c r="D205" s="5" t="s">
        <v>15</v>
      </c>
      <c r="E205" s="8">
        <v>0.70833333333333304</v>
      </c>
      <c r="F205" s="8">
        <v>0.85416666666666696</v>
      </c>
      <c r="G205" s="10">
        <v>8</v>
      </c>
      <c r="H205" s="14">
        <v>3.5000000000000107</v>
      </c>
      <c r="I205" s="59">
        <v>3.5000000000000107</v>
      </c>
      <c r="J205" s="38" t="s">
        <v>30</v>
      </c>
      <c r="K205" s="15" t="s">
        <v>81</v>
      </c>
      <c r="L205" s="66">
        <f t="shared" si="6"/>
        <v>1</v>
      </c>
      <c r="M205" s="19" t="str">
        <f t="shared" si="7"/>
        <v>Mar_2017</v>
      </c>
    </row>
    <row r="206" spans="1:13">
      <c r="A206" s="4" t="s">
        <v>11</v>
      </c>
      <c r="B206" s="57" t="s">
        <v>20</v>
      </c>
      <c r="C206" s="5">
        <v>42796</v>
      </c>
      <c r="D206" s="5" t="s">
        <v>25</v>
      </c>
      <c r="E206" s="8">
        <v>0.72916666666666696</v>
      </c>
      <c r="F206" s="8">
        <v>0.875</v>
      </c>
      <c r="G206" s="10">
        <v>8</v>
      </c>
      <c r="H206" s="14">
        <v>3.4999999999999893</v>
      </c>
      <c r="I206" s="59">
        <v>3.4999999999999893</v>
      </c>
      <c r="J206" s="38" t="s">
        <v>30</v>
      </c>
      <c r="K206" s="15" t="s">
        <v>82</v>
      </c>
      <c r="L206" s="66">
        <f t="shared" si="6"/>
        <v>1</v>
      </c>
      <c r="M206" s="19" t="str">
        <f t="shared" si="7"/>
        <v>Mar_2017</v>
      </c>
    </row>
    <row r="207" spans="1:13">
      <c r="A207" s="4" t="s">
        <v>11</v>
      </c>
      <c r="B207" s="57" t="s">
        <v>20</v>
      </c>
      <c r="C207" s="5">
        <v>42797</v>
      </c>
      <c r="D207" s="5" t="s">
        <v>17</v>
      </c>
      <c r="E207" s="8">
        <v>0.72916666666666696</v>
      </c>
      <c r="F207" s="8">
        <v>0.85416666666666696</v>
      </c>
      <c r="G207" s="10">
        <v>8</v>
      </c>
      <c r="H207" s="14">
        <v>2.9999999999999947</v>
      </c>
      <c r="I207" s="59">
        <v>2.9999999999999947</v>
      </c>
      <c r="J207" s="38" t="s">
        <v>30</v>
      </c>
      <c r="K207" s="15" t="s">
        <v>83</v>
      </c>
      <c r="L207" s="66">
        <f t="shared" si="6"/>
        <v>1</v>
      </c>
      <c r="M207" s="19" t="str">
        <f t="shared" si="7"/>
        <v>Mar_2017</v>
      </c>
    </row>
    <row r="208" spans="1:13">
      <c r="A208" s="4" t="s">
        <v>11</v>
      </c>
      <c r="B208" s="57" t="s">
        <v>20</v>
      </c>
      <c r="C208" s="5">
        <v>42804</v>
      </c>
      <c r="D208" s="5" t="s">
        <v>17</v>
      </c>
      <c r="E208" s="8">
        <v>0.72916666666666696</v>
      </c>
      <c r="F208" s="8">
        <v>0.79166666666666696</v>
      </c>
      <c r="G208" s="10">
        <v>8</v>
      </c>
      <c r="H208" s="14">
        <v>1.4999999999999947</v>
      </c>
      <c r="I208" s="59">
        <v>1.4999999999999947</v>
      </c>
      <c r="J208" s="38" t="s">
        <v>30</v>
      </c>
      <c r="K208" s="15" t="s">
        <v>85</v>
      </c>
      <c r="L208" s="66" t="str">
        <f t="shared" si="6"/>
        <v/>
      </c>
      <c r="M208" s="19" t="str">
        <f t="shared" si="7"/>
        <v>Mar_2017</v>
      </c>
    </row>
    <row r="209" spans="1:13">
      <c r="A209" s="4" t="s">
        <v>11</v>
      </c>
      <c r="B209" s="57" t="s">
        <v>20</v>
      </c>
      <c r="C209" s="5">
        <v>42810</v>
      </c>
      <c r="D209" s="5" t="s">
        <v>25</v>
      </c>
      <c r="E209" s="8">
        <v>0.70833333333333304</v>
      </c>
      <c r="F209" s="8">
        <v>0.91666666666666696</v>
      </c>
      <c r="G209" s="10">
        <v>8</v>
      </c>
      <c r="H209" s="14">
        <v>5.0000000000000107</v>
      </c>
      <c r="I209" s="59">
        <v>5.0000000000000107</v>
      </c>
      <c r="J209" s="38" t="s">
        <v>30</v>
      </c>
      <c r="K209" s="15" t="s">
        <v>86</v>
      </c>
      <c r="L209" s="66">
        <f t="shared" si="6"/>
        <v>1</v>
      </c>
      <c r="M209" s="19" t="str">
        <f t="shared" si="7"/>
        <v>Mar_2017</v>
      </c>
    </row>
    <row r="210" spans="1:13">
      <c r="A210" s="4" t="s">
        <v>11</v>
      </c>
      <c r="B210" s="57" t="s">
        <v>20</v>
      </c>
      <c r="C210" s="5">
        <v>42815</v>
      </c>
      <c r="D210" s="5" t="s">
        <v>14</v>
      </c>
      <c r="E210" s="8">
        <v>0.72916666666666696</v>
      </c>
      <c r="F210" s="8">
        <v>0.85416666666666696</v>
      </c>
      <c r="G210" s="10">
        <v>8</v>
      </c>
      <c r="H210" s="14">
        <v>2.9999999999999947</v>
      </c>
      <c r="I210" s="59">
        <v>2.9999999999999947</v>
      </c>
      <c r="J210" s="38" t="s">
        <v>30</v>
      </c>
      <c r="K210" s="15" t="s">
        <v>88</v>
      </c>
      <c r="L210" s="66">
        <f t="shared" si="6"/>
        <v>1</v>
      </c>
      <c r="M210" s="19" t="str">
        <f t="shared" si="7"/>
        <v>Mar_2017</v>
      </c>
    </row>
    <row r="211" spans="1:13">
      <c r="A211" s="4" t="s">
        <v>11</v>
      </c>
      <c r="B211" s="57" t="s">
        <v>20</v>
      </c>
      <c r="C211" s="5">
        <v>42816</v>
      </c>
      <c r="D211" s="5" t="s">
        <v>15</v>
      </c>
      <c r="E211" s="8">
        <v>0.72916666666666696</v>
      </c>
      <c r="F211" s="8">
        <v>0.75</v>
      </c>
      <c r="G211" s="10">
        <v>8</v>
      </c>
      <c r="H211" s="14">
        <v>0.49999999999998757</v>
      </c>
      <c r="I211" s="59">
        <v>0.49999999999998757</v>
      </c>
      <c r="J211" s="38" t="s">
        <v>30</v>
      </c>
      <c r="K211" s="15" t="s">
        <v>89</v>
      </c>
      <c r="L211" s="66" t="str">
        <f t="shared" si="6"/>
        <v/>
      </c>
      <c r="M211" s="19" t="str">
        <f t="shared" si="7"/>
        <v>Mar_2017</v>
      </c>
    </row>
    <row r="212" spans="1:13">
      <c r="A212" s="4" t="s">
        <v>11</v>
      </c>
      <c r="B212" s="57" t="s">
        <v>20</v>
      </c>
      <c r="C212" s="5">
        <v>42817</v>
      </c>
      <c r="D212" s="5" t="s">
        <v>25</v>
      </c>
      <c r="E212" s="8">
        <v>0.72916666666666696</v>
      </c>
      <c r="F212" s="8">
        <v>0.77083333333333304</v>
      </c>
      <c r="G212" s="10">
        <v>8</v>
      </c>
      <c r="H212" s="14">
        <v>0.99999999999998046</v>
      </c>
      <c r="I212" s="59">
        <v>0.99999999999998046</v>
      </c>
      <c r="J212" s="38" t="s">
        <v>30</v>
      </c>
      <c r="K212" s="15" t="s">
        <v>90</v>
      </c>
      <c r="L212" s="66" t="str">
        <f t="shared" si="6"/>
        <v/>
      </c>
      <c r="M212" s="19" t="str">
        <f t="shared" si="7"/>
        <v>Mar_2017</v>
      </c>
    </row>
    <row r="213" spans="1:13">
      <c r="A213" s="4" t="s">
        <v>11</v>
      </c>
      <c r="B213" s="57" t="s">
        <v>20</v>
      </c>
      <c r="C213" s="5">
        <v>42821</v>
      </c>
      <c r="D213" s="5" t="s">
        <v>16</v>
      </c>
      <c r="E213" s="8">
        <v>0.72916666666666696</v>
      </c>
      <c r="F213" s="8">
        <v>0.85416666666666696</v>
      </c>
      <c r="G213" s="10">
        <v>8</v>
      </c>
      <c r="H213" s="14">
        <v>2.9999999999999947</v>
      </c>
      <c r="I213" s="59">
        <v>2.9999999999999947</v>
      </c>
      <c r="J213" s="38" t="s">
        <v>30</v>
      </c>
      <c r="K213" s="15" t="s">
        <v>92</v>
      </c>
      <c r="L213" s="66">
        <f t="shared" si="6"/>
        <v>1</v>
      </c>
      <c r="M213" s="19" t="str">
        <f t="shared" si="7"/>
        <v>Mar_2017</v>
      </c>
    </row>
    <row r="214" spans="1:13">
      <c r="A214" s="4" t="s">
        <v>11</v>
      </c>
      <c r="B214" s="57" t="s">
        <v>20</v>
      </c>
      <c r="C214" s="5">
        <v>42822</v>
      </c>
      <c r="D214" s="5" t="s">
        <v>14</v>
      </c>
      <c r="E214" s="8">
        <v>0.72916666666666696</v>
      </c>
      <c r="F214" s="8">
        <v>0.77083333333333304</v>
      </c>
      <c r="G214" s="10">
        <v>8</v>
      </c>
      <c r="H214" s="14">
        <v>0.99999999999998046</v>
      </c>
      <c r="I214" s="59">
        <v>0.99999999999998046</v>
      </c>
      <c r="J214" s="38" t="s">
        <v>30</v>
      </c>
      <c r="K214" s="15" t="s">
        <v>93</v>
      </c>
      <c r="L214" s="66" t="str">
        <f t="shared" si="6"/>
        <v/>
      </c>
      <c r="M214" s="19" t="str">
        <f t="shared" si="7"/>
        <v>Mar_2017</v>
      </c>
    </row>
    <row r="215" spans="1:13">
      <c r="A215" s="4" t="s">
        <v>11</v>
      </c>
      <c r="B215" s="57" t="s">
        <v>20</v>
      </c>
      <c r="C215" s="5">
        <v>42823</v>
      </c>
      <c r="D215" s="5" t="s">
        <v>15</v>
      </c>
      <c r="E215" s="8">
        <v>0.72916666666666696</v>
      </c>
      <c r="F215" s="8">
        <v>0.85416666666666696</v>
      </c>
      <c r="G215" s="10">
        <v>8</v>
      </c>
      <c r="H215" s="14">
        <v>2.9999999999999947</v>
      </c>
      <c r="I215" s="59">
        <v>2.9999999999999947</v>
      </c>
      <c r="J215" s="38" t="s">
        <v>30</v>
      </c>
      <c r="K215" s="15" t="s">
        <v>96</v>
      </c>
      <c r="L215" s="66">
        <f t="shared" si="6"/>
        <v>1</v>
      </c>
      <c r="M215" s="19" t="str">
        <f t="shared" si="7"/>
        <v>Mar_2017</v>
      </c>
    </row>
    <row r="216" spans="1:13">
      <c r="A216" s="4" t="s">
        <v>11</v>
      </c>
      <c r="B216" s="57" t="s">
        <v>20</v>
      </c>
      <c r="C216" s="5">
        <v>42824</v>
      </c>
      <c r="D216" s="5" t="s">
        <v>25</v>
      </c>
      <c r="E216" s="8">
        <v>0.72916666666666696</v>
      </c>
      <c r="F216" s="8">
        <v>0.85416666666666696</v>
      </c>
      <c r="G216" s="10">
        <v>8</v>
      </c>
      <c r="H216" s="14">
        <v>2.9999999999999947</v>
      </c>
      <c r="I216" s="59">
        <v>2.9999999999999947</v>
      </c>
      <c r="J216" s="38" t="s">
        <v>30</v>
      </c>
      <c r="K216" s="15" t="s">
        <v>94</v>
      </c>
      <c r="L216" s="66">
        <f t="shared" si="6"/>
        <v>1</v>
      </c>
      <c r="M216" s="19" t="str">
        <f t="shared" si="7"/>
        <v>Mar_2017</v>
      </c>
    </row>
    <row r="217" spans="1:13">
      <c r="A217" s="4" t="s">
        <v>11</v>
      </c>
      <c r="B217" s="57" t="s">
        <v>21</v>
      </c>
      <c r="C217" s="5">
        <v>42795</v>
      </c>
      <c r="D217" s="5" t="s">
        <v>15</v>
      </c>
      <c r="E217" s="8">
        <v>0.70833333333333304</v>
      </c>
      <c r="F217" s="8">
        <v>0.875</v>
      </c>
      <c r="G217" s="10">
        <v>8</v>
      </c>
      <c r="H217" s="14">
        <v>4.0000000000000036</v>
      </c>
      <c r="I217" s="59">
        <v>4.0000000000000036</v>
      </c>
      <c r="J217" s="38" t="s">
        <v>30</v>
      </c>
      <c r="K217" s="15" t="s">
        <v>81</v>
      </c>
      <c r="L217" s="66">
        <f t="shared" si="6"/>
        <v>1</v>
      </c>
      <c r="M217" s="19" t="str">
        <f t="shared" si="7"/>
        <v>Mar_2017</v>
      </c>
    </row>
    <row r="218" spans="1:13">
      <c r="A218" s="4" t="s">
        <v>11</v>
      </c>
      <c r="B218" s="57" t="s">
        <v>21</v>
      </c>
      <c r="C218" s="5">
        <v>42796</v>
      </c>
      <c r="D218" s="5" t="s">
        <v>25</v>
      </c>
      <c r="E218" s="8">
        <v>0.72916666666666696</v>
      </c>
      <c r="F218" s="8">
        <v>0.89583333333333304</v>
      </c>
      <c r="G218" s="10">
        <v>8</v>
      </c>
      <c r="H218" s="14">
        <v>3.9999999999999822</v>
      </c>
      <c r="I218" s="59">
        <v>3.9999999999999822</v>
      </c>
      <c r="J218" s="38" t="s">
        <v>30</v>
      </c>
      <c r="K218" s="15" t="s">
        <v>82</v>
      </c>
      <c r="L218" s="66">
        <f t="shared" si="6"/>
        <v>1</v>
      </c>
      <c r="M218" s="19" t="str">
        <f t="shared" si="7"/>
        <v>Mar_2017</v>
      </c>
    </row>
    <row r="219" spans="1:13">
      <c r="A219" s="4" t="s">
        <v>11</v>
      </c>
      <c r="B219" s="57" t="s">
        <v>21</v>
      </c>
      <c r="C219" s="5">
        <v>42797</v>
      </c>
      <c r="D219" s="5" t="s">
        <v>17</v>
      </c>
      <c r="E219" s="8">
        <v>0.72916666666666696</v>
      </c>
      <c r="F219" s="8">
        <v>0.85416666666666696</v>
      </c>
      <c r="G219" s="10">
        <v>8</v>
      </c>
      <c r="H219" s="14">
        <v>2.9999999999999947</v>
      </c>
      <c r="I219" s="59">
        <v>2.9999999999999947</v>
      </c>
      <c r="J219" s="38" t="s">
        <v>30</v>
      </c>
      <c r="K219" s="15" t="s">
        <v>83</v>
      </c>
      <c r="L219" s="66">
        <f t="shared" si="6"/>
        <v>1</v>
      </c>
      <c r="M219" s="19" t="str">
        <f t="shared" si="7"/>
        <v>Mar_2017</v>
      </c>
    </row>
    <row r="220" spans="1:13">
      <c r="A220" s="4" t="s">
        <v>11</v>
      </c>
      <c r="B220" s="57" t="s">
        <v>21</v>
      </c>
      <c r="C220" s="5">
        <v>42798</v>
      </c>
      <c r="D220" s="5" t="s">
        <v>24</v>
      </c>
      <c r="E220" s="8">
        <v>0.41666666666666702</v>
      </c>
      <c r="F220" s="8">
        <v>0.72916666666666696</v>
      </c>
      <c r="G220" s="10">
        <v>8</v>
      </c>
      <c r="H220" s="14">
        <v>7.4999999999999982</v>
      </c>
      <c r="I220" s="59">
        <v>7.5</v>
      </c>
      <c r="J220" s="38" t="s">
        <v>52</v>
      </c>
      <c r="K220" s="15" t="s">
        <v>84</v>
      </c>
      <c r="L220" s="66">
        <f t="shared" si="6"/>
        <v>1</v>
      </c>
      <c r="M220" s="19" t="str">
        <f t="shared" si="7"/>
        <v>Mar_2017</v>
      </c>
    </row>
    <row r="221" spans="1:13">
      <c r="A221" s="4" t="s">
        <v>11</v>
      </c>
      <c r="B221" s="57" t="s">
        <v>21</v>
      </c>
      <c r="C221" s="5">
        <v>42810</v>
      </c>
      <c r="D221" s="5" t="s">
        <v>25</v>
      </c>
      <c r="E221" s="8">
        <v>0.72916666666666696</v>
      </c>
      <c r="F221" s="8">
        <v>0.91666666666666696</v>
      </c>
      <c r="G221" s="10">
        <v>8</v>
      </c>
      <c r="H221" s="14">
        <v>4.4999999999999964</v>
      </c>
      <c r="I221" s="59">
        <v>4.4999999999999964</v>
      </c>
      <c r="J221" s="38" t="s">
        <v>30</v>
      </c>
      <c r="K221" s="15" t="s">
        <v>86</v>
      </c>
      <c r="L221" s="66">
        <f t="shared" si="6"/>
        <v>1</v>
      </c>
      <c r="M221" s="19" t="str">
        <f t="shared" si="7"/>
        <v>Mar_2017</v>
      </c>
    </row>
    <row r="222" spans="1:13">
      <c r="A222" s="4" t="s">
        <v>11</v>
      </c>
      <c r="B222" s="57" t="s">
        <v>21</v>
      </c>
      <c r="C222" s="5">
        <v>42814</v>
      </c>
      <c r="D222" s="5" t="s">
        <v>16</v>
      </c>
      <c r="E222" s="8">
        <v>0.72916666666666696</v>
      </c>
      <c r="F222" s="8">
        <v>0.78125</v>
      </c>
      <c r="G222" s="10">
        <v>8</v>
      </c>
      <c r="H222" s="14">
        <v>1.2499999999999876</v>
      </c>
      <c r="I222" s="59">
        <v>1.2499999999999876</v>
      </c>
      <c r="J222" s="38" t="s">
        <v>30</v>
      </c>
      <c r="K222" s="15" t="s">
        <v>87</v>
      </c>
      <c r="L222" s="66" t="str">
        <f t="shared" si="6"/>
        <v/>
      </c>
      <c r="M222" s="19" t="str">
        <f t="shared" si="7"/>
        <v>Mar_2017</v>
      </c>
    </row>
    <row r="223" spans="1:13">
      <c r="A223" s="4" t="s">
        <v>11</v>
      </c>
      <c r="B223" s="57" t="s">
        <v>21</v>
      </c>
      <c r="C223" s="5">
        <v>42815</v>
      </c>
      <c r="D223" s="5" t="s">
        <v>14</v>
      </c>
      <c r="E223" s="8">
        <v>0.72916666666666696</v>
      </c>
      <c r="F223" s="8">
        <v>0.89583333333333304</v>
      </c>
      <c r="G223" s="10">
        <v>8</v>
      </c>
      <c r="H223" s="14">
        <v>3.9999999999999822</v>
      </c>
      <c r="I223" s="59">
        <v>3.9999999999999822</v>
      </c>
      <c r="J223" s="38" t="s">
        <v>30</v>
      </c>
      <c r="K223" s="15" t="s">
        <v>88</v>
      </c>
      <c r="L223" s="66">
        <f t="shared" si="6"/>
        <v>1</v>
      </c>
      <c r="M223" s="19" t="str">
        <f t="shared" si="7"/>
        <v>Mar_2017</v>
      </c>
    </row>
    <row r="224" spans="1:13">
      <c r="A224" s="4" t="s">
        <v>11</v>
      </c>
      <c r="B224" s="57" t="s">
        <v>21</v>
      </c>
      <c r="C224" s="5">
        <v>42816</v>
      </c>
      <c r="D224" s="5" t="s">
        <v>15</v>
      </c>
      <c r="E224" s="8">
        <v>0.72916666666666696</v>
      </c>
      <c r="F224" s="8">
        <v>0.8125</v>
      </c>
      <c r="G224" s="10">
        <v>8</v>
      </c>
      <c r="H224" s="14">
        <v>1.9999999999999876</v>
      </c>
      <c r="I224" s="59">
        <v>1.9999999999999876</v>
      </c>
      <c r="J224" s="38" t="s">
        <v>30</v>
      </c>
      <c r="K224" s="15" t="s">
        <v>89</v>
      </c>
      <c r="L224" s="66" t="str">
        <f t="shared" si="6"/>
        <v/>
      </c>
      <c r="M224" s="19" t="str">
        <f t="shared" si="7"/>
        <v>Mar_2017</v>
      </c>
    </row>
    <row r="225" spans="1:13">
      <c r="A225" s="4" t="s">
        <v>11</v>
      </c>
      <c r="B225" s="57" t="s">
        <v>21</v>
      </c>
      <c r="C225" s="5">
        <v>42817</v>
      </c>
      <c r="D225" s="5" t="s">
        <v>25</v>
      </c>
      <c r="E225" s="8">
        <v>0.72916666666666696</v>
      </c>
      <c r="F225" s="8">
        <v>0.77083333333333304</v>
      </c>
      <c r="G225" s="10">
        <v>8</v>
      </c>
      <c r="H225" s="14">
        <v>0.99999999999998046</v>
      </c>
      <c r="I225" s="59">
        <v>0.99999999999998046</v>
      </c>
      <c r="J225" s="38" t="s">
        <v>30</v>
      </c>
      <c r="K225" s="15" t="s">
        <v>90</v>
      </c>
      <c r="L225" s="66" t="str">
        <f t="shared" si="6"/>
        <v/>
      </c>
      <c r="M225" s="19" t="str">
        <f t="shared" si="7"/>
        <v>Mar_2017</v>
      </c>
    </row>
    <row r="226" spans="1:13">
      <c r="A226" s="4" t="s">
        <v>11</v>
      </c>
      <c r="B226" s="57" t="s">
        <v>21</v>
      </c>
      <c r="C226" s="5">
        <v>42819</v>
      </c>
      <c r="D226" s="5" t="s">
        <v>24</v>
      </c>
      <c r="E226" s="8">
        <v>0.375</v>
      </c>
      <c r="F226" s="8">
        <v>0.72916666666666696</v>
      </c>
      <c r="G226" s="10">
        <v>8</v>
      </c>
      <c r="H226" s="14">
        <v>7.5000000000000071</v>
      </c>
      <c r="I226" s="59">
        <v>7.5</v>
      </c>
      <c r="J226" s="38" t="s">
        <v>52</v>
      </c>
      <c r="K226" s="15" t="s">
        <v>91</v>
      </c>
      <c r="L226" s="66">
        <f t="shared" si="6"/>
        <v>1</v>
      </c>
      <c r="M226" s="19" t="str">
        <f t="shared" si="7"/>
        <v>Mar_2017</v>
      </c>
    </row>
    <row r="227" spans="1:13">
      <c r="A227" s="4" t="s">
        <v>11</v>
      </c>
      <c r="B227" s="57" t="s">
        <v>21</v>
      </c>
      <c r="C227" s="5">
        <v>42821</v>
      </c>
      <c r="D227" s="5" t="s">
        <v>16</v>
      </c>
      <c r="E227" s="8">
        <v>0.70833333333333304</v>
      </c>
      <c r="F227" s="8">
        <v>0.89583333333333304</v>
      </c>
      <c r="G227" s="10">
        <v>8</v>
      </c>
      <c r="H227" s="14">
        <v>4.4999999999999964</v>
      </c>
      <c r="I227" s="59">
        <v>4.4999999999999964</v>
      </c>
      <c r="J227" s="38" t="s">
        <v>30</v>
      </c>
      <c r="K227" s="15" t="s">
        <v>92</v>
      </c>
      <c r="L227" s="66">
        <f t="shared" si="6"/>
        <v>1</v>
      </c>
      <c r="M227" s="19" t="str">
        <f t="shared" si="7"/>
        <v>Mar_2017</v>
      </c>
    </row>
    <row r="228" spans="1:13">
      <c r="A228" s="4" t="s">
        <v>11</v>
      </c>
      <c r="B228" s="57" t="s">
        <v>21</v>
      </c>
      <c r="C228" s="5">
        <v>42822</v>
      </c>
      <c r="D228" s="5" t="s">
        <v>14</v>
      </c>
      <c r="E228" s="8">
        <v>0.72916666666666696</v>
      </c>
      <c r="F228" s="8">
        <v>0.79166666666666696</v>
      </c>
      <c r="G228" s="10">
        <v>8</v>
      </c>
      <c r="H228" s="14">
        <v>1.4999999999999947</v>
      </c>
      <c r="I228" s="59">
        <v>1.4999999999999947</v>
      </c>
      <c r="J228" s="38" t="s">
        <v>30</v>
      </c>
      <c r="K228" s="15" t="s">
        <v>93</v>
      </c>
      <c r="L228" s="66" t="str">
        <f t="shared" si="6"/>
        <v/>
      </c>
      <c r="M228" s="19" t="str">
        <f t="shared" si="7"/>
        <v>Mar_2017</v>
      </c>
    </row>
    <row r="229" spans="1:13">
      <c r="A229" s="4" t="s">
        <v>11</v>
      </c>
      <c r="B229" s="57" t="s">
        <v>21</v>
      </c>
      <c r="C229" s="5">
        <v>42823</v>
      </c>
      <c r="D229" s="5" t="s">
        <v>15</v>
      </c>
      <c r="E229" s="8">
        <v>0.72916666666666696</v>
      </c>
      <c r="F229" s="8">
        <v>0.89583333333333304</v>
      </c>
      <c r="G229" s="10">
        <v>8</v>
      </c>
      <c r="H229" s="14">
        <v>3.9999999999999822</v>
      </c>
      <c r="I229" s="59">
        <v>3.9999999999999822</v>
      </c>
      <c r="J229" s="38" t="s">
        <v>30</v>
      </c>
      <c r="K229" s="15" t="s">
        <v>96</v>
      </c>
      <c r="L229" s="66">
        <f t="shared" si="6"/>
        <v>1</v>
      </c>
      <c r="M229" s="19" t="str">
        <f t="shared" si="7"/>
        <v>Mar_2017</v>
      </c>
    </row>
    <row r="230" spans="1:13">
      <c r="A230" s="4" t="s">
        <v>11</v>
      </c>
      <c r="B230" s="57" t="s">
        <v>21</v>
      </c>
      <c r="C230" s="5">
        <v>42824</v>
      </c>
      <c r="D230" s="5" t="s">
        <v>25</v>
      </c>
      <c r="E230" s="8">
        <v>0.72916666666666696</v>
      </c>
      <c r="F230" s="8">
        <v>0.89583333333333304</v>
      </c>
      <c r="G230" s="10">
        <v>8</v>
      </c>
      <c r="H230" s="14">
        <v>3.9999999999999822</v>
      </c>
      <c r="I230" s="59">
        <v>3.9999999999999822</v>
      </c>
      <c r="J230" s="38" t="s">
        <v>30</v>
      </c>
      <c r="K230" s="15" t="s">
        <v>94</v>
      </c>
      <c r="L230" s="66">
        <f t="shared" si="6"/>
        <v>1</v>
      </c>
      <c r="M230" s="19" t="str">
        <f t="shared" si="7"/>
        <v>Mar_2017</v>
      </c>
    </row>
    <row r="231" spans="1:13">
      <c r="A231" s="4" t="s">
        <v>11</v>
      </c>
      <c r="B231" s="57" t="s">
        <v>21</v>
      </c>
      <c r="C231" s="5">
        <v>42825</v>
      </c>
      <c r="D231" s="5" t="s">
        <v>17</v>
      </c>
      <c r="E231" s="8">
        <v>0.72916666666666696</v>
      </c>
      <c r="F231" s="8">
        <v>0.89583333333333304</v>
      </c>
      <c r="G231" s="10">
        <v>8</v>
      </c>
      <c r="H231" s="14">
        <v>3.9999999999999822</v>
      </c>
      <c r="I231" s="59">
        <v>3.9999999999999822</v>
      </c>
      <c r="J231" s="38" t="s">
        <v>30</v>
      </c>
      <c r="K231" s="15" t="s">
        <v>97</v>
      </c>
      <c r="L231" s="66">
        <f t="shared" si="6"/>
        <v>1</v>
      </c>
      <c r="M231" s="19" t="str">
        <f t="shared" si="7"/>
        <v>Mar_2017</v>
      </c>
    </row>
    <row r="232" spans="1:13">
      <c r="A232" s="19" t="s">
        <v>22</v>
      </c>
      <c r="B232" s="57" t="s">
        <v>23</v>
      </c>
      <c r="C232" s="5">
        <v>42795</v>
      </c>
      <c r="D232" s="5" t="s">
        <v>15</v>
      </c>
      <c r="E232" s="8">
        <v>0.33333333333333298</v>
      </c>
      <c r="F232" s="8">
        <v>0.91666666666666696</v>
      </c>
      <c r="G232" s="10">
        <v>0</v>
      </c>
      <c r="H232" s="14">
        <v>13.000000000000014</v>
      </c>
      <c r="I232" s="59">
        <v>13.000000000000014</v>
      </c>
      <c r="J232" s="38" t="s">
        <v>30</v>
      </c>
      <c r="K232" s="15" t="s">
        <v>81</v>
      </c>
      <c r="L232" s="66" t="str">
        <f t="shared" si="6"/>
        <v/>
      </c>
      <c r="M232" s="19" t="str">
        <f t="shared" si="7"/>
        <v>Mar_2017</v>
      </c>
    </row>
    <row r="233" spans="1:13">
      <c r="A233" s="19" t="s">
        <v>22</v>
      </c>
      <c r="B233" s="57" t="s">
        <v>23</v>
      </c>
      <c r="C233" s="5">
        <v>42796</v>
      </c>
      <c r="D233" s="5" t="s">
        <v>25</v>
      </c>
      <c r="E233" s="8">
        <v>0.35416666666666702</v>
      </c>
      <c r="F233" s="8">
        <v>0.91666666666666696</v>
      </c>
      <c r="G233" s="10">
        <v>0</v>
      </c>
      <c r="H233" s="14">
        <v>12.5</v>
      </c>
      <c r="I233" s="59">
        <v>12.5</v>
      </c>
      <c r="J233" s="38" t="s">
        <v>30</v>
      </c>
      <c r="K233" s="15" t="s">
        <v>82</v>
      </c>
      <c r="L233" s="66" t="str">
        <f t="shared" si="6"/>
        <v/>
      </c>
      <c r="M233" s="19" t="str">
        <f t="shared" si="7"/>
        <v>Mar_2017</v>
      </c>
    </row>
    <row r="234" spans="1:13">
      <c r="A234" s="19" t="s">
        <v>22</v>
      </c>
      <c r="B234" s="57" t="s">
        <v>23</v>
      </c>
      <c r="C234" s="5">
        <v>42797</v>
      </c>
      <c r="D234" s="5" t="s">
        <v>17</v>
      </c>
      <c r="E234" s="8">
        <v>0.35416666666666702</v>
      </c>
      <c r="F234" s="8">
        <v>0.85416666666666696</v>
      </c>
      <c r="G234" s="10">
        <v>0</v>
      </c>
      <c r="H234" s="14">
        <v>10.999999999999998</v>
      </c>
      <c r="I234" s="59">
        <v>10.999999999999998</v>
      </c>
      <c r="J234" s="38" t="s">
        <v>30</v>
      </c>
      <c r="K234" s="15" t="s">
        <v>83</v>
      </c>
      <c r="L234" s="66" t="str">
        <f t="shared" si="6"/>
        <v/>
      </c>
      <c r="M234" s="19" t="str">
        <f t="shared" si="7"/>
        <v>Mar_2017</v>
      </c>
    </row>
    <row r="235" spans="1:13">
      <c r="A235" s="19" t="s">
        <v>22</v>
      </c>
      <c r="B235" s="57" t="s">
        <v>23</v>
      </c>
      <c r="C235" s="5">
        <v>42800</v>
      </c>
      <c r="D235" s="5" t="s">
        <v>16</v>
      </c>
      <c r="E235" s="8">
        <v>0.41666666666666702</v>
      </c>
      <c r="F235" s="8">
        <v>0.72916666666666696</v>
      </c>
      <c r="G235" s="10">
        <v>0</v>
      </c>
      <c r="H235" s="14">
        <v>6.4999999999999982</v>
      </c>
      <c r="I235" s="59">
        <v>6.4999999999999982</v>
      </c>
      <c r="J235" s="38" t="s">
        <v>30</v>
      </c>
      <c r="K235" s="15" t="s">
        <v>98</v>
      </c>
      <c r="L235" s="66" t="str">
        <f t="shared" si="6"/>
        <v/>
      </c>
      <c r="M235" s="19" t="str">
        <f t="shared" si="7"/>
        <v>Mar_2017</v>
      </c>
    </row>
    <row r="236" spans="1:13">
      <c r="A236" s="19" t="s">
        <v>22</v>
      </c>
      <c r="B236" s="57" t="s">
        <v>23</v>
      </c>
      <c r="C236" s="5">
        <v>42801</v>
      </c>
      <c r="D236" s="5" t="s">
        <v>14</v>
      </c>
      <c r="E236" s="8">
        <v>0.35416666666666702</v>
      </c>
      <c r="F236" s="8">
        <v>0.72916666666666696</v>
      </c>
      <c r="G236" s="10">
        <v>0</v>
      </c>
      <c r="H236" s="14">
        <v>7.9999999999999982</v>
      </c>
      <c r="I236" s="59">
        <v>7.9999999999999982</v>
      </c>
      <c r="J236" s="38" t="s">
        <v>30</v>
      </c>
      <c r="K236" s="15" t="s">
        <v>99</v>
      </c>
      <c r="L236" s="66" t="str">
        <f t="shared" si="6"/>
        <v/>
      </c>
      <c r="M236" s="19" t="str">
        <f t="shared" si="7"/>
        <v>Mar_2017</v>
      </c>
    </row>
    <row r="237" spans="1:13">
      <c r="A237" s="19" t="s">
        <v>22</v>
      </c>
      <c r="B237" s="57" t="s">
        <v>23</v>
      </c>
      <c r="C237" s="5">
        <v>42802</v>
      </c>
      <c r="D237" s="5" t="s">
        <v>15</v>
      </c>
      <c r="E237" s="8">
        <v>0.35416666666666702</v>
      </c>
      <c r="F237" s="8">
        <v>0.72916666666666696</v>
      </c>
      <c r="G237" s="10">
        <v>0</v>
      </c>
      <c r="H237" s="14">
        <v>7.9999999999999982</v>
      </c>
      <c r="I237" s="59">
        <v>7.9999999999999982</v>
      </c>
      <c r="J237" s="38" t="s">
        <v>30</v>
      </c>
      <c r="K237" s="15" t="s">
        <v>100</v>
      </c>
      <c r="L237" s="66" t="str">
        <f t="shared" si="6"/>
        <v/>
      </c>
      <c r="M237" s="19" t="str">
        <f t="shared" si="7"/>
        <v>Mar_2017</v>
      </c>
    </row>
    <row r="238" spans="1:13">
      <c r="A238" s="19" t="s">
        <v>22</v>
      </c>
      <c r="B238" s="57" t="s">
        <v>23</v>
      </c>
      <c r="C238" s="5">
        <v>42803</v>
      </c>
      <c r="D238" s="5" t="s">
        <v>25</v>
      </c>
      <c r="E238" s="8">
        <v>0.35416666666666702</v>
      </c>
      <c r="F238" s="8">
        <v>0.72916666666666696</v>
      </c>
      <c r="G238" s="10">
        <v>0</v>
      </c>
      <c r="H238" s="14">
        <v>7.9999999999999982</v>
      </c>
      <c r="I238" s="59">
        <v>7.9999999999999982</v>
      </c>
      <c r="J238" s="38" t="s">
        <v>30</v>
      </c>
      <c r="K238" s="15" t="s">
        <v>101</v>
      </c>
      <c r="L238" s="66" t="str">
        <f t="shared" si="6"/>
        <v/>
      </c>
      <c r="M238" s="19" t="str">
        <f t="shared" si="7"/>
        <v>Mar_2017</v>
      </c>
    </row>
    <row r="239" spans="1:13">
      <c r="A239" s="19" t="s">
        <v>22</v>
      </c>
      <c r="B239" s="57" t="s">
        <v>23</v>
      </c>
      <c r="C239" s="5">
        <v>42804</v>
      </c>
      <c r="D239" s="5" t="s">
        <v>17</v>
      </c>
      <c r="E239" s="8">
        <v>0.35416666666666702</v>
      </c>
      <c r="F239" s="8">
        <v>0.79166666666666696</v>
      </c>
      <c r="G239" s="10">
        <v>0</v>
      </c>
      <c r="H239" s="14">
        <v>9.4999999999999982</v>
      </c>
      <c r="I239" s="59">
        <v>9.4999999999999982</v>
      </c>
      <c r="J239" s="38" t="s">
        <v>30</v>
      </c>
      <c r="K239" s="15" t="s">
        <v>85</v>
      </c>
      <c r="L239" s="66" t="str">
        <f t="shared" si="6"/>
        <v/>
      </c>
      <c r="M239" s="19" t="str">
        <f t="shared" si="7"/>
        <v>Mar_2017</v>
      </c>
    </row>
    <row r="240" spans="1:13">
      <c r="A240" s="19" t="s">
        <v>22</v>
      </c>
      <c r="B240" s="57" t="s">
        <v>23</v>
      </c>
      <c r="C240" s="5">
        <v>42807</v>
      </c>
      <c r="D240" s="5" t="s">
        <v>16</v>
      </c>
      <c r="E240" s="8">
        <v>0.35416666666666702</v>
      </c>
      <c r="F240" s="8">
        <v>0.72916666666666696</v>
      </c>
      <c r="G240" s="10">
        <v>0</v>
      </c>
      <c r="H240" s="14">
        <v>7.9999999999999982</v>
      </c>
      <c r="I240" s="59">
        <v>7.9999999999999982</v>
      </c>
      <c r="J240" s="38" t="s">
        <v>30</v>
      </c>
      <c r="K240" s="15" t="s">
        <v>102</v>
      </c>
      <c r="L240" s="66" t="str">
        <f t="shared" si="6"/>
        <v/>
      </c>
      <c r="M240" s="19" t="str">
        <f t="shared" si="7"/>
        <v>Mar_2017</v>
      </c>
    </row>
    <row r="241" spans="1:13">
      <c r="A241" s="19" t="s">
        <v>22</v>
      </c>
      <c r="B241" s="57" t="s">
        <v>23</v>
      </c>
      <c r="C241" s="5">
        <v>42808</v>
      </c>
      <c r="D241" s="5" t="s">
        <v>14</v>
      </c>
      <c r="E241" s="8">
        <v>0.35416666666666702</v>
      </c>
      <c r="F241" s="8">
        <v>0.72916666666666696</v>
      </c>
      <c r="G241" s="10">
        <v>0</v>
      </c>
      <c r="H241" s="14">
        <v>7.9999999999999982</v>
      </c>
      <c r="I241" s="59">
        <v>7.9999999999999982</v>
      </c>
      <c r="J241" s="38" t="s">
        <v>30</v>
      </c>
      <c r="K241" s="15" t="s">
        <v>103</v>
      </c>
      <c r="L241" s="66" t="str">
        <f t="shared" si="6"/>
        <v/>
      </c>
      <c r="M241" s="19" t="str">
        <f t="shared" si="7"/>
        <v>Mar_2017</v>
      </c>
    </row>
    <row r="242" spans="1:13">
      <c r="A242" s="19" t="s">
        <v>22</v>
      </c>
      <c r="B242" s="57" t="s">
        <v>23</v>
      </c>
      <c r="C242" s="5">
        <v>42809</v>
      </c>
      <c r="D242" s="5" t="s">
        <v>15</v>
      </c>
      <c r="E242" s="8">
        <v>0.35416666666666702</v>
      </c>
      <c r="F242" s="8">
        <v>0.72916666666666696</v>
      </c>
      <c r="G242" s="10">
        <v>0</v>
      </c>
      <c r="H242" s="14">
        <v>7.9999999999999982</v>
      </c>
      <c r="I242" s="59">
        <v>7.9999999999999982</v>
      </c>
      <c r="J242" s="38" t="s">
        <v>30</v>
      </c>
      <c r="K242" s="15" t="s">
        <v>104</v>
      </c>
      <c r="L242" s="66" t="str">
        <f t="shared" si="6"/>
        <v/>
      </c>
      <c r="M242" s="19" t="str">
        <f t="shared" si="7"/>
        <v>Mar_2017</v>
      </c>
    </row>
    <row r="243" spans="1:13">
      <c r="A243" s="19" t="s">
        <v>22</v>
      </c>
      <c r="B243" s="57" t="s">
        <v>23</v>
      </c>
      <c r="C243" s="5">
        <v>42810</v>
      </c>
      <c r="D243" s="5" t="s">
        <v>25</v>
      </c>
      <c r="E243" s="8">
        <v>0.35416666666666702</v>
      </c>
      <c r="F243" s="8">
        <v>0.91666666666666696</v>
      </c>
      <c r="G243" s="10">
        <v>0</v>
      </c>
      <c r="H243" s="14">
        <v>12.5</v>
      </c>
      <c r="I243" s="59">
        <v>12.5</v>
      </c>
      <c r="J243" s="38" t="s">
        <v>30</v>
      </c>
      <c r="K243" s="15" t="s">
        <v>86</v>
      </c>
      <c r="L243" s="66" t="str">
        <f t="shared" si="6"/>
        <v/>
      </c>
      <c r="M243" s="19" t="str">
        <f t="shared" si="7"/>
        <v>Mar_2017</v>
      </c>
    </row>
    <row r="244" spans="1:13">
      <c r="A244" s="19" t="s">
        <v>22</v>
      </c>
      <c r="B244" s="57" t="s">
        <v>23</v>
      </c>
      <c r="C244" s="5">
        <v>42811</v>
      </c>
      <c r="D244" s="5" t="s">
        <v>17</v>
      </c>
      <c r="E244" s="8">
        <v>0.35416666666666702</v>
      </c>
      <c r="F244" s="8">
        <v>0.72916666666666696</v>
      </c>
      <c r="G244" s="10">
        <v>0</v>
      </c>
      <c r="H244" s="14">
        <v>7.9999999999999982</v>
      </c>
      <c r="I244" s="59">
        <v>7.9999999999999982</v>
      </c>
      <c r="J244" s="38" t="s">
        <v>30</v>
      </c>
      <c r="K244" s="15" t="s">
        <v>105</v>
      </c>
      <c r="L244" s="66" t="str">
        <f t="shared" si="6"/>
        <v/>
      </c>
      <c r="M244" s="19" t="str">
        <f t="shared" si="7"/>
        <v>Mar_2017</v>
      </c>
    </row>
    <row r="245" spans="1:13">
      <c r="A245" s="19" t="s">
        <v>22</v>
      </c>
      <c r="B245" s="57" t="s">
        <v>23</v>
      </c>
      <c r="C245" s="5">
        <v>42814</v>
      </c>
      <c r="D245" s="5" t="s">
        <v>16</v>
      </c>
      <c r="E245" s="8">
        <v>0.35416666666666702</v>
      </c>
      <c r="F245" s="8">
        <v>0.72916666666666696</v>
      </c>
      <c r="G245" s="10">
        <v>0</v>
      </c>
      <c r="H245" s="14">
        <v>7.9999999999999982</v>
      </c>
      <c r="I245" s="59">
        <v>7.9999999999999982</v>
      </c>
      <c r="J245" s="38" t="s">
        <v>30</v>
      </c>
      <c r="K245" s="15" t="s">
        <v>87</v>
      </c>
      <c r="L245" s="66" t="str">
        <f t="shared" si="6"/>
        <v/>
      </c>
      <c r="M245" s="19" t="str">
        <f t="shared" si="7"/>
        <v>Mar_2017</v>
      </c>
    </row>
    <row r="246" spans="1:13">
      <c r="A246" s="19" t="s">
        <v>22</v>
      </c>
      <c r="B246" s="57" t="s">
        <v>23</v>
      </c>
      <c r="C246" s="5">
        <v>42815</v>
      </c>
      <c r="D246" s="5" t="s">
        <v>14</v>
      </c>
      <c r="E246" s="8">
        <v>0.35416666666666702</v>
      </c>
      <c r="F246" s="8">
        <v>0.89583333333333304</v>
      </c>
      <c r="G246" s="10">
        <v>0</v>
      </c>
      <c r="H246" s="14">
        <v>11.999999999999986</v>
      </c>
      <c r="I246" s="59">
        <v>11.999999999999986</v>
      </c>
      <c r="J246" s="38" t="s">
        <v>30</v>
      </c>
      <c r="K246" s="15" t="s">
        <v>88</v>
      </c>
      <c r="L246" s="66" t="str">
        <f t="shared" si="6"/>
        <v/>
      </c>
      <c r="M246" s="19" t="str">
        <f t="shared" si="7"/>
        <v>Mar_2017</v>
      </c>
    </row>
    <row r="247" spans="1:13">
      <c r="A247" s="19" t="s">
        <v>22</v>
      </c>
      <c r="B247" s="57" t="s">
        <v>23</v>
      </c>
      <c r="C247" s="5">
        <v>42816</v>
      </c>
      <c r="D247" s="5" t="s">
        <v>15</v>
      </c>
      <c r="E247" s="8">
        <v>0.35416666666666702</v>
      </c>
      <c r="F247" s="8">
        <v>0.8125</v>
      </c>
      <c r="G247" s="10">
        <v>0</v>
      </c>
      <c r="H247" s="14">
        <v>9.9999999999999911</v>
      </c>
      <c r="I247" s="59">
        <v>9.9999999999999911</v>
      </c>
      <c r="J247" s="38" t="s">
        <v>30</v>
      </c>
      <c r="K247" s="15" t="s">
        <v>89</v>
      </c>
      <c r="L247" s="66" t="str">
        <f t="shared" si="6"/>
        <v/>
      </c>
      <c r="M247" s="19" t="str">
        <f t="shared" si="7"/>
        <v>Mar_2017</v>
      </c>
    </row>
    <row r="248" spans="1:13">
      <c r="A248" s="19" t="s">
        <v>22</v>
      </c>
      <c r="B248" s="57" t="s">
        <v>23</v>
      </c>
      <c r="C248" s="5">
        <v>42817</v>
      </c>
      <c r="D248" s="5" t="s">
        <v>25</v>
      </c>
      <c r="E248" s="8">
        <v>0.35416666666666702</v>
      </c>
      <c r="F248" s="8">
        <v>0.77083333333333304</v>
      </c>
      <c r="G248" s="10">
        <v>0</v>
      </c>
      <c r="H248" s="14">
        <v>8.999999999999984</v>
      </c>
      <c r="I248" s="59">
        <v>8.999999999999984</v>
      </c>
      <c r="J248" s="38" t="s">
        <v>30</v>
      </c>
      <c r="K248" s="15" t="s">
        <v>90</v>
      </c>
      <c r="L248" s="66" t="str">
        <f t="shared" si="6"/>
        <v/>
      </c>
      <c r="M248" s="19" t="str">
        <f t="shared" si="7"/>
        <v>Mar_2017</v>
      </c>
    </row>
    <row r="249" spans="1:13">
      <c r="A249" s="19" t="s">
        <v>22</v>
      </c>
      <c r="B249" s="57" t="s">
        <v>23</v>
      </c>
      <c r="C249" s="5">
        <v>42818</v>
      </c>
      <c r="D249" s="5" t="s">
        <v>17</v>
      </c>
      <c r="E249" s="8">
        <v>0.35416666666666702</v>
      </c>
      <c r="F249" s="8">
        <v>0.72916666666666696</v>
      </c>
      <c r="G249" s="10">
        <v>0</v>
      </c>
      <c r="H249" s="14">
        <v>7.9999999999999982</v>
      </c>
      <c r="I249" s="59">
        <v>7.9999999999999982</v>
      </c>
      <c r="J249" s="38" t="s">
        <v>30</v>
      </c>
      <c r="K249" s="15" t="s">
        <v>106</v>
      </c>
      <c r="L249" s="66" t="str">
        <f t="shared" si="6"/>
        <v/>
      </c>
      <c r="M249" s="19" t="str">
        <f t="shared" si="7"/>
        <v>Mar_2017</v>
      </c>
    </row>
    <row r="250" spans="1:13">
      <c r="A250" s="19" t="s">
        <v>22</v>
      </c>
      <c r="B250" s="57" t="s">
        <v>23</v>
      </c>
      <c r="C250" s="5">
        <v>42821</v>
      </c>
      <c r="D250" s="5" t="s">
        <v>16</v>
      </c>
      <c r="E250" s="8">
        <v>0.35416666666666702</v>
      </c>
      <c r="F250" s="8">
        <v>0.89583333333333304</v>
      </c>
      <c r="G250" s="10">
        <v>0</v>
      </c>
      <c r="H250" s="14">
        <v>11.999999999999986</v>
      </c>
      <c r="I250" s="59">
        <v>11.999999999999986</v>
      </c>
      <c r="J250" s="38" t="s">
        <v>30</v>
      </c>
      <c r="K250" s="15" t="s">
        <v>92</v>
      </c>
      <c r="L250" s="66" t="str">
        <f t="shared" si="6"/>
        <v/>
      </c>
      <c r="M250" s="19" t="str">
        <f t="shared" si="7"/>
        <v>Mar_2017</v>
      </c>
    </row>
    <row r="251" spans="1:13">
      <c r="A251" s="19" t="s">
        <v>22</v>
      </c>
      <c r="B251" s="57" t="s">
        <v>23</v>
      </c>
      <c r="C251" s="5">
        <v>42822</v>
      </c>
      <c r="D251" s="5" t="s">
        <v>14</v>
      </c>
      <c r="E251" s="8">
        <v>0.35416666666666702</v>
      </c>
      <c r="F251" s="8">
        <v>0.79166666666666696</v>
      </c>
      <c r="G251" s="10">
        <v>0</v>
      </c>
      <c r="H251" s="14">
        <v>9.4999999999999982</v>
      </c>
      <c r="I251" s="59">
        <v>9.4999999999999982</v>
      </c>
      <c r="J251" s="38" t="s">
        <v>30</v>
      </c>
      <c r="K251" s="15" t="s">
        <v>93</v>
      </c>
      <c r="L251" s="66" t="str">
        <f t="shared" si="6"/>
        <v/>
      </c>
      <c r="M251" s="19" t="str">
        <f t="shared" si="7"/>
        <v>Mar_2017</v>
      </c>
    </row>
    <row r="252" spans="1:13">
      <c r="A252" s="19" t="s">
        <v>22</v>
      </c>
      <c r="B252" s="57" t="s">
        <v>23</v>
      </c>
      <c r="C252" s="5">
        <v>42823</v>
      </c>
      <c r="D252" s="5" t="s">
        <v>15</v>
      </c>
      <c r="E252" s="8">
        <v>0.35416666666666702</v>
      </c>
      <c r="F252" s="8">
        <v>0.89583333333333304</v>
      </c>
      <c r="G252" s="10">
        <v>0</v>
      </c>
      <c r="H252" s="14">
        <v>11.999999999999986</v>
      </c>
      <c r="I252" s="59">
        <v>11.999999999999986</v>
      </c>
      <c r="J252" s="38" t="s">
        <v>30</v>
      </c>
      <c r="K252" s="15" t="s">
        <v>96</v>
      </c>
      <c r="L252" s="66" t="str">
        <f t="shared" si="6"/>
        <v/>
      </c>
      <c r="M252" s="19" t="str">
        <f t="shared" si="7"/>
        <v>Mar_2017</v>
      </c>
    </row>
    <row r="253" spans="1:13">
      <c r="A253" s="19" t="s">
        <v>22</v>
      </c>
      <c r="B253" s="57" t="s">
        <v>23</v>
      </c>
      <c r="C253" s="5">
        <v>42824</v>
      </c>
      <c r="D253" s="5" t="s">
        <v>25</v>
      </c>
      <c r="E253" s="8">
        <v>0.35416666666666702</v>
      </c>
      <c r="F253" s="8">
        <v>0.89583333333333304</v>
      </c>
      <c r="G253" s="10">
        <v>0</v>
      </c>
      <c r="H253" s="14">
        <v>11.999999999999986</v>
      </c>
      <c r="I253" s="59">
        <v>11.999999999999986</v>
      </c>
      <c r="J253" s="38" t="s">
        <v>30</v>
      </c>
      <c r="K253" s="15" t="s">
        <v>94</v>
      </c>
      <c r="L253" s="66" t="str">
        <f t="shared" si="6"/>
        <v/>
      </c>
      <c r="M253" s="19" t="str">
        <f t="shared" si="7"/>
        <v>Mar_2017</v>
      </c>
    </row>
    <row r="254" spans="1:13">
      <c r="A254" s="19" t="s">
        <v>22</v>
      </c>
      <c r="B254" s="57" t="s">
        <v>23</v>
      </c>
      <c r="C254" s="5">
        <v>42825</v>
      </c>
      <c r="D254" s="5" t="s">
        <v>17</v>
      </c>
      <c r="E254" s="8">
        <v>0.35416666666666702</v>
      </c>
      <c r="F254" s="8">
        <v>0.89583333333333304</v>
      </c>
      <c r="G254" s="10">
        <v>0</v>
      </c>
      <c r="H254" s="14">
        <v>11.999999999999986</v>
      </c>
      <c r="I254" s="59">
        <v>11.999999999999986</v>
      </c>
      <c r="J254" s="38" t="s">
        <v>30</v>
      </c>
      <c r="K254" s="15" t="s">
        <v>97</v>
      </c>
      <c r="L254" s="66" t="str">
        <f t="shared" si="6"/>
        <v/>
      </c>
      <c r="M254" s="19" t="str">
        <f t="shared" si="7"/>
        <v>Mar_2017</v>
      </c>
    </row>
    <row r="255" spans="1:13">
      <c r="A255" s="4" t="s">
        <v>11</v>
      </c>
      <c r="B255" s="57" t="s">
        <v>26</v>
      </c>
      <c r="C255" s="5">
        <v>42795</v>
      </c>
      <c r="D255" s="5" t="s">
        <v>15</v>
      </c>
      <c r="E255" s="8">
        <v>0.70833333333333304</v>
      </c>
      <c r="F255" s="8">
        <v>0.79166666666666696</v>
      </c>
      <c r="G255" s="10">
        <v>8</v>
      </c>
      <c r="H255" s="14">
        <v>2.0000000000000124</v>
      </c>
      <c r="I255" s="59">
        <v>2.0000000000000124</v>
      </c>
      <c r="J255" s="38" t="s">
        <v>30</v>
      </c>
      <c r="K255" s="15" t="s">
        <v>81</v>
      </c>
      <c r="L255" s="66">
        <f t="shared" si="6"/>
        <v>1</v>
      </c>
      <c r="M255" s="19" t="str">
        <f t="shared" si="7"/>
        <v>Mar_2017</v>
      </c>
    </row>
    <row r="256" spans="1:13">
      <c r="A256" s="4" t="s">
        <v>11</v>
      </c>
      <c r="B256" s="57" t="s">
        <v>26</v>
      </c>
      <c r="C256" s="5">
        <v>42796</v>
      </c>
      <c r="D256" s="5" t="s">
        <v>25</v>
      </c>
      <c r="E256" s="8">
        <v>0.70833333333333304</v>
      </c>
      <c r="F256" s="8">
        <v>0.89583333333333304</v>
      </c>
      <c r="G256" s="10">
        <v>8</v>
      </c>
      <c r="H256" s="14">
        <v>4.4999999999999964</v>
      </c>
      <c r="I256" s="59">
        <v>4.4999999999999964</v>
      </c>
      <c r="J256" s="38" t="s">
        <v>30</v>
      </c>
      <c r="K256" s="15" t="s">
        <v>82</v>
      </c>
      <c r="L256" s="66">
        <f t="shared" si="6"/>
        <v>1</v>
      </c>
      <c r="M256" s="19" t="str">
        <f t="shared" si="7"/>
        <v>Mar_2017</v>
      </c>
    </row>
    <row r="257" spans="1:13">
      <c r="A257" s="4" t="s">
        <v>11</v>
      </c>
      <c r="B257" s="57" t="s">
        <v>26</v>
      </c>
      <c r="C257" s="5">
        <v>42797</v>
      </c>
      <c r="D257" s="5" t="s">
        <v>17</v>
      </c>
      <c r="E257" s="8">
        <v>0.70833333333333304</v>
      </c>
      <c r="F257" s="8">
        <v>0.85416666666666696</v>
      </c>
      <c r="G257" s="10">
        <v>8</v>
      </c>
      <c r="H257" s="14">
        <v>3.5000000000000107</v>
      </c>
      <c r="I257" s="59">
        <v>3.5000000000000107</v>
      </c>
      <c r="J257" s="38" t="s">
        <v>30</v>
      </c>
      <c r="K257" s="15" t="s">
        <v>83</v>
      </c>
      <c r="L257" s="66">
        <f t="shared" si="6"/>
        <v>1</v>
      </c>
      <c r="M257" s="19" t="str">
        <f t="shared" si="7"/>
        <v>Mar_2017</v>
      </c>
    </row>
    <row r="258" spans="1:13">
      <c r="A258" s="4" t="s">
        <v>11</v>
      </c>
      <c r="B258" s="57" t="s">
        <v>26</v>
      </c>
      <c r="C258" s="5">
        <v>42810</v>
      </c>
      <c r="D258" s="5" t="s">
        <v>25</v>
      </c>
      <c r="E258" s="8">
        <v>0.72916666666666696</v>
      </c>
      <c r="F258" s="8">
        <v>0.91666666666666696</v>
      </c>
      <c r="G258" s="10">
        <v>8</v>
      </c>
      <c r="H258" s="14">
        <v>4.4999999999999964</v>
      </c>
      <c r="I258" s="59">
        <v>4.4999999999999964</v>
      </c>
      <c r="J258" s="38" t="s">
        <v>30</v>
      </c>
      <c r="K258" s="15" t="s">
        <v>86</v>
      </c>
      <c r="L258" s="66">
        <f t="shared" ref="L258:L321" si="8">IF(AND($A258="Perm Staff Onsite",$H258&gt;=2),1,"")</f>
        <v>1</v>
      </c>
      <c r="M258" s="19" t="str">
        <f t="shared" si="7"/>
        <v>Mar_2017</v>
      </c>
    </row>
    <row r="259" spans="1:13">
      <c r="A259" s="4" t="s">
        <v>11</v>
      </c>
      <c r="B259" s="57" t="s">
        <v>26</v>
      </c>
      <c r="C259" s="5">
        <v>42814</v>
      </c>
      <c r="D259" s="5" t="s">
        <v>16</v>
      </c>
      <c r="E259" s="8">
        <v>0.70833333333333304</v>
      </c>
      <c r="F259" s="8">
        <v>0.78125</v>
      </c>
      <c r="G259" s="10">
        <v>8</v>
      </c>
      <c r="H259" s="14">
        <v>1.7500000000000053</v>
      </c>
      <c r="I259" s="59">
        <v>1.7500000000000053</v>
      </c>
      <c r="J259" s="38" t="s">
        <v>30</v>
      </c>
      <c r="K259" s="15" t="s">
        <v>87</v>
      </c>
      <c r="L259" s="66" t="str">
        <f t="shared" si="8"/>
        <v/>
      </c>
      <c r="M259" s="19" t="str">
        <f t="shared" ref="M259:M322" si="9">IF($C259="","",TEXT(DATE(YEAR($C259),MONTH($C259),DAY($C259)),"MMM")&amp;"_"&amp;YEAR($C259))</f>
        <v>Mar_2017</v>
      </c>
    </row>
    <row r="260" spans="1:13">
      <c r="A260" s="4" t="s">
        <v>11</v>
      </c>
      <c r="B260" s="57" t="s">
        <v>26</v>
      </c>
      <c r="C260" s="5">
        <v>42815</v>
      </c>
      <c r="D260" s="5" t="s">
        <v>14</v>
      </c>
      <c r="E260" s="8">
        <v>0.70833333333333304</v>
      </c>
      <c r="F260" s="8">
        <v>0.89583333333333304</v>
      </c>
      <c r="G260" s="10">
        <v>8</v>
      </c>
      <c r="H260" s="14">
        <v>4.4999999999999964</v>
      </c>
      <c r="I260" s="59">
        <v>4.4999999999999964</v>
      </c>
      <c r="J260" s="38" t="s">
        <v>30</v>
      </c>
      <c r="K260" s="15" t="s">
        <v>88</v>
      </c>
      <c r="L260" s="66">
        <f t="shared" si="8"/>
        <v>1</v>
      </c>
      <c r="M260" s="19" t="str">
        <f t="shared" si="9"/>
        <v>Mar_2017</v>
      </c>
    </row>
    <row r="261" spans="1:13">
      <c r="A261" s="4" t="s">
        <v>11</v>
      </c>
      <c r="B261" s="57" t="s">
        <v>26</v>
      </c>
      <c r="C261" s="5">
        <v>42816</v>
      </c>
      <c r="D261" s="5" t="s">
        <v>15</v>
      </c>
      <c r="E261" s="8">
        <v>0.70833333333333304</v>
      </c>
      <c r="F261" s="8">
        <v>0.8125</v>
      </c>
      <c r="G261" s="10">
        <v>8</v>
      </c>
      <c r="H261" s="14">
        <v>2.5000000000000053</v>
      </c>
      <c r="I261" s="59">
        <v>2.5000000000000053</v>
      </c>
      <c r="J261" s="38" t="s">
        <v>30</v>
      </c>
      <c r="K261" s="15" t="s">
        <v>89</v>
      </c>
      <c r="L261" s="66">
        <f t="shared" si="8"/>
        <v>1</v>
      </c>
      <c r="M261" s="19" t="str">
        <f t="shared" si="9"/>
        <v>Mar_2017</v>
      </c>
    </row>
    <row r="262" spans="1:13">
      <c r="A262" s="4" t="s">
        <v>11</v>
      </c>
      <c r="B262" s="57" t="s">
        <v>26</v>
      </c>
      <c r="C262" s="5">
        <v>42817</v>
      </c>
      <c r="D262" s="5" t="s">
        <v>25</v>
      </c>
      <c r="E262" s="8">
        <v>0.70833333333333304</v>
      </c>
      <c r="F262" s="8">
        <v>0.77083333333333304</v>
      </c>
      <c r="G262" s="10">
        <v>8</v>
      </c>
      <c r="H262" s="14">
        <v>1.4999999999999982</v>
      </c>
      <c r="I262" s="59">
        <v>1.4999999999999982</v>
      </c>
      <c r="J262" s="38" t="s">
        <v>30</v>
      </c>
      <c r="K262" s="15" t="s">
        <v>90</v>
      </c>
      <c r="L262" s="66" t="str">
        <f t="shared" si="8"/>
        <v/>
      </c>
      <c r="M262" s="19" t="str">
        <f t="shared" si="9"/>
        <v>Mar_2017</v>
      </c>
    </row>
    <row r="263" spans="1:13">
      <c r="A263" s="4" t="s">
        <v>11</v>
      </c>
      <c r="B263" s="57" t="s">
        <v>26</v>
      </c>
      <c r="C263" s="5">
        <v>42819</v>
      </c>
      <c r="D263" s="5" t="s">
        <v>24</v>
      </c>
      <c r="E263" s="8">
        <v>0.35416666666666702</v>
      </c>
      <c r="F263" s="8">
        <v>0.72916666666666696</v>
      </c>
      <c r="G263" s="10">
        <v>8</v>
      </c>
      <c r="H263" s="14">
        <v>7.9999999999999982</v>
      </c>
      <c r="I263" s="59">
        <v>8</v>
      </c>
      <c r="J263" s="38" t="s">
        <v>52</v>
      </c>
      <c r="K263" s="15" t="s">
        <v>91</v>
      </c>
      <c r="L263" s="66">
        <f t="shared" si="8"/>
        <v>1</v>
      </c>
      <c r="M263" s="19" t="str">
        <f t="shared" si="9"/>
        <v>Mar_2017</v>
      </c>
    </row>
    <row r="264" spans="1:13">
      <c r="A264" s="4" t="s">
        <v>11</v>
      </c>
      <c r="B264" s="57" t="s">
        <v>26</v>
      </c>
      <c r="C264" s="5">
        <v>42822</v>
      </c>
      <c r="D264" s="5" t="s">
        <v>14</v>
      </c>
      <c r="E264" s="8">
        <v>0.70833333333333304</v>
      </c>
      <c r="F264" s="8">
        <v>0.79166666666666696</v>
      </c>
      <c r="G264" s="10">
        <v>8</v>
      </c>
      <c r="H264" s="14">
        <v>2.0000000000000124</v>
      </c>
      <c r="I264" s="59">
        <v>2.0000000000000124</v>
      </c>
      <c r="J264" s="38" t="s">
        <v>30</v>
      </c>
      <c r="K264" s="15" t="s">
        <v>93</v>
      </c>
      <c r="L264" s="66">
        <f t="shared" si="8"/>
        <v>1</v>
      </c>
      <c r="M264" s="19" t="str">
        <f t="shared" si="9"/>
        <v>Mar_2017</v>
      </c>
    </row>
    <row r="265" spans="1:13">
      <c r="A265" s="4" t="s">
        <v>11</v>
      </c>
      <c r="B265" s="57" t="s">
        <v>26</v>
      </c>
      <c r="C265" s="5">
        <v>42823</v>
      </c>
      <c r="D265" s="5" t="s">
        <v>15</v>
      </c>
      <c r="E265" s="8">
        <v>0.70833333333333304</v>
      </c>
      <c r="F265" s="8">
        <v>0.71875</v>
      </c>
      <c r="G265" s="10">
        <v>8</v>
      </c>
      <c r="H265" s="14">
        <v>0.25000000000000533</v>
      </c>
      <c r="I265" s="59">
        <v>0.25000000000000533</v>
      </c>
      <c r="J265" s="38" t="s">
        <v>30</v>
      </c>
      <c r="K265" s="15" t="s">
        <v>96</v>
      </c>
      <c r="L265" s="66" t="str">
        <f t="shared" si="8"/>
        <v/>
      </c>
      <c r="M265" s="19" t="str">
        <f t="shared" si="9"/>
        <v>Mar_2017</v>
      </c>
    </row>
    <row r="266" spans="1:13">
      <c r="A266" s="4" t="s">
        <v>11</v>
      </c>
      <c r="B266" s="57" t="s">
        <v>26</v>
      </c>
      <c r="C266" s="5">
        <v>42824</v>
      </c>
      <c r="D266" s="5" t="s">
        <v>25</v>
      </c>
      <c r="E266" s="8">
        <v>0.71875</v>
      </c>
      <c r="F266" s="8">
        <v>0.89583333333333304</v>
      </c>
      <c r="G266" s="10">
        <v>8</v>
      </c>
      <c r="H266" s="14">
        <v>4.2499999999999893</v>
      </c>
      <c r="I266" s="59">
        <v>4.2499999999999893</v>
      </c>
      <c r="J266" s="38" t="s">
        <v>30</v>
      </c>
      <c r="K266" s="15" t="s">
        <v>94</v>
      </c>
      <c r="L266" s="66">
        <f t="shared" si="8"/>
        <v>1</v>
      </c>
      <c r="M266" s="19" t="str">
        <f t="shared" si="9"/>
        <v>Mar_2017</v>
      </c>
    </row>
    <row r="267" spans="1:13">
      <c r="A267" s="19" t="s">
        <v>22</v>
      </c>
      <c r="B267" s="57" t="s">
        <v>27</v>
      </c>
      <c r="C267" s="5">
        <v>42795</v>
      </c>
      <c r="D267" s="5" t="s">
        <v>15</v>
      </c>
      <c r="E267" s="8">
        <v>0.54166666666666696</v>
      </c>
      <c r="F267" s="8">
        <v>0.89583333333333304</v>
      </c>
      <c r="G267" s="10">
        <v>0</v>
      </c>
      <c r="H267" s="14">
        <v>7.4999999999999858</v>
      </c>
      <c r="I267" s="59">
        <v>7.4999999999999858</v>
      </c>
      <c r="J267" s="38" t="s">
        <v>30</v>
      </c>
      <c r="K267" s="15" t="s">
        <v>81</v>
      </c>
      <c r="L267" s="66" t="str">
        <f t="shared" si="8"/>
        <v/>
      </c>
      <c r="M267" s="19" t="str">
        <f t="shared" si="9"/>
        <v>Mar_2017</v>
      </c>
    </row>
    <row r="268" spans="1:13">
      <c r="A268" s="19" t="s">
        <v>22</v>
      </c>
      <c r="B268" s="57" t="s">
        <v>27</v>
      </c>
      <c r="C268" s="5">
        <v>42796</v>
      </c>
      <c r="D268" s="5" t="s">
        <v>25</v>
      </c>
      <c r="E268" s="8">
        <v>0.54166666666666696</v>
      </c>
      <c r="F268" s="8">
        <v>0.91666666666666696</v>
      </c>
      <c r="G268" s="10">
        <v>0</v>
      </c>
      <c r="H268" s="14">
        <v>8</v>
      </c>
      <c r="I268" s="59">
        <v>8</v>
      </c>
      <c r="J268" s="38" t="s">
        <v>30</v>
      </c>
      <c r="K268" s="15" t="s">
        <v>82</v>
      </c>
      <c r="L268" s="66" t="str">
        <f t="shared" si="8"/>
        <v/>
      </c>
      <c r="M268" s="19" t="str">
        <f t="shared" si="9"/>
        <v>Mar_2017</v>
      </c>
    </row>
    <row r="269" spans="1:13">
      <c r="A269" s="19" t="s">
        <v>22</v>
      </c>
      <c r="B269" s="57" t="s">
        <v>27</v>
      </c>
      <c r="C269" s="5">
        <v>42809</v>
      </c>
      <c r="D269" s="5" t="s">
        <v>15</v>
      </c>
      <c r="E269" s="8">
        <v>0.4375</v>
      </c>
      <c r="F269" s="8">
        <v>0.70833333333333304</v>
      </c>
      <c r="G269" s="10">
        <v>0</v>
      </c>
      <c r="H269" s="14">
        <v>5.4999999999999929</v>
      </c>
      <c r="I269" s="59">
        <v>5.4999999999999929</v>
      </c>
      <c r="J269" s="38" t="s">
        <v>30</v>
      </c>
      <c r="K269" s="15" t="s">
        <v>104</v>
      </c>
      <c r="L269" s="66" t="str">
        <f t="shared" si="8"/>
        <v/>
      </c>
      <c r="M269" s="19" t="str">
        <f t="shared" si="9"/>
        <v>Mar_2017</v>
      </c>
    </row>
    <row r="270" spans="1:13">
      <c r="A270" s="19" t="s">
        <v>22</v>
      </c>
      <c r="B270" s="57" t="s">
        <v>27</v>
      </c>
      <c r="C270" s="5">
        <v>42810</v>
      </c>
      <c r="D270" s="5" t="s">
        <v>25</v>
      </c>
      <c r="E270" s="8">
        <v>0.77083333333333304</v>
      </c>
      <c r="F270" s="8">
        <v>0.91666666666666696</v>
      </c>
      <c r="G270" s="10">
        <v>0</v>
      </c>
      <c r="H270" s="14">
        <v>3.5000000000000142</v>
      </c>
      <c r="I270" s="59">
        <v>3.5000000000000142</v>
      </c>
      <c r="J270" s="38" t="s">
        <v>30</v>
      </c>
      <c r="K270" s="15" t="s">
        <v>86</v>
      </c>
      <c r="L270" s="66" t="str">
        <f t="shared" si="8"/>
        <v/>
      </c>
      <c r="M270" s="19" t="str">
        <f t="shared" si="9"/>
        <v>Mar_2017</v>
      </c>
    </row>
    <row r="271" spans="1:13">
      <c r="A271" s="19" t="s">
        <v>22</v>
      </c>
      <c r="B271" s="57" t="s">
        <v>27</v>
      </c>
      <c r="C271" s="5">
        <v>42815</v>
      </c>
      <c r="D271" s="5" t="s">
        <v>14</v>
      </c>
      <c r="E271" s="8">
        <v>0.77083333333333304</v>
      </c>
      <c r="F271" s="8">
        <v>0.89583333333333304</v>
      </c>
      <c r="G271" s="10">
        <v>0</v>
      </c>
      <c r="H271" s="14">
        <v>3</v>
      </c>
      <c r="I271" s="59">
        <v>3</v>
      </c>
      <c r="J271" s="38" t="s">
        <v>30</v>
      </c>
      <c r="K271" s="15" t="s">
        <v>88</v>
      </c>
      <c r="L271" s="66" t="str">
        <f t="shared" si="8"/>
        <v/>
      </c>
      <c r="M271" s="19" t="str">
        <f t="shared" si="9"/>
        <v>Mar_2017</v>
      </c>
    </row>
    <row r="272" spans="1:13">
      <c r="A272" s="19" t="s">
        <v>22</v>
      </c>
      <c r="B272" s="57" t="s">
        <v>27</v>
      </c>
      <c r="C272" s="5">
        <v>42819</v>
      </c>
      <c r="D272" s="5" t="s">
        <v>24</v>
      </c>
      <c r="E272" s="8">
        <v>0.35416666666666702</v>
      </c>
      <c r="F272" s="8">
        <v>0.66666666666666696</v>
      </c>
      <c r="G272" s="10">
        <v>0</v>
      </c>
      <c r="H272" s="14">
        <v>6.4999999999999982</v>
      </c>
      <c r="I272" s="59">
        <v>6.4999999999999982</v>
      </c>
      <c r="J272" s="38" t="s">
        <v>52</v>
      </c>
      <c r="K272" s="15" t="s">
        <v>107</v>
      </c>
      <c r="L272" s="66" t="str">
        <f t="shared" si="8"/>
        <v/>
      </c>
      <c r="M272" s="19" t="str">
        <f t="shared" si="9"/>
        <v>Mar_2017</v>
      </c>
    </row>
    <row r="273" spans="1:13">
      <c r="A273" s="19" t="s">
        <v>22</v>
      </c>
      <c r="B273" s="57" t="s">
        <v>28</v>
      </c>
      <c r="C273" s="5">
        <v>42795</v>
      </c>
      <c r="D273" s="5" t="s">
        <v>15</v>
      </c>
      <c r="E273" s="8">
        <v>0.33333333333333298</v>
      </c>
      <c r="F273" s="8">
        <v>0.91666666666666696</v>
      </c>
      <c r="G273" s="10">
        <v>0</v>
      </c>
      <c r="H273" s="14">
        <v>13.000000000000014</v>
      </c>
      <c r="I273" s="59">
        <v>13.000000000000014</v>
      </c>
      <c r="J273" s="38" t="s">
        <v>30</v>
      </c>
      <c r="K273" s="15" t="s">
        <v>81</v>
      </c>
      <c r="L273" s="66" t="str">
        <f t="shared" si="8"/>
        <v/>
      </c>
      <c r="M273" s="19" t="str">
        <f t="shared" si="9"/>
        <v>Mar_2017</v>
      </c>
    </row>
    <row r="274" spans="1:13">
      <c r="A274" s="19" t="s">
        <v>22</v>
      </c>
      <c r="B274" s="57" t="s">
        <v>28</v>
      </c>
      <c r="C274" s="5">
        <v>42796</v>
      </c>
      <c r="D274" s="5" t="s">
        <v>25</v>
      </c>
      <c r="E274" s="8">
        <v>0.35416666666666702</v>
      </c>
      <c r="F274" s="8">
        <v>0.91666666666666696</v>
      </c>
      <c r="G274" s="10">
        <v>0</v>
      </c>
      <c r="H274" s="14">
        <v>12.5</v>
      </c>
      <c r="I274" s="59">
        <v>12.5</v>
      </c>
      <c r="J274" s="38" t="s">
        <v>30</v>
      </c>
      <c r="K274" s="15" t="s">
        <v>82</v>
      </c>
      <c r="L274" s="66" t="str">
        <f t="shared" si="8"/>
        <v/>
      </c>
      <c r="M274" s="19" t="str">
        <f t="shared" si="9"/>
        <v>Mar_2017</v>
      </c>
    </row>
    <row r="275" spans="1:13">
      <c r="A275" s="19" t="s">
        <v>22</v>
      </c>
      <c r="B275" s="57" t="s">
        <v>28</v>
      </c>
      <c r="C275" s="5">
        <v>42797</v>
      </c>
      <c r="D275" s="5" t="s">
        <v>17</v>
      </c>
      <c r="E275" s="8">
        <v>0.35416666666666702</v>
      </c>
      <c r="F275" s="8">
        <v>0.85416666666666696</v>
      </c>
      <c r="G275" s="10">
        <v>0</v>
      </c>
      <c r="H275" s="14">
        <v>10.999999999999998</v>
      </c>
      <c r="I275" s="59">
        <v>10.999999999999998</v>
      </c>
      <c r="J275" s="38" t="s">
        <v>30</v>
      </c>
      <c r="K275" s="15" t="s">
        <v>83</v>
      </c>
      <c r="L275" s="66" t="str">
        <f t="shared" si="8"/>
        <v/>
      </c>
      <c r="M275" s="19" t="str">
        <f t="shared" si="9"/>
        <v>Mar_2017</v>
      </c>
    </row>
    <row r="276" spans="1:13">
      <c r="A276" s="19" t="s">
        <v>22</v>
      </c>
      <c r="B276" s="57" t="s">
        <v>29</v>
      </c>
      <c r="C276" s="5">
        <v>42796</v>
      </c>
      <c r="D276" s="5" t="s">
        <v>25</v>
      </c>
      <c r="E276" s="8">
        <v>0.75</v>
      </c>
      <c r="F276" s="8">
        <v>0.91666666666666696</v>
      </c>
      <c r="G276" s="10">
        <v>0</v>
      </c>
      <c r="H276" s="14">
        <v>3.0000000000000071</v>
      </c>
      <c r="I276" s="59">
        <v>3.0000000000000071</v>
      </c>
      <c r="J276" s="38" t="s">
        <v>30</v>
      </c>
      <c r="K276" s="15" t="s">
        <v>82</v>
      </c>
      <c r="L276" s="66" t="str">
        <f t="shared" si="8"/>
        <v/>
      </c>
      <c r="M276" s="19" t="str">
        <f t="shared" si="9"/>
        <v>Mar_2017</v>
      </c>
    </row>
    <row r="277" spans="1:13">
      <c r="A277" s="19" t="s">
        <v>22</v>
      </c>
      <c r="B277" s="57" t="s">
        <v>29</v>
      </c>
      <c r="C277" s="5">
        <v>42815</v>
      </c>
      <c r="D277" s="5" t="s">
        <v>14</v>
      </c>
      <c r="E277" s="8">
        <v>0.77083333333333304</v>
      </c>
      <c r="F277" s="8">
        <v>0.90625</v>
      </c>
      <c r="G277" s="10">
        <v>0</v>
      </c>
      <c r="H277" s="14">
        <v>3.2500000000000071</v>
      </c>
      <c r="I277" s="59">
        <v>3.2500000000000071</v>
      </c>
      <c r="J277" s="38" t="s">
        <v>30</v>
      </c>
      <c r="K277" s="15" t="s">
        <v>88</v>
      </c>
      <c r="L277" s="66" t="str">
        <f t="shared" si="8"/>
        <v/>
      </c>
      <c r="M277" s="19" t="str">
        <f t="shared" si="9"/>
        <v>Mar_2017</v>
      </c>
    </row>
    <row r="278" spans="1:13">
      <c r="A278" s="19" t="s">
        <v>22</v>
      </c>
      <c r="B278" s="57" t="s">
        <v>29</v>
      </c>
      <c r="C278" s="5">
        <v>42825</v>
      </c>
      <c r="D278" s="5" t="s">
        <v>17</v>
      </c>
      <c r="E278" s="8">
        <v>0.625</v>
      </c>
      <c r="F278" s="8">
        <v>0.89583333333333304</v>
      </c>
      <c r="G278" s="10">
        <v>0</v>
      </c>
      <c r="H278" s="14">
        <v>6.4999999999999929</v>
      </c>
      <c r="I278" s="59">
        <v>6.4999999999999929</v>
      </c>
      <c r="J278" s="38" t="s">
        <v>30</v>
      </c>
      <c r="K278" s="15" t="s">
        <v>97</v>
      </c>
      <c r="L278" s="66" t="str">
        <f t="shared" si="8"/>
        <v/>
      </c>
      <c r="M278" s="19" t="str">
        <f t="shared" si="9"/>
        <v>Mar_2017</v>
      </c>
    </row>
    <row r="279" spans="1:13">
      <c r="A279" s="19" t="s">
        <v>22</v>
      </c>
      <c r="B279" s="57" t="s">
        <v>76</v>
      </c>
      <c r="C279" s="5">
        <v>42814</v>
      </c>
      <c r="D279" s="5" t="s">
        <v>16</v>
      </c>
      <c r="E279" s="8">
        <v>0.35416666666666702</v>
      </c>
      <c r="F279" s="8">
        <v>0.78125</v>
      </c>
      <c r="G279" s="10">
        <v>0</v>
      </c>
      <c r="H279" s="14">
        <v>9.7499999999999911</v>
      </c>
      <c r="I279" s="59">
        <v>9.7499999999999911</v>
      </c>
      <c r="J279" s="38" t="s">
        <v>30</v>
      </c>
      <c r="K279" s="15" t="s">
        <v>107</v>
      </c>
      <c r="L279" s="66" t="str">
        <f t="shared" si="8"/>
        <v/>
      </c>
      <c r="M279" s="19" t="str">
        <f t="shared" si="9"/>
        <v>Mar_2017</v>
      </c>
    </row>
    <row r="280" spans="1:13">
      <c r="A280" s="19" t="s">
        <v>22</v>
      </c>
      <c r="B280" s="57" t="s">
        <v>76</v>
      </c>
      <c r="C280" s="5">
        <v>42815</v>
      </c>
      <c r="D280" s="5" t="s">
        <v>14</v>
      </c>
      <c r="E280" s="8">
        <v>0.35416666666666702</v>
      </c>
      <c r="F280" s="8">
        <v>0.72916666666666696</v>
      </c>
      <c r="G280" s="10">
        <v>0</v>
      </c>
      <c r="H280" s="14">
        <v>7.9999999999999982</v>
      </c>
      <c r="I280" s="59">
        <v>7.9999999999999982</v>
      </c>
      <c r="J280" s="38" t="s">
        <v>30</v>
      </c>
      <c r="K280" s="15" t="s">
        <v>107</v>
      </c>
      <c r="L280" s="66" t="str">
        <f t="shared" si="8"/>
        <v/>
      </c>
      <c r="M280" s="19" t="str">
        <f t="shared" si="9"/>
        <v>Mar_2017</v>
      </c>
    </row>
    <row r="281" spans="1:13">
      <c r="A281" s="19" t="s">
        <v>22</v>
      </c>
      <c r="B281" s="57" t="s">
        <v>76</v>
      </c>
      <c r="C281" s="5">
        <v>42816</v>
      </c>
      <c r="D281" s="5" t="s">
        <v>15</v>
      </c>
      <c r="E281" s="8">
        <v>0.35416666666666702</v>
      </c>
      <c r="F281" s="8">
        <v>0.77083333333333304</v>
      </c>
      <c r="G281" s="10">
        <v>0</v>
      </c>
      <c r="H281" s="14">
        <v>8.999999999999984</v>
      </c>
      <c r="I281" s="59">
        <v>8.999999999999984</v>
      </c>
      <c r="J281" s="38" t="s">
        <v>30</v>
      </c>
      <c r="K281" s="15" t="s">
        <v>107</v>
      </c>
      <c r="L281" s="66" t="str">
        <f t="shared" si="8"/>
        <v/>
      </c>
      <c r="M281" s="19" t="str">
        <f t="shared" si="9"/>
        <v>Mar_2017</v>
      </c>
    </row>
    <row r="282" spans="1:13">
      <c r="A282" s="19" t="s">
        <v>22</v>
      </c>
      <c r="B282" s="57" t="s">
        <v>76</v>
      </c>
      <c r="C282" s="5">
        <v>42817</v>
      </c>
      <c r="D282" s="5" t="s">
        <v>25</v>
      </c>
      <c r="E282" s="8">
        <v>0.53125</v>
      </c>
      <c r="F282" s="8">
        <v>0.73958333333333304</v>
      </c>
      <c r="G282" s="10">
        <v>0</v>
      </c>
      <c r="H282" s="14">
        <v>4.9999999999999929</v>
      </c>
      <c r="I282" s="59">
        <v>4.9999999999999929</v>
      </c>
      <c r="J282" s="38" t="s">
        <v>30</v>
      </c>
      <c r="K282" s="15" t="s">
        <v>107</v>
      </c>
      <c r="L282" s="66" t="str">
        <f t="shared" si="8"/>
        <v/>
      </c>
      <c r="M282" s="19" t="str">
        <f t="shared" si="9"/>
        <v>Mar_2017</v>
      </c>
    </row>
    <row r="283" spans="1:13">
      <c r="A283" s="19" t="s">
        <v>22</v>
      </c>
      <c r="B283" s="57" t="s">
        <v>76</v>
      </c>
      <c r="C283" s="5">
        <v>42818</v>
      </c>
      <c r="D283" s="5" t="s">
        <v>17</v>
      </c>
      <c r="E283" s="8">
        <v>0.35416666666666702</v>
      </c>
      <c r="F283" s="8">
        <v>0.72916666666666696</v>
      </c>
      <c r="G283" s="10">
        <v>0</v>
      </c>
      <c r="H283" s="14">
        <v>7.9999999999999982</v>
      </c>
      <c r="I283" s="59">
        <v>7.9999999999999982</v>
      </c>
      <c r="J283" s="38" t="s">
        <v>30</v>
      </c>
      <c r="K283" s="15" t="s">
        <v>107</v>
      </c>
      <c r="L283" s="66" t="str">
        <f t="shared" si="8"/>
        <v/>
      </c>
      <c r="M283" s="19" t="str">
        <f t="shared" si="9"/>
        <v>Mar_2017</v>
      </c>
    </row>
    <row r="284" spans="1:13">
      <c r="A284" s="19" t="s">
        <v>22</v>
      </c>
      <c r="B284" s="57" t="s">
        <v>77</v>
      </c>
      <c r="C284" s="5">
        <v>42814</v>
      </c>
      <c r="D284" s="5" t="s">
        <v>16</v>
      </c>
      <c r="E284" s="8">
        <v>0.35416666666666702</v>
      </c>
      <c r="F284" s="8">
        <v>0.72916666666666696</v>
      </c>
      <c r="G284" s="10">
        <v>0</v>
      </c>
      <c r="H284" s="14">
        <v>8.4999999999999982</v>
      </c>
      <c r="I284" s="59">
        <v>8.4999999999999982</v>
      </c>
      <c r="J284" s="38" t="s">
        <v>30</v>
      </c>
      <c r="K284" s="15" t="s">
        <v>107</v>
      </c>
      <c r="L284" s="66" t="str">
        <f t="shared" si="8"/>
        <v/>
      </c>
      <c r="M284" s="19" t="str">
        <f t="shared" si="9"/>
        <v>Mar_2017</v>
      </c>
    </row>
    <row r="285" spans="1:13">
      <c r="A285" s="19" t="s">
        <v>22</v>
      </c>
      <c r="B285" s="57" t="s">
        <v>77</v>
      </c>
      <c r="C285" s="5">
        <v>42815</v>
      </c>
      <c r="D285" s="5" t="s">
        <v>14</v>
      </c>
      <c r="E285" s="8">
        <v>0.35416666666666702</v>
      </c>
      <c r="F285" s="8">
        <v>0.72916666666666696</v>
      </c>
      <c r="G285" s="10">
        <v>0</v>
      </c>
      <c r="H285" s="14">
        <v>7.9999999999999982</v>
      </c>
      <c r="I285" s="59">
        <v>7.9999999999999982</v>
      </c>
      <c r="J285" s="38" t="s">
        <v>30</v>
      </c>
      <c r="K285" s="15" t="s">
        <v>107</v>
      </c>
      <c r="L285" s="66" t="str">
        <f t="shared" si="8"/>
        <v/>
      </c>
      <c r="M285" s="19" t="str">
        <f t="shared" si="9"/>
        <v>Mar_2017</v>
      </c>
    </row>
    <row r="286" spans="1:13">
      <c r="A286" s="19" t="s">
        <v>22</v>
      </c>
      <c r="B286" s="57" t="s">
        <v>77</v>
      </c>
      <c r="C286" s="5">
        <v>42816</v>
      </c>
      <c r="D286" s="5" t="s">
        <v>15</v>
      </c>
      <c r="E286" s="8">
        <v>0.375</v>
      </c>
      <c r="F286" s="8">
        <v>0.77083333333333304</v>
      </c>
      <c r="G286" s="10">
        <v>0</v>
      </c>
      <c r="H286" s="14">
        <v>8.4999999999999929</v>
      </c>
      <c r="I286" s="59">
        <v>8.4999999999999929</v>
      </c>
      <c r="J286" s="38" t="s">
        <v>30</v>
      </c>
      <c r="K286" s="15" t="s">
        <v>107</v>
      </c>
      <c r="L286" s="66" t="str">
        <f t="shared" si="8"/>
        <v/>
      </c>
      <c r="M286" s="19" t="str">
        <f t="shared" si="9"/>
        <v>Mar_2017</v>
      </c>
    </row>
    <row r="287" spans="1:13">
      <c r="A287" s="19" t="s">
        <v>22</v>
      </c>
      <c r="B287" s="57" t="s">
        <v>77</v>
      </c>
      <c r="C287" s="5">
        <v>42817</v>
      </c>
      <c r="D287" s="5" t="s">
        <v>25</v>
      </c>
      <c r="E287" s="8">
        <v>0.35416666666666702</v>
      </c>
      <c r="F287" s="8">
        <v>0.73958333333333304</v>
      </c>
      <c r="G287" s="10">
        <v>0</v>
      </c>
      <c r="H287" s="14">
        <v>8.249999999999984</v>
      </c>
      <c r="I287" s="59">
        <v>8.249999999999984</v>
      </c>
      <c r="J287" s="38" t="s">
        <v>30</v>
      </c>
      <c r="K287" s="15" t="s">
        <v>107</v>
      </c>
      <c r="L287" s="66" t="str">
        <f t="shared" si="8"/>
        <v/>
      </c>
      <c r="M287" s="19" t="str">
        <f t="shared" si="9"/>
        <v>Mar_2017</v>
      </c>
    </row>
    <row r="288" spans="1:13">
      <c r="A288" s="19" t="s">
        <v>22</v>
      </c>
      <c r="B288" s="57" t="s">
        <v>77</v>
      </c>
      <c r="C288" s="5">
        <v>42818</v>
      </c>
      <c r="D288" s="5" t="s">
        <v>17</v>
      </c>
      <c r="E288" s="8">
        <v>0.35416666666666702</v>
      </c>
      <c r="F288" s="8">
        <v>0.72916666666666696</v>
      </c>
      <c r="G288" s="10">
        <v>0</v>
      </c>
      <c r="H288" s="14">
        <v>7.9999999999999982</v>
      </c>
      <c r="I288" s="59">
        <v>7.9999999999999982</v>
      </c>
      <c r="J288" s="38" t="s">
        <v>30</v>
      </c>
      <c r="K288" s="15" t="s">
        <v>107</v>
      </c>
      <c r="L288" s="66" t="str">
        <f t="shared" si="8"/>
        <v/>
      </c>
      <c r="M288" s="19" t="str">
        <f t="shared" si="9"/>
        <v>Mar_2017</v>
      </c>
    </row>
    <row r="289" spans="1:13">
      <c r="A289" s="19" t="s">
        <v>22</v>
      </c>
      <c r="B289" s="57" t="s">
        <v>77</v>
      </c>
      <c r="C289" s="5">
        <v>42819</v>
      </c>
      <c r="D289" s="5" t="s">
        <v>24</v>
      </c>
      <c r="E289" s="8">
        <v>0.38541666666666702</v>
      </c>
      <c r="F289" s="8">
        <v>0.6875</v>
      </c>
      <c r="G289" s="10">
        <v>0</v>
      </c>
      <c r="H289" s="14">
        <v>6.2499999999999911</v>
      </c>
      <c r="I289" s="59">
        <v>6.2499999999999911</v>
      </c>
      <c r="J289" s="38" t="s">
        <v>52</v>
      </c>
      <c r="K289" s="15" t="s">
        <v>107</v>
      </c>
      <c r="L289" s="66" t="str">
        <f t="shared" si="8"/>
        <v/>
      </c>
      <c r="M289" s="19" t="str">
        <f t="shared" si="9"/>
        <v>Mar_2017</v>
      </c>
    </row>
    <row r="290" spans="1:13">
      <c r="A290" s="19" t="s">
        <v>22</v>
      </c>
      <c r="B290" s="57" t="s">
        <v>77</v>
      </c>
      <c r="C290" s="5">
        <v>42821</v>
      </c>
      <c r="D290" s="5" t="s">
        <v>16</v>
      </c>
      <c r="E290" s="8">
        <v>0.35416666666666702</v>
      </c>
      <c r="F290" s="8">
        <v>0.5</v>
      </c>
      <c r="G290" s="10">
        <v>0</v>
      </c>
      <c r="H290" s="14">
        <v>3.4999999999999916</v>
      </c>
      <c r="I290" s="59">
        <v>3.4999999999999916</v>
      </c>
      <c r="J290" s="38" t="s">
        <v>30</v>
      </c>
      <c r="K290" s="15" t="s">
        <v>108</v>
      </c>
      <c r="L290" s="66" t="str">
        <f t="shared" si="8"/>
        <v/>
      </c>
      <c r="M290" s="19" t="str">
        <f t="shared" si="9"/>
        <v>Mar_2017</v>
      </c>
    </row>
    <row r="291" spans="1:13">
      <c r="A291" s="19" t="s">
        <v>22</v>
      </c>
      <c r="B291" s="57" t="s">
        <v>77</v>
      </c>
      <c r="C291" s="5">
        <v>42822</v>
      </c>
      <c r="D291" s="5" t="s">
        <v>14</v>
      </c>
      <c r="E291" s="8">
        <v>0.35416666666666702</v>
      </c>
      <c r="F291" s="8">
        <v>0.72916666666666696</v>
      </c>
      <c r="G291" s="10">
        <v>0</v>
      </c>
      <c r="H291" s="14">
        <v>7.9999999999999982</v>
      </c>
      <c r="I291" s="59">
        <v>7.9999999999999982</v>
      </c>
      <c r="J291" s="38" t="s">
        <v>30</v>
      </c>
      <c r="K291" s="15" t="s">
        <v>109</v>
      </c>
      <c r="L291" s="66" t="str">
        <f t="shared" si="8"/>
        <v/>
      </c>
      <c r="M291" s="19" t="str">
        <f t="shared" si="9"/>
        <v>Mar_2017</v>
      </c>
    </row>
    <row r="292" spans="1:13">
      <c r="A292" s="19" t="s">
        <v>22</v>
      </c>
      <c r="B292" s="57" t="s">
        <v>77</v>
      </c>
      <c r="C292" s="5">
        <v>42823</v>
      </c>
      <c r="D292" s="5" t="s">
        <v>15</v>
      </c>
      <c r="E292" s="8">
        <v>0.38541666666666702</v>
      </c>
      <c r="F292" s="8">
        <v>0.89583333333333304</v>
      </c>
      <c r="G292" s="10">
        <v>0</v>
      </c>
      <c r="H292" s="14">
        <v>11.249999999999986</v>
      </c>
      <c r="I292" s="59">
        <v>11.249999999999986</v>
      </c>
      <c r="J292" s="38" t="s">
        <v>30</v>
      </c>
      <c r="K292" s="15" t="s">
        <v>110</v>
      </c>
      <c r="L292" s="66" t="str">
        <f t="shared" si="8"/>
        <v/>
      </c>
      <c r="M292" s="19" t="str">
        <f t="shared" si="9"/>
        <v>Mar_2017</v>
      </c>
    </row>
    <row r="293" spans="1:13">
      <c r="A293" s="19" t="s">
        <v>22</v>
      </c>
      <c r="B293" s="57" t="s">
        <v>77</v>
      </c>
      <c r="C293" s="5">
        <v>42824</v>
      </c>
      <c r="D293" s="5" t="s">
        <v>25</v>
      </c>
      <c r="E293" s="8">
        <v>0.35416666666666702</v>
      </c>
      <c r="F293" s="8">
        <v>0.89583333333333304</v>
      </c>
      <c r="G293" s="10">
        <v>0</v>
      </c>
      <c r="H293" s="14">
        <v>11.999999999999986</v>
      </c>
      <c r="I293" s="59">
        <v>11.999999999999986</v>
      </c>
      <c r="J293" s="38" t="s">
        <v>30</v>
      </c>
      <c r="K293" s="15" t="s">
        <v>94</v>
      </c>
      <c r="L293" s="66" t="str">
        <f t="shared" si="8"/>
        <v/>
      </c>
      <c r="M293" s="19" t="str">
        <f t="shared" si="9"/>
        <v>Mar_2017</v>
      </c>
    </row>
    <row r="294" spans="1:13">
      <c r="A294" s="19" t="s">
        <v>22</v>
      </c>
      <c r="B294" s="57" t="s">
        <v>77</v>
      </c>
      <c r="C294" s="5">
        <v>42825</v>
      </c>
      <c r="D294" s="5" t="s">
        <v>17</v>
      </c>
      <c r="E294" s="8">
        <v>0.35416666666666702</v>
      </c>
      <c r="F294" s="8">
        <v>0.89583333333333304</v>
      </c>
      <c r="G294" s="10">
        <v>0</v>
      </c>
      <c r="H294" s="14">
        <v>11.999999999999986</v>
      </c>
      <c r="I294" s="59">
        <v>11.999999999999986</v>
      </c>
      <c r="J294" s="38" t="s">
        <v>30</v>
      </c>
      <c r="K294" s="15" t="s">
        <v>97</v>
      </c>
      <c r="L294" s="66" t="str">
        <f t="shared" si="8"/>
        <v/>
      </c>
      <c r="M294" s="19" t="str">
        <f t="shared" si="9"/>
        <v>Mar_2017</v>
      </c>
    </row>
    <row r="295" spans="1:13">
      <c r="A295" s="19" t="s">
        <v>22</v>
      </c>
      <c r="B295" s="57" t="s">
        <v>78</v>
      </c>
      <c r="C295" s="5">
        <v>42814</v>
      </c>
      <c r="D295" s="5" t="s">
        <v>16</v>
      </c>
      <c r="E295" s="8">
        <v>0.35416666666666702</v>
      </c>
      <c r="F295" s="8">
        <v>0.72916666666666696</v>
      </c>
      <c r="G295" s="10">
        <v>0</v>
      </c>
      <c r="H295" s="14">
        <v>8.4999999999999982</v>
      </c>
      <c r="I295" s="59">
        <v>8.4999999999999982</v>
      </c>
      <c r="J295" s="38" t="s">
        <v>30</v>
      </c>
      <c r="K295" s="15" t="s">
        <v>107</v>
      </c>
      <c r="L295" s="66" t="str">
        <f t="shared" si="8"/>
        <v/>
      </c>
      <c r="M295" s="19" t="str">
        <f t="shared" si="9"/>
        <v>Mar_2017</v>
      </c>
    </row>
    <row r="296" spans="1:13">
      <c r="A296" s="19" t="s">
        <v>22</v>
      </c>
      <c r="B296" s="57" t="s">
        <v>78</v>
      </c>
      <c r="C296" s="5">
        <v>42815</v>
      </c>
      <c r="D296" s="5" t="s">
        <v>14</v>
      </c>
      <c r="E296" s="8">
        <v>0.35416666666666702</v>
      </c>
      <c r="F296" s="8">
        <v>0.72916666666666696</v>
      </c>
      <c r="G296" s="10">
        <v>0</v>
      </c>
      <c r="H296" s="14">
        <v>7.9999999999999982</v>
      </c>
      <c r="I296" s="59">
        <v>7.9999999999999982</v>
      </c>
      <c r="J296" s="38" t="s">
        <v>30</v>
      </c>
      <c r="K296" s="15" t="s">
        <v>107</v>
      </c>
      <c r="L296" s="66" t="str">
        <f t="shared" si="8"/>
        <v/>
      </c>
      <c r="M296" s="19" t="str">
        <f t="shared" si="9"/>
        <v>Mar_2017</v>
      </c>
    </row>
    <row r="297" spans="1:13">
      <c r="A297" s="19" t="s">
        <v>22</v>
      </c>
      <c r="B297" s="57" t="s">
        <v>78</v>
      </c>
      <c r="C297" s="5">
        <v>42817</v>
      </c>
      <c r="D297" s="5" t="s">
        <v>25</v>
      </c>
      <c r="E297" s="8">
        <v>0.35416666666666702</v>
      </c>
      <c r="F297" s="8">
        <v>0.73958333333333304</v>
      </c>
      <c r="G297" s="10">
        <v>0</v>
      </c>
      <c r="H297" s="14">
        <v>8.249999999999984</v>
      </c>
      <c r="I297" s="59">
        <v>8.249999999999984</v>
      </c>
      <c r="J297" s="38" t="s">
        <v>30</v>
      </c>
      <c r="K297" s="15" t="s">
        <v>107</v>
      </c>
      <c r="L297" s="66" t="str">
        <f t="shared" si="8"/>
        <v/>
      </c>
      <c r="M297" s="19" t="str">
        <f t="shared" si="9"/>
        <v>Mar_2017</v>
      </c>
    </row>
    <row r="298" spans="1:13">
      <c r="A298" s="19" t="s">
        <v>22</v>
      </c>
      <c r="B298" s="57" t="s">
        <v>78</v>
      </c>
      <c r="C298" s="5">
        <v>42818</v>
      </c>
      <c r="D298" s="5" t="s">
        <v>17</v>
      </c>
      <c r="E298" s="8">
        <v>0.35416666666666702</v>
      </c>
      <c r="F298" s="8">
        <v>0.72916666666666696</v>
      </c>
      <c r="G298" s="10">
        <v>0</v>
      </c>
      <c r="H298" s="14">
        <v>7.9999999999999982</v>
      </c>
      <c r="I298" s="59">
        <v>7.9999999999999982</v>
      </c>
      <c r="J298" s="38" t="s">
        <v>30</v>
      </c>
      <c r="K298" s="15" t="s">
        <v>107</v>
      </c>
      <c r="L298" s="66" t="str">
        <f t="shared" si="8"/>
        <v/>
      </c>
      <c r="M298" s="19" t="str">
        <f t="shared" si="9"/>
        <v>Mar_2017</v>
      </c>
    </row>
    <row r="299" spans="1:13">
      <c r="A299" s="19" t="s">
        <v>22</v>
      </c>
      <c r="B299" s="57" t="s">
        <v>79</v>
      </c>
      <c r="C299" s="5">
        <v>42815</v>
      </c>
      <c r="D299" s="5" t="s">
        <v>14</v>
      </c>
      <c r="E299" s="8">
        <v>0.35416666666666702</v>
      </c>
      <c r="F299" s="8">
        <v>0.72916666666666696</v>
      </c>
      <c r="G299" s="10">
        <v>0</v>
      </c>
      <c r="H299" s="14">
        <v>7.9999999999999982</v>
      </c>
      <c r="I299" s="59">
        <v>7.9999999999999982</v>
      </c>
      <c r="J299" s="38" t="s">
        <v>30</v>
      </c>
      <c r="K299" s="15" t="s">
        <v>107</v>
      </c>
      <c r="L299" s="66" t="str">
        <f t="shared" si="8"/>
        <v/>
      </c>
      <c r="M299" s="19" t="str">
        <f t="shared" si="9"/>
        <v>Mar_2017</v>
      </c>
    </row>
    <row r="300" spans="1:13">
      <c r="A300" s="19" t="s">
        <v>22</v>
      </c>
      <c r="B300" s="57" t="s">
        <v>79</v>
      </c>
      <c r="C300" s="5">
        <v>42816</v>
      </c>
      <c r="D300" s="5" t="s">
        <v>15</v>
      </c>
      <c r="E300" s="8">
        <v>0.35416666666666702</v>
      </c>
      <c r="F300" s="8">
        <v>0.77083333333333304</v>
      </c>
      <c r="G300" s="10">
        <v>0</v>
      </c>
      <c r="H300" s="14">
        <v>8.999999999999984</v>
      </c>
      <c r="I300" s="59">
        <v>8.999999999999984</v>
      </c>
      <c r="J300" s="38" t="s">
        <v>30</v>
      </c>
      <c r="K300" s="15" t="s">
        <v>107</v>
      </c>
      <c r="L300" s="66" t="str">
        <f t="shared" si="8"/>
        <v/>
      </c>
      <c r="M300" s="19" t="str">
        <f t="shared" si="9"/>
        <v>Mar_2017</v>
      </c>
    </row>
    <row r="301" spans="1:13">
      <c r="A301" s="19" t="s">
        <v>22</v>
      </c>
      <c r="B301" s="57" t="s">
        <v>79</v>
      </c>
      <c r="C301" s="5">
        <v>42817</v>
      </c>
      <c r="D301" s="5" t="s">
        <v>25</v>
      </c>
      <c r="E301" s="8">
        <v>0.35416666666666702</v>
      </c>
      <c r="F301" s="8">
        <v>0.73958333333333304</v>
      </c>
      <c r="G301" s="10">
        <v>0</v>
      </c>
      <c r="H301" s="14">
        <v>8.249999999999984</v>
      </c>
      <c r="I301" s="59">
        <v>8.249999999999984</v>
      </c>
      <c r="J301" s="38" t="s">
        <v>30</v>
      </c>
      <c r="K301" s="15" t="s">
        <v>107</v>
      </c>
      <c r="L301" s="66" t="str">
        <f t="shared" si="8"/>
        <v/>
      </c>
      <c r="M301" s="19" t="str">
        <f t="shared" si="9"/>
        <v>Mar_2017</v>
      </c>
    </row>
    <row r="302" spans="1:13">
      <c r="A302" s="19" t="s">
        <v>22</v>
      </c>
      <c r="B302" s="57" t="s">
        <v>79</v>
      </c>
      <c r="C302" s="5">
        <v>42818</v>
      </c>
      <c r="D302" s="5" t="s">
        <v>17</v>
      </c>
      <c r="E302" s="8">
        <v>0.35416666666666702</v>
      </c>
      <c r="F302" s="8">
        <v>0.72916666666666696</v>
      </c>
      <c r="G302" s="10">
        <v>0</v>
      </c>
      <c r="H302" s="14">
        <v>7.9999999999999982</v>
      </c>
      <c r="I302" s="59">
        <v>7.9999999999999982</v>
      </c>
      <c r="J302" s="38" t="s">
        <v>30</v>
      </c>
      <c r="K302" s="15" t="s">
        <v>107</v>
      </c>
      <c r="L302" s="66" t="str">
        <f t="shared" si="8"/>
        <v/>
      </c>
      <c r="M302" s="19" t="str">
        <f t="shared" si="9"/>
        <v>Mar_2017</v>
      </c>
    </row>
    <row r="303" spans="1:13">
      <c r="A303" s="19" t="s">
        <v>22</v>
      </c>
      <c r="B303" s="57" t="s">
        <v>80</v>
      </c>
      <c r="C303" s="5">
        <v>42816</v>
      </c>
      <c r="D303" s="5" t="s">
        <v>15</v>
      </c>
      <c r="E303" s="8">
        <v>0.35416666666666702</v>
      </c>
      <c r="F303" s="8">
        <v>0.72916666666666696</v>
      </c>
      <c r="G303" s="10">
        <v>0</v>
      </c>
      <c r="H303" s="14">
        <v>7.9999999999999982</v>
      </c>
      <c r="I303" s="59">
        <v>7.9999999999999982</v>
      </c>
      <c r="J303" s="38" t="s">
        <v>30</v>
      </c>
      <c r="K303" s="15" t="s">
        <v>107</v>
      </c>
      <c r="L303" s="66" t="str">
        <f t="shared" si="8"/>
        <v/>
      </c>
      <c r="M303" s="19" t="str">
        <f t="shared" si="9"/>
        <v>Mar_2017</v>
      </c>
    </row>
    <row r="304" spans="1:13">
      <c r="A304" s="19" t="s">
        <v>22</v>
      </c>
      <c r="B304" s="57" t="s">
        <v>80</v>
      </c>
      <c r="C304" s="5">
        <v>42817</v>
      </c>
      <c r="D304" s="5" t="s">
        <v>25</v>
      </c>
      <c r="E304" s="8">
        <v>0.35416666666666702</v>
      </c>
      <c r="F304" s="8">
        <v>0.73958333333333304</v>
      </c>
      <c r="G304" s="10">
        <v>0</v>
      </c>
      <c r="H304" s="14">
        <v>8.249999999999984</v>
      </c>
      <c r="I304" s="59">
        <v>8.249999999999984</v>
      </c>
      <c r="J304" s="38" t="s">
        <v>30</v>
      </c>
      <c r="K304" s="15" t="s">
        <v>107</v>
      </c>
      <c r="L304" s="66" t="str">
        <f t="shared" si="8"/>
        <v/>
      </c>
      <c r="M304" s="19" t="str">
        <f t="shared" si="9"/>
        <v>Mar_2017</v>
      </c>
    </row>
    <row r="305" spans="1:13">
      <c r="A305" s="19" t="s">
        <v>22</v>
      </c>
      <c r="B305" s="57" t="s">
        <v>80</v>
      </c>
      <c r="C305" s="5">
        <v>42818</v>
      </c>
      <c r="D305" s="5" t="s">
        <v>17</v>
      </c>
      <c r="E305" s="8">
        <v>0.35416666666666702</v>
      </c>
      <c r="F305" s="8">
        <v>0.72916666666666696</v>
      </c>
      <c r="G305" s="10">
        <v>0</v>
      </c>
      <c r="H305" s="14">
        <v>7.9999999999999982</v>
      </c>
      <c r="I305" s="59">
        <v>7.9999999999999982</v>
      </c>
      <c r="J305" s="38" t="s">
        <v>30</v>
      </c>
      <c r="K305" s="15" t="s">
        <v>107</v>
      </c>
      <c r="L305" s="66" t="str">
        <f t="shared" si="8"/>
        <v/>
      </c>
      <c r="M305" s="19" t="str">
        <f t="shared" si="9"/>
        <v>Mar_2017</v>
      </c>
    </row>
    <row r="306" spans="1:13">
      <c r="A306" s="19" t="s">
        <v>22</v>
      </c>
      <c r="B306" s="57" t="s">
        <v>80</v>
      </c>
      <c r="C306" s="5">
        <v>42819</v>
      </c>
      <c r="D306" s="5" t="s">
        <v>24</v>
      </c>
      <c r="E306" s="8">
        <v>0.35416666666666702</v>
      </c>
      <c r="F306" s="8">
        <v>0.6875</v>
      </c>
      <c r="G306" s="10">
        <v>0</v>
      </c>
      <c r="H306" s="14">
        <v>6.9999999999999911</v>
      </c>
      <c r="I306" s="59">
        <v>6.9999999999999911</v>
      </c>
      <c r="J306" s="38" t="s">
        <v>52</v>
      </c>
      <c r="K306" s="15" t="s">
        <v>107</v>
      </c>
      <c r="L306" s="66" t="str">
        <f t="shared" si="8"/>
        <v/>
      </c>
      <c r="M306" s="19" t="str">
        <f t="shared" si="9"/>
        <v>Mar_2017</v>
      </c>
    </row>
    <row r="307" spans="1:13">
      <c r="A307" s="19" t="s">
        <v>22</v>
      </c>
      <c r="B307" s="57" t="s">
        <v>80</v>
      </c>
      <c r="C307" s="5">
        <v>42822</v>
      </c>
      <c r="D307" s="5" t="s">
        <v>14</v>
      </c>
      <c r="E307" s="8">
        <v>0.35416666666666702</v>
      </c>
      <c r="F307" s="8">
        <v>0.72916666666666696</v>
      </c>
      <c r="G307" s="10">
        <v>0</v>
      </c>
      <c r="H307" s="14">
        <v>7.9999999999999982</v>
      </c>
      <c r="I307" s="59">
        <v>7.9999999999999982</v>
      </c>
      <c r="J307" s="38" t="s">
        <v>30</v>
      </c>
      <c r="K307" s="15" t="s">
        <v>109</v>
      </c>
      <c r="L307" s="66" t="str">
        <f t="shared" si="8"/>
        <v/>
      </c>
      <c r="M307" s="19" t="str">
        <f t="shared" si="9"/>
        <v>Mar_2017</v>
      </c>
    </row>
    <row r="308" spans="1:13">
      <c r="A308" s="19" t="s">
        <v>22</v>
      </c>
      <c r="B308" s="57" t="s">
        <v>80</v>
      </c>
      <c r="C308" s="5">
        <v>42823</v>
      </c>
      <c r="D308" s="5" t="s">
        <v>15</v>
      </c>
      <c r="E308" s="8">
        <v>0.35416666666666702</v>
      </c>
      <c r="F308" s="8">
        <v>0.85416666666666696</v>
      </c>
      <c r="G308" s="10">
        <v>0</v>
      </c>
      <c r="H308" s="14">
        <v>10.999999999999998</v>
      </c>
      <c r="I308" s="59">
        <v>10.999999999999998</v>
      </c>
      <c r="J308" s="38" t="s">
        <v>30</v>
      </c>
      <c r="K308" s="15" t="s">
        <v>110</v>
      </c>
      <c r="L308" s="66" t="str">
        <f t="shared" si="8"/>
        <v/>
      </c>
      <c r="M308" s="19" t="str">
        <f t="shared" si="9"/>
        <v>Mar_2017</v>
      </c>
    </row>
    <row r="309" spans="1:13">
      <c r="A309" s="19" t="s">
        <v>22</v>
      </c>
      <c r="B309" s="57" t="s">
        <v>80</v>
      </c>
      <c r="C309" s="5">
        <v>42824</v>
      </c>
      <c r="D309" s="5" t="s">
        <v>25</v>
      </c>
      <c r="E309" s="8">
        <v>0.35416666666666702</v>
      </c>
      <c r="F309" s="8">
        <v>0.72916666666666696</v>
      </c>
      <c r="G309" s="10">
        <v>0</v>
      </c>
      <c r="H309" s="14">
        <v>7.9999999999999982</v>
      </c>
      <c r="I309" s="59">
        <v>7.9999999999999982</v>
      </c>
      <c r="J309" s="38" t="s">
        <v>30</v>
      </c>
      <c r="K309" s="15" t="s">
        <v>94</v>
      </c>
      <c r="L309" s="66" t="str">
        <f t="shared" si="8"/>
        <v/>
      </c>
      <c r="M309" s="19" t="str">
        <f t="shared" si="9"/>
        <v>Mar_2017</v>
      </c>
    </row>
    <row r="310" spans="1:13">
      <c r="A310" s="19" t="s">
        <v>22</v>
      </c>
      <c r="B310" s="57" t="s">
        <v>80</v>
      </c>
      <c r="C310" s="5">
        <v>42825</v>
      </c>
      <c r="D310" s="5" t="s">
        <v>17</v>
      </c>
      <c r="E310" s="8">
        <v>0.35416666666666702</v>
      </c>
      <c r="F310" s="8">
        <v>0.89583333333333304</v>
      </c>
      <c r="G310" s="10">
        <v>0</v>
      </c>
      <c r="H310" s="14">
        <v>11.999999999999986</v>
      </c>
      <c r="I310" s="59">
        <v>11.999999999999986</v>
      </c>
      <c r="J310" s="38" t="s">
        <v>30</v>
      </c>
      <c r="K310" s="15" t="s">
        <v>97</v>
      </c>
      <c r="L310" s="66" t="str">
        <f t="shared" si="8"/>
        <v/>
      </c>
      <c r="M310" s="19" t="str">
        <f t="shared" si="9"/>
        <v>Mar_2017</v>
      </c>
    </row>
    <row r="311" spans="1:13">
      <c r="A311" s="4" t="s">
        <v>11</v>
      </c>
      <c r="B311" s="57" t="s">
        <v>12</v>
      </c>
      <c r="C311" s="5">
        <v>42826</v>
      </c>
      <c r="D311" s="5" t="s">
        <v>24</v>
      </c>
      <c r="E311" s="8">
        <v>0.72916666666666696</v>
      </c>
      <c r="F311" s="8">
        <v>0.89583333333333304</v>
      </c>
      <c r="G311" s="10">
        <v>8</v>
      </c>
      <c r="H311" s="14">
        <v>4</v>
      </c>
      <c r="I311" s="59">
        <v>11.999999999999986</v>
      </c>
      <c r="J311" s="15" t="s">
        <v>52</v>
      </c>
      <c r="K311" s="15" t="s">
        <v>111</v>
      </c>
      <c r="L311" s="66">
        <f t="shared" si="8"/>
        <v>1</v>
      </c>
      <c r="M311" s="19" t="str">
        <f t="shared" si="9"/>
        <v>Apr_2017</v>
      </c>
    </row>
    <row r="312" spans="1:13">
      <c r="A312" s="4" t="s">
        <v>11</v>
      </c>
      <c r="B312" s="57" t="s">
        <v>21</v>
      </c>
      <c r="C312" s="5">
        <v>42826</v>
      </c>
      <c r="D312" s="5" t="s">
        <v>24</v>
      </c>
      <c r="E312" s="8">
        <v>0.72916666666666696</v>
      </c>
      <c r="F312" s="8">
        <v>0.85416666666666696</v>
      </c>
      <c r="G312" s="10">
        <v>8</v>
      </c>
      <c r="H312" s="14">
        <v>3</v>
      </c>
      <c r="I312" s="59">
        <v>10.999999999999998</v>
      </c>
      <c r="J312" s="15" t="s">
        <v>52</v>
      </c>
      <c r="K312" s="15" t="s">
        <v>111</v>
      </c>
      <c r="L312" s="66">
        <f t="shared" si="8"/>
        <v>1</v>
      </c>
      <c r="M312" s="19" t="str">
        <f t="shared" si="9"/>
        <v>Apr_2017</v>
      </c>
    </row>
    <row r="313" spans="1:13">
      <c r="A313" s="4" t="s">
        <v>22</v>
      </c>
      <c r="B313" s="57" t="s">
        <v>23</v>
      </c>
      <c r="C313" s="5">
        <v>42826</v>
      </c>
      <c r="D313" s="5" t="s">
        <v>24</v>
      </c>
      <c r="E313" s="8">
        <v>0.35416666666666702</v>
      </c>
      <c r="F313" s="8">
        <v>0.89583333333333304</v>
      </c>
      <c r="G313" s="10">
        <v>0</v>
      </c>
      <c r="H313" s="14">
        <v>11.999999999999986</v>
      </c>
      <c r="I313" s="59">
        <v>11.999999999999986</v>
      </c>
      <c r="J313" s="15" t="s">
        <v>52</v>
      </c>
      <c r="K313" s="15" t="s">
        <v>111</v>
      </c>
      <c r="L313" s="66" t="str">
        <f t="shared" si="8"/>
        <v/>
      </c>
      <c r="M313" s="19" t="str">
        <f t="shared" si="9"/>
        <v>Apr_2017</v>
      </c>
    </row>
    <row r="314" spans="1:13">
      <c r="A314" s="4" t="s">
        <v>22</v>
      </c>
      <c r="B314" s="57" t="s">
        <v>29</v>
      </c>
      <c r="C314" s="5">
        <v>42826</v>
      </c>
      <c r="D314" s="5" t="s">
        <v>24</v>
      </c>
      <c r="E314" s="8">
        <v>0.54166666666666696</v>
      </c>
      <c r="F314" s="8">
        <v>0.89583333333333304</v>
      </c>
      <c r="G314" s="10">
        <v>0</v>
      </c>
      <c r="H314" s="14">
        <v>8.4999999999999858</v>
      </c>
      <c r="I314" s="59">
        <v>8.4999999999999858</v>
      </c>
      <c r="J314" s="15" t="s">
        <v>52</v>
      </c>
      <c r="K314" s="15" t="s">
        <v>111</v>
      </c>
      <c r="L314" s="66" t="str">
        <f t="shared" si="8"/>
        <v/>
      </c>
      <c r="M314" s="19" t="str">
        <f t="shared" si="9"/>
        <v>Apr_2017</v>
      </c>
    </row>
    <row r="315" spans="1:13">
      <c r="A315" s="4" t="s">
        <v>22</v>
      </c>
      <c r="B315" s="57" t="s">
        <v>77</v>
      </c>
      <c r="C315" s="5">
        <v>42826</v>
      </c>
      <c r="D315" s="5" t="s">
        <v>24</v>
      </c>
      <c r="E315" s="8">
        <v>0.35416666666666702</v>
      </c>
      <c r="F315" s="8">
        <v>0.66666666666666696</v>
      </c>
      <c r="G315" s="10">
        <v>0</v>
      </c>
      <c r="H315" s="14">
        <v>6.4999999999999982</v>
      </c>
      <c r="I315" s="59">
        <v>6.4999999999999982</v>
      </c>
      <c r="J315" s="15" t="s">
        <v>52</v>
      </c>
      <c r="K315" s="15" t="s">
        <v>111</v>
      </c>
      <c r="L315" s="66" t="str">
        <f t="shared" si="8"/>
        <v/>
      </c>
      <c r="M315" s="19" t="str">
        <f t="shared" si="9"/>
        <v>Apr_2017</v>
      </c>
    </row>
    <row r="316" spans="1:13">
      <c r="A316" s="4" t="s">
        <v>22</v>
      </c>
      <c r="B316" s="57" t="s">
        <v>80</v>
      </c>
      <c r="C316" s="5">
        <v>42826</v>
      </c>
      <c r="D316" s="5" t="s">
        <v>24</v>
      </c>
      <c r="E316" s="8">
        <v>0.35416666666666702</v>
      </c>
      <c r="F316" s="8">
        <v>0.89583333333333304</v>
      </c>
      <c r="G316" s="10">
        <v>0</v>
      </c>
      <c r="H316" s="14">
        <v>11.999999999999986</v>
      </c>
      <c r="I316" s="59">
        <v>11.999999999999986</v>
      </c>
      <c r="J316" s="15" t="s">
        <v>52</v>
      </c>
      <c r="K316" s="15" t="s">
        <v>111</v>
      </c>
      <c r="L316" s="66" t="str">
        <f t="shared" si="8"/>
        <v/>
      </c>
      <c r="M316" s="19" t="str">
        <f t="shared" si="9"/>
        <v>Apr_2017</v>
      </c>
    </row>
    <row r="317" spans="1:13">
      <c r="A317" s="4" t="s">
        <v>11</v>
      </c>
      <c r="B317" s="57" t="s">
        <v>12</v>
      </c>
      <c r="C317" s="5">
        <v>42827</v>
      </c>
      <c r="D317" s="5" t="s">
        <v>13</v>
      </c>
      <c r="E317" s="8">
        <v>0.33333333333333298</v>
      </c>
      <c r="F317" s="8">
        <v>0.77083333333333304</v>
      </c>
      <c r="G317" s="10">
        <v>0</v>
      </c>
      <c r="H317" s="14">
        <v>9.5000000000000018</v>
      </c>
      <c r="I317" s="59">
        <v>9.5000000000000018</v>
      </c>
      <c r="J317" s="15" t="s">
        <v>52</v>
      </c>
      <c r="K317" s="15" t="s">
        <v>112</v>
      </c>
      <c r="L317" s="66">
        <f t="shared" si="8"/>
        <v>1</v>
      </c>
      <c r="M317" s="19" t="str">
        <f t="shared" si="9"/>
        <v>Apr_2017</v>
      </c>
    </row>
    <row r="318" spans="1:13">
      <c r="A318" s="4" t="s">
        <v>11</v>
      </c>
      <c r="B318" s="57" t="s">
        <v>19</v>
      </c>
      <c r="C318" s="5">
        <v>42827</v>
      </c>
      <c r="D318" s="5" t="s">
        <v>13</v>
      </c>
      <c r="E318" s="8">
        <v>0.35416666666666702</v>
      </c>
      <c r="F318" s="8">
        <v>0.77083333333333304</v>
      </c>
      <c r="G318" s="10">
        <v>0</v>
      </c>
      <c r="H318" s="14">
        <v>8.999999999999984</v>
      </c>
      <c r="I318" s="59">
        <v>8.999999999999984</v>
      </c>
      <c r="J318" s="15" t="s">
        <v>52</v>
      </c>
      <c r="K318" s="15" t="s">
        <v>112</v>
      </c>
      <c r="L318" s="66">
        <f t="shared" si="8"/>
        <v>1</v>
      </c>
      <c r="M318" s="19" t="str">
        <f t="shared" si="9"/>
        <v>Apr_2017</v>
      </c>
    </row>
    <row r="319" spans="1:13">
      <c r="A319" s="4" t="s">
        <v>11</v>
      </c>
      <c r="B319" s="57" t="s">
        <v>21</v>
      </c>
      <c r="C319" s="5">
        <v>42827</v>
      </c>
      <c r="D319" s="5" t="s">
        <v>13</v>
      </c>
      <c r="E319" s="8">
        <v>0.33333333333333298</v>
      </c>
      <c r="F319" s="8">
        <v>0.77083333333333304</v>
      </c>
      <c r="G319" s="10">
        <v>0</v>
      </c>
      <c r="H319" s="14">
        <v>9.5000000000000018</v>
      </c>
      <c r="I319" s="59">
        <v>9.5000000000000018</v>
      </c>
      <c r="J319" s="15" t="s">
        <v>52</v>
      </c>
      <c r="K319" s="15" t="s">
        <v>112</v>
      </c>
      <c r="L319" s="66">
        <f t="shared" si="8"/>
        <v>1</v>
      </c>
      <c r="M319" s="19" t="str">
        <f t="shared" si="9"/>
        <v>Apr_2017</v>
      </c>
    </row>
    <row r="320" spans="1:13">
      <c r="A320" s="4" t="s">
        <v>22</v>
      </c>
      <c r="B320" s="57" t="s">
        <v>23</v>
      </c>
      <c r="C320" s="5">
        <v>42827</v>
      </c>
      <c r="D320" s="5" t="s">
        <v>13</v>
      </c>
      <c r="E320" s="8">
        <v>0.33333333333333298</v>
      </c>
      <c r="F320" s="8">
        <v>0.77083333333333304</v>
      </c>
      <c r="G320" s="10">
        <v>0</v>
      </c>
      <c r="H320" s="14">
        <v>9.5000000000000018</v>
      </c>
      <c r="I320" s="59">
        <v>9.5000000000000018</v>
      </c>
      <c r="J320" s="15" t="s">
        <v>52</v>
      </c>
      <c r="K320" s="15" t="s">
        <v>112</v>
      </c>
      <c r="L320" s="66" t="str">
        <f t="shared" si="8"/>
        <v/>
      </c>
      <c r="M320" s="19" t="str">
        <f t="shared" si="9"/>
        <v>Apr_2017</v>
      </c>
    </row>
    <row r="321" spans="1:13">
      <c r="A321" s="4" t="s">
        <v>11</v>
      </c>
      <c r="B321" s="57" t="s">
        <v>26</v>
      </c>
      <c r="C321" s="5">
        <v>42827</v>
      </c>
      <c r="D321" s="5" t="s">
        <v>13</v>
      </c>
      <c r="E321" s="8">
        <v>0.35416666666666702</v>
      </c>
      <c r="F321" s="8">
        <v>0.77083333333333304</v>
      </c>
      <c r="G321" s="10">
        <v>0</v>
      </c>
      <c r="H321" s="14">
        <v>8.999999999999984</v>
      </c>
      <c r="I321" s="59">
        <v>8.999999999999984</v>
      </c>
      <c r="J321" s="15" t="s">
        <v>52</v>
      </c>
      <c r="K321" s="15" t="s">
        <v>112</v>
      </c>
      <c r="L321" s="66">
        <f t="shared" si="8"/>
        <v>1</v>
      </c>
      <c r="M321" s="19" t="str">
        <f t="shared" si="9"/>
        <v>Apr_2017</v>
      </c>
    </row>
    <row r="322" spans="1:13">
      <c r="A322" s="4" t="s">
        <v>22</v>
      </c>
      <c r="B322" s="57" t="s">
        <v>29</v>
      </c>
      <c r="C322" s="5">
        <v>42827</v>
      </c>
      <c r="D322" s="5" t="s">
        <v>13</v>
      </c>
      <c r="E322" s="8">
        <v>0.33333333333333298</v>
      </c>
      <c r="F322" s="8">
        <v>0.77083333333333304</v>
      </c>
      <c r="G322" s="10">
        <v>0</v>
      </c>
      <c r="H322" s="14">
        <v>9.5000000000000018</v>
      </c>
      <c r="I322" s="59">
        <v>9.5000000000000018</v>
      </c>
      <c r="J322" s="15" t="s">
        <v>52</v>
      </c>
      <c r="K322" s="15" t="s">
        <v>112</v>
      </c>
      <c r="L322" s="66" t="str">
        <f t="shared" ref="L322:L385" si="10">IF(AND($A322="Perm Staff Onsite",$H322&gt;=2),1,"")</f>
        <v/>
      </c>
      <c r="M322" s="19" t="str">
        <f t="shared" si="9"/>
        <v>Apr_2017</v>
      </c>
    </row>
    <row r="323" spans="1:13">
      <c r="A323" s="4" t="s">
        <v>22</v>
      </c>
      <c r="B323" s="57" t="s">
        <v>77</v>
      </c>
      <c r="C323" s="5">
        <v>42827</v>
      </c>
      <c r="D323" s="5" t="s">
        <v>13</v>
      </c>
      <c r="E323" s="8">
        <v>0.33333333333333298</v>
      </c>
      <c r="F323" s="8">
        <v>0.70833333333333304</v>
      </c>
      <c r="G323" s="10">
        <v>0</v>
      </c>
      <c r="H323" s="14">
        <v>8.0000000000000018</v>
      </c>
      <c r="I323" s="59">
        <v>8.0000000000000018</v>
      </c>
      <c r="J323" s="15" t="s">
        <v>52</v>
      </c>
      <c r="K323" s="15" t="s">
        <v>112</v>
      </c>
      <c r="L323" s="66" t="str">
        <f t="shared" si="10"/>
        <v/>
      </c>
      <c r="M323" s="19" t="str">
        <f t="shared" ref="M323:M386" si="11">IF($C323="","",TEXT(DATE(YEAR($C323),MONTH($C323),DAY($C323)),"MMM")&amp;"_"&amp;YEAR($C323))</f>
        <v>Apr_2017</v>
      </c>
    </row>
    <row r="324" spans="1:13">
      <c r="A324" s="4" t="s">
        <v>11</v>
      </c>
      <c r="B324" s="57" t="s">
        <v>12</v>
      </c>
      <c r="C324" s="5">
        <v>42828</v>
      </c>
      <c r="D324" s="5" t="s">
        <v>16</v>
      </c>
      <c r="E324" s="8">
        <v>0.71875</v>
      </c>
      <c r="F324" s="8">
        <v>0.89583333333333304</v>
      </c>
      <c r="G324" s="10">
        <v>8</v>
      </c>
      <c r="H324" s="14">
        <v>4.2499999999999893</v>
      </c>
      <c r="I324" s="59">
        <v>4.2499999999999893</v>
      </c>
      <c r="J324" s="15" t="s">
        <v>30</v>
      </c>
      <c r="K324" s="15" t="s">
        <v>113</v>
      </c>
      <c r="L324" s="66">
        <f t="shared" si="10"/>
        <v>1</v>
      </c>
      <c r="M324" s="19" t="str">
        <f t="shared" si="11"/>
        <v>Apr_2017</v>
      </c>
    </row>
    <row r="325" spans="1:13">
      <c r="A325" s="4" t="s">
        <v>11</v>
      </c>
      <c r="B325" s="57" t="s">
        <v>19</v>
      </c>
      <c r="C325" s="5">
        <v>42828</v>
      </c>
      <c r="D325" s="5" t="s">
        <v>16</v>
      </c>
      <c r="E325" s="8">
        <v>0.72916666666666696</v>
      </c>
      <c r="F325" s="8">
        <v>0.89583333333333304</v>
      </c>
      <c r="G325" s="10">
        <v>8</v>
      </c>
      <c r="H325" s="14">
        <v>3.9999999999999822</v>
      </c>
      <c r="I325" s="59">
        <v>3.9999999999999822</v>
      </c>
      <c r="J325" s="15" t="s">
        <v>30</v>
      </c>
      <c r="K325" s="15" t="s">
        <v>114</v>
      </c>
      <c r="L325" s="66">
        <f t="shared" si="10"/>
        <v>1</v>
      </c>
      <c r="M325" s="19" t="str">
        <f t="shared" si="11"/>
        <v>Apr_2017</v>
      </c>
    </row>
    <row r="326" spans="1:13">
      <c r="A326" s="4" t="s">
        <v>11</v>
      </c>
      <c r="B326" s="57" t="s">
        <v>20</v>
      </c>
      <c r="C326" s="5">
        <v>42828</v>
      </c>
      <c r="D326" s="5" t="s">
        <v>16</v>
      </c>
      <c r="E326" s="8">
        <v>0.72916666666666696</v>
      </c>
      <c r="F326" s="8">
        <v>0.85416666666666696</v>
      </c>
      <c r="G326" s="10">
        <v>8</v>
      </c>
      <c r="H326" s="14">
        <v>2.9999999999999947</v>
      </c>
      <c r="I326" s="59">
        <v>2.9999999999999947</v>
      </c>
      <c r="J326" s="15" t="s">
        <v>30</v>
      </c>
      <c r="K326" s="15" t="s">
        <v>114</v>
      </c>
      <c r="L326" s="66">
        <f t="shared" si="10"/>
        <v>1</v>
      </c>
      <c r="M326" s="19" t="str">
        <f t="shared" si="11"/>
        <v>Apr_2017</v>
      </c>
    </row>
    <row r="327" spans="1:13">
      <c r="A327" s="4" t="s">
        <v>11</v>
      </c>
      <c r="B327" s="57" t="s">
        <v>21</v>
      </c>
      <c r="C327" s="5">
        <v>42828</v>
      </c>
      <c r="D327" s="5" t="s">
        <v>16</v>
      </c>
      <c r="E327" s="8">
        <v>0.72916666666666696</v>
      </c>
      <c r="F327" s="8">
        <v>0.89583333333333304</v>
      </c>
      <c r="G327" s="10">
        <v>8</v>
      </c>
      <c r="H327" s="14">
        <v>3.9999999999999822</v>
      </c>
      <c r="I327" s="59">
        <v>3.9999999999999822</v>
      </c>
      <c r="J327" s="15" t="s">
        <v>30</v>
      </c>
      <c r="K327" s="15" t="s">
        <v>114</v>
      </c>
      <c r="L327" s="66">
        <f t="shared" si="10"/>
        <v>1</v>
      </c>
      <c r="M327" s="19" t="str">
        <f t="shared" si="11"/>
        <v>Apr_2017</v>
      </c>
    </row>
    <row r="328" spans="1:13">
      <c r="A328" s="4" t="s">
        <v>22</v>
      </c>
      <c r="B328" s="57" t="s">
        <v>23</v>
      </c>
      <c r="C328" s="5">
        <v>42828</v>
      </c>
      <c r="D328" s="5" t="s">
        <v>16</v>
      </c>
      <c r="E328" s="8">
        <v>0.35416666666666702</v>
      </c>
      <c r="F328" s="8">
        <v>0.89583333333333304</v>
      </c>
      <c r="G328" s="10">
        <v>0</v>
      </c>
      <c r="H328" s="14">
        <v>11.999999999999986</v>
      </c>
      <c r="I328" s="59">
        <v>11.999999999999986</v>
      </c>
      <c r="J328" s="15" t="s">
        <v>30</v>
      </c>
      <c r="K328" s="15" t="s">
        <v>114</v>
      </c>
      <c r="L328" s="66" t="str">
        <f t="shared" si="10"/>
        <v/>
      </c>
      <c r="M328" s="19" t="str">
        <f t="shared" si="11"/>
        <v>Apr_2017</v>
      </c>
    </row>
    <row r="329" spans="1:13">
      <c r="A329" s="4" t="s">
        <v>11</v>
      </c>
      <c r="B329" s="57" t="s">
        <v>26</v>
      </c>
      <c r="C329" s="5">
        <v>42828</v>
      </c>
      <c r="D329" s="5" t="s">
        <v>16</v>
      </c>
      <c r="E329" s="8">
        <v>0.72916666666666696</v>
      </c>
      <c r="F329" s="8">
        <v>0.89583333333333304</v>
      </c>
      <c r="G329" s="10">
        <v>8</v>
      </c>
      <c r="H329" s="14">
        <v>3.9999999999999822</v>
      </c>
      <c r="I329" s="59">
        <v>3.9999999999999822</v>
      </c>
      <c r="J329" s="15" t="s">
        <v>30</v>
      </c>
      <c r="K329" s="15" t="s">
        <v>114</v>
      </c>
      <c r="L329" s="66">
        <f t="shared" si="10"/>
        <v>1</v>
      </c>
      <c r="M329" s="19" t="str">
        <f t="shared" si="11"/>
        <v>Apr_2017</v>
      </c>
    </row>
    <row r="330" spans="1:13">
      <c r="A330" s="4" t="s">
        <v>22</v>
      </c>
      <c r="B330" s="57" t="s">
        <v>29</v>
      </c>
      <c r="C330" s="5">
        <v>42828</v>
      </c>
      <c r="D330" s="5" t="s">
        <v>16</v>
      </c>
      <c r="E330" s="8">
        <v>0.77083333333333304</v>
      </c>
      <c r="F330" s="8">
        <v>0.89583333333333304</v>
      </c>
      <c r="G330" s="10">
        <v>0</v>
      </c>
      <c r="H330" s="14">
        <v>3</v>
      </c>
      <c r="I330" s="59">
        <v>3</v>
      </c>
      <c r="J330" s="15" t="s">
        <v>30</v>
      </c>
      <c r="K330" s="15" t="s">
        <v>114</v>
      </c>
      <c r="L330" s="66" t="str">
        <f t="shared" si="10"/>
        <v/>
      </c>
      <c r="M330" s="19" t="str">
        <f t="shared" si="11"/>
        <v>Apr_2017</v>
      </c>
    </row>
    <row r="331" spans="1:13">
      <c r="A331" s="4" t="s">
        <v>22</v>
      </c>
      <c r="B331" s="57" t="s">
        <v>77</v>
      </c>
      <c r="C331" s="5">
        <v>42828</v>
      </c>
      <c r="D331" s="5" t="s">
        <v>16</v>
      </c>
      <c r="E331" s="8">
        <v>0.35416666666666702</v>
      </c>
      <c r="F331" s="8">
        <v>0.89583333333333304</v>
      </c>
      <c r="G331" s="10">
        <v>0</v>
      </c>
      <c r="H331" s="14">
        <v>11.999999999999986</v>
      </c>
      <c r="I331" s="59">
        <v>11.999999999999986</v>
      </c>
      <c r="J331" s="15" t="s">
        <v>30</v>
      </c>
      <c r="K331" s="15" t="s">
        <v>114</v>
      </c>
      <c r="L331" s="66" t="str">
        <f t="shared" si="10"/>
        <v/>
      </c>
      <c r="M331" s="19" t="str">
        <f t="shared" si="11"/>
        <v>Apr_2017</v>
      </c>
    </row>
    <row r="332" spans="1:13">
      <c r="A332" s="4" t="s">
        <v>22</v>
      </c>
      <c r="B332" s="57" t="s">
        <v>80</v>
      </c>
      <c r="C332" s="5">
        <v>42828</v>
      </c>
      <c r="D332" s="5" t="s">
        <v>16</v>
      </c>
      <c r="E332" s="8">
        <v>0.35416666666666702</v>
      </c>
      <c r="F332" s="8">
        <v>0.72916666666666696</v>
      </c>
      <c r="G332" s="10">
        <v>0</v>
      </c>
      <c r="H332" s="14">
        <v>7.9999999999999982</v>
      </c>
      <c r="I332" s="59">
        <v>7.9999999999999982</v>
      </c>
      <c r="J332" s="15" t="s">
        <v>30</v>
      </c>
      <c r="K332" s="15" t="s">
        <v>114</v>
      </c>
      <c r="L332" s="66" t="str">
        <f t="shared" si="10"/>
        <v/>
      </c>
      <c r="M332" s="19" t="str">
        <f t="shared" si="11"/>
        <v>Apr_2017</v>
      </c>
    </row>
    <row r="333" spans="1:13">
      <c r="A333" s="4" t="s">
        <v>11</v>
      </c>
      <c r="B333" s="57" t="s">
        <v>12</v>
      </c>
      <c r="C333" s="5">
        <v>42829</v>
      </c>
      <c r="D333" s="5" t="s">
        <v>14</v>
      </c>
      <c r="E333" s="8">
        <v>0.75</v>
      </c>
      <c r="F333" s="8">
        <v>0.89583333333333304</v>
      </c>
      <c r="G333" s="10">
        <v>8</v>
      </c>
      <c r="H333" s="14">
        <v>3.5</v>
      </c>
      <c r="I333" s="59">
        <v>3.5</v>
      </c>
      <c r="J333" s="15" t="s">
        <v>30</v>
      </c>
      <c r="K333" s="15" t="s">
        <v>115</v>
      </c>
      <c r="L333" s="66">
        <f t="shared" si="10"/>
        <v>1</v>
      </c>
      <c r="M333" s="19" t="str">
        <f t="shared" si="11"/>
        <v>Apr_2017</v>
      </c>
    </row>
    <row r="334" spans="1:13">
      <c r="A334" s="4" t="s">
        <v>11</v>
      </c>
      <c r="B334" s="57" t="s">
        <v>20</v>
      </c>
      <c r="C334" s="5">
        <v>42829</v>
      </c>
      <c r="D334" s="5" t="s">
        <v>14</v>
      </c>
      <c r="E334" s="8">
        <v>0.6875</v>
      </c>
      <c r="F334" s="8">
        <v>0.72916666666666696</v>
      </c>
      <c r="G334" s="10">
        <v>8</v>
      </c>
      <c r="H334" s="14">
        <v>1.0000000000000036</v>
      </c>
      <c r="I334" s="59">
        <v>1.0000000000000036</v>
      </c>
      <c r="J334" s="15" t="s">
        <v>30</v>
      </c>
      <c r="K334" s="15" t="s">
        <v>115</v>
      </c>
      <c r="L334" s="66" t="str">
        <f t="shared" si="10"/>
        <v/>
      </c>
      <c r="M334" s="19" t="str">
        <f t="shared" si="11"/>
        <v>Apr_2017</v>
      </c>
    </row>
    <row r="335" spans="1:13">
      <c r="A335" s="4" t="s">
        <v>11</v>
      </c>
      <c r="B335" s="57" t="s">
        <v>21</v>
      </c>
      <c r="C335" s="5">
        <v>42829</v>
      </c>
      <c r="D335" s="5" t="s">
        <v>14</v>
      </c>
      <c r="E335" s="8">
        <v>0.6875</v>
      </c>
      <c r="F335" s="8">
        <v>0.875</v>
      </c>
      <c r="G335" s="10">
        <v>8</v>
      </c>
      <c r="H335" s="14">
        <v>4.4999999999999964</v>
      </c>
      <c r="I335" s="59">
        <v>4.4999999999999964</v>
      </c>
      <c r="J335" s="15" t="s">
        <v>30</v>
      </c>
      <c r="K335" s="15" t="s">
        <v>115</v>
      </c>
      <c r="L335" s="66">
        <f t="shared" si="10"/>
        <v>1</v>
      </c>
      <c r="M335" s="19" t="str">
        <f t="shared" si="11"/>
        <v>Apr_2017</v>
      </c>
    </row>
    <row r="336" spans="1:13">
      <c r="A336" s="4" t="s">
        <v>22</v>
      </c>
      <c r="B336" s="57" t="s">
        <v>23</v>
      </c>
      <c r="C336" s="5">
        <v>42829</v>
      </c>
      <c r="D336" s="5" t="s">
        <v>14</v>
      </c>
      <c r="E336" s="8">
        <v>0.3125</v>
      </c>
      <c r="F336" s="8">
        <v>0.89583333333333304</v>
      </c>
      <c r="G336" s="10">
        <v>0</v>
      </c>
      <c r="H336" s="14">
        <v>12.999999999999993</v>
      </c>
      <c r="I336" s="59">
        <v>12.999999999999993</v>
      </c>
      <c r="J336" s="15" t="s">
        <v>30</v>
      </c>
      <c r="K336" s="15" t="s">
        <v>115</v>
      </c>
      <c r="L336" s="66" t="str">
        <f t="shared" si="10"/>
        <v/>
      </c>
      <c r="M336" s="19" t="str">
        <f t="shared" si="11"/>
        <v>Apr_2017</v>
      </c>
    </row>
    <row r="337" spans="1:13">
      <c r="A337" s="4" t="s">
        <v>11</v>
      </c>
      <c r="B337" s="57" t="s">
        <v>26</v>
      </c>
      <c r="C337" s="5">
        <v>42829</v>
      </c>
      <c r="D337" s="5" t="s">
        <v>14</v>
      </c>
      <c r="E337" s="8">
        <v>0.6875</v>
      </c>
      <c r="F337" s="8">
        <v>0.875</v>
      </c>
      <c r="G337" s="10">
        <v>8</v>
      </c>
      <c r="H337" s="14">
        <v>4.4999999999999964</v>
      </c>
      <c r="I337" s="59">
        <v>4.4999999999999964</v>
      </c>
      <c r="J337" s="15" t="s">
        <v>30</v>
      </c>
      <c r="K337" s="15" t="s">
        <v>115</v>
      </c>
      <c r="L337" s="66">
        <f t="shared" si="10"/>
        <v>1</v>
      </c>
      <c r="M337" s="19" t="str">
        <f t="shared" si="11"/>
        <v>Apr_2017</v>
      </c>
    </row>
    <row r="338" spans="1:13">
      <c r="A338" s="4" t="s">
        <v>22</v>
      </c>
      <c r="B338" s="57" t="s">
        <v>29</v>
      </c>
      <c r="C338" s="5">
        <v>42829</v>
      </c>
      <c r="D338" s="5" t="s">
        <v>14</v>
      </c>
      <c r="E338" s="8">
        <v>0.75</v>
      </c>
      <c r="F338" s="8">
        <v>0.89583333333333304</v>
      </c>
      <c r="G338" s="10">
        <v>0</v>
      </c>
      <c r="H338" s="14">
        <v>3.4999999999999929</v>
      </c>
      <c r="I338" s="59">
        <v>3.4999999999999929</v>
      </c>
      <c r="J338" s="15" t="s">
        <v>30</v>
      </c>
      <c r="K338" s="15" t="s">
        <v>115</v>
      </c>
      <c r="L338" s="66" t="str">
        <f t="shared" si="10"/>
        <v/>
      </c>
      <c r="M338" s="19" t="str">
        <f t="shared" si="11"/>
        <v>Apr_2017</v>
      </c>
    </row>
    <row r="339" spans="1:13">
      <c r="A339" s="4" t="s">
        <v>22</v>
      </c>
      <c r="B339" s="57" t="s">
        <v>77</v>
      </c>
      <c r="C339" s="5">
        <v>42829</v>
      </c>
      <c r="D339" s="5" t="s">
        <v>14</v>
      </c>
      <c r="E339" s="8">
        <v>0.3125</v>
      </c>
      <c r="F339" s="8">
        <v>0.89583333333333304</v>
      </c>
      <c r="G339" s="10">
        <v>0</v>
      </c>
      <c r="H339" s="14">
        <v>12.999999999999993</v>
      </c>
      <c r="I339" s="59">
        <v>12.999999999999993</v>
      </c>
      <c r="J339" s="15" t="s">
        <v>30</v>
      </c>
      <c r="K339" s="15" t="s">
        <v>115</v>
      </c>
      <c r="L339" s="66" t="str">
        <f t="shared" si="10"/>
        <v/>
      </c>
      <c r="M339" s="19" t="str">
        <f t="shared" si="11"/>
        <v>Apr_2017</v>
      </c>
    </row>
    <row r="340" spans="1:13">
      <c r="A340" s="4" t="s">
        <v>22</v>
      </c>
      <c r="B340" s="57" t="s">
        <v>80</v>
      </c>
      <c r="C340" s="5">
        <v>42829</v>
      </c>
      <c r="D340" s="5" t="s">
        <v>14</v>
      </c>
      <c r="E340" s="8">
        <v>0.3125</v>
      </c>
      <c r="F340" s="8">
        <v>0.89583333333333304</v>
      </c>
      <c r="G340" s="10">
        <v>0</v>
      </c>
      <c r="H340" s="14">
        <v>12.999999999999993</v>
      </c>
      <c r="I340" s="59">
        <v>12.999999999999993</v>
      </c>
      <c r="J340" s="15" t="s">
        <v>30</v>
      </c>
      <c r="K340" s="15" t="s">
        <v>115</v>
      </c>
      <c r="L340" s="66" t="str">
        <f t="shared" si="10"/>
        <v/>
      </c>
      <c r="M340" s="19" t="str">
        <f t="shared" si="11"/>
        <v>Apr_2017</v>
      </c>
    </row>
    <row r="341" spans="1:13">
      <c r="A341" s="18" t="s">
        <v>22</v>
      </c>
      <c r="B341" s="63" t="s">
        <v>23</v>
      </c>
      <c r="C341" s="5">
        <v>42830</v>
      </c>
      <c r="D341" s="5" t="s">
        <v>15</v>
      </c>
      <c r="E341" s="8">
        <v>0.35416666666666702</v>
      </c>
      <c r="F341" s="8">
        <v>0.72916666666666696</v>
      </c>
      <c r="G341" s="10">
        <v>0</v>
      </c>
      <c r="H341" s="14">
        <v>7.9999999999999982</v>
      </c>
      <c r="I341" s="59">
        <v>7.9999999999999982</v>
      </c>
      <c r="J341" s="15" t="s">
        <v>30</v>
      </c>
      <c r="K341" s="15" t="s">
        <v>116</v>
      </c>
      <c r="L341" s="66" t="str">
        <f t="shared" si="10"/>
        <v/>
      </c>
      <c r="M341" s="19" t="str">
        <f t="shared" si="11"/>
        <v>Apr_2017</v>
      </c>
    </row>
    <row r="342" spans="1:13">
      <c r="A342" s="4" t="s">
        <v>22</v>
      </c>
      <c r="B342" s="57" t="s">
        <v>23</v>
      </c>
      <c r="C342" s="5">
        <v>42832</v>
      </c>
      <c r="D342" s="5" t="s">
        <v>17</v>
      </c>
      <c r="E342" s="8">
        <v>0.35416666666666702</v>
      </c>
      <c r="F342" s="8">
        <v>0.72916666666666696</v>
      </c>
      <c r="G342" s="10">
        <v>0</v>
      </c>
      <c r="H342" s="14">
        <v>7.9999999999999982</v>
      </c>
      <c r="I342" s="59">
        <v>7.9999999999999982</v>
      </c>
      <c r="J342" s="15" t="s">
        <v>30</v>
      </c>
      <c r="K342" s="15" t="s">
        <v>117</v>
      </c>
      <c r="L342" s="66" t="str">
        <f t="shared" si="10"/>
        <v/>
      </c>
      <c r="M342" s="19" t="str">
        <f t="shared" si="11"/>
        <v>Apr_2017</v>
      </c>
    </row>
    <row r="343" spans="1:13">
      <c r="A343" s="4" t="s">
        <v>22</v>
      </c>
      <c r="B343" s="57" t="s">
        <v>23</v>
      </c>
      <c r="C343" s="5">
        <v>42835</v>
      </c>
      <c r="D343" s="5" t="s">
        <v>16</v>
      </c>
      <c r="E343" s="8">
        <v>0.35416666666666702</v>
      </c>
      <c r="F343" s="8">
        <v>0.72916666666666696</v>
      </c>
      <c r="G343" s="10">
        <v>0</v>
      </c>
      <c r="H343" s="14">
        <v>7.9999999999999982</v>
      </c>
      <c r="I343" s="59">
        <v>7.9999999999999982</v>
      </c>
      <c r="J343" s="15" t="s">
        <v>30</v>
      </c>
      <c r="K343" s="15" t="s">
        <v>118</v>
      </c>
      <c r="L343" s="66" t="str">
        <f t="shared" si="10"/>
        <v/>
      </c>
      <c r="M343" s="19" t="str">
        <f t="shared" si="11"/>
        <v>Apr_2017</v>
      </c>
    </row>
    <row r="344" spans="1:13">
      <c r="A344" s="4" t="s">
        <v>11</v>
      </c>
      <c r="B344" s="57" t="s">
        <v>12</v>
      </c>
      <c r="C344" s="5">
        <v>42836</v>
      </c>
      <c r="D344" s="5" t="s">
        <v>14</v>
      </c>
      <c r="E344" s="8">
        <v>0.72916666666666696</v>
      </c>
      <c r="F344" s="8">
        <v>0.89583333333333304</v>
      </c>
      <c r="G344" s="10">
        <v>8</v>
      </c>
      <c r="H344" s="14">
        <v>3.9999999999999822</v>
      </c>
      <c r="I344" s="59">
        <v>3.9999999999999822</v>
      </c>
      <c r="J344" s="15" t="s">
        <v>30</v>
      </c>
      <c r="K344" s="15" t="s">
        <v>119</v>
      </c>
      <c r="L344" s="66">
        <f t="shared" si="10"/>
        <v>1</v>
      </c>
      <c r="M344" s="19" t="str">
        <f t="shared" si="11"/>
        <v>Apr_2017</v>
      </c>
    </row>
    <row r="345" spans="1:13">
      <c r="A345" s="4" t="s">
        <v>11</v>
      </c>
      <c r="B345" s="57" t="s">
        <v>19</v>
      </c>
      <c r="C345" s="5">
        <v>42836</v>
      </c>
      <c r="D345" s="5" t="s">
        <v>14</v>
      </c>
      <c r="E345" s="8">
        <v>0.72916666666666696</v>
      </c>
      <c r="F345" s="8">
        <v>0.89583333333333304</v>
      </c>
      <c r="G345" s="10">
        <v>8</v>
      </c>
      <c r="H345" s="14">
        <v>3.9999999999999822</v>
      </c>
      <c r="I345" s="59">
        <v>3.9999999999999822</v>
      </c>
      <c r="J345" s="15" t="s">
        <v>30</v>
      </c>
      <c r="K345" s="15" t="s">
        <v>119</v>
      </c>
      <c r="L345" s="66">
        <f t="shared" si="10"/>
        <v>1</v>
      </c>
      <c r="M345" s="19" t="str">
        <f t="shared" si="11"/>
        <v>Apr_2017</v>
      </c>
    </row>
    <row r="346" spans="1:13">
      <c r="A346" s="4" t="s">
        <v>11</v>
      </c>
      <c r="B346" s="57" t="s">
        <v>21</v>
      </c>
      <c r="C346" s="5">
        <v>42836</v>
      </c>
      <c r="D346" s="5" t="s">
        <v>14</v>
      </c>
      <c r="E346" s="8">
        <v>0.72916666666666696</v>
      </c>
      <c r="F346" s="8">
        <v>0.89583333333333304</v>
      </c>
      <c r="G346" s="10">
        <v>8</v>
      </c>
      <c r="H346" s="14">
        <v>3.9999999999999822</v>
      </c>
      <c r="I346" s="59">
        <v>3.9999999999999822</v>
      </c>
      <c r="J346" s="15" t="s">
        <v>30</v>
      </c>
      <c r="K346" s="15" t="s">
        <v>119</v>
      </c>
      <c r="L346" s="66">
        <f t="shared" si="10"/>
        <v>1</v>
      </c>
      <c r="M346" s="19" t="str">
        <f t="shared" si="11"/>
        <v>Apr_2017</v>
      </c>
    </row>
    <row r="347" spans="1:13">
      <c r="A347" s="4" t="s">
        <v>22</v>
      </c>
      <c r="B347" s="57" t="s">
        <v>23</v>
      </c>
      <c r="C347" s="5">
        <v>42836</v>
      </c>
      <c r="D347" s="5" t="s">
        <v>14</v>
      </c>
      <c r="E347" s="8">
        <v>0.35416666666666702</v>
      </c>
      <c r="F347" s="8">
        <v>0.89583333333333304</v>
      </c>
      <c r="G347" s="10">
        <v>0</v>
      </c>
      <c r="H347" s="14">
        <v>11.999999999999986</v>
      </c>
      <c r="I347" s="59">
        <v>11.999999999999986</v>
      </c>
      <c r="J347" s="15" t="s">
        <v>30</v>
      </c>
      <c r="K347" s="15" t="s">
        <v>119</v>
      </c>
      <c r="L347" s="66" t="str">
        <f t="shared" si="10"/>
        <v/>
      </c>
      <c r="M347" s="19" t="str">
        <f t="shared" si="11"/>
        <v>Apr_2017</v>
      </c>
    </row>
    <row r="348" spans="1:13">
      <c r="A348" s="4" t="s">
        <v>22</v>
      </c>
      <c r="B348" s="57" t="s">
        <v>77</v>
      </c>
      <c r="C348" s="5">
        <v>42836</v>
      </c>
      <c r="D348" s="5" t="s">
        <v>14</v>
      </c>
      <c r="E348" s="8">
        <v>0.75</v>
      </c>
      <c r="F348" s="8">
        <v>0.89583333333333304</v>
      </c>
      <c r="G348" s="10">
        <v>0</v>
      </c>
      <c r="H348" s="14">
        <v>3.4999999999999929</v>
      </c>
      <c r="I348" s="59">
        <v>3.4999999999999929</v>
      </c>
      <c r="J348" s="15" t="s">
        <v>30</v>
      </c>
      <c r="K348" s="15" t="s">
        <v>119</v>
      </c>
      <c r="L348" s="66" t="str">
        <f t="shared" si="10"/>
        <v/>
      </c>
      <c r="M348" s="19" t="str">
        <f t="shared" si="11"/>
        <v>Apr_2017</v>
      </c>
    </row>
    <row r="349" spans="1:13">
      <c r="A349" s="4" t="s">
        <v>22</v>
      </c>
      <c r="B349" s="57" t="s">
        <v>23</v>
      </c>
      <c r="C349" s="5">
        <v>42837</v>
      </c>
      <c r="D349" s="5" t="s">
        <v>15</v>
      </c>
      <c r="E349" s="8">
        <v>0.35416666666666702</v>
      </c>
      <c r="F349" s="8">
        <v>0.72916666666666696</v>
      </c>
      <c r="G349" s="10">
        <v>0</v>
      </c>
      <c r="H349" s="14">
        <v>7.9999999999999982</v>
      </c>
      <c r="I349" s="59">
        <v>7.9999999999999982</v>
      </c>
      <c r="J349" s="15" t="s">
        <v>30</v>
      </c>
      <c r="K349" s="15" t="s">
        <v>120</v>
      </c>
      <c r="L349" s="66" t="str">
        <f t="shared" si="10"/>
        <v/>
      </c>
      <c r="M349" s="19" t="str">
        <f t="shared" si="11"/>
        <v>Apr_2017</v>
      </c>
    </row>
    <row r="350" spans="1:13">
      <c r="A350" s="4" t="s">
        <v>22</v>
      </c>
      <c r="B350" s="57" t="s">
        <v>23</v>
      </c>
      <c r="C350" s="5">
        <v>42838</v>
      </c>
      <c r="D350" s="5" t="s">
        <v>25</v>
      </c>
      <c r="E350" s="8">
        <v>0.35416666666666702</v>
      </c>
      <c r="F350" s="8">
        <v>0.72916666666666696</v>
      </c>
      <c r="G350" s="10">
        <v>0</v>
      </c>
      <c r="H350" s="14">
        <v>7.9999999999999982</v>
      </c>
      <c r="I350" s="59">
        <v>7.9999999999999982</v>
      </c>
      <c r="J350" s="15" t="s">
        <v>30</v>
      </c>
      <c r="K350" s="15" t="s">
        <v>121</v>
      </c>
      <c r="L350" s="66" t="str">
        <f t="shared" si="10"/>
        <v/>
      </c>
      <c r="M350" s="19" t="str">
        <f t="shared" si="11"/>
        <v>Apr_2017</v>
      </c>
    </row>
    <row r="351" spans="1:13">
      <c r="A351" s="4" t="s">
        <v>22</v>
      </c>
      <c r="B351" s="57" t="s">
        <v>23</v>
      </c>
      <c r="C351" s="5">
        <v>42839</v>
      </c>
      <c r="D351" s="5" t="s">
        <v>17</v>
      </c>
      <c r="E351" s="8">
        <v>0.35416666666666702</v>
      </c>
      <c r="F351" s="8">
        <v>0.72916666666666696</v>
      </c>
      <c r="G351" s="10">
        <v>0</v>
      </c>
      <c r="H351" s="14">
        <v>7.9999999999999982</v>
      </c>
      <c r="I351" s="59">
        <v>7.9999999999999982</v>
      </c>
      <c r="J351" s="15" t="s">
        <v>30</v>
      </c>
      <c r="K351" s="15" t="s">
        <v>122</v>
      </c>
      <c r="L351" s="66" t="str">
        <f t="shared" si="10"/>
        <v/>
      </c>
      <c r="M351" s="19" t="str">
        <f t="shared" si="11"/>
        <v>Apr_2017</v>
      </c>
    </row>
    <row r="352" spans="1:13">
      <c r="A352" s="4" t="s">
        <v>22</v>
      </c>
      <c r="B352" s="57" t="s">
        <v>23</v>
      </c>
      <c r="C352" s="5">
        <v>42842</v>
      </c>
      <c r="D352" s="5" t="s">
        <v>16</v>
      </c>
      <c r="E352" s="8">
        <v>0.35416666666666702</v>
      </c>
      <c r="F352" s="8">
        <v>0.72916666666666696</v>
      </c>
      <c r="G352" s="10">
        <v>0</v>
      </c>
      <c r="H352" s="14">
        <v>7.9999999999999982</v>
      </c>
      <c r="I352" s="59">
        <v>7.9999999999999982</v>
      </c>
      <c r="J352" s="15" t="s">
        <v>30</v>
      </c>
      <c r="K352" s="15" t="s">
        <v>123</v>
      </c>
      <c r="L352" s="66" t="str">
        <f t="shared" si="10"/>
        <v/>
      </c>
      <c r="M352" s="19" t="str">
        <f t="shared" si="11"/>
        <v>Apr_2017</v>
      </c>
    </row>
    <row r="353" spans="1:13">
      <c r="A353" s="4" t="s">
        <v>22</v>
      </c>
      <c r="B353" s="57" t="s">
        <v>23</v>
      </c>
      <c r="C353" s="5">
        <v>42843</v>
      </c>
      <c r="D353" s="5" t="s">
        <v>14</v>
      </c>
      <c r="E353" s="8">
        <v>0.35416666666666702</v>
      </c>
      <c r="F353" s="8">
        <v>0.72916666666666696</v>
      </c>
      <c r="G353" s="10">
        <v>0</v>
      </c>
      <c r="H353" s="14">
        <v>7.9999999999999982</v>
      </c>
      <c r="I353" s="59">
        <v>7.9999999999999982</v>
      </c>
      <c r="J353" s="15" t="s">
        <v>30</v>
      </c>
      <c r="K353" s="15" t="s">
        <v>124</v>
      </c>
      <c r="L353" s="66" t="str">
        <f t="shared" si="10"/>
        <v/>
      </c>
      <c r="M353" s="19" t="str">
        <f t="shared" si="11"/>
        <v>Apr_2017</v>
      </c>
    </row>
    <row r="354" spans="1:13">
      <c r="A354" s="4" t="s">
        <v>11</v>
      </c>
      <c r="B354" s="57" t="s">
        <v>12</v>
      </c>
      <c r="C354" s="5">
        <v>42844</v>
      </c>
      <c r="D354" s="5" t="s">
        <v>15</v>
      </c>
      <c r="E354" s="8">
        <v>0.72916666666666696</v>
      </c>
      <c r="F354" s="8">
        <v>0.89583333333333304</v>
      </c>
      <c r="G354" s="10">
        <v>8</v>
      </c>
      <c r="H354" s="14">
        <v>3.9999999999999822</v>
      </c>
      <c r="I354" s="59">
        <v>3.9999999999999822</v>
      </c>
      <c r="J354" s="15" t="s">
        <v>30</v>
      </c>
      <c r="K354" s="15" t="s">
        <v>125</v>
      </c>
      <c r="L354" s="66">
        <f t="shared" si="10"/>
        <v>1</v>
      </c>
      <c r="M354" s="19" t="str">
        <f t="shared" si="11"/>
        <v>Apr_2017</v>
      </c>
    </row>
    <row r="355" spans="1:13">
      <c r="A355" s="4" t="s">
        <v>11</v>
      </c>
      <c r="B355" s="57" t="s">
        <v>19</v>
      </c>
      <c r="C355" s="5">
        <v>42844</v>
      </c>
      <c r="D355" s="5" t="s">
        <v>15</v>
      </c>
      <c r="E355" s="8">
        <v>0.72916666666666696</v>
      </c>
      <c r="F355" s="8">
        <v>0.89583333333333304</v>
      </c>
      <c r="G355" s="10">
        <v>8</v>
      </c>
      <c r="H355" s="14">
        <v>3.9999999999999822</v>
      </c>
      <c r="I355" s="59">
        <v>3.9999999999999822</v>
      </c>
      <c r="J355" s="15" t="s">
        <v>30</v>
      </c>
      <c r="K355" s="15" t="s">
        <v>125</v>
      </c>
      <c r="L355" s="66">
        <f t="shared" si="10"/>
        <v>1</v>
      </c>
      <c r="M355" s="19" t="str">
        <f t="shared" si="11"/>
        <v>Apr_2017</v>
      </c>
    </row>
    <row r="356" spans="1:13">
      <c r="A356" s="4" t="s">
        <v>11</v>
      </c>
      <c r="B356" s="57" t="s">
        <v>20</v>
      </c>
      <c r="C356" s="5">
        <v>42844</v>
      </c>
      <c r="D356" s="5" t="s">
        <v>15</v>
      </c>
      <c r="E356" s="8">
        <v>0.72916666666666696</v>
      </c>
      <c r="F356" s="8">
        <v>0.75</v>
      </c>
      <c r="G356" s="10">
        <v>8</v>
      </c>
      <c r="H356" s="14">
        <v>0.49999999999998757</v>
      </c>
      <c r="I356" s="59">
        <v>0.49999999999998757</v>
      </c>
      <c r="J356" s="15" t="s">
        <v>30</v>
      </c>
      <c r="K356" s="15" t="s">
        <v>125</v>
      </c>
      <c r="L356" s="66" t="str">
        <f t="shared" si="10"/>
        <v/>
      </c>
      <c r="M356" s="19" t="str">
        <f t="shared" si="11"/>
        <v>Apr_2017</v>
      </c>
    </row>
    <row r="357" spans="1:13">
      <c r="A357" s="4" t="s">
        <v>22</v>
      </c>
      <c r="B357" s="57" t="s">
        <v>23</v>
      </c>
      <c r="C357" s="5">
        <v>42844</v>
      </c>
      <c r="D357" s="5" t="s">
        <v>15</v>
      </c>
      <c r="E357" s="8">
        <v>0.35416666666666702</v>
      </c>
      <c r="F357" s="8">
        <v>0.89583333333333304</v>
      </c>
      <c r="G357" s="10">
        <v>0</v>
      </c>
      <c r="H357" s="14">
        <v>11.999999999999986</v>
      </c>
      <c r="I357" s="59">
        <v>11.999999999999986</v>
      </c>
      <c r="J357" s="15" t="s">
        <v>30</v>
      </c>
      <c r="K357" s="15" t="s">
        <v>125</v>
      </c>
      <c r="L357" s="66" t="str">
        <f t="shared" si="10"/>
        <v/>
      </c>
      <c r="M357" s="19" t="str">
        <f t="shared" si="11"/>
        <v>Apr_2017</v>
      </c>
    </row>
    <row r="358" spans="1:13">
      <c r="A358" s="4" t="s">
        <v>11</v>
      </c>
      <c r="B358" s="57" t="s">
        <v>26</v>
      </c>
      <c r="C358" s="5">
        <v>42844</v>
      </c>
      <c r="D358" s="5" t="s">
        <v>15</v>
      </c>
      <c r="E358" s="8">
        <v>0.72916666666666696</v>
      </c>
      <c r="F358" s="8">
        <v>0.89583333333333304</v>
      </c>
      <c r="G358" s="10">
        <v>8</v>
      </c>
      <c r="H358" s="14">
        <v>3.9999999999999822</v>
      </c>
      <c r="I358" s="59">
        <v>3.9999999999999822</v>
      </c>
      <c r="J358" s="15" t="s">
        <v>30</v>
      </c>
      <c r="K358" s="15" t="s">
        <v>125</v>
      </c>
      <c r="L358" s="66">
        <f t="shared" si="10"/>
        <v>1</v>
      </c>
      <c r="M358" s="19" t="str">
        <f t="shared" si="11"/>
        <v>Apr_2017</v>
      </c>
    </row>
    <row r="359" spans="1:13">
      <c r="A359" s="4" t="s">
        <v>22</v>
      </c>
      <c r="B359" s="57" t="s">
        <v>80</v>
      </c>
      <c r="C359" s="5">
        <v>42844</v>
      </c>
      <c r="D359" s="5" t="s">
        <v>15</v>
      </c>
      <c r="E359" s="8">
        <v>0.75</v>
      </c>
      <c r="F359" s="8">
        <v>0.89583333333333304</v>
      </c>
      <c r="G359" s="10">
        <v>0</v>
      </c>
      <c r="H359" s="14">
        <v>3.4999999999999929</v>
      </c>
      <c r="I359" s="59">
        <v>3.4999999999999929</v>
      </c>
      <c r="J359" s="15" t="s">
        <v>30</v>
      </c>
      <c r="K359" s="15" t="s">
        <v>125</v>
      </c>
      <c r="L359" s="66" t="str">
        <f t="shared" si="10"/>
        <v/>
      </c>
      <c r="M359" s="19" t="str">
        <f t="shared" si="11"/>
        <v>Apr_2017</v>
      </c>
    </row>
    <row r="360" spans="1:13">
      <c r="A360" s="4" t="s">
        <v>22</v>
      </c>
      <c r="B360" s="57" t="s">
        <v>23</v>
      </c>
      <c r="C360" s="5">
        <v>42845</v>
      </c>
      <c r="D360" s="5" t="s">
        <v>25</v>
      </c>
      <c r="E360" s="8">
        <v>0.35416666666666702</v>
      </c>
      <c r="F360" s="8">
        <v>0.72916666666666696</v>
      </c>
      <c r="G360" s="10">
        <v>0</v>
      </c>
      <c r="H360" s="14">
        <v>7.9999999999999982</v>
      </c>
      <c r="I360" s="59">
        <v>7.9999999999999982</v>
      </c>
      <c r="J360" s="15" t="s">
        <v>30</v>
      </c>
      <c r="K360" s="15" t="s">
        <v>126</v>
      </c>
      <c r="L360" s="66" t="str">
        <f t="shared" si="10"/>
        <v/>
      </c>
      <c r="M360" s="19" t="str">
        <f t="shared" si="11"/>
        <v>Apr_2017</v>
      </c>
    </row>
    <row r="361" spans="1:13">
      <c r="A361" s="4" t="s">
        <v>22</v>
      </c>
      <c r="B361" s="57" t="s">
        <v>23</v>
      </c>
      <c r="C361" s="5">
        <v>42846</v>
      </c>
      <c r="D361" s="5" t="s">
        <v>17</v>
      </c>
      <c r="E361" s="8">
        <v>0.35416666666666702</v>
      </c>
      <c r="F361" s="8">
        <v>0.72916666666666696</v>
      </c>
      <c r="G361" s="10">
        <v>0</v>
      </c>
      <c r="H361" s="14">
        <v>7.9999999999999982</v>
      </c>
      <c r="I361" s="59">
        <v>7.9999999999999982</v>
      </c>
      <c r="J361" s="15" t="s">
        <v>30</v>
      </c>
      <c r="K361" s="15" t="s">
        <v>127</v>
      </c>
      <c r="L361" s="66" t="str">
        <f t="shared" si="10"/>
        <v/>
      </c>
      <c r="M361" s="19" t="str">
        <f t="shared" si="11"/>
        <v>Apr_2017</v>
      </c>
    </row>
    <row r="362" spans="1:13">
      <c r="A362" s="4" t="s">
        <v>11</v>
      </c>
      <c r="B362" s="57" t="s">
        <v>12</v>
      </c>
      <c r="C362" s="5">
        <v>42849</v>
      </c>
      <c r="D362" s="5" t="s">
        <v>16</v>
      </c>
      <c r="E362" s="8">
        <v>0.72916666666666696</v>
      </c>
      <c r="F362" s="8">
        <v>0.89583333333333304</v>
      </c>
      <c r="G362" s="10">
        <v>8</v>
      </c>
      <c r="H362" s="14">
        <v>3.9999999999999822</v>
      </c>
      <c r="I362" s="59">
        <v>3.9999999999999822</v>
      </c>
      <c r="J362" s="15" t="s">
        <v>30</v>
      </c>
      <c r="K362" s="15" t="s">
        <v>128</v>
      </c>
      <c r="L362" s="66">
        <f t="shared" si="10"/>
        <v>1</v>
      </c>
      <c r="M362" s="19" t="str">
        <f t="shared" si="11"/>
        <v>Apr_2017</v>
      </c>
    </row>
    <row r="363" spans="1:13">
      <c r="A363" s="4" t="s">
        <v>11</v>
      </c>
      <c r="B363" s="57" t="s">
        <v>19</v>
      </c>
      <c r="C363" s="5">
        <v>42849</v>
      </c>
      <c r="D363" s="5" t="s">
        <v>16</v>
      </c>
      <c r="E363" s="8">
        <v>0.72916666666666696</v>
      </c>
      <c r="F363" s="8">
        <v>0.89583333333333304</v>
      </c>
      <c r="G363" s="10">
        <v>8</v>
      </c>
      <c r="H363" s="14">
        <v>3.9999999999999822</v>
      </c>
      <c r="I363" s="59">
        <v>3.9999999999999822</v>
      </c>
      <c r="J363" s="15" t="s">
        <v>30</v>
      </c>
      <c r="K363" s="15" t="s">
        <v>129</v>
      </c>
      <c r="L363" s="66">
        <f t="shared" si="10"/>
        <v>1</v>
      </c>
      <c r="M363" s="19" t="str">
        <f t="shared" si="11"/>
        <v>Apr_2017</v>
      </c>
    </row>
    <row r="364" spans="1:13">
      <c r="A364" s="4" t="s">
        <v>11</v>
      </c>
      <c r="B364" s="57" t="s">
        <v>21</v>
      </c>
      <c r="C364" s="5">
        <v>42849</v>
      </c>
      <c r="D364" s="5" t="s">
        <v>16</v>
      </c>
      <c r="E364" s="8">
        <v>0.72916666666666696</v>
      </c>
      <c r="F364" s="8">
        <v>0.89583333333333304</v>
      </c>
      <c r="G364" s="10">
        <v>8</v>
      </c>
      <c r="H364" s="14">
        <v>3.9999999999999822</v>
      </c>
      <c r="I364" s="59">
        <v>3.9999999999999822</v>
      </c>
      <c r="J364" s="15" t="s">
        <v>30</v>
      </c>
      <c r="K364" s="15" t="s">
        <v>129</v>
      </c>
      <c r="L364" s="66">
        <f t="shared" si="10"/>
        <v>1</v>
      </c>
      <c r="M364" s="19" t="str">
        <f t="shared" si="11"/>
        <v>Apr_2017</v>
      </c>
    </row>
    <row r="365" spans="1:13">
      <c r="A365" s="4" t="s">
        <v>22</v>
      </c>
      <c r="B365" s="57" t="s">
        <v>23</v>
      </c>
      <c r="C365" s="5">
        <v>42849</v>
      </c>
      <c r="D365" s="5" t="s">
        <v>16</v>
      </c>
      <c r="E365" s="8">
        <v>0.35416666666666702</v>
      </c>
      <c r="F365" s="8">
        <v>0.89583333333333304</v>
      </c>
      <c r="G365" s="10">
        <v>0</v>
      </c>
      <c r="H365" s="14">
        <v>11.999999999999986</v>
      </c>
      <c r="I365" s="59">
        <v>11.999999999999986</v>
      </c>
      <c r="J365" s="15" t="s">
        <v>30</v>
      </c>
      <c r="K365" s="15" t="s">
        <v>129</v>
      </c>
      <c r="L365" s="66" t="str">
        <f t="shared" si="10"/>
        <v/>
      </c>
      <c r="M365" s="19" t="str">
        <f t="shared" si="11"/>
        <v>Apr_2017</v>
      </c>
    </row>
    <row r="366" spans="1:13">
      <c r="A366" s="4" t="s">
        <v>11</v>
      </c>
      <c r="B366" s="57" t="s">
        <v>26</v>
      </c>
      <c r="C366" s="5">
        <v>42849</v>
      </c>
      <c r="D366" s="5" t="s">
        <v>16</v>
      </c>
      <c r="E366" s="8">
        <v>0.71875</v>
      </c>
      <c r="F366" s="8">
        <v>0.89583333333333304</v>
      </c>
      <c r="G366" s="10">
        <v>8</v>
      </c>
      <c r="H366" s="14">
        <v>4.2499999999999893</v>
      </c>
      <c r="I366" s="59">
        <v>4.2499999999999893</v>
      </c>
      <c r="J366" s="15" t="s">
        <v>30</v>
      </c>
      <c r="K366" s="15" t="s">
        <v>129</v>
      </c>
      <c r="L366" s="66">
        <f t="shared" si="10"/>
        <v>1</v>
      </c>
      <c r="M366" s="19" t="str">
        <f t="shared" si="11"/>
        <v>Apr_2017</v>
      </c>
    </row>
    <row r="367" spans="1:13">
      <c r="A367" s="4" t="s">
        <v>22</v>
      </c>
      <c r="B367" s="57" t="s">
        <v>27</v>
      </c>
      <c r="C367" s="5">
        <v>42849</v>
      </c>
      <c r="D367" s="5" t="s">
        <v>16</v>
      </c>
      <c r="E367" s="8">
        <v>0.75</v>
      </c>
      <c r="F367" s="8">
        <v>0.89583333333333304</v>
      </c>
      <c r="G367" s="10">
        <v>0</v>
      </c>
      <c r="H367" s="14">
        <v>3.4999999999999929</v>
      </c>
      <c r="I367" s="59">
        <v>3.4999999999999929</v>
      </c>
      <c r="J367" s="15" t="s">
        <v>30</v>
      </c>
      <c r="K367" s="15" t="s">
        <v>129</v>
      </c>
      <c r="L367" s="66" t="str">
        <f t="shared" si="10"/>
        <v/>
      </c>
      <c r="M367" s="19" t="str">
        <f t="shared" si="11"/>
        <v>Apr_2017</v>
      </c>
    </row>
    <row r="368" spans="1:13">
      <c r="A368" s="19" t="s">
        <v>11</v>
      </c>
      <c r="B368" s="57" t="s">
        <v>19</v>
      </c>
      <c r="C368" s="5">
        <v>42850</v>
      </c>
      <c r="D368" s="5" t="s">
        <v>14</v>
      </c>
      <c r="E368" s="8">
        <v>0.72916666666666696</v>
      </c>
      <c r="F368" s="8">
        <v>0.85416666666666696</v>
      </c>
      <c r="G368" s="10">
        <v>8</v>
      </c>
      <c r="H368" s="14">
        <v>2.9999999999999947</v>
      </c>
      <c r="I368" s="59">
        <v>2.9999999999999947</v>
      </c>
      <c r="J368" s="15" t="s">
        <v>30</v>
      </c>
      <c r="K368" s="15" t="s">
        <v>130</v>
      </c>
      <c r="L368" s="66">
        <f t="shared" si="10"/>
        <v>1</v>
      </c>
      <c r="M368" s="19" t="str">
        <f t="shared" si="11"/>
        <v>Apr_2017</v>
      </c>
    </row>
    <row r="369" spans="1:13">
      <c r="A369" s="19" t="s">
        <v>11</v>
      </c>
      <c r="B369" s="57" t="s">
        <v>20</v>
      </c>
      <c r="C369" s="5">
        <v>42850</v>
      </c>
      <c r="D369" s="5" t="s">
        <v>14</v>
      </c>
      <c r="E369" s="8">
        <v>0.72916666666666696</v>
      </c>
      <c r="F369" s="8">
        <v>0.85416666666666696</v>
      </c>
      <c r="G369" s="10">
        <v>8</v>
      </c>
      <c r="H369" s="14">
        <v>2.9999999999999947</v>
      </c>
      <c r="I369" s="59">
        <v>2.9999999999999947</v>
      </c>
      <c r="J369" s="15" t="s">
        <v>30</v>
      </c>
      <c r="K369" s="15" t="s">
        <v>130</v>
      </c>
      <c r="L369" s="66">
        <f t="shared" si="10"/>
        <v>1</v>
      </c>
      <c r="M369" s="19" t="str">
        <f t="shared" si="11"/>
        <v>Apr_2017</v>
      </c>
    </row>
    <row r="370" spans="1:13">
      <c r="A370" s="19" t="s">
        <v>11</v>
      </c>
      <c r="B370" s="57" t="s">
        <v>21</v>
      </c>
      <c r="C370" s="5">
        <v>42850</v>
      </c>
      <c r="D370" s="5" t="s">
        <v>14</v>
      </c>
      <c r="E370" s="8">
        <v>0.72916666666666696</v>
      </c>
      <c r="F370" s="8">
        <v>0.85416666666666696</v>
      </c>
      <c r="G370" s="10">
        <v>8</v>
      </c>
      <c r="H370" s="14">
        <v>2.9999999999999947</v>
      </c>
      <c r="I370" s="59">
        <v>2.9999999999999947</v>
      </c>
      <c r="J370" s="15" t="s">
        <v>30</v>
      </c>
      <c r="K370" s="15" t="s">
        <v>130</v>
      </c>
      <c r="L370" s="66">
        <f t="shared" si="10"/>
        <v>1</v>
      </c>
      <c r="M370" s="19" t="str">
        <f t="shared" si="11"/>
        <v>Apr_2017</v>
      </c>
    </row>
    <row r="371" spans="1:13">
      <c r="A371" s="19" t="s">
        <v>22</v>
      </c>
      <c r="B371" s="57" t="s">
        <v>23</v>
      </c>
      <c r="C371" s="5">
        <v>42850</v>
      </c>
      <c r="D371" s="5" t="s">
        <v>14</v>
      </c>
      <c r="E371" s="8">
        <v>0.35416666666666702</v>
      </c>
      <c r="F371" s="8">
        <v>0.85416666666666696</v>
      </c>
      <c r="G371" s="10">
        <v>0</v>
      </c>
      <c r="H371" s="14">
        <v>10.999999999999998</v>
      </c>
      <c r="I371" s="59">
        <v>10.999999999999998</v>
      </c>
      <c r="J371" s="15" t="s">
        <v>30</v>
      </c>
      <c r="K371" s="15" t="s">
        <v>130</v>
      </c>
      <c r="L371" s="66" t="str">
        <f t="shared" si="10"/>
        <v/>
      </c>
      <c r="M371" s="19" t="str">
        <f t="shared" si="11"/>
        <v>Apr_2017</v>
      </c>
    </row>
    <row r="372" spans="1:13">
      <c r="A372" s="19" t="s">
        <v>22</v>
      </c>
      <c r="B372" s="57" t="s">
        <v>77</v>
      </c>
      <c r="C372" s="5">
        <v>42850</v>
      </c>
      <c r="D372" s="5" t="s">
        <v>14</v>
      </c>
      <c r="E372" s="8">
        <v>0.66666666666666696</v>
      </c>
      <c r="F372" s="8">
        <v>0.85416666666666696</v>
      </c>
      <c r="G372" s="10">
        <v>0</v>
      </c>
      <c r="H372" s="14">
        <v>4.5</v>
      </c>
      <c r="I372" s="59">
        <v>4.5</v>
      </c>
      <c r="J372" s="15" t="s">
        <v>30</v>
      </c>
      <c r="K372" s="15" t="s">
        <v>130</v>
      </c>
      <c r="L372" s="66" t="str">
        <f t="shared" si="10"/>
        <v/>
      </c>
      <c r="M372" s="19" t="str">
        <f t="shared" si="11"/>
        <v>Apr_2017</v>
      </c>
    </row>
    <row r="373" spans="1:13">
      <c r="A373" s="19" t="s">
        <v>11</v>
      </c>
      <c r="B373" s="57" t="s">
        <v>12</v>
      </c>
      <c r="C373" s="5">
        <v>42851</v>
      </c>
      <c r="D373" s="5" t="s">
        <v>15</v>
      </c>
      <c r="E373" s="8">
        <v>0.72916666666666696</v>
      </c>
      <c r="F373" s="8">
        <v>0.875</v>
      </c>
      <c r="G373" s="10">
        <v>8</v>
      </c>
      <c r="H373" s="14">
        <v>3.4999999999999893</v>
      </c>
      <c r="I373" s="59">
        <v>3.4999999999999893</v>
      </c>
      <c r="J373" s="15" t="s">
        <v>30</v>
      </c>
      <c r="K373" s="15" t="s">
        <v>131</v>
      </c>
      <c r="L373" s="66">
        <f t="shared" si="10"/>
        <v>1</v>
      </c>
      <c r="M373" s="19" t="str">
        <f t="shared" si="11"/>
        <v>Apr_2017</v>
      </c>
    </row>
    <row r="374" spans="1:13">
      <c r="A374" s="19" t="s">
        <v>11</v>
      </c>
      <c r="B374" s="57" t="s">
        <v>20</v>
      </c>
      <c r="C374" s="5">
        <v>42851</v>
      </c>
      <c r="D374" s="5" t="s">
        <v>15</v>
      </c>
      <c r="E374" s="8">
        <v>0.72916666666666696</v>
      </c>
      <c r="F374" s="8">
        <v>0.85416666666666696</v>
      </c>
      <c r="G374" s="10">
        <v>8</v>
      </c>
      <c r="H374" s="14">
        <v>2.9999999999999947</v>
      </c>
      <c r="I374" s="59">
        <v>2.9999999999999947</v>
      </c>
      <c r="J374" s="15" t="s">
        <v>30</v>
      </c>
      <c r="K374" s="15" t="s">
        <v>131</v>
      </c>
      <c r="L374" s="66">
        <f t="shared" si="10"/>
        <v>1</v>
      </c>
      <c r="M374" s="19" t="str">
        <f t="shared" si="11"/>
        <v>Apr_2017</v>
      </c>
    </row>
    <row r="375" spans="1:13">
      <c r="A375" s="19" t="s">
        <v>11</v>
      </c>
      <c r="B375" s="57" t="s">
        <v>21</v>
      </c>
      <c r="C375" s="5">
        <v>42851</v>
      </c>
      <c r="D375" s="5" t="s">
        <v>15</v>
      </c>
      <c r="E375" s="8">
        <v>0.72916666666666696</v>
      </c>
      <c r="F375" s="8">
        <v>0.875</v>
      </c>
      <c r="G375" s="10">
        <v>8</v>
      </c>
      <c r="H375" s="14">
        <v>3.4999999999999893</v>
      </c>
      <c r="I375" s="59">
        <v>3.4999999999999893</v>
      </c>
      <c r="J375" s="15" t="s">
        <v>30</v>
      </c>
      <c r="K375" s="15" t="s">
        <v>131</v>
      </c>
      <c r="L375" s="66">
        <f t="shared" si="10"/>
        <v>1</v>
      </c>
      <c r="M375" s="19" t="str">
        <f t="shared" si="11"/>
        <v>Apr_2017</v>
      </c>
    </row>
    <row r="376" spans="1:13">
      <c r="A376" s="19" t="s">
        <v>22</v>
      </c>
      <c r="B376" s="57" t="s">
        <v>23</v>
      </c>
      <c r="C376" s="5">
        <v>42851</v>
      </c>
      <c r="D376" s="5" t="s">
        <v>15</v>
      </c>
      <c r="E376" s="8">
        <v>0.35416666666666702</v>
      </c>
      <c r="F376" s="8">
        <v>0.875</v>
      </c>
      <c r="G376" s="10">
        <v>0</v>
      </c>
      <c r="H376" s="14">
        <v>11.499999999999993</v>
      </c>
      <c r="I376" s="59">
        <v>11.499999999999993</v>
      </c>
      <c r="J376" s="15" t="s">
        <v>30</v>
      </c>
      <c r="K376" s="15" t="s">
        <v>131</v>
      </c>
      <c r="L376" s="66" t="str">
        <f t="shared" si="10"/>
        <v/>
      </c>
      <c r="M376" s="19" t="str">
        <f t="shared" si="11"/>
        <v>Apr_2017</v>
      </c>
    </row>
    <row r="377" spans="1:13">
      <c r="A377" s="19" t="s">
        <v>22</v>
      </c>
      <c r="B377" s="57" t="s">
        <v>27</v>
      </c>
      <c r="C377" s="5">
        <v>42851</v>
      </c>
      <c r="D377" s="5" t="s">
        <v>15</v>
      </c>
      <c r="E377" s="8">
        <v>0.5</v>
      </c>
      <c r="F377" s="8">
        <v>0.875</v>
      </c>
      <c r="G377" s="10">
        <v>0</v>
      </c>
      <c r="H377" s="14">
        <v>8</v>
      </c>
      <c r="I377" s="59">
        <v>8</v>
      </c>
      <c r="J377" s="15" t="s">
        <v>30</v>
      </c>
      <c r="K377" s="15" t="s">
        <v>131</v>
      </c>
      <c r="L377" s="66" t="str">
        <f t="shared" si="10"/>
        <v/>
      </c>
      <c r="M377" s="19" t="str">
        <f t="shared" si="11"/>
        <v>Apr_2017</v>
      </c>
    </row>
    <row r="378" spans="1:13">
      <c r="A378" s="19" t="s">
        <v>22</v>
      </c>
      <c r="B378" s="57" t="s">
        <v>77</v>
      </c>
      <c r="C378" s="5">
        <v>42851</v>
      </c>
      <c r="D378" s="5" t="s">
        <v>15</v>
      </c>
      <c r="E378" s="8">
        <v>0.66666666666666696</v>
      </c>
      <c r="F378" s="8">
        <v>0.875</v>
      </c>
      <c r="G378" s="10">
        <v>0</v>
      </c>
      <c r="H378" s="14">
        <v>4.9999999999999929</v>
      </c>
      <c r="I378" s="59">
        <v>4.9999999999999929</v>
      </c>
      <c r="J378" s="15" t="s">
        <v>30</v>
      </c>
      <c r="K378" s="15" t="s">
        <v>131</v>
      </c>
      <c r="L378" s="66" t="str">
        <f t="shared" si="10"/>
        <v/>
      </c>
      <c r="M378" s="19" t="str">
        <f t="shared" si="11"/>
        <v>Apr_2017</v>
      </c>
    </row>
    <row r="379" spans="1:13">
      <c r="A379" s="19" t="s">
        <v>22</v>
      </c>
      <c r="B379" s="57" t="s">
        <v>78</v>
      </c>
      <c r="C379" s="5">
        <v>42851</v>
      </c>
      <c r="D379" s="5" t="s">
        <v>15</v>
      </c>
      <c r="E379" s="8">
        <v>0.5</v>
      </c>
      <c r="F379" s="8">
        <v>0.875</v>
      </c>
      <c r="G379" s="10">
        <v>0</v>
      </c>
      <c r="H379" s="14">
        <v>8</v>
      </c>
      <c r="I379" s="59">
        <v>8</v>
      </c>
      <c r="J379" s="15" t="s">
        <v>30</v>
      </c>
      <c r="K379" s="15" t="s">
        <v>131</v>
      </c>
      <c r="L379" s="66" t="str">
        <f t="shared" si="10"/>
        <v/>
      </c>
      <c r="M379" s="19" t="str">
        <f t="shared" si="11"/>
        <v>Apr_2017</v>
      </c>
    </row>
    <row r="380" spans="1:13">
      <c r="A380" s="19" t="s">
        <v>11</v>
      </c>
      <c r="B380" s="57" t="s">
        <v>12</v>
      </c>
      <c r="C380" s="5">
        <v>42852</v>
      </c>
      <c r="D380" s="5" t="s">
        <v>25</v>
      </c>
      <c r="E380" s="8">
        <v>0.70833333333333304</v>
      </c>
      <c r="F380" s="8">
        <v>0.88541666666666696</v>
      </c>
      <c r="G380" s="10">
        <v>8</v>
      </c>
      <c r="H380" s="14">
        <v>4.2500000000000107</v>
      </c>
      <c r="I380" s="59">
        <v>4.2500000000000107</v>
      </c>
      <c r="J380" s="15" t="s">
        <v>30</v>
      </c>
      <c r="K380" s="15" t="s">
        <v>132</v>
      </c>
      <c r="L380" s="66">
        <f t="shared" si="10"/>
        <v>1</v>
      </c>
      <c r="M380" s="19" t="str">
        <f t="shared" si="11"/>
        <v>Apr_2017</v>
      </c>
    </row>
    <row r="381" spans="1:13">
      <c r="A381" s="19" t="s">
        <v>11</v>
      </c>
      <c r="B381" s="57" t="s">
        <v>19</v>
      </c>
      <c r="C381" s="5">
        <v>42852</v>
      </c>
      <c r="D381" s="5" t="s">
        <v>25</v>
      </c>
      <c r="E381" s="8">
        <v>0.70833333333333304</v>
      </c>
      <c r="F381" s="8">
        <v>0.88541666666666696</v>
      </c>
      <c r="G381" s="10">
        <v>8</v>
      </c>
      <c r="H381" s="14">
        <v>4.2500000000000107</v>
      </c>
      <c r="I381" s="59">
        <v>4.2500000000000107</v>
      </c>
      <c r="J381" s="15" t="s">
        <v>30</v>
      </c>
      <c r="K381" s="15" t="s">
        <v>132</v>
      </c>
      <c r="L381" s="66">
        <f t="shared" si="10"/>
        <v>1</v>
      </c>
      <c r="M381" s="19" t="str">
        <f t="shared" si="11"/>
        <v>Apr_2017</v>
      </c>
    </row>
    <row r="382" spans="1:13">
      <c r="A382" s="19" t="s">
        <v>11</v>
      </c>
      <c r="B382" s="57" t="s">
        <v>21</v>
      </c>
      <c r="C382" s="5">
        <v>42852</v>
      </c>
      <c r="D382" s="5" t="s">
        <v>25</v>
      </c>
      <c r="E382" s="8">
        <v>0.72916666666666696</v>
      </c>
      <c r="F382" s="8">
        <v>0.85416666666666696</v>
      </c>
      <c r="G382" s="10">
        <v>8</v>
      </c>
      <c r="H382" s="14">
        <v>2.9999999999999947</v>
      </c>
      <c r="I382" s="59">
        <v>2.9999999999999947</v>
      </c>
      <c r="J382" s="15" t="s">
        <v>30</v>
      </c>
      <c r="K382" s="15" t="s">
        <v>132</v>
      </c>
      <c r="L382" s="66">
        <f t="shared" si="10"/>
        <v>1</v>
      </c>
      <c r="M382" s="19" t="str">
        <f t="shared" si="11"/>
        <v>Apr_2017</v>
      </c>
    </row>
    <row r="383" spans="1:13">
      <c r="A383" s="19" t="s">
        <v>22</v>
      </c>
      <c r="B383" s="57" t="s">
        <v>23</v>
      </c>
      <c r="C383" s="5">
        <v>42852</v>
      </c>
      <c r="D383" s="5" t="s">
        <v>25</v>
      </c>
      <c r="E383" s="8">
        <v>0.35416666666666702</v>
      </c>
      <c r="F383" s="8">
        <v>0.88541666666666696</v>
      </c>
      <c r="G383" s="10">
        <v>0</v>
      </c>
      <c r="H383" s="14">
        <v>11.75</v>
      </c>
      <c r="I383" s="59">
        <v>11.75</v>
      </c>
      <c r="J383" s="15" t="s">
        <v>30</v>
      </c>
      <c r="K383" s="15" t="s">
        <v>132</v>
      </c>
      <c r="L383" s="66" t="str">
        <f t="shared" si="10"/>
        <v/>
      </c>
      <c r="M383" s="19" t="str">
        <f t="shared" si="11"/>
        <v>Apr_2017</v>
      </c>
    </row>
    <row r="384" spans="1:13">
      <c r="A384" s="19" t="s">
        <v>11</v>
      </c>
      <c r="B384" s="57" t="s">
        <v>26</v>
      </c>
      <c r="C384" s="5">
        <v>42852</v>
      </c>
      <c r="D384" s="5" t="s">
        <v>25</v>
      </c>
      <c r="E384" s="8">
        <v>0.70833333333333304</v>
      </c>
      <c r="F384" s="8">
        <v>0.85416666666666696</v>
      </c>
      <c r="G384" s="10">
        <v>8</v>
      </c>
      <c r="H384" s="14">
        <v>3.5000000000000107</v>
      </c>
      <c r="I384" s="59">
        <v>3.5000000000000107</v>
      </c>
      <c r="J384" s="15" t="s">
        <v>30</v>
      </c>
      <c r="K384" s="15" t="s">
        <v>132</v>
      </c>
      <c r="L384" s="66">
        <f t="shared" si="10"/>
        <v>1</v>
      </c>
      <c r="M384" s="19" t="str">
        <f t="shared" si="11"/>
        <v>Apr_2017</v>
      </c>
    </row>
    <row r="385" spans="1:13">
      <c r="A385" s="19" t="s">
        <v>22</v>
      </c>
      <c r="B385" s="57" t="s">
        <v>77</v>
      </c>
      <c r="C385" s="5">
        <v>42852</v>
      </c>
      <c r="D385" s="5" t="s">
        <v>25</v>
      </c>
      <c r="E385" s="8">
        <v>0.33333333333333298</v>
      </c>
      <c r="F385" s="8">
        <v>0.88541666666666696</v>
      </c>
      <c r="G385" s="10">
        <v>0</v>
      </c>
      <c r="H385" s="14">
        <v>12.250000000000014</v>
      </c>
      <c r="I385" s="59">
        <v>12.250000000000014</v>
      </c>
      <c r="J385" s="15" t="s">
        <v>30</v>
      </c>
      <c r="K385" s="15" t="s">
        <v>132</v>
      </c>
      <c r="L385" s="66" t="str">
        <f t="shared" si="10"/>
        <v/>
      </c>
      <c r="M385" s="19" t="str">
        <f t="shared" si="11"/>
        <v>Apr_2017</v>
      </c>
    </row>
    <row r="386" spans="1:13">
      <c r="A386" s="20" t="s">
        <v>22</v>
      </c>
      <c r="B386" s="63" t="s">
        <v>78</v>
      </c>
      <c r="C386" s="21">
        <v>42852</v>
      </c>
      <c r="D386" s="21" t="s">
        <v>25</v>
      </c>
      <c r="E386" s="8">
        <v>0.52083333333333304</v>
      </c>
      <c r="F386" s="8">
        <v>0.88541666666666696</v>
      </c>
      <c r="G386" s="10">
        <v>0</v>
      </c>
      <c r="H386" s="23">
        <v>7.7500000000000142</v>
      </c>
      <c r="I386" s="59">
        <v>7.7500000000000142</v>
      </c>
      <c r="J386" s="41" t="s">
        <v>30</v>
      </c>
      <c r="K386" s="41" t="s">
        <v>132</v>
      </c>
      <c r="L386" s="66" t="str">
        <f t="shared" ref="L386:L449" si="12">IF(AND($A386="Perm Staff Onsite",$H386&gt;=2),1,"")</f>
        <v/>
      </c>
      <c r="M386" s="19" t="str">
        <f t="shared" si="11"/>
        <v>Apr_2017</v>
      </c>
    </row>
    <row r="387" spans="1:13">
      <c r="A387" s="19" t="s">
        <v>22</v>
      </c>
      <c r="B387" s="57" t="s">
        <v>80</v>
      </c>
      <c r="C387" s="5">
        <v>42852</v>
      </c>
      <c r="D387" s="5" t="s">
        <v>25</v>
      </c>
      <c r="E387" s="8">
        <v>0.52083333333333304</v>
      </c>
      <c r="F387" s="8">
        <v>0.88541666666666696</v>
      </c>
      <c r="G387" s="10">
        <v>0</v>
      </c>
      <c r="H387" s="14">
        <v>7.7500000000000142</v>
      </c>
      <c r="I387" s="59">
        <v>7.7500000000000142</v>
      </c>
      <c r="J387" s="15" t="s">
        <v>30</v>
      </c>
      <c r="K387" s="15" t="s">
        <v>132</v>
      </c>
      <c r="L387" s="66" t="str">
        <f t="shared" si="12"/>
        <v/>
      </c>
      <c r="M387" s="19" t="str">
        <f t="shared" ref="M387:M450" si="13">IF($C387="","",TEXT(DATE(YEAR($C387),MONTH($C387),DAY($C387)),"MMM")&amp;"_"&amp;YEAR($C387))</f>
        <v>Apr_2017</v>
      </c>
    </row>
    <row r="388" spans="1:13">
      <c r="A388" s="19" t="s">
        <v>11</v>
      </c>
      <c r="B388" s="57" t="s">
        <v>12</v>
      </c>
      <c r="C388" s="5">
        <v>42853</v>
      </c>
      <c r="D388" s="5" t="s">
        <v>17</v>
      </c>
      <c r="E388" s="8">
        <v>0.70833333333333304</v>
      </c>
      <c r="F388" s="8">
        <v>0.875</v>
      </c>
      <c r="G388" s="10">
        <v>8</v>
      </c>
      <c r="H388" s="14">
        <v>4.0000000000000036</v>
      </c>
      <c r="I388" s="59">
        <v>4.0000000000000036</v>
      </c>
      <c r="J388" s="15" t="s">
        <v>30</v>
      </c>
      <c r="K388" s="15" t="s">
        <v>133</v>
      </c>
      <c r="L388" s="66">
        <f t="shared" si="12"/>
        <v>1</v>
      </c>
      <c r="M388" s="19" t="str">
        <f t="shared" si="13"/>
        <v>Apr_2017</v>
      </c>
    </row>
    <row r="389" spans="1:13">
      <c r="A389" s="19" t="s">
        <v>11</v>
      </c>
      <c r="B389" s="57" t="s">
        <v>19</v>
      </c>
      <c r="C389" s="5">
        <v>42853</v>
      </c>
      <c r="D389" s="5" t="s">
        <v>17</v>
      </c>
      <c r="E389" s="8">
        <v>0.79166666666666696</v>
      </c>
      <c r="F389" s="8">
        <v>0.875</v>
      </c>
      <c r="G389" s="10">
        <v>8</v>
      </c>
      <c r="H389" s="14">
        <v>1.9999999999999876</v>
      </c>
      <c r="I389" s="59">
        <v>1.9999999999999876</v>
      </c>
      <c r="J389" s="15" t="s">
        <v>30</v>
      </c>
      <c r="K389" s="15" t="s">
        <v>133</v>
      </c>
      <c r="L389" s="66" t="str">
        <f t="shared" si="12"/>
        <v/>
      </c>
      <c r="M389" s="19" t="str">
        <f t="shared" si="13"/>
        <v>Apr_2017</v>
      </c>
    </row>
    <row r="390" spans="1:13">
      <c r="A390" s="19" t="s">
        <v>11</v>
      </c>
      <c r="B390" s="57" t="s">
        <v>20</v>
      </c>
      <c r="C390" s="5">
        <v>42853</v>
      </c>
      <c r="D390" s="5" t="s">
        <v>17</v>
      </c>
      <c r="E390" s="8">
        <v>0.70833333333333304</v>
      </c>
      <c r="F390" s="8">
        <v>0.875</v>
      </c>
      <c r="G390" s="10">
        <v>8</v>
      </c>
      <c r="H390" s="14">
        <v>4.0000000000000036</v>
      </c>
      <c r="I390" s="59">
        <v>4.0000000000000036</v>
      </c>
      <c r="J390" s="15" t="s">
        <v>30</v>
      </c>
      <c r="K390" s="15" t="s">
        <v>133</v>
      </c>
      <c r="L390" s="66">
        <f t="shared" si="12"/>
        <v>1</v>
      </c>
      <c r="M390" s="19" t="str">
        <f t="shared" si="13"/>
        <v>Apr_2017</v>
      </c>
    </row>
    <row r="391" spans="1:13">
      <c r="A391" s="19" t="s">
        <v>11</v>
      </c>
      <c r="B391" s="57" t="s">
        <v>21</v>
      </c>
      <c r="C391" s="5">
        <v>42853</v>
      </c>
      <c r="D391" s="5" t="s">
        <v>17</v>
      </c>
      <c r="E391" s="8">
        <v>0.70833333333333304</v>
      </c>
      <c r="F391" s="8">
        <v>0.875</v>
      </c>
      <c r="G391" s="10">
        <v>8</v>
      </c>
      <c r="H391" s="14">
        <v>4.0000000000000036</v>
      </c>
      <c r="I391" s="59">
        <v>4.0000000000000036</v>
      </c>
      <c r="J391" s="15" t="s">
        <v>30</v>
      </c>
      <c r="K391" s="15" t="s">
        <v>133</v>
      </c>
      <c r="L391" s="66">
        <f t="shared" si="12"/>
        <v>1</v>
      </c>
      <c r="M391" s="19" t="str">
        <f t="shared" si="13"/>
        <v>Apr_2017</v>
      </c>
    </row>
    <row r="392" spans="1:13">
      <c r="A392" s="4" t="s">
        <v>22</v>
      </c>
      <c r="B392" s="57" t="s">
        <v>23</v>
      </c>
      <c r="C392" s="5">
        <v>42853</v>
      </c>
      <c r="D392" s="5" t="s">
        <v>17</v>
      </c>
      <c r="E392" s="8">
        <v>0.33333333333333298</v>
      </c>
      <c r="F392" s="8">
        <v>0.875</v>
      </c>
      <c r="G392" s="10">
        <v>0</v>
      </c>
      <c r="H392" s="14">
        <v>12.000000000000007</v>
      </c>
      <c r="I392" s="59">
        <v>12.000000000000007</v>
      </c>
      <c r="J392" s="15" t="s">
        <v>30</v>
      </c>
      <c r="K392" s="15" t="s">
        <v>133</v>
      </c>
      <c r="L392" s="66" t="str">
        <f t="shared" si="12"/>
        <v/>
      </c>
      <c r="M392" s="19" t="str">
        <f t="shared" si="13"/>
        <v>Apr_2017</v>
      </c>
    </row>
    <row r="393" spans="1:13">
      <c r="A393" s="4" t="s">
        <v>11</v>
      </c>
      <c r="B393" s="57" t="s">
        <v>26</v>
      </c>
      <c r="C393" s="5">
        <v>42853</v>
      </c>
      <c r="D393" s="5" t="s">
        <v>17</v>
      </c>
      <c r="E393" s="8">
        <v>0.70833333333333304</v>
      </c>
      <c r="F393" s="8">
        <v>0.85416666666666696</v>
      </c>
      <c r="G393" s="10">
        <v>8</v>
      </c>
      <c r="H393" s="14">
        <v>3.5000000000000107</v>
      </c>
      <c r="I393" s="59">
        <v>3.5000000000000107</v>
      </c>
      <c r="J393" s="15" t="s">
        <v>30</v>
      </c>
      <c r="K393" s="15" t="s">
        <v>133</v>
      </c>
      <c r="L393" s="66">
        <f t="shared" si="12"/>
        <v>1</v>
      </c>
      <c r="M393" s="19" t="str">
        <f t="shared" si="13"/>
        <v>Apr_2017</v>
      </c>
    </row>
    <row r="394" spans="1:13">
      <c r="A394" s="4" t="s">
        <v>22</v>
      </c>
      <c r="B394" s="57" t="s">
        <v>77</v>
      </c>
      <c r="C394" s="5">
        <v>42853</v>
      </c>
      <c r="D394" s="5" t="s">
        <v>17</v>
      </c>
      <c r="E394" s="8">
        <v>0.33333333333333298</v>
      </c>
      <c r="F394" s="8">
        <v>0.6875</v>
      </c>
      <c r="G394" s="10">
        <v>0</v>
      </c>
      <c r="H394" s="14">
        <v>7.5000000000000089</v>
      </c>
      <c r="I394" s="59">
        <v>7.5000000000000089</v>
      </c>
      <c r="J394" s="15" t="s">
        <v>30</v>
      </c>
      <c r="K394" s="15" t="s">
        <v>133</v>
      </c>
      <c r="L394" s="66" t="str">
        <f t="shared" si="12"/>
        <v/>
      </c>
      <c r="M394" s="19" t="str">
        <f t="shared" si="13"/>
        <v>Apr_2017</v>
      </c>
    </row>
    <row r="395" spans="1:13">
      <c r="A395" s="4" t="s">
        <v>22</v>
      </c>
      <c r="B395" s="57" t="s">
        <v>78</v>
      </c>
      <c r="C395" s="5">
        <v>42853</v>
      </c>
      <c r="D395" s="5" t="s">
        <v>17</v>
      </c>
      <c r="E395" s="8">
        <v>0.5</v>
      </c>
      <c r="F395" s="8">
        <v>0.875</v>
      </c>
      <c r="G395" s="10">
        <v>0</v>
      </c>
      <c r="H395" s="14">
        <v>8</v>
      </c>
      <c r="I395" s="59">
        <v>8</v>
      </c>
      <c r="J395" s="15" t="s">
        <v>30</v>
      </c>
      <c r="K395" s="15" t="s">
        <v>133</v>
      </c>
      <c r="L395" s="66" t="str">
        <f t="shared" si="12"/>
        <v/>
      </c>
      <c r="M395" s="19" t="str">
        <f t="shared" si="13"/>
        <v>Apr_2017</v>
      </c>
    </row>
    <row r="396" spans="1:13">
      <c r="A396" s="4" t="s">
        <v>11</v>
      </c>
      <c r="B396" s="57" t="s">
        <v>19</v>
      </c>
      <c r="C396" s="5">
        <v>42854</v>
      </c>
      <c r="D396" s="5" t="s">
        <v>24</v>
      </c>
      <c r="E396" s="8">
        <v>0.72916666666666696</v>
      </c>
      <c r="F396" s="8">
        <v>0.89583333333333304</v>
      </c>
      <c r="G396" s="10">
        <v>8</v>
      </c>
      <c r="H396" s="14">
        <v>3.9999999999999858</v>
      </c>
      <c r="I396" s="59">
        <v>11.999999999999986</v>
      </c>
      <c r="J396" s="15" t="s">
        <v>52</v>
      </c>
      <c r="K396" s="15" t="s">
        <v>134</v>
      </c>
      <c r="L396" s="66">
        <f t="shared" si="12"/>
        <v>1</v>
      </c>
      <c r="M396" s="19" t="str">
        <f t="shared" si="13"/>
        <v>Apr_2017</v>
      </c>
    </row>
    <row r="397" spans="1:13">
      <c r="A397" s="4" t="s">
        <v>11</v>
      </c>
      <c r="B397" s="57" t="s">
        <v>20</v>
      </c>
      <c r="C397" s="5">
        <v>42854</v>
      </c>
      <c r="D397" s="5" t="s">
        <v>24</v>
      </c>
      <c r="E397" s="8">
        <v>0.72916666666666696</v>
      </c>
      <c r="F397" s="8">
        <v>0.75</v>
      </c>
      <c r="G397" s="10">
        <v>8</v>
      </c>
      <c r="H397" s="14">
        <v>0.49999999999999112</v>
      </c>
      <c r="I397" s="59">
        <v>8.4999999999999911</v>
      </c>
      <c r="J397" s="15" t="s">
        <v>52</v>
      </c>
      <c r="K397" s="15" t="s">
        <v>134</v>
      </c>
      <c r="L397" s="66" t="str">
        <f t="shared" si="12"/>
        <v/>
      </c>
      <c r="M397" s="19" t="str">
        <f t="shared" si="13"/>
        <v>Apr_2017</v>
      </c>
    </row>
    <row r="398" spans="1:13">
      <c r="A398" s="4" t="s">
        <v>22</v>
      </c>
      <c r="B398" s="57" t="s">
        <v>23</v>
      </c>
      <c r="C398" s="5">
        <v>42854</v>
      </c>
      <c r="D398" s="5" t="s">
        <v>24</v>
      </c>
      <c r="E398" s="8">
        <v>0.35416666666666702</v>
      </c>
      <c r="F398" s="8">
        <v>0.89583333333333304</v>
      </c>
      <c r="G398" s="10">
        <v>0</v>
      </c>
      <c r="H398" s="14">
        <v>11.999999999999986</v>
      </c>
      <c r="I398" s="59">
        <v>11.999999999999986</v>
      </c>
      <c r="J398" s="15" t="s">
        <v>52</v>
      </c>
      <c r="K398" s="15" t="s">
        <v>134</v>
      </c>
      <c r="L398" s="66" t="str">
        <f t="shared" si="12"/>
        <v/>
      </c>
      <c r="M398" s="19" t="str">
        <f t="shared" si="13"/>
        <v>Apr_2017</v>
      </c>
    </row>
    <row r="399" spans="1:13">
      <c r="A399" s="4" t="s">
        <v>11</v>
      </c>
      <c r="B399" s="57" t="s">
        <v>26</v>
      </c>
      <c r="C399" s="5">
        <v>42854</v>
      </c>
      <c r="D399" s="5" t="s">
        <v>24</v>
      </c>
      <c r="E399" s="8">
        <v>0.72916666666666696</v>
      </c>
      <c r="F399" s="8">
        <v>0.89583333333333304</v>
      </c>
      <c r="G399" s="10">
        <v>8</v>
      </c>
      <c r="H399" s="14">
        <v>3.9999999999999858</v>
      </c>
      <c r="I399" s="59">
        <v>11.999999999999986</v>
      </c>
      <c r="J399" s="15" t="s">
        <v>52</v>
      </c>
      <c r="K399" s="15" t="s">
        <v>134</v>
      </c>
      <c r="L399" s="66">
        <f t="shared" si="12"/>
        <v>1</v>
      </c>
      <c r="M399" s="19" t="str">
        <f t="shared" si="13"/>
        <v>Apr_2017</v>
      </c>
    </row>
    <row r="400" spans="1:13">
      <c r="A400" s="4" t="s">
        <v>22</v>
      </c>
      <c r="B400" s="57" t="s">
        <v>29</v>
      </c>
      <c r="C400" s="5">
        <v>42854</v>
      </c>
      <c r="D400" s="5" t="s">
        <v>24</v>
      </c>
      <c r="E400" s="8">
        <v>0.52083333333333304</v>
      </c>
      <c r="F400" s="8">
        <v>0.89583333333333304</v>
      </c>
      <c r="G400" s="10">
        <v>0</v>
      </c>
      <c r="H400" s="14">
        <v>8</v>
      </c>
      <c r="I400" s="59">
        <v>8</v>
      </c>
      <c r="J400" s="15" t="s">
        <v>52</v>
      </c>
      <c r="K400" s="15" t="s">
        <v>134</v>
      </c>
      <c r="L400" s="66" t="str">
        <f t="shared" si="12"/>
        <v/>
      </c>
      <c r="M400" s="19" t="str">
        <f t="shared" si="13"/>
        <v>Apr_2017</v>
      </c>
    </row>
    <row r="401" spans="1:13">
      <c r="A401" s="4" t="s">
        <v>22</v>
      </c>
      <c r="B401" s="57" t="s">
        <v>77</v>
      </c>
      <c r="C401" s="5">
        <v>42854</v>
      </c>
      <c r="D401" s="5" t="s">
        <v>24</v>
      </c>
      <c r="E401" s="8">
        <v>0.52083333333333304</v>
      </c>
      <c r="F401" s="8">
        <v>0.89583333333333304</v>
      </c>
      <c r="G401" s="10">
        <v>0</v>
      </c>
      <c r="H401" s="14">
        <v>8</v>
      </c>
      <c r="I401" s="59">
        <v>8</v>
      </c>
      <c r="J401" s="15" t="s">
        <v>52</v>
      </c>
      <c r="K401" s="15" t="s">
        <v>134</v>
      </c>
      <c r="L401" s="66" t="str">
        <f t="shared" si="12"/>
        <v/>
      </c>
      <c r="M401" s="19" t="str">
        <f t="shared" si="13"/>
        <v>Apr_2017</v>
      </c>
    </row>
    <row r="402" spans="1:13">
      <c r="A402" s="4" t="s">
        <v>22</v>
      </c>
      <c r="B402" s="57" t="s">
        <v>78</v>
      </c>
      <c r="C402" s="5">
        <v>42854</v>
      </c>
      <c r="D402" s="5" t="s">
        <v>24</v>
      </c>
      <c r="E402" s="8">
        <v>0.52083333333333304</v>
      </c>
      <c r="F402" s="8">
        <v>0.89583333333333304</v>
      </c>
      <c r="G402" s="10">
        <v>0</v>
      </c>
      <c r="H402" s="14">
        <v>8</v>
      </c>
      <c r="I402" s="59">
        <v>8</v>
      </c>
      <c r="J402" s="15" t="s">
        <v>52</v>
      </c>
      <c r="K402" s="15" t="s">
        <v>134</v>
      </c>
      <c r="L402" s="66" t="str">
        <f t="shared" si="12"/>
        <v/>
      </c>
      <c r="M402" s="19" t="str">
        <f t="shared" si="13"/>
        <v>Apr_2017</v>
      </c>
    </row>
    <row r="403" spans="1:13">
      <c r="A403" s="4" t="s">
        <v>11</v>
      </c>
      <c r="B403" s="57" t="s">
        <v>12</v>
      </c>
      <c r="C403" s="5">
        <v>42855</v>
      </c>
      <c r="D403" s="5" t="s">
        <v>13</v>
      </c>
      <c r="E403" s="8">
        <v>0.33333333333333298</v>
      </c>
      <c r="F403" s="8">
        <v>0.89583333333333304</v>
      </c>
      <c r="G403" s="10">
        <v>0</v>
      </c>
      <c r="H403" s="14">
        <v>12.5</v>
      </c>
      <c r="I403" s="59">
        <v>12.5</v>
      </c>
      <c r="J403" s="15" t="s">
        <v>135</v>
      </c>
      <c r="K403" s="15" t="s">
        <v>136</v>
      </c>
      <c r="L403" s="66">
        <f t="shared" si="12"/>
        <v>1</v>
      </c>
      <c r="M403" s="19" t="str">
        <f t="shared" si="13"/>
        <v>Apr_2017</v>
      </c>
    </row>
    <row r="404" spans="1:13">
      <c r="A404" s="19" t="s">
        <v>11</v>
      </c>
      <c r="B404" s="57" t="s">
        <v>19</v>
      </c>
      <c r="C404" s="5">
        <v>42855</v>
      </c>
      <c r="D404" s="5" t="s">
        <v>13</v>
      </c>
      <c r="E404" s="8">
        <v>0.33333333333333298</v>
      </c>
      <c r="F404" s="8">
        <v>0.89583333333333304</v>
      </c>
      <c r="G404" s="10">
        <v>0</v>
      </c>
      <c r="H404" s="14">
        <v>12.5</v>
      </c>
      <c r="I404" s="59">
        <v>12.5</v>
      </c>
      <c r="J404" s="15" t="s">
        <v>135</v>
      </c>
      <c r="K404" s="15" t="s">
        <v>136</v>
      </c>
      <c r="L404" s="66">
        <f t="shared" si="12"/>
        <v>1</v>
      </c>
      <c r="M404" s="19" t="str">
        <f t="shared" si="13"/>
        <v>Apr_2017</v>
      </c>
    </row>
    <row r="405" spans="1:13">
      <c r="A405" s="19" t="s">
        <v>11</v>
      </c>
      <c r="B405" s="57" t="s">
        <v>21</v>
      </c>
      <c r="C405" s="5">
        <v>42855</v>
      </c>
      <c r="D405" s="5" t="s">
        <v>13</v>
      </c>
      <c r="E405" s="8">
        <v>0.33333333333333298</v>
      </c>
      <c r="F405" s="8">
        <v>0.875</v>
      </c>
      <c r="G405" s="10">
        <v>0</v>
      </c>
      <c r="H405" s="14">
        <v>12.000000000000007</v>
      </c>
      <c r="I405" s="59">
        <v>12.000000000000007</v>
      </c>
      <c r="J405" s="15" t="s">
        <v>135</v>
      </c>
      <c r="K405" s="15" t="s">
        <v>136</v>
      </c>
      <c r="L405" s="66">
        <f t="shared" si="12"/>
        <v>1</v>
      </c>
      <c r="M405" s="19" t="str">
        <f t="shared" si="13"/>
        <v>Apr_2017</v>
      </c>
    </row>
    <row r="406" spans="1:13">
      <c r="A406" s="19" t="s">
        <v>22</v>
      </c>
      <c r="B406" s="57" t="s">
        <v>23</v>
      </c>
      <c r="C406" s="5">
        <v>42855</v>
      </c>
      <c r="D406" s="5" t="s">
        <v>13</v>
      </c>
      <c r="E406" s="8">
        <v>0.33333333333333298</v>
      </c>
      <c r="F406" s="8">
        <v>0.89583333333333304</v>
      </c>
      <c r="G406" s="10">
        <v>0</v>
      </c>
      <c r="H406" s="14">
        <v>12.5</v>
      </c>
      <c r="I406" s="59">
        <v>12.5</v>
      </c>
      <c r="J406" s="15" t="s">
        <v>135</v>
      </c>
      <c r="K406" s="15" t="s">
        <v>136</v>
      </c>
      <c r="L406" s="66" t="str">
        <f t="shared" si="12"/>
        <v/>
      </c>
      <c r="M406" s="19" t="str">
        <f t="shared" si="13"/>
        <v>Apr_2017</v>
      </c>
    </row>
    <row r="407" spans="1:13">
      <c r="A407" s="19" t="s">
        <v>11</v>
      </c>
      <c r="B407" s="57" t="s">
        <v>26</v>
      </c>
      <c r="C407" s="5">
        <v>42855</v>
      </c>
      <c r="D407" s="5" t="s">
        <v>13</v>
      </c>
      <c r="E407" s="8">
        <v>0.33333333333333298</v>
      </c>
      <c r="F407" s="8">
        <v>0.89583333333333304</v>
      </c>
      <c r="G407" s="10">
        <v>0</v>
      </c>
      <c r="H407" s="14">
        <v>12.5</v>
      </c>
      <c r="I407" s="59">
        <v>12.5</v>
      </c>
      <c r="J407" s="15" t="s">
        <v>135</v>
      </c>
      <c r="K407" s="15" t="s">
        <v>136</v>
      </c>
      <c r="L407" s="66">
        <f t="shared" si="12"/>
        <v>1</v>
      </c>
      <c r="M407" s="19" t="str">
        <f t="shared" si="13"/>
        <v>Apr_2017</v>
      </c>
    </row>
    <row r="408" spans="1:13">
      <c r="A408" s="19" t="s">
        <v>22</v>
      </c>
      <c r="B408" s="57" t="s">
        <v>27</v>
      </c>
      <c r="C408" s="5">
        <v>42855</v>
      </c>
      <c r="D408" s="5" t="s">
        <v>13</v>
      </c>
      <c r="E408" s="8">
        <v>0.47916666666666702</v>
      </c>
      <c r="F408" s="8">
        <v>0.6875</v>
      </c>
      <c r="G408" s="10">
        <v>0</v>
      </c>
      <c r="H408" s="14">
        <v>4.9999999999999911</v>
      </c>
      <c r="I408" s="59">
        <v>4.9999999999999911</v>
      </c>
      <c r="J408" s="15" t="s">
        <v>135</v>
      </c>
      <c r="K408" s="15" t="s">
        <v>136</v>
      </c>
      <c r="L408" s="66" t="str">
        <f t="shared" si="12"/>
        <v/>
      </c>
      <c r="M408" s="19" t="str">
        <f t="shared" si="13"/>
        <v>Apr_2017</v>
      </c>
    </row>
    <row r="409" spans="1:13">
      <c r="A409" s="19" t="s">
        <v>22</v>
      </c>
      <c r="B409" s="57" t="s">
        <v>29</v>
      </c>
      <c r="C409" s="5">
        <v>42855</v>
      </c>
      <c r="D409" s="5" t="s">
        <v>13</v>
      </c>
      <c r="E409" s="8">
        <v>0.35416666666666702</v>
      </c>
      <c r="F409" s="8">
        <v>0.89583333333333304</v>
      </c>
      <c r="G409" s="10">
        <v>0</v>
      </c>
      <c r="H409" s="14">
        <v>11.999999999999986</v>
      </c>
      <c r="I409" s="59">
        <v>11.999999999999986</v>
      </c>
      <c r="J409" s="15" t="s">
        <v>135</v>
      </c>
      <c r="K409" s="15" t="s">
        <v>136</v>
      </c>
      <c r="L409" s="66" t="str">
        <f t="shared" si="12"/>
        <v/>
      </c>
      <c r="M409" s="19" t="str">
        <f t="shared" si="13"/>
        <v>Apr_2017</v>
      </c>
    </row>
    <row r="410" spans="1:13">
      <c r="A410" s="19" t="s">
        <v>22</v>
      </c>
      <c r="B410" s="57" t="s">
        <v>77</v>
      </c>
      <c r="C410" s="5">
        <v>42855</v>
      </c>
      <c r="D410" s="5" t="s">
        <v>13</v>
      </c>
      <c r="E410" s="8">
        <v>0.33333333333333298</v>
      </c>
      <c r="F410" s="8">
        <v>0.89583333333333304</v>
      </c>
      <c r="G410" s="10">
        <v>0</v>
      </c>
      <c r="H410" s="14">
        <v>12.5</v>
      </c>
      <c r="I410" s="59">
        <v>12.5</v>
      </c>
      <c r="J410" s="15" t="s">
        <v>135</v>
      </c>
      <c r="K410" s="15" t="s">
        <v>136</v>
      </c>
      <c r="L410" s="66" t="str">
        <f t="shared" si="12"/>
        <v/>
      </c>
      <c r="M410" s="19" t="str">
        <f t="shared" si="13"/>
        <v>Apr_2017</v>
      </c>
    </row>
    <row r="411" spans="1:13">
      <c r="A411" s="19" t="s">
        <v>22</v>
      </c>
      <c r="B411" s="57" t="s">
        <v>78</v>
      </c>
      <c r="C411" s="5">
        <v>42855</v>
      </c>
      <c r="D411" s="5" t="s">
        <v>13</v>
      </c>
      <c r="E411" s="8">
        <v>0.35416666666666702</v>
      </c>
      <c r="F411" s="8">
        <v>0.89583333333333304</v>
      </c>
      <c r="G411" s="10">
        <v>0</v>
      </c>
      <c r="H411" s="14">
        <v>11.999999999999986</v>
      </c>
      <c r="I411" s="59">
        <v>11.999999999999986</v>
      </c>
      <c r="J411" s="15" t="s">
        <v>135</v>
      </c>
      <c r="K411" s="15" t="s">
        <v>136</v>
      </c>
      <c r="L411" s="66" t="str">
        <f t="shared" si="12"/>
        <v/>
      </c>
      <c r="M411" s="19" t="str">
        <f t="shared" si="13"/>
        <v>Apr_2017</v>
      </c>
    </row>
    <row r="412" spans="1:13">
      <c r="A412" s="18" t="s">
        <v>11</v>
      </c>
      <c r="B412" s="63" t="s">
        <v>12</v>
      </c>
      <c r="C412" s="21">
        <v>42856</v>
      </c>
      <c r="D412" s="21" t="s">
        <v>16</v>
      </c>
      <c r="E412" s="8">
        <v>0.33333333333333298</v>
      </c>
      <c r="F412" s="8">
        <v>0.85416666666666696</v>
      </c>
      <c r="G412" s="10">
        <v>8</v>
      </c>
      <c r="H412" s="22">
        <v>3.5</v>
      </c>
      <c r="I412" s="59">
        <v>3.5</v>
      </c>
      <c r="J412" s="41" t="s">
        <v>135</v>
      </c>
      <c r="K412" s="41" t="s">
        <v>137</v>
      </c>
      <c r="L412" s="66">
        <f t="shared" si="12"/>
        <v>1</v>
      </c>
      <c r="M412" s="19" t="str">
        <f t="shared" si="13"/>
        <v>May_2017</v>
      </c>
    </row>
    <row r="413" spans="1:13">
      <c r="A413" s="18" t="s">
        <v>11</v>
      </c>
      <c r="B413" s="63" t="s">
        <v>20</v>
      </c>
      <c r="C413" s="21">
        <v>42856</v>
      </c>
      <c r="D413" s="21" t="s">
        <v>16</v>
      </c>
      <c r="E413" s="8">
        <v>0.33333333333333298</v>
      </c>
      <c r="F413" s="8">
        <v>0.72916666666666696</v>
      </c>
      <c r="G413" s="10">
        <v>8</v>
      </c>
      <c r="H413" s="22">
        <v>0.5</v>
      </c>
      <c r="I413" s="59">
        <v>0.5</v>
      </c>
      <c r="J413" s="41" t="s">
        <v>135</v>
      </c>
      <c r="K413" s="41" t="s">
        <v>137</v>
      </c>
      <c r="L413" s="66" t="str">
        <f t="shared" si="12"/>
        <v/>
      </c>
      <c r="M413" s="19" t="str">
        <f t="shared" si="13"/>
        <v>May_2017</v>
      </c>
    </row>
    <row r="414" spans="1:13">
      <c r="A414" s="18" t="s">
        <v>11</v>
      </c>
      <c r="B414" s="63" t="s">
        <v>21</v>
      </c>
      <c r="C414" s="21">
        <v>42856</v>
      </c>
      <c r="D414" s="21" t="s">
        <v>16</v>
      </c>
      <c r="E414" s="8">
        <v>0.33333333333333298</v>
      </c>
      <c r="F414" s="8">
        <v>0.85416666666666696</v>
      </c>
      <c r="G414" s="10">
        <v>8</v>
      </c>
      <c r="H414" s="22">
        <v>3.5</v>
      </c>
      <c r="I414" s="59">
        <v>3.5</v>
      </c>
      <c r="J414" s="41" t="s">
        <v>135</v>
      </c>
      <c r="K414" s="41" t="s">
        <v>137</v>
      </c>
      <c r="L414" s="66">
        <f t="shared" si="12"/>
        <v>1</v>
      </c>
      <c r="M414" s="19" t="str">
        <f t="shared" si="13"/>
        <v>May_2017</v>
      </c>
    </row>
    <row r="415" spans="1:13">
      <c r="A415" s="18" t="s">
        <v>22</v>
      </c>
      <c r="B415" s="63" t="s">
        <v>23</v>
      </c>
      <c r="C415" s="21">
        <v>42856</v>
      </c>
      <c r="D415" s="21" t="s">
        <v>16</v>
      </c>
      <c r="E415" s="8">
        <v>0.33333333333333298</v>
      </c>
      <c r="F415" s="8">
        <v>0.85416666666666696</v>
      </c>
      <c r="G415" s="10">
        <v>0</v>
      </c>
      <c r="H415" s="22">
        <v>11.500000000000014</v>
      </c>
      <c r="I415" s="59">
        <v>11.500000000000014</v>
      </c>
      <c r="J415" s="41" t="s">
        <v>135</v>
      </c>
      <c r="K415" s="41" t="s">
        <v>137</v>
      </c>
      <c r="L415" s="66" t="str">
        <f t="shared" si="12"/>
        <v/>
      </c>
      <c r="M415" s="19" t="str">
        <f t="shared" si="13"/>
        <v>May_2017</v>
      </c>
    </row>
    <row r="416" spans="1:13">
      <c r="A416" s="18" t="s">
        <v>22</v>
      </c>
      <c r="B416" s="63" t="s">
        <v>27</v>
      </c>
      <c r="C416" s="21">
        <v>42856</v>
      </c>
      <c r="D416" s="21" t="s">
        <v>16</v>
      </c>
      <c r="E416" s="8">
        <v>0.625</v>
      </c>
      <c r="F416" s="8">
        <v>0.85416666666666696</v>
      </c>
      <c r="G416" s="10">
        <v>0</v>
      </c>
      <c r="H416" s="22">
        <v>5.5000000000000071</v>
      </c>
      <c r="I416" s="59">
        <v>5.5000000000000071</v>
      </c>
      <c r="J416" s="41" t="s">
        <v>135</v>
      </c>
      <c r="K416" s="41" t="s">
        <v>137</v>
      </c>
      <c r="L416" s="66" t="str">
        <f t="shared" si="12"/>
        <v/>
      </c>
      <c r="M416" s="19" t="str">
        <f t="shared" si="13"/>
        <v>May_2017</v>
      </c>
    </row>
    <row r="417" spans="1:13">
      <c r="A417" s="18" t="s">
        <v>22</v>
      </c>
      <c r="B417" s="63" t="s">
        <v>29</v>
      </c>
      <c r="C417" s="21">
        <v>42856</v>
      </c>
      <c r="D417" s="21" t="s">
        <v>16</v>
      </c>
      <c r="E417" s="8">
        <v>0.33333333333333298</v>
      </c>
      <c r="F417" s="8">
        <v>0.85416666666666696</v>
      </c>
      <c r="G417" s="10">
        <v>0</v>
      </c>
      <c r="H417" s="22">
        <v>11.500000000000014</v>
      </c>
      <c r="I417" s="59">
        <v>11.500000000000014</v>
      </c>
      <c r="J417" s="41" t="s">
        <v>135</v>
      </c>
      <c r="K417" s="41" t="s">
        <v>137</v>
      </c>
      <c r="L417" s="66" t="str">
        <f t="shared" si="12"/>
        <v/>
      </c>
      <c r="M417" s="19" t="str">
        <f t="shared" si="13"/>
        <v>May_2017</v>
      </c>
    </row>
    <row r="418" spans="1:13">
      <c r="A418" s="18" t="s">
        <v>22</v>
      </c>
      <c r="B418" s="63" t="s">
        <v>77</v>
      </c>
      <c r="C418" s="21">
        <v>42856</v>
      </c>
      <c r="D418" s="21" t="s">
        <v>16</v>
      </c>
      <c r="E418" s="8">
        <v>0.33333333333333298</v>
      </c>
      <c r="F418" s="8">
        <v>0.85416666666666696</v>
      </c>
      <c r="G418" s="10">
        <v>0</v>
      </c>
      <c r="H418" s="22">
        <v>11.500000000000014</v>
      </c>
      <c r="I418" s="59">
        <v>11.500000000000014</v>
      </c>
      <c r="J418" s="41" t="s">
        <v>135</v>
      </c>
      <c r="K418" s="41" t="s">
        <v>137</v>
      </c>
      <c r="L418" s="66" t="str">
        <f t="shared" si="12"/>
        <v/>
      </c>
      <c r="M418" s="19" t="str">
        <f t="shared" si="13"/>
        <v>May_2017</v>
      </c>
    </row>
    <row r="419" spans="1:13">
      <c r="A419" s="18" t="s">
        <v>22</v>
      </c>
      <c r="B419" s="63" t="s">
        <v>78</v>
      </c>
      <c r="C419" s="21">
        <v>42856</v>
      </c>
      <c r="D419" s="21" t="s">
        <v>16</v>
      </c>
      <c r="E419" s="8">
        <v>0.33333333333333298</v>
      </c>
      <c r="F419" s="8">
        <v>0.85416666666666696</v>
      </c>
      <c r="G419" s="10">
        <v>0</v>
      </c>
      <c r="H419" s="22">
        <v>11.500000000000014</v>
      </c>
      <c r="I419" s="59">
        <v>11.500000000000014</v>
      </c>
      <c r="J419" s="41" t="s">
        <v>135</v>
      </c>
      <c r="K419" s="41" t="s">
        <v>137</v>
      </c>
      <c r="L419" s="66" t="str">
        <f t="shared" si="12"/>
        <v/>
      </c>
      <c r="M419" s="19" t="str">
        <f t="shared" si="13"/>
        <v>May_2017</v>
      </c>
    </row>
    <row r="420" spans="1:13">
      <c r="A420" s="18" t="s">
        <v>22</v>
      </c>
      <c r="B420" s="63" t="s">
        <v>23</v>
      </c>
      <c r="C420" s="21">
        <v>42858</v>
      </c>
      <c r="D420" s="21" t="s">
        <v>15</v>
      </c>
      <c r="E420" s="8">
        <v>0.35416666666666702</v>
      </c>
      <c r="F420" s="8">
        <v>0.72916666666666696</v>
      </c>
      <c r="G420" s="10">
        <v>0</v>
      </c>
      <c r="H420" s="22">
        <v>7.9999999999999982</v>
      </c>
      <c r="I420" s="59">
        <v>7.9999999999999982</v>
      </c>
      <c r="J420" s="41" t="s">
        <v>30</v>
      </c>
      <c r="K420" s="41" t="s">
        <v>138</v>
      </c>
      <c r="L420" s="66" t="str">
        <f t="shared" si="12"/>
        <v/>
      </c>
      <c r="M420" s="19" t="str">
        <f t="shared" si="13"/>
        <v>May_2017</v>
      </c>
    </row>
    <row r="421" spans="1:13">
      <c r="A421" s="18" t="s">
        <v>22</v>
      </c>
      <c r="B421" s="63" t="s">
        <v>77</v>
      </c>
      <c r="C421" s="21">
        <v>42858</v>
      </c>
      <c r="D421" s="21" t="s">
        <v>15</v>
      </c>
      <c r="E421" s="8">
        <v>0.35416666666666702</v>
      </c>
      <c r="F421" s="8">
        <v>0.72916666666666696</v>
      </c>
      <c r="G421" s="10">
        <v>0</v>
      </c>
      <c r="H421" s="22">
        <v>7.9999999999999982</v>
      </c>
      <c r="I421" s="59">
        <v>7.9999999999999982</v>
      </c>
      <c r="J421" s="41" t="s">
        <v>30</v>
      </c>
      <c r="K421" s="41" t="s">
        <v>138</v>
      </c>
      <c r="L421" s="66" t="str">
        <f t="shared" si="12"/>
        <v/>
      </c>
      <c r="M421" s="19" t="str">
        <f t="shared" si="13"/>
        <v>May_2017</v>
      </c>
    </row>
    <row r="422" spans="1:13">
      <c r="A422" s="18" t="s">
        <v>22</v>
      </c>
      <c r="B422" s="63" t="s">
        <v>23</v>
      </c>
      <c r="C422" s="21">
        <v>42859</v>
      </c>
      <c r="D422" s="21" t="s">
        <v>25</v>
      </c>
      <c r="E422" s="8">
        <v>0.35416666666666702</v>
      </c>
      <c r="F422" s="8">
        <v>0.72916666666666696</v>
      </c>
      <c r="G422" s="10">
        <v>0</v>
      </c>
      <c r="H422" s="22">
        <v>7.9999999999999982</v>
      </c>
      <c r="I422" s="59">
        <v>7.9999999999999982</v>
      </c>
      <c r="J422" s="41" t="s">
        <v>30</v>
      </c>
      <c r="K422" s="41" t="s">
        <v>139</v>
      </c>
      <c r="L422" s="66" t="str">
        <f t="shared" si="12"/>
        <v/>
      </c>
      <c r="M422" s="19" t="str">
        <f t="shared" si="13"/>
        <v>May_2017</v>
      </c>
    </row>
    <row r="423" spans="1:13">
      <c r="A423" s="18" t="s">
        <v>22</v>
      </c>
      <c r="B423" s="63" t="s">
        <v>23</v>
      </c>
      <c r="C423" s="21">
        <v>42860</v>
      </c>
      <c r="D423" s="21" t="s">
        <v>17</v>
      </c>
      <c r="E423" s="8">
        <v>0.35416666666666702</v>
      </c>
      <c r="F423" s="8">
        <v>0.72916666666666696</v>
      </c>
      <c r="G423" s="10">
        <v>0</v>
      </c>
      <c r="H423" s="22">
        <v>7.9999999999999982</v>
      </c>
      <c r="I423" s="59">
        <v>7.9999999999999982</v>
      </c>
      <c r="J423" s="41" t="s">
        <v>30</v>
      </c>
      <c r="K423" s="41" t="s">
        <v>140</v>
      </c>
      <c r="L423" s="66" t="str">
        <f t="shared" si="12"/>
        <v/>
      </c>
      <c r="M423" s="19" t="str">
        <f t="shared" si="13"/>
        <v>May_2017</v>
      </c>
    </row>
    <row r="424" spans="1:13">
      <c r="A424" s="18" t="s">
        <v>22</v>
      </c>
      <c r="B424" s="63" t="s">
        <v>23</v>
      </c>
      <c r="C424" s="21">
        <v>42863</v>
      </c>
      <c r="D424" s="21" t="s">
        <v>16</v>
      </c>
      <c r="E424" s="8">
        <v>0.35416666666666702</v>
      </c>
      <c r="F424" s="8">
        <v>0.72916666666666696</v>
      </c>
      <c r="G424" s="10">
        <v>0</v>
      </c>
      <c r="H424" s="22">
        <v>7.9999999999999982</v>
      </c>
      <c r="I424" s="59">
        <v>7.9999999999999982</v>
      </c>
      <c r="J424" s="41" t="s">
        <v>30</v>
      </c>
      <c r="K424" s="41" t="s">
        <v>141</v>
      </c>
      <c r="L424" s="66" t="str">
        <f t="shared" si="12"/>
        <v/>
      </c>
      <c r="M424" s="19" t="str">
        <f t="shared" si="13"/>
        <v>May_2017</v>
      </c>
    </row>
    <row r="425" spans="1:13">
      <c r="A425" s="18" t="s">
        <v>22</v>
      </c>
      <c r="B425" s="63" t="s">
        <v>23</v>
      </c>
      <c r="C425" s="21">
        <v>42864</v>
      </c>
      <c r="D425" s="21" t="s">
        <v>14</v>
      </c>
      <c r="E425" s="8">
        <v>0.35416666666666702</v>
      </c>
      <c r="F425" s="8">
        <v>0.72916666666666696</v>
      </c>
      <c r="G425" s="10">
        <v>0</v>
      </c>
      <c r="H425" s="22">
        <v>7.9999999999999982</v>
      </c>
      <c r="I425" s="59">
        <v>7.9999999999999982</v>
      </c>
      <c r="J425" s="41" t="s">
        <v>30</v>
      </c>
      <c r="K425" s="41" t="s">
        <v>142</v>
      </c>
      <c r="L425" s="66" t="str">
        <f t="shared" si="12"/>
        <v/>
      </c>
      <c r="M425" s="19" t="str">
        <f t="shared" si="13"/>
        <v>May_2017</v>
      </c>
    </row>
    <row r="426" spans="1:13">
      <c r="A426" s="18" t="s">
        <v>22</v>
      </c>
      <c r="B426" s="63" t="s">
        <v>23</v>
      </c>
      <c r="C426" s="21">
        <v>42865</v>
      </c>
      <c r="D426" s="21" t="s">
        <v>15</v>
      </c>
      <c r="E426" s="8">
        <v>0.35416666666666702</v>
      </c>
      <c r="F426" s="8">
        <v>0.72916666666666696</v>
      </c>
      <c r="G426" s="10">
        <v>0</v>
      </c>
      <c r="H426" s="22">
        <v>7.9999999999999982</v>
      </c>
      <c r="I426" s="59">
        <v>7.9999999999999982</v>
      </c>
      <c r="J426" s="41" t="s">
        <v>30</v>
      </c>
      <c r="K426" s="41" t="s">
        <v>143</v>
      </c>
      <c r="L426" s="66" t="str">
        <f t="shared" si="12"/>
        <v/>
      </c>
      <c r="M426" s="19" t="str">
        <f t="shared" si="13"/>
        <v>May_2017</v>
      </c>
    </row>
    <row r="427" spans="1:13">
      <c r="A427" s="18" t="s">
        <v>22</v>
      </c>
      <c r="B427" s="63" t="s">
        <v>23</v>
      </c>
      <c r="C427" s="21">
        <v>42866</v>
      </c>
      <c r="D427" s="21" t="s">
        <v>25</v>
      </c>
      <c r="E427" s="8">
        <v>0.35416666666666702</v>
      </c>
      <c r="F427" s="8">
        <v>0.72916666666666696</v>
      </c>
      <c r="G427" s="10">
        <v>0</v>
      </c>
      <c r="H427" s="22">
        <v>7.9999999999999982</v>
      </c>
      <c r="I427" s="59">
        <v>7.9999999999999982</v>
      </c>
      <c r="J427" s="41" t="s">
        <v>30</v>
      </c>
      <c r="K427" s="41" t="s">
        <v>144</v>
      </c>
      <c r="L427" s="66" t="str">
        <f t="shared" si="12"/>
        <v/>
      </c>
      <c r="M427" s="19" t="str">
        <f t="shared" si="13"/>
        <v>May_2017</v>
      </c>
    </row>
    <row r="428" spans="1:13">
      <c r="A428" s="18" t="s">
        <v>22</v>
      </c>
      <c r="B428" s="63" t="s">
        <v>23</v>
      </c>
      <c r="C428" s="21">
        <v>42867</v>
      </c>
      <c r="D428" s="21" t="s">
        <v>17</v>
      </c>
      <c r="E428" s="8">
        <v>0.35416666666666702</v>
      </c>
      <c r="F428" s="8">
        <v>0.72916666666666696</v>
      </c>
      <c r="G428" s="10">
        <v>0</v>
      </c>
      <c r="H428" s="22">
        <v>7.9999999999999982</v>
      </c>
      <c r="I428" s="59">
        <v>7.9999999999999982</v>
      </c>
      <c r="J428" s="41" t="s">
        <v>30</v>
      </c>
      <c r="K428" s="41" t="s">
        <v>145</v>
      </c>
      <c r="L428" s="66" t="str">
        <f t="shared" si="12"/>
        <v/>
      </c>
      <c r="M428" s="19" t="str">
        <f t="shared" si="13"/>
        <v>May_2017</v>
      </c>
    </row>
    <row r="429" spans="1:13">
      <c r="A429" s="18" t="s">
        <v>22</v>
      </c>
      <c r="B429" s="63" t="s">
        <v>23</v>
      </c>
      <c r="C429" s="21">
        <v>42870</v>
      </c>
      <c r="D429" s="21" t="s">
        <v>16</v>
      </c>
      <c r="E429" s="8">
        <v>0.35416666666666702</v>
      </c>
      <c r="F429" s="8">
        <v>0.72916666666666696</v>
      </c>
      <c r="G429" s="10">
        <v>0</v>
      </c>
      <c r="H429" s="22">
        <v>7.9999999999999982</v>
      </c>
      <c r="I429" s="59">
        <v>7.9999999999999982</v>
      </c>
      <c r="J429" s="41" t="s">
        <v>30</v>
      </c>
      <c r="K429" s="41" t="s">
        <v>146</v>
      </c>
      <c r="L429" s="66" t="str">
        <f t="shared" si="12"/>
        <v/>
      </c>
      <c r="M429" s="19" t="str">
        <f t="shared" si="13"/>
        <v>May_2017</v>
      </c>
    </row>
    <row r="430" spans="1:13">
      <c r="A430" s="18" t="s">
        <v>22</v>
      </c>
      <c r="B430" s="63" t="s">
        <v>23</v>
      </c>
      <c r="C430" s="21">
        <v>42871</v>
      </c>
      <c r="D430" s="21" t="s">
        <v>14</v>
      </c>
      <c r="E430" s="8">
        <v>0.35416666666666702</v>
      </c>
      <c r="F430" s="8">
        <v>0.72916666666666696</v>
      </c>
      <c r="G430" s="10">
        <v>0</v>
      </c>
      <c r="H430" s="22">
        <v>7.9999999999999982</v>
      </c>
      <c r="I430" s="59">
        <v>7.9999999999999982</v>
      </c>
      <c r="J430" s="41" t="s">
        <v>30</v>
      </c>
      <c r="K430" s="41" t="s">
        <v>147</v>
      </c>
      <c r="L430" s="66" t="str">
        <f t="shared" si="12"/>
        <v/>
      </c>
      <c r="M430" s="19" t="str">
        <f t="shared" si="13"/>
        <v>May_2017</v>
      </c>
    </row>
    <row r="431" spans="1:13">
      <c r="A431" s="18" t="s">
        <v>11</v>
      </c>
      <c r="B431" s="63" t="s">
        <v>12</v>
      </c>
      <c r="C431" s="21">
        <v>42872</v>
      </c>
      <c r="D431" s="21" t="s">
        <v>15</v>
      </c>
      <c r="E431" s="8">
        <v>0.72916666666666696</v>
      </c>
      <c r="F431" s="8">
        <v>0.89583333333333304</v>
      </c>
      <c r="G431" s="10">
        <v>8</v>
      </c>
      <c r="H431" s="22">
        <v>3.9999999999999822</v>
      </c>
      <c r="I431" s="59">
        <v>3.9999999999999822</v>
      </c>
      <c r="J431" s="41" t="s">
        <v>30</v>
      </c>
      <c r="K431" s="41" t="s">
        <v>148</v>
      </c>
      <c r="L431" s="66">
        <f t="shared" si="12"/>
        <v>1</v>
      </c>
      <c r="M431" s="19" t="str">
        <f t="shared" si="13"/>
        <v>May_2017</v>
      </c>
    </row>
    <row r="432" spans="1:13">
      <c r="A432" s="18" t="s">
        <v>11</v>
      </c>
      <c r="B432" s="63" t="s">
        <v>19</v>
      </c>
      <c r="C432" s="21">
        <v>42872</v>
      </c>
      <c r="D432" s="21" t="s">
        <v>15</v>
      </c>
      <c r="E432" s="8">
        <v>0.72916666666666696</v>
      </c>
      <c r="F432" s="8">
        <v>0.89583333333333304</v>
      </c>
      <c r="G432" s="10">
        <v>8</v>
      </c>
      <c r="H432" s="22">
        <v>3.9999999999999822</v>
      </c>
      <c r="I432" s="59">
        <v>3.9999999999999822</v>
      </c>
      <c r="J432" s="41" t="s">
        <v>30</v>
      </c>
      <c r="K432" s="41" t="s">
        <v>148</v>
      </c>
      <c r="L432" s="66">
        <f t="shared" si="12"/>
        <v>1</v>
      </c>
      <c r="M432" s="19" t="str">
        <f t="shared" si="13"/>
        <v>May_2017</v>
      </c>
    </row>
    <row r="433" spans="1:13">
      <c r="A433" s="18" t="s">
        <v>11</v>
      </c>
      <c r="B433" s="63" t="s">
        <v>21</v>
      </c>
      <c r="C433" s="21">
        <v>42872</v>
      </c>
      <c r="D433" s="21" t="s">
        <v>15</v>
      </c>
      <c r="E433" s="8">
        <v>0.72916666666666696</v>
      </c>
      <c r="F433" s="8">
        <v>0.89583333333333304</v>
      </c>
      <c r="G433" s="10">
        <v>8</v>
      </c>
      <c r="H433" s="22">
        <v>3.9999999999999822</v>
      </c>
      <c r="I433" s="59">
        <v>3.9999999999999822</v>
      </c>
      <c r="J433" s="41" t="s">
        <v>30</v>
      </c>
      <c r="K433" s="41" t="s">
        <v>148</v>
      </c>
      <c r="L433" s="66">
        <f t="shared" si="12"/>
        <v>1</v>
      </c>
      <c r="M433" s="19" t="str">
        <f t="shared" si="13"/>
        <v>May_2017</v>
      </c>
    </row>
    <row r="434" spans="1:13">
      <c r="A434" s="18" t="s">
        <v>22</v>
      </c>
      <c r="B434" s="63" t="s">
        <v>23</v>
      </c>
      <c r="C434" s="21">
        <v>42872</v>
      </c>
      <c r="D434" s="21" t="s">
        <v>15</v>
      </c>
      <c r="E434" s="8">
        <v>0.35416666666666702</v>
      </c>
      <c r="F434" s="8">
        <v>0.89583333333333304</v>
      </c>
      <c r="G434" s="10">
        <v>0</v>
      </c>
      <c r="H434" s="22">
        <v>11.999999999999986</v>
      </c>
      <c r="I434" s="59">
        <v>11.999999999999986</v>
      </c>
      <c r="J434" s="41" t="s">
        <v>30</v>
      </c>
      <c r="K434" s="41" t="s">
        <v>148</v>
      </c>
      <c r="L434" s="66" t="str">
        <f t="shared" si="12"/>
        <v/>
      </c>
      <c r="M434" s="19" t="str">
        <f t="shared" si="13"/>
        <v>May_2017</v>
      </c>
    </row>
    <row r="435" spans="1:13">
      <c r="A435" s="18" t="s">
        <v>22</v>
      </c>
      <c r="B435" s="63" t="s">
        <v>27</v>
      </c>
      <c r="C435" s="21">
        <v>42872</v>
      </c>
      <c r="D435" s="21" t="s">
        <v>15</v>
      </c>
      <c r="E435" s="8">
        <v>0.70833333333333304</v>
      </c>
      <c r="F435" s="8">
        <v>0.89583333333333304</v>
      </c>
      <c r="G435" s="10">
        <v>0</v>
      </c>
      <c r="H435" s="22">
        <v>4.5</v>
      </c>
      <c r="I435" s="59">
        <v>4.5</v>
      </c>
      <c r="J435" s="41" t="s">
        <v>30</v>
      </c>
      <c r="K435" s="41" t="s">
        <v>148</v>
      </c>
      <c r="L435" s="66" t="str">
        <f t="shared" si="12"/>
        <v/>
      </c>
      <c r="M435" s="19" t="str">
        <f t="shared" si="13"/>
        <v>May_2017</v>
      </c>
    </row>
    <row r="436" spans="1:13">
      <c r="A436" s="18" t="s">
        <v>22</v>
      </c>
      <c r="B436" s="63" t="s">
        <v>149</v>
      </c>
      <c r="C436" s="21">
        <v>42872</v>
      </c>
      <c r="D436" s="21" t="s">
        <v>15</v>
      </c>
      <c r="E436" s="8">
        <v>0.70833333333333304</v>
      </c>
      <c r="F436" s="8">
        <v>0.89583333333333304</v>
      </c>
      <c r="G436" s="10">
        <v>0</v>
      </c>
      <c r="H436" s="22">
        <v>4.5</v>
      </c>
      <c r="I436" s="59">
        <v>4.5</v>
      </c>
      <c r="J436" s="41" t="s">
        <v>30</v>
      </c>
      <c r="K436" s="41" t="s">
        <v>148</v>
      </c>
      <c r="L436" s="66" t="str">
        <f t="shared" si="12"/>
        <v/>
      </c>
      <c r="M436" s="19" t="str">
        <f t="shared" si="13"/>
        <v>May_2017</v>
      </c>
    </row>
    <row r="437" spans="1:13">
      <c r="A437" s="18" t="s">
        <v>22</v>
      </c>
      <c r="B437" s="63" t="s">
        <v>23</v>
      </c>
      <c r="C437" s="21">
        <v>42873</v>
      </c>
      <c r="D437" s="21" t="s">
        <v>25</v>
      </c>
      <c r="E437" s="8">
        <v>0.35416666666666702</v>
      </c>
      <c r="F437" s="8">
        <v>0.72916666666666696</v>
      </c>
      <c r="G437" s="10">
        <v>0</v>
      </c>
      <c r="H437" s="22">
        <v>7.9999999999999982</v>
      </c>
      <c r="I437" s="59">
        <v>7.9999999999999982</v>
      </c>
      <c r="J437" s="41" t="s">
        <v>30</v>
      </c>
      <c r="K437" s="41" t="s">
        <v>150</v>
      </c>
      <c r="L437" s="66" t="str">
        <f t="shared" si="12"/>
        <v/>
      </c>
      <c r="M437" s="19" t="str">
        <f t="shared" si="13"/>
        <v>May_2017</v>
      </c>
    </row>
    <row r="438" spans="1:13">
      <c r="A438" s="18" t="s">
        <v>22</v>
      </c>
      <c r="B438" s="63" t="s">
        <v>23</v>
      </c>
      <c r="C438" s="21">
        <v>42874</v>
      </c>
      <c r="D438" s="21" t="s">
        <v>17</v>
      </c>
      <c r="E438" s="8">
        <v>0.35416666666666702</v>
      </c>
      <c r="F438" s="8">
        <v>0.72916666666666696</v>
      </c>
      <c r="G438" s="10">
        <v>0</v>
      </c>
      <c r="H438" s="22">
        <v>7.9999999999999982</v>
      </c>
      <c r="I438" s="59">
        <v>7.9999999999999982</v>
      </c>
      <c r="J438" s="41" t="s">
        <v>30</v>
      </c>
      <c r="K438" s="41" t="s">
        <v>151</v>
      </c>
      <c r="L438" s="66" t="str">
        <f t="shared" si="12"/>
        <v/>
      </c>
      <c r="M438" s="19" t="str">
        <f t="shared" si="13"/>
        <v>May_2017</v>
      </c>
    </row>
    <row r="439" spans="1:13">
      <c r="A439" s="18" t="s">
        <v>22</v>
      </c>
      <c r="B439" s="63" t="s">
        <v>23</v>
      </c>
      <c r="C439" s="21">
        <v>42877</v>
      </c>
      <c r="D439" s="21" t="s">
        <v>16</v>
      </c>
      <c r="E439" s="8">
        <v>0.35416666666666702</v>
      </c>
      <c r="F439" s="8">
        <v>0.72916666666666696</v>
      </c>
      <c r="G439" s="10">
        <v>0</v>
      </c>
      <c r="H439" s="22">
        <v>7.9999999999999982</v>
      </c>
      <c r="I439" s="59">
        <v>7.9999999999999982</v>
      </c>
      <c r="J439" s="41" t="s">
        <v>30</v>
      </c>
      <c r="K439" s="41" t="s">
        <v>152</v>
      </c>
      <c r="L439" s="66" t="str">
        <f t="shared" si="12"/>
        <v/>
      </c>
      <c r="M439" s="19" t="str">
        <f t="shared" si="13"/>
        <v>May_2017</v>
      </c>
    </row>
    <row r="440" spans="1:13">
      <c r="A440" s="18" t="s">
        <v>22</v>
      </c>
      <c r="B440" s="63" t="s">
        <v>23</v>
      </c>
      <c r="C440" s="21">
        <v>42878</v>
      </c>
      <c r="D440" s="21" t="s">
        <v>14</v>
      </c>
      <c r="E440" s="8">
        <v>0.35416666666666702</v>
      </c>
      <c r="F440" s="8">
        <v>0.72916666666666696</v>
      </c>
      <c r="G440" s="10">
        <v>0</v>
      </c>
      <c r="H440" s="22">
        <v>7.9999999999999982</v>
      </c>
      <c r="I440" s="59">
        <v>7.9999999999999982</v>
      </c>
      <c r="J440" s="41" t="s">
        <v>30</v>
      </c>
      <c r="K440" s="41" t="s">
        <v>153</v>
      </c>
      <c r="L440" s="66" t="str">
        <f t="shared" si="12"/>
        <v/>
      </c>
      <c r="M440" s="19" t="str">
        <f t="shared" si="13"/>
        <v>May_2017</v>
      </c>
    </row>
    <row r="441" spans="1:13">
      <c r="A441" s="18" t="s">
        <v>22</v>
      </c>
      <c r="B441" s="63" t="s">
        <v>23</v>
      </c>
      <c r="C441" s="21">
        <v>42879</v>
      </c>
      <c r="D441" s="21" t="s">
        <v>15</v>
      </c>
      <c r="E441" s="8">
        <v>0.35416666666666702</v>
      </c>
      <c r="F441" s="8">
        <v>0.72916666666666696</v>
      </c>
      <c r="G441" s="10">
        <v>0</v>
      </c>
      <c r="H441" s="22">
        <v>7.9999999999999982</v>
      </c>
      <c r="I441" s="59">
        <v>7.9999999999999982</v>
      </c>
      <c r="J441" s="41" t="s">
        <v>30</v>
      </c>
      <c r="K441" s="41" t="s">
        <v>154</v>
      </c>
      <c r="L441" s="66" t="str">
        <f t="shared" si="12"/>
        <v/>
      </c>
      <c r="M441" s="19" t="str">
        <f t="shared" si="13"/>
        <v>May_2017</v>
      </c>
    </row>
    <row r="442" spans="1:13">
      <c r="A442" s="18" t="s">
        <v>11</v>
      </c>
      <c r="B442" s="63" t="s">
        <v>12</v>
      </c>
      <c r="C442" s="21">
        <v>42880</v>
      </c>
      <c r="D442" s="21" t="s">
        <v>25</v>
      </c>
      <c r="E442" s="8">
        <v>0.72916666666666696</v>
      </c>
      <c r="F442" s="8">
        <v>0.89583333333333304</v>
      </c>
      <c r="G442" s="10">
        <v>8</v>
      </c>
      <c r="H442" s="22">
        <v>3.9999999999999822</v>
      </c>
      <c r="I442" s="59">
        <v>3.9999999999999822</v>
      </c>
      <c r="J442" s="41" t="s">
        <v>30</v>
      </c>
      <c r="K442" s="41" t="s">
        <v>155</v>
      </c>
      <c r="L442" s="66">
        <f t="shared" si="12"/>
        <v>1</v>
      </c>
      <c r="M442" s="19" t="str">
        <f t="shared" si="13"/>
        <v>May_2017</v>
      </c>
    </row>
    <row r="443" spans="1:13">
      <c r="A443" s="18" t="s">
        <v>11</v>
      </c>
      <c r="B443" s="63" t="s">
        <v>19</v>
      </c>
      <c r="C443" s="21">
        <v>42880</v>
      </c>
      <c r="D443" s="21" t="s">
        <v>25</v>
      </c>
      <c r="E443" s="8">
        <v>0.72916666666666696</v>
      </c>
      <c r="F443" s="8">
        <v>0.89583333333333304</v>
      </c>
      <c r="G443" s="10">
        <v>8</v>
      </c>
      <c r="H443" s="22">
        <v>3.9999999999999822</v>
      </c>
      <c r="I443" s="59">
        <v>3.9999999999999822</v>
      </c>
      <c r="J443" s="41" t="s">
        <v>30</v>
      </c>
      <c r="K443" s="41" t="s">
        <v>155</v>
      </c>
      <c r="L443" s="66">
        <f t="shared" si="12"/>
        <v>1</v>
      </c>
      <c r="M443" s="19" t="str">
        <f t="shared" si="13"/>
        <v>May_2017</v>
      </c>
    </row>
    <row r="444" spans="1:13">
      <c r="A444" s="18" t="s">
        <v>11</v>
      </c>
      <c r="B444" s="63" t="s">
        <v>20</v>
      </c>
      <c r="C444" s="21">
        <v>42880</v>
      </c>
      <c r="D444" s="21" t="s">
        <v>25</v>
      </c>
      <c r="E444" s="8">
        <v>0.72916666666666696</v>
      </c>
      <c r="F444" s="8">
        <v>0.89583333333333304</v>
      </c>
      <c r="G444" s="10">
        <v>8</v>
      </c>
      <c r="H444" s="22">
        <v>3.9999999999999822</v>
      </c>
      <c r="I444" s="59">
        <v>3.9999999999999822</v>
      </c>
      <c r="J444" s="41" t="s">
        <v>30</v>
      </c>
      <c r="K444" s="41" t="s">
        <v>155</v>
      </c>
      <c r="L444" s="66">
        <f t="shared" si="12"/>
        <v>1</v>
      </c>
      <c r="M444" s="19" t="str">
        <f t="shared" si="13"/>
        <v>May_2017</v>
      </c>
    </row>
    <row r="445" spans="1:13">
      <c r="A445" s="18" t="s">
        <v>11</v>
      </c>
      <c r="B445" s="63" t="s">
        <v>21</v>
      </c>
      <c r="C445" s="21">
        <v>42880</v>
      </c>
      <c r="D445" s="21" t="s">
        <v>25</v>
      </c>
      <c r="E445" s="8">
        <v>0.72916666666666696</v>
      </c>
      <c r="F445" s="8">
        <v>0.89583333333333304</v>
      </c>
      <c r="G445" s="10">
        <v>8</v>
      </c>
      <c r="H445" s="22">
        <v>3.9999999999999822</v>
      </c>
      <c r="I445" s="59">
        <v>3.9999999999999822</v>
      </c>
      <c r="J445" s="41" t="s">
        <v>30</v>
      </c>
      <c r="K445" s="41" t="s">
        <v>155</v>
      </c>
      <c r="L445" s="66">
        <f t="shared" si="12"/>
        <v>1</v>
      </c>
      <c r="M445" s="19" t="str">
        <f t="shared" si="13"/>
        <v>May_2017</v>
      </c>
    </row>
    <row r="446" spans="1:13">
      <c r="A446" s="18" t="s">
        <v>22</v>
      </c>
      <c r="B446" s="63" t="s">
        <v>23</v>
      </c>
      <c r="C446" s="21">
        <v>42880</v>
      </c>
      <c r="D446" s="21" t="s">
        <v>25</v>
      </c>
      <c r="E446" s="8">
        <v>0.35416666666666702</v>
      </c>
      <c r="F446" s="8">
        <v>0.89583333333333304</v>
      </c>
      <c r="G446" s="10">
        <v>0</v>
      </c>
      <c r="H446" s="22">
        <v>11.999999999999986</v>
      </c>
      <c r="I446" s="59">
        <v>11.999999999999986</v>
      </c>
      <c r="J446" s="41" t="s">
        <v>30</v>
      </c>
      <c r="K446" s="41" t="s">
        <v>155</v>
      </c>
      <c r="L446" s="66" t="str">
        <f t="shared" si="12"/>
        <v/>
      </c>
      <c r="M446" s="19" t="str">
        <f t="shared" si="13"/>
        <v>May_2017</v>
      </c>
    </row>
    <row r="447" spans="1:13">
      <c r="A447" s="18" t="s">
        <v>11</v>
      </c>
      <c r="B447" s="63" t="s">
        <v>26</v>
      </c>
      <c r="C447" s="21">
        <v>42880</v>
      </c>
      <c r="D447" s="21" t="s">
        <v>25</v>
      </c>
      <c r="E447" s="8">
        <v>0.72916666666666696</v>
      </c>
      <c r="F447" s="8">
        <v>0.89583333333333304</v>
      </c>
      <c r="G447" s="10">
        <v>8</v>
      </c>
      <c r="H447" s="22">
        <v>3.9999999999999822</v>
      </c>
      <c r="I447" s="59">
        <v>3.9999999999999822</v>
      </c>
      <c r="J447" s="41" t="s">
        <v>30</v>
      </c>
      <c r="K447" s="41" t="s">
        <v>155</v>
      </c>
      <c r="L447" s="66">
        <f t="shared" si="12"/>
        <v>1</v>
      </c>
      <c r="M447" s="19" t="str">
        <f t="shared" si="13"/>
        <v>May_2017</v>
      </c>
    </row>
    <row r="448" spans="1:13">
      <c r="A448" s="18" t="s">
        <v>22</v>
      </c>
      <c r="B448" s="63" t="s">
        <v>23</v>
      </c>
      <c r="C448" s="21">
        <v>42881</v>
      </c>
      <c r="D448" s="21" t="s">
        <v>17</v>
      </c>
      <c r="E448" s="8">
        <v>0.35416666666666702</v>
      </c>
      <c r="F448" s="8">
        <v>0.72916666666666696</v>
      </c>
      <c r="G448" s="10">
        <v>0</v>
      </c>
      <c r="H448" s="22">
        <v>7.9999999999999982</v>
      </c>
      <c r="I448" s="59">
        <v>7.9999999999999982</v>
      </c>
      <c r="J448" s="41" t="s">
        <v>30</v>
      </c>
      <c r="K448" s="41" t="s">
        <v>156</v>
      </c>
      <c r="L448" s="66" t="str">
        <f t="shared" si="12"/>
        <v/>
      </c>
      <c r="M448" s="19" t="str">
        <f t="shared" si="13"/>
        <v>May_2017</v>
      </c>
    </row>
    <row r="449" spans="1:13">
      <c r="A449" s="18" t="s">
        <v>22</v>
      </c>
      <c r="B449" s="63" t="s">
        <v>78</v>
      </c>
      <c r="C449" s="21">
        <v>42881</v>
      </c>
      <c r="D449" s="21" t="s">
        <v>17</v>
      </c>
      <c r="E449" s="8">
        <v>0.35416666666666702</v>
      </c>
      <c r="F449" s="8">
        <v>0.72916666666666696</v>
      </c>
      <c r="G449" s="10">
        <v>0</v>
      </c>
      <c r="H449" s="22">
        <v>7.9999999999999982</v>
      </c>
      <c r="I449" s="59">
        <v>7.9999999999999982</v>
      </c>
      <c r="J449" s="41" t="s">
        <v>30</v>
      </c>
      <c r="K449" s="41" t="s">
        <v>156</v>
      </c>
      <c r="L449" s="66" t="str">
        <f t="shared" si="12"/>
        <v/>
      </c>
      <c r="M449" s="19" t="str">
        <f t="shared" si="13"/>
        <v>May_2017</v>
      </c>
    </row>
    <row r="450" spans="1:13">
      <c r="A450" s="18" t="s">
        <v>11</v>
      </c>
      <c r="B450" s="63" t="s">
        <v>12</v>
      </c>
      <c r="C450" s="21">
        <v>42884</v>
      </c>
      <c r="D450" s="21" t="s">
        <v>16</v>
      </c>
      <c r="E450" s="8">
        <v>0.72916666666666696</v>
      </c>
      <c r="F450" s="8">
        <v>0.79166666666666696</v>
      </c>
      <c r="G450" s="10">
        <v>8</v>
      </c>
      <c r="H450" s="22">
        <v>1.4999999999999947</v>
      </c>
      <c r="I450" s="59">
        <v>1.4999999999999947</v>
      </c>
      <c r="J450" s="41" t="s">
        <v>30</v>
      </c>
      <c r="K450" s="41" t="s">
        <v>157</v>
      </c>
      <c r="L450" s="66" t="str">
        <f t="shared" ref="L450:L513" si="14">IF(AND($A450="Perm Staff Onsite",$H450&gt;=2),1,"")</f>
        <v/>
      </c>
      <c r="M450" s="19" t="str">
        <f t="shared" si="13"/>
        <v>May_2017</v>
      </c>
    </row>
    <row r="451" spans="1:13">
      <c r="A451" s="18" t="s">
        <v>11</v>
      </c>
      <c r="B451" s="63" t="s">
        <v>19</v>
      </c>
      <c r="C451" s="21">
        <v>42884</v>
      </c>
      <c r="D451" s="21" t="s">
        <v>16</v>
      </c>
      <c r="E451" s="8">
        <v>0.72916666666666696</v>
      </c>
      <c r="F451" s="8">
        <v>0.79166666666666696</v>
      </c>
      <c r="G451" s="10">
        <v>8</v>
      </c>
      <c r="H451" s="22">
        <v>1.4999999999999947</v>
      </c>
      <c r="I451" s="59">
        <v>1.4999999999999947</v>
      </c>
      <c r="J451" s="41" t="s">
        <v>30</v>
      </c>
      <c r="K451" s="41" t="s">
        <v>157</v>
      </c>
      <c r="L451" s="66" t="str">
        <f t="shared" si="14"/>
        <v/>
      </c>
      <c r="M451" s="19" t="str">
        <f t="shared" ref="M451:M514" si="15">IF($C451="","",TEXT(DATE(YEAR($C451),MONTH($C451),DAY($C451)),"MMM")&amp;"_"&amp;YEAR($C451))</f>
        <v>May_2017</v>
      </c>
    </row>
    <row r="452" spans="1:13">
      <c r="A452" s="18" t="s">
        <v>11</v>
      </c>
      <c r="B452" s="63" t="s">
        <v>21</v>
      </c>
      <c r="C452" s="21">
        <v>42884</v>
      </c>
      <c r="D452" s="21" t="s">
        <v>16</v>
      </c>
      <c r="E452" s="8">
        <v>0.72916666666666696</v>
      </c>
      <c r="F452" s="8">
        <v>0.79166666666666696</v>
      </c>
      <c r="G452" s="10">
        <v>8</v>
      </c>
      <c r="H452" s="22">
        <v>1.4999999999999947</v>
      </c>
      <c r="I452" s="59">
        <v>1.4999999999999947</v>
      </c>
      <c r="J452" s="41" t="s">
        <v>30</v>
      </c>
      <c r="K452" s="41" t="s">
        <v>157</v>
      </c>
      <c r="L452" s="66" t="str">
        <f t="shared" si="14"/>
        <v/>
      </c>
      <c r="M452" s="19" t="str">
        <f t="shared" si="15"/>
        <v>May_2017</v>
      </c>
    </row>
    <row r="453" spans="1:13">
      <c r="A453" s="18" t="s">
        <v>22</v>
      </c>
      <c r="B453" s="63" t="s">
        <v>23</v>
      </c>
      <c r="C453" s="21">
        <v>42884</v>
      </c>
      <c r="D453" s="21" t="s">
        <v>16</v>
      </c>
      <c r="E453" s="8">
        <v>0.35416666666666702</v>
      </c>
      <c r="F453" s="8">
        <v>0.79166666666666696</v>
      </c>
      <c r="G453" s="10">
        <v>0</v>
      </c>
      <c r="H453" s="22">
        <v>9.4999999999999982</v>
      </c>
      <c r="I453" s="59">
        <v>9.4999999999999982</v>
      </c>
      <c r="J453" s="41" t="s">
        <v>30</v>
      </c>
      <c r="K453" s="41" t="s">
        <v>157</v>
      </c>
      <c r="L453" s="66" t="str">
        <f t="shared" si="14"/>
        <v/>
      </c>
      <c r="M453" s="19" t="str">
        <f t="shared" si="15"/>
        <v>May_2017</v>
      </c>
    </row>
    <row r="454" spans="1:13">
      <c r="A454" s="18" t="s">
        <v>11</v>
      </c>
      <c r="B454" s="63" t="s">
        <v>26</v>
      </c>
      <c r="C454" s="21">
        <v>42884</v>
      </c>
      <c r="D454" s="21" t="s">
        <v>16</v>
      </c>
      <c r="E454" s="8">
        <v>0.72916666666666696</v>
      </c>
      <c r="F454" s="8">
        <v>0.79166666666666696</v>
      </c>
      <c r="G454" s="10">
        <v>8</v>
      </c>
      <c r="H454" s="22">
        <v>1.4999999999999947</v>
      </c>
      <c r="I454" s="59">
        <v>1.4999999999999947</v>
      </c>
      <c r="J454" s="41" t="s">
        <v>30</v>
      </c>
      <c r="K454" s="41" t="s">
        <v>157</v>
      </c>
      <c r="L454" s="66" t="str">
        <f t="shared" si="14"/>
        <v/>
      </c>
      <c r="M454" s="19" t="str">
        <f t="shared" si="15"/>
        <v>May_2017</v>
      </c>
    </row>
    <row r="455" spans="1:13">
      <c r="A455" s="18" t="s">
        <v>22</v>
      </c>
      <c r="B455" s="63" t="s">
        <v>77</v>
      </c>
      <c r="C455" s="21">
        <v>42884</v>
      </c>
      <c r="D455" s="21" t="s">
        <v>16</v>
      </c>
      <c r="E455" s="8">
        <v>0.39583333333333298</v>
      </c>
      <c r="F455" s="8">
        <v>0.79166666666666696</v>
      </c>
      <c r="G455" s="10">
        <v>0</v>
      </c>
      <c r="H455" s="22">
        <v>8.500000000000016</v>
      </c>
      <c r="I455" s="59">
        <v>8.500000000000016</v>
      </c>
      <c r="J455" s="41" t="s">
        <v>30</v>
      </c>
      <c r="K455" s="41" t="s">
        <v>157</v>
      </c>
      <c r="L455" s="66" t="str">
        <f t="shared" si="14"/>
        <v/>
      </c>
      <c r="M455" s="19" t="str">
        <f t="shared" si="15"/>
        <v>May_2017</v>
      </c>
    </row>
    <row r="456" spans="1:13">
      <c r="A456" s="18" t="s">
        <v>11</v>
      </c>
      <c r="B456" s="63" t="s">
        <v>149</v>
      </c>
      <c r="C456" s="21">
        <v>42884</v>
      </c>
      <c r="D456" s="21" t="s">
        <v>16</v>
      </c>
      <c r="E456" s="8">
        <v>0.72916666666666696</v>
      </c>
      <c r="F456" s="8">
        <v>0.79166666666666696</v>
      </c>
      <c r="G456" s="10">
        <v>8</v>
      </c>
      <c r="H456" s="22">
        <v>1.4999999999999947</v>
      </c>
      <c r="I456" s="59">
        <v>1.4999999999999947</v>
      </c>
      <c r="J456" s="41" t="s">
        <v>30</v>
      </c>
      <c r="K456" s="41" t="s">
        <v>157</v>
      </c>
      <c r="L456" s="66" t="str">
        <f t="shared" si="14"/>
        <v/>
      </c>
      <c r="M456" s="19" t="str">
        <f t="shared" si="15"/>
        <v>May_2017</v>
      </c>
    </row>
    <row r="457" spans="1:13">
      <c r="A457" s="18" t="s">
        <v>11</v>
      </c>
      <c r="B457" s="63" t="s">
        <v>12</v>
      </c>
      <c r="C457" s="21">
        <v>42885</v>
      </c>
      <c r="D457" s="21" t="s">
        <v>14</v>
      </c>
      <c r="E457" s="8">
        <v>0.72916666666666696</v>
      </c>
      <c r="F457" s="8">
        <v>0.89583333333333304</v>
      </c>
      <c r="G457" s="10">
        <v>8</v>
      </c>
      <c r="H457" s="22">
        <v>3.9999999999999822</v>
      </c>
      <c r="I457" s="59">
        <v>3.9999999999999822</v>
      </c>
      <c r="J457" s="41" t="s">
        <v>30</v>
      </c>
      <c r="K457" s="41" t="s">
        <v>158</v>
      </c>
      <c r="L457" s="66">
        <f t="shared" si="14"/>
        <v>1</v>
      </c>
      <c r="M457" s="19" t="str">
        <f t="shared" si="15"/>
        <v>May_2017</v>
      </c>
    </row>
    <row r="458" spans="1:13">
      <c r="A458" s="18" t="s">
        <v>11</v>
      </c>
      <c r="B458" s="63" t="s">
        <v>19</v>
      </c>
      <c r="C458" s="21">
        <v>42885</v>
      </c>
      <c r="D458" s="21" t="s">
        <v>14</v>
      </c>
      <c r="E458" s="8">
        <v>0.89583333333333304</v>
      </c>
      <c r="F458" s="8">
        <v>0.89583333333333304</v>
      </c>
      <c r="G458" s="10">
        <v>8</v>
      </c>
      <c r="H458" s="22">
        <v>4</v>
      </c>
      <c r="I458" s="59">
        <v>4</v>
      </c>
      <c r="J458" s="41" t="s">
        <v>30</v>
      </c>
      <c r="K458" s="41" t="s">
        <v>158</v>
      </c>
      <c r="L458" s="66">
        <f t="shared" si="14"/>
        <v>1</v>
      </c>
      <c r="M458" s="19" t="str">
        <f t="shared" si="15"/>
        <v>May_2017</v>
      </c>
    </row>
    <row r="459" spans="1:13">
      <c r="A459" s="18" t="s">
        <v>11</v>
      </c>
      <c r="B459" s="63" t="s">
        <v>20</v>
      </c>
      <c r="C459" s="21">
        <v>42885</v>
      </c>
      <c r="D459" s="21" t="s">
        <v>14</v>
      </c>
      <c r="E459" s="8">
        <v>0.72916666666666696</v>
      </c>
      <c r="F459" s="8">
        <v>0.85416666666666696</v>
      </c>
      <c r="G459" s="10">
        <v>8</v>
      </c>
      <c r="H459" s="22">
        <v>2.9999999999999947</v>
      </c>
      <c r="I459" s="59">
        <v>2.9999999999999947</v>
      </c>
      <c r="J459" s="41" t="s">
        <v>30</v>
      </c>
      <c r="K459" s="41" t="s">
        <v>158</v>
      </c>
      <c r="L459" s="66">
        <f t="shared" si="14"/>
        <v>1</v>
      </c>
      <c r="M459" s="19" t="str">
        <f t="shared" si="15"/>
        <v>May_2017</v>
      </c>
    </row>
    <row r="460" spans="1:13">
      <c r="A460" s="18" t="s">
        <v>11</v>
      </c>
      <c r="B460" s="63" t="s">
        <v>21</v>
      </c>
      <c r="C460" s="21">
        <v>42885</v>
      </c>
      <c r="D460" s="21" t="s">
        <v>14</v>
      </c>
      <c r="E460" s="8">
        <v>0.72916666666666696</v>
      </c>
      <c r="F460" s="8">
        <v>0.875</v>
      </c>
      <c r="G460" s="10">
        <v>8</v>
      </c>
      <c r="H460" s="22">
        <v>3.4999999999999893</v>
      </c>
      <c r="I460" s="59">
        <v>3.4999999999999893</v>
      </c>
      <c r="J460" s="41" t="s">
        <v>30</v>
      </c>
      <c r="K460" s="41" t="s">
        <v>158</v>
      </c>
      <c r="L460" s="66">
        <f t="shared" si="14"/>
        <v>1</v>
      </c>
      <c r="M460" s="19" t="str">
        <f t="shared" si="15"/>
        <v>May_2017</v>
      </c>
    </row>
    <row r="461" spans="1:13">
      <c r="A461" s="18" t="s">
        <v>22</v>
      </c>
      <c r="B461" s="63" t="s">
        <v>23</v>
      </c>
      <c r="C461" s="21">
        <v>42885</v>
      </c>
      <c r="D461" s="21" t="s">
        <v>14</v>
      </c>
      <c r="E461" s="8">
        <v>0.35416666666666702</v>
      </c>
      <c r="F461" s="8">
        <v>0.89583333333333304</v>
      </c>
      <c r="G461" s="10">
        <v>0</v>
      </c>
      <c r="H461" s="22">
        <v>11.999999999999986</v>
      </c>
      <c r="I461" s="59">
        <v>11.999999999999986</v>
      </c>
      <c r="J461" s="41" t="s">
        <v>30</v>
      </c>
      <c r="K461" s="41" t="s">
        <v>158</v>
      </c>
      <c r="L461" s="66" t="str">
        <f t="shared" si="14"/>
        <v/>
      </c>
      <c r="M461" s="19" t="str">
        <f t="shared" si="15"/>
        <v>May_2017</v>
      </c>
    </row>
    <row r="462" spans="1:13">
      <c r="A462" s="18" t="s">
        <v>22</v>
      </c>
      <c r="B462" s="63" t="s">
        <v>80</v>
      </c>
      <c r="C462" s="21">
        <v>42885</v>
      </c>
      <c r="D462" s="21" t="s">
        <v>14</v>
      </c>
      <c r="E462" s="8">
        <v>0.35416666666666702</v>
      </c>
      <c r="F462" s="8">
        <v>0.89583333333333304</v>
      </c>
      <c r="G462" s="10">
        <v>0</v>
      </c>
      <c r="H462" s="22">
        <v>11.999999999999986</v>
      </c>
      <c r="I462" s="59">
        <v>11.999999999999986</v>
      </c>
      <c r="J462" s="41" t="s">
        <v>30</v>
      </c>
      <c r="K462" s="41" t="s">
        <v>158</v>
      </c>
      <c r="L462" s="66" t="str">
        <f t="shared" si="14"/>
        <v/>
      </c>
      <c r="M462" s="19" t="str">
        <f t="shared" si="15"/>
        <v>May_2017</v>
      </c>
    </row>
    <row r="463" spans="1:13">
      <c r="A463" s="18" t="s">
        <v>11</v>
      </c>
      <c r="B463" s="63" t="s">
        <v>149</v>
      </c>
      <c r="C463" s="21">
        <v>42885</v>
      </c>
      <c r="D463" s="21" t="s">
        <v>14</v>
      </c>
      <c r="E463" s="8">
        <v>0.72916666666666696</v>
      </c>
      <c r="F463" s="8">
        <v>0.89583333333333304</v>
      </c>
      <c r="G463" s="10">
        <v>8</v>
      </c>
      <c r="H463" s="22">
        <v>3.9999999999999822</v>
      </c>
      <c r="I463" s="59">
        <v>3.9999999999999822</v>
      </c>
      <c r="J463" s="41" t="s">
        <v>30</v>
      </c>
      <c r="K463" s="41" t="s">
        <v>158</v>
      </c>
      <c r="L463" s="66">
        <f t="shared" si="14"/>
        <v>1</v>
      </c>
      <c r="M463" s="19" t="str">
        <f t="shared" si="15"/>
        <v>May_2017</v>
      </c>
    </row>
    <row r="464" spans="1:13">
      <c r="A464" s="18" t="s">
        <v>11</v>
      </c>
      <c r="B464" s="63" t="s">
        <v>12</v>
      </c>
      <c r="C464" s="21">
        <v>42886</v>
      </c>
      <c r="D464" s="21" t="s">
        <v>15</v>
      </c>
      <c r="E464" s="8">
        <v>0.89583333333333304</v>
      </c>
      <c r="F464" s="8">
        <v>0.89583333333333304</v>
      </c>
      <c r="G464" s="10">
        <v>8</v>
      </c>
      <c r="H464" s="22">
        <v>4</v>
      </c>
      <c r="I464" s="59">
        <v>4</v>
      </c>
      <c r="J464" s="41" t="s">
        <v>30</v>
      </c>
      <c r="K464" s="41" t="s">
        <v>159</v>
      </c>
      <c r="L464" s="66">
        <f t="shared" si="14"/>
        <v>1</v>
      </c>
      <c r="M464" s="19" t="str">
        <f t="shared" si="15"/>
        <v>May_2017</v>
      </c>
    </row>
    <row r="465" spans="1:13">
      <c r="A465" s="18" t="s">
        <v>11</v>
      </c>
      <c r="B465" s="63" t="s">
        <v>19</v>
      </c>
      <c r="C465" s="21">
        <v>42886</v>
      </c>
      <c r="D465" s="21" t="s">
        <v>15</v>
      </c>
      <c r="E465" s="8">
        <v>0.72916666666666696</v>
      </c>
      <c r="F465" s="8">
        <v>0.875</v>
      </c>
      <c r="G465" s="10">
        <v>8</v>
      </c>
      <c r="H465" s="22">
        <v>3.4999999999999893</v>
      </c>
      <c r="I465" s="59">
        <v>3.4999999999999893</v>
      </c>
      <c r="J465" s="41" t="s">
        <v>30</v>
      </c>
      <c r="K465" s="41" t="s">
        <v>159</v>
      </c>
      <c r="L465" s="66">
        <f t="shared" si="14"/>
        <v>1</v>
      </c>
      <c r="M465" s="19" t="str">
        <f t="shared" si="15"/>
        <v>May_2017</v>
      </c>
    </row>
    <row r="466" spans="1:13">
      <c r="A466" s="18" t="s">
        <v>11</v>
      </c>
      <c r="B466" s="63" t="s">
        <v>20</v>
      </c>
      <c r="C466" s="21">
        <v>42886</v>
      </c>
      <c r="D466" s="21" t="s">
        <v>15</v>
      </c>
      <c r="E466" s="8">
        <v>0.72916666666666696</v>
      </c>
      <c r="F466" s="8">
        <v>0.83333333333333304</v>
      </c>
      <c r="G466" s="10">
        <v>8</v>
      </c>
      <c r="H466" s="22">
        <v>2.4999999999999805</v>
      </c>
      <c r="I466" s="59">
        <v>2.4999999999999805</v>
      </c>
      <c r="J466" s="41" t="s">
        <v>30</v>
      </c>
      <c r="K466" s="41" t="s">
        <v>159</v>
      </c>
      <c r="L466" s="66">
        <f t="shared" si="14"/>
        <v>1</v>
      </c>
      <c r="M466" s="19" t="str">
        <f t="shared" si="15"/>
        <v>May_2017</v>
      </c>
    </row>
    <row r="467" spans="1:13">
      <c r="A467" s="18" t="s">
        <v>11</v>
      </c>
      <c r="B467" s="63" t="s">
        <v>21</v>
      </c>
      <c r="C467" s="21">
        <v>42886</v>
      </c>
      <c r="D467" s="21" t="s">
        <v>15</v>
      </c>
      <c r="E467" s="8">
        <v>0.72916666666666696</v>
      </c>
      <c r="F467" s="8">
        <v>0.875</v>
      </c>
      <c r="G467" s="10">
        <v>8</v>
      </c>
      <c r="H467" s="22">
        <v>3.4999999999999893</v>
      </c>
      <c r="I467" s="59">
        <v>3.4999999999999893</v>
      </c>
      <c r="J467" s="41" t="s">
        <v>30</v>
      </c>
      <c r="K467" s="41" t="s">
        <v>159</v>
      </c>
      <c r="L467" s="66">
        <f t="shared" si="14"/>
        <v>1</v>
      </c>
      <c r="M467" s="19" t="str">
        <f t="shared" si="15"/>
        <v>May_2017</v>
      </c>
    </row>
    <row r="468" spans="1:13">
      <c r="A468" s="20" t="s">
        <v>22</v>
      </c>
      <c r="B468" s="63" t="s">
        <v>23</v>
      </c>
      <c r="C468" s="21">
        <v>42886</v>
      </c>
      <c r="D468" s="21" t="s">
        <v>15</v>
      </c>
      <c r="E468" s="8">
        <v>0.35416666666666702</v>
      </c>
      <c r="F468" s="8">
        <v>0.89583333333333304</v>
      </c>
      <c r="G468" s="10">
        <v>0</v>
      </c>
      <c r="H468" s="22">
        <v>11.999999999999986</v>
      </c>
      <c r="I468" s="59">
        <v>11.999999999999986</v>
      </c>
      <c r="J468" s="41" t="s">
        <v>30</v>
      </c>
      <c r="K468" s="41" t="s">
        <v>159</v>
      </c>
      <c r="L468" s="66" t="str">
        <f t="shared" si="14"/>
        <v/>
      </c>
      <c r="M468" s="19" t="str">
        <f t="shared" si="15"/>
        <v>May_2017</v>
      </c>
    </row>
    <row r="469" spans="1:13">
      <c r="A469" s="20" t="s">
        <v>22</v>
      </c>
      <c r="B469" s="63" t="s">
        <v>78</v>
      </c>
      <c r="C469" s="21">
        <v>42886</v>
      </c>
      <c r="D469" s="21" t="s">
        <v>15</v>
      </c>
      <c r="E469" s="8">
        <v>0.35416666666666702</v>
      </c>
      <c r="F469" s="8">
        <v>0.89583333333333304</v>
      </c>
      <c r="G469" s="10">
        <v>0</v>
      </c>
      <c r="H469" s="22">
        <v>11.999999999999986</v>
      </c>
      <c r="I469" s="59">
        <v>11.999999999999986</v>
      </c>
      <c r="J469" s="41" t="s">
        <v>30</v>
      </c>
      <c r="K469" s="41" t="s">
        <v>159</v>
      </c>
      <c r="L469" s="66" t="str">
        <f t="shared" si="14"/>
        <v/>
      </c>
      <c r="M469" s="19" t="str">
        <f t="shared" si="15"/>
        <v>May_2017</v>
      </c>
    </row>
    <row r="470" spans="1:13">
      <c r="A470" s="20" t="s">
        <v>22</v>
      </c>
      <c r="B470" s="63" t="s">
        <v>80</v>
      </c>
      <c r="C470" s="21">
        <v>42886</v>
      </c>
      <c r="D470" s="21" t="s">
        <v>15</v>
      </c>
      <c r="E470" s="8">
        <v>0.39583333333333298</v>
      </c>
      <c r="F470" s="8">
        <v>0.89583333333333304</v>
      </c>
      <c r="G470" s="10">
        <v>0</v>
      </c>
      <c r="H470" s="22">
        <v>11</v>
      </c>
      <c r="I470" s="59">
        <v>11</v>
      </c>
      <c r="J470" s="41" t="s">
        <v>30</v>
      </c>
      <c r="K470" s="41" t="s">
        <v>159</v>
      </c>
      <c r="L470" s="66" t="str">
        <f t="shared" si="14"/>
        <v/>
      </c>
      <c r="M470" s="19" t="str">
        <f t="shared" si="15"/>
        <v>May_2017</v>
      </c>
    </row>
    <row r="471" spans="1:13">
      <c r="A471" s="20" t="s">
        <v>11</v>
      </c>
      <c r="B471" s="63" t="s">
        <v>149</v>
      </c>
      <c r="C471" s="21">
        <v>42886</v>
      </c>
      <c r="D471" s="21" t="s">
        <v>15</v>
      </c>
      <c r="E471" s="8">
        <v>0.72916666666666696</v>
      </c>
      <c r="F471" s="8">
        <v>0.89583333333333304</v>
      </c>
      <c r="G471" s="10">
        <v>8</v>
      </c>
      <c r="H471" s="22">
        <v>3.9999999999999822</v>
      </c>
      <c r="I471" s="59">
        <v>3.9999999999999822</v>
      </c>
      <c r="J471" s="41" t="s">
        <v>30</v>
      </c>
      <c r="K471" s="41" t="s">
        <v>159</v>
      </c>
      <c r="L471" s="66">
        <f t="shared" si="14"/>
        <v>1</v>
      </c>
      <c r="M471" s="19" t="str">
        <f t="shared" si="15"/>
        <v>May_2017</v>
      </c>
    </row>
    <row r="472" spans="1:13">
      <c r="A472" s="4" t="s">
        <v>11</v>
      </c>
      <c r="B472" s="57" t="s">
        <v>12</v>
      </c>
      <c r="C472" s="24">
        <v>42887</v>
      </c>
      <c r="D472" s="5" t="s">
        <v>25</v>
      </c>
      <c r="E472" s="8">
        <v>0.70833333333333326</v>
      </c>
      <c r="F472" s="8">
        <v>0.89583333333333337</v>
      </c>
      <c r="G472" s="14">
        <v>8.0000000000000036</v>
      </c>
      <c r="H472" s="14">
        <v>4.4999999999999964</v>
      </c>
      <c r="I472" s="23">
        <v>4.4999999999999964</v>
      </c>
      <c r="J472" s="42" t="s">
        <v>30</v>
      </c>
      <c r="K472" s="25" t="s">
        <v>160</v>
      </c>
      <c r="L472" s="66">
        <f t="shared" si="14"/>
        <v>1</v>
      </c>
      <c r="M472" s="19" t="str">
        <f t="shared" si="15"/>
        <v>Jun_2017</v>
      </c>
    </row>
    <row r="473" spans="1:13">
      <c r="A473" s="4" t="s">
        <v>11</v>
      </c>
      <c r="B473" s="57" t="s">
        <v>19</v>
      </c>
      <c r="C473" s="21">
        <v>42887</v>
      </c>
      <c r="D473" s="5" t="s">
        <v>25</v>
      </c>
      <c r="E473" s="8">
        <v>0.70833333333333326</v>
      </c>
      <c r="F473" s="8">
        <v>0.89583333333333337</v>
      </c>
      <c r="G473" s="14">
        <v>8.0000000000000036</v>
      </c>
      <c r="H473" s="14">
        <v>4.4999999999999964</v>
      </c>
      <c r="I473" s="14">
        <v>4.4999999999999964</v>
      </c>
      <c r="J473" s="25" t="s">
        <v>30</v>
      </c>
      <c r="K473" s="25" t="s">
        <v>160</v>
      </c>
      <c r="L473" s="66">
        <f t="shared" si="14"/>
        <v>1</v>
      </c>
      <c r="M473" s="19" t="str">
        <f t="shared" si="15"/>
        <v>Jun_2017</v>
      </c>
    </row>
    <row r="474" spans="1:13">
      <c r="A474" s="4" t="s">
        <v>11</v>
      </c>
      <c r="B474" s="57" t="s">
        <v>20</v>
      </c>
      <c r="C474" s="21">
        <v>42887</v>
      </c>
      <c r="D474" s="5" t="s">
        <v>25</v>
      </c>
      <c r="E474" s="8">
        <v>0.70833333333333326</v>
      </c>
      <c r="F474" s="8">
        <v>0.83333333333333337</v>
      </c>
      <c r="G474" s="14">
        <v>8.0000000000000036</v>
      </c>
      <c r="H474" s="14">
        <v>2.9999999999999964</v>
      </c>
      <c r="I474" s="14">
        <v>2.9999999999999964</v>
      </c>
      <c r="J474" s="25" t="s">
        <v>30</v>
      </c>
      <c r="K474" s="25" t="s">
        <v>160</v>
      </c>
      <c r="L474" s="66">
        <f t="shared" si="14"/>
        <v>1</v>
      </c>
      <c r="M474" s="19" t="str">
        <f t="shared" si="15"/>
        <v>Jun_2017</v>
      </c>
    </row>
    <row r="475" spans="1:13">
      <c r="A475" s="4" t="s">
        <v>22</v>
      </c>
      <c r="B475" s="57" t="s">
        <v>23</v>
      </c>
      <c r="C475" s="21">
        <v>42887</v>
      </c>
      <c r="D475" s="5" t="s">
        <v>25</v>
      </c>
      <c r="E475" s="8">
        <v>0.33333333333333331</v>
      </c>
      <c r="F475" s="8">
        <v>0.89583333333333337</v>
      </c>
      <c r="G475" s="14">
        <v>0</v>
      </c>
      <c r="H475" s="14">
        <v>12.5</v>
      </c>
      <c r="I475" s="14">
        <v>12.5</v>
      </c>
      <c r="J475" s="42" t="s">
        <v>30</v>
      </c>
      <c r="K475" s="25" t="s">
        <v>160</v>
      </c>
      <c r="L475" s="66" t="str">
        <f t="shared" si="14"/>
        <v/>
      </c>
      <c r="M475" s="19" t="str">
        <f t="shared" si="15"/>
        <v>Jun_2017</v>
      </c>
    </row>
    <row r="476" spans="1:13">
      <c r="A476" s="4" t="s">
        <v>11</v>
      </c>
      <c r="B476" s="57" t="s">
        <v>26</v>
      </c>
      <c r="C476" s="21">
        <v>42887</v>
      </c>
      <c r="D476" s="5" t="s">
        <v>25</v>
      </c>
      <c r="E476" s="8">
        <v>0.70833333333333326</v>
      </c>
      <c r="F476" s="8">
        <v>0.89583333333333337</v>
      </c>
      <c r="G476" s="14">
        <v>8.0000000000000036</v>
      </c>
      <c r="H476" s="14">
        <v>4.4999999999999964</v>
      </c>
      <c r="I476" s="14">
        <v>4.4999999999999964</v>
      </c>
      <c r="J476" s="25" t="s">
        <v>30</v>
      </c>
      <c r="K476" s="25" t="s">
        <v>160</v>
      </c>
      <c r="L476" s="66">
        <f t="shared" si="14"/>
        <v>1</v>
      </c>
      <c r="M476" s="19" t="str">
        <f t="shared" si="15"/>
        <v>Jun_2017</v>
      </c>
    </row>
    <row r="477" spans="1:13">
      <c r="A477" s="4" t="s">
        <v>11</v>
      </c>
      <c r="B477" s="57" t="s">
        <v>149</v>
      </c>
      <c r="C477" s="21">
        <v>42887</v>
      </c>
      <c r="D477" s="5" t="s">
        <v>25</v>
      </c>
      <c r="E477" s="8">
        <v>0.70833333333333326</v>
      </c>
      <c r="F477" s="8">
        <v>0.89583333333333337</v>
      </c>
      <c r="G477" s="14">
        <v>8.0000000000000036</v>
      </c>
      <c r="H477" s="14">
        <v>4.4999999999999964</v>
      </c>
      <c r="I477" s="14">
        <v>4.4999999999999964</v>
      </c>
      <c r="J477" s="25" t="s">
        <v>30</v>
      </c>
      <c r="K477" s="25" t="s">
        <v>160</v>
      </c>
      <c r="L477" s="66">
        <f t="shared" si="14"/>
        <v>1</v>
      </c>
      <c r="M477" s="19" t="str">
        <f t="shared" si="15"/>
        <v>Jun_2017</v>
      </c>
    </row>
    <row r="478" spans="1:13">
      <c r="A478" s="4" t="s">
        <v>11</v>
      </c>
      <c r="B478" s="57" t="s">
        <v>161</v>
      </c>
      <c r="C478" s="21">
        <v>42887</v>
      </c>
      <c r="D478" s="5" t="s">
        <v>25</v>
      </c>
      <c r="E478" s="8">
        <v>0.70833333333333326</v>
      </c>
      <c r="F478" s="8">
        <v>0.89583333333333337</v>
      </c>
      <c r="G478" s="14">
        <v>8.0000000000000036</v>
      </c>
      <c r="H478" s="14">
        <v>4.4999999999999964</v>
      </c>
      <c r="I478" s="14">
        <v>4.4999999999999964</v>
      </c>
      <c r="J478" s="25" t="s">
        <v>30</v>
      </c>
      <c r="K478" s="25" t="s">
        <v>160</v>
      </c>
      <c r="L478" s="66">
        <f t="shared" si="14"/>
        <v>1</v>
      </c>
      <c r="M478" s="19" t="str">
        <f t="shared" si="15"/>
        <v>Jun_2017</v>
      </c>
    </row>
    <row r="479" spans="1:13">
      <c r="A479" s="4" t="s">
        <v>22</v>
      </c>
      <c r="B479" s="57" t="s">
        <v>78</v>
      </c>
      <c r="C479" s="21">
        <v>42887</v>
      </c>
      <c r="D479" s="5" t="s">
        <v>25</v>
      </c>
      <c r="E479" s="8">
        <v>0.33333333333333331</v>
      </c>
      <c r="F479" s="8">
        <v>0.89583333333333337</v>
      </c>
      <c r="G479" s="14">
        <v>0</v>
      </c>
      <c r="H479" s="14">
        <v>12.5</v>
      </c>
      <c r="I479" s="14">
        <v>12.5</v>
      </c>
      <c r="J479" s="42" t="s">
        <v>30</v>
      </c>
      <c r="K479" s="25" t="s">
        <v>160</v>
      </c>
      <c r="L479" s="66" t="str">
        <f t="shared" si="14"/>
        <v/>
      </c>
      <c r="M479" s="19" t="str">
        <f t="shared" si="15"/>
        <v>Jun_2017</v>
      </c>
    </row>
    <row r="480" spans="1:13">
      <c r="A480" s="4" t="s">
        <v>11</v>
      </c>
      <c r="B480" s="57" t="s">
        <v>12</v>
      </c>
      <c r="C480" s="24">
        <v>42888</v>
      </c>
      <c r="D480" s="5" t="s">
        <v>17</v>
      </c>
      <c r="E480" s="8">
        <v>0.72916666666666663</v>
      </c>
      <c r="F480" s="8">
        <v>0.89583333333333337</v>
      </c>
      <c r="G480" s="14">
        <v>8.0000000000000036</v>
      </c>
      <c r="H480" s="14">
        <v>3.9999999999999982</v>
      </c>
      <c r="I480" s="14">
        <v>3.9999999999999982</v>
      </c>
      <c r="J480" s="42" t="s">
        <v>30</v>
      </c>
      <c r="K480" s="25" t="s">
        <v>162</v>
      </c>
      <c r="L480" s="66">
        <f t="shared" si="14"/>
        <v>1</v>
      </c>
      <c r="M480" s="19" t="str">
        <f t="shared" si="15"/>
        <v>Jun_2017</v>
      </c>
    </row>
    <row r="481" spans="1:13">
      <c r="A481" s="4" t="s">
        <v>11</v>
      </c>
      <c r="B481" s="57" t="s">
        <v>19</v>
      </c>
      <c r="C481" s="21">
        <v>42888</v>
      </c>
      <c r="D481" s="5" t="s">
        <v>17</v>
      </c>
      <c r="E481" s="8">
        <v>0.72916666666666663</v>
      </c>
      <c r="F481" s="8">
        <v>0.89583333333333337</v>
      </c>
      <c r="G481" s="14">
        <v>8.0000000000000036</v>
      </c>
      <c r="H481" s="14">
        <v>3.9999999999999982</v>
      </c>
      <c r="I481" s="14">
        <v>3.9999999999999982</v>
      </c>
      <c r="J481" s="42" t="s">
        <v>30</v>
      </c>
      <c r="K481" s="25" t="s">
        <v>162</v>
      </c>
      <c r="L481" s="66">
        <f t="shared" si="14"/>
        <v>1</v>
      </c>
      <c r="M481" s="19" t="str">
        <f t="shared" si="15"/>
        <v>Jun_2017</v>
      </c>
    </row>
    <row r="482" spans="1:13">
      <c r="A482" s="4" t="s">
        <v>11</v>
      </c>
      <c r="B482" s="57" t="s">
        <v>20</v>
      </c>
      <c r="C482" s="21">
        <v>42888</v>
      </c>
      <c r="D482" s="5" t="s">
        <v>17</v>
      </c>
      <c r="E482" s="8">
        <v>0.72916666666666663</v>
      </c>
      <c r="F482" s="8">
        <v>0.85416666666666674</v>
      </c>
      <c r="G482" s="14">
        <v>8.0000000000000036</v>
      </c>
      <c r="H482" s="14">
        <v>3</v>
      </c>
      <c r="I482" s="14">
        <v>3</v>
      </c>
      <c r="J482" s="25" t="s">
        <v>30</v>
      </c>
      <c r="K482" s="25" t="s">
        <v>162</v>
      </c>
      <c r="L482" s="66">
        <f t="shared" si="14"/>
        <v>1</v>
      </c>
      <c r="M482" s="19" t="str">
        <f t="shared" si="15"/>
        <v>Jun_2017</v>
      </c>
    </row>
    <row r="483" spans="1:13">
      <c r="A483" s="4" t="s">
        <v>22</v>
      </c>
      <c r="B483" s="57" t="s">
        <v>23</v>
      </c>
      <c r="C483" s="21">
        <v>42888</v>
      </c>
      <c r="D483" s="5" t="s">
        <v>17</v>
      </c>
      <c r="E483" s="8">
        <v>0.35416666666666663</v>
      </c>
      <c r="F483" s="8">
        <v>0.89583333333333337</v>
      </c>
      <c r="G483" s="14">
        <v>0</v>
      </c>
      <c r="H483" s="14">
        <v>12.000000000000002</v>
      </c>
      <c r="I483" s="14">
        <v>12.000000000000002</v>
      </c>
      <c r="J483" s="42" t="s">
        <v>30</v>
      </c>
      <c r="K483" s="25" t="s">
        <v>162</v>
      </c>
      <c r="L483" s="66" t="str">
        <f t="shared" si="14"/>
        <v/>
      </c>
      <c r="M483" s="19" t="str">
        <f t="shared" si="15"/>
        <v>Jun_2017</v>
      </c>
    </row>
    <row r="484" spans="1:13">
      <c r="A484" s="4" t="s">
        <v>11</v>
      </c>
      <c r="B484" s="57" t="s">
        <v>26</v>
      </c>
      <c r="C484" s="21">
        <v>42888</v>
      </c>
      <c r="D484" s="5" t="s">
        <v>17</v>
      </c>
      <c r="E484" s="8">
        <v>0.72916666666666663</v>
      </c>
      <c r="F484" s="8">
        <v>0.89583333333333337</v>
      </c>
      <c r="G484" s="14">
        <v>8.0000000000000036</v>
      </c>
      <c r="H484" s="14">
        <v>3.9999999999999982</v>
      </c>
      <c r="I484" s="14">
        <v>3.9999999999999982</v>
      </c>
      <c r="J484" s="42" t="s">
        <v>30</v>
      </c>
      <c r="K484" s="25" t="s">
        <v>162</v>
      </c>
      <c r="L484" s="66">
        <f t="shared" si="14"/>
        <v>1</v>
      </c>
      <c r="M484" s="19" t="str">
        <f t="shared" si="15"/>
        <v>Jun_2017</v>
      </c>
    </row>
    <row r="485" spans="1:13">
      <c r="A485" s="4" t="s">
        <v>11</v>
      </c>
      <c r="B485" s="57" t="s">
        <v>149</v>
      </c>
      <c r="C485" s="21">
        <v>42888</v>
      </c>
      <c r="D485" s="5" t="s">
        <v>17</v>
      </c>
      <c r="E485" s="8">
        <v>0.72916666666666663</v>
      </c>
      <c r="F485" s="8">
        <v>0.89583333333333337</v>
      </c>
      <c r="G485" s="14">
        <v>8.0000000000000036</v>
      </c>
      <c r="H485" s="14">
        <v>3.9999999999999982</v>
      </c>
      <c r="I485" s="14">
        <v>3.9999999999999982</v>
      </c>
      <c r="J485" s="25" t="s">
        <v>30</v>
      </c>
      <c r="K485" s="25" t="s">
        <v>162</v>
      </c>
      <c r="L485" s="66">
        <f t="shared" si="14"/>
        <v>1</v>
      </c>
      <c r="M485" s="19" t="str">
        <f t="shared" si="15"/>
        <v>Jun_2017</v>
      </c>
    </row>
    <row r="486" spans="1:13">
      <c r="A486" s="4" t="s">
        <v>11</v>
      </c>
      <c r="B486" s="57" t="s">
        <v>161</v>
      </c>
      <c r="C486" s="21">
        <v>42888</v>
      </c>
      <c r="D486" s="5" t="s">
        <v>17</v>
      </c>
      <c r="E486" s="8">
        <v>0.72916666666666663</v>
      </c>
      <c r="F486" s="8">
        <v>0.89583333333333337</v>
      </c>
      <c r="G486" s="14">
        <v>8.0000000000000036</v>
      </c>
      <c r="H486" s="14">
        <v>3.9999999999999982</v>
      </c>
      <c r="I486" s="14">
        <v>3.9999999999999982</v>
      </c>
      <c r="J486" s="25" t="s">
        <v>30</v>
      </c>
      <c r="K486" s="25" t="s">
        <v>162</v>
      </c>
      <c r="L486" s="66">
        <f t="shared" si="14"/>
        <v>1</v>
      </c>
      <c r="M486" s="19" t="str">
        <f t="shared" si="15"/>
        <v>Jun_2017</v>
      </c>
    </row>
    <row r="487" spans="1:13">
      <c r="A487" s="4" t="s">
        <v>22</v>
      </c>
      <c r="B487" s="57" t="s">
        <v>80</v>
      </c>
      <c r="C487" s="21">
        <v>42888</v>
      </c>
      <c r="D487" s="5" t="s">
        <v>17</v>
      </c>
      <c r="E487" s="8">
        <v>0.35416666666666663</v>
      </c>
      <c r="F487" s="8">
        <v>0.89583333333333337</v>
      </c>
      <c r="G487" s="14">
        <v>0</v>
      </c>
      <c r="H487" s="14">
        <v>12.000000000000002</v>
      </c>
      <c r="I487" s="14">
        <v>12.000000000000002</v>
      </c>
      <c r="J487" s="25" t="s">
        <v>30</v>
      </c>
      <c r="K487" s="25" t="s">
        <v>162</v>
      </c>
      <c r="L487" s="66" t="str">
        <f t="shared" si="14"/>
        <v/>
      </c>
      <c r="M487" s="19" t="str">
        <f t="shared" si="15"/>
        <v>Jun_2017</v>
      </c>
    </row>
    <row r="488" spans="1:13">
      <c r="A488" s="4" t="s">
        <v>11</v>
      </c>
      <c r="B488" s="57" t="s">
        <v>12</v>
      </c>
      <c r="C488" s="24">
        <v>42889</v>
      </c>
      <c r="D488" s="5" t="s">
        <v>24</v>
      </c>
      <c r="E488" s="8">
        <v>0.72916666666666663</v>
      </c>
      <c r="F488" s="8">
        <v>0.8125</v>
      </c>
      <c r="G488" s="14">
        <v>8.0000000000000036</v>
      </c>
      <c r="H488" s="14">
        <v>1.9999999999999964</v>
      </c>
      <c r="I488" s="14">
        <v>10</v>
      </c>
      <c r="J488" s="42" t="s">
        <v>52</v>
      </c>
      <c r="K488" s="25" t="s">
        <v>163</v>
      </c>
      <c r="L488" s="66">
        <f t="shared" si="14"/>
        <v>1</v>
      </c>
      <c r="M488" s="19" t="str">
        <f t="shared" si="15"/>
        <v>Jun_2017</v>
      </c>
    </row>
    <row r="489" spans="1:13">
      <c r="A489" s="4" t="s">
        <v>11</v>
      </c>
      <c r="B489" s="57" t="s">
        <v>19</v>
      </c>
      <c r="C489" s="21">
        <v>42889</v>
      </c>
      <c r="D489" s="5" t="s">
        <v>24</v>
      </c>
      <c r="E489" s="8">
        <v>0.72916666666666663</v>
      </c>
      <c r="F489" s="8">
        <v>0.8125</v>
      </c>
      <c r="G489" s="14">
        <v>8.0000000000000036</v>
      </c>
      <c r="H489" s="14">
        <v>1.9999999999999964</v>
      </c>
      <c r="I489" s="14">
        <v>10</v>
      </c>
      <c r="J489" s="42" t="s">
        <v>52</v>
      </c>
      <c r="K489" s="25" t="s">
        <v>163</v>
      </c>
      <c r="L489" s="66">
        <f t="shared" si="14"/>
        <v>1</v>
      </c>
      <c r="M489" s="19" t="str">
        <f t="shared" si="15"/>
        <v>Jun_2017</v>
      </c>
    </row>
    <row r="490" spans="1:13">
      <c r="A490" s="4" t="s">
        <v>22</v>
      </c>
      <c r="B490" s="57" t="s">
        <v>23</v>
      </c>
      <c r="C490" s="21">
        <v>42889</v>
      </c>
      <c r="D490" s="5" t="s">
        <v>24</v>
      </c>
      <c r="E490" s="8">
        <v>0.35416666666666663</v>
      </c>
      <c r="F490" s="8">
        <v>0.8125</v>
      </c>
      <c r="G490" s="14">
        <v>0</v>
      </c>
      <c r="H490" s="14">
        <v>10</v>
      </c>
      <c r="I490" s="14">
        <v>10</v>
      </c>
      <c r="J490" s="42" t="s">
        <v>52</v>
      </c>
      <c r="K490" s="25" t="s">
        <v>163</v>
      </c>
      <c r="L490" s="66" t="str">
        <f t="shared" si="14"/>
        <v/>
      </c>
      <c r="M490" s="19" t="str">
        <f t="shared" si="15"/>
        <v>Jun_2017</v>
      </c>
    </row>
    <row r="491" spans="1:13">
      <c r="A491" s="4" t="s">
        <v>11</v>
      </c>
      <c r="B491" s="57" t="s">
        <v>26</v>
      </c>
      <c r="C491" s="21">
        <v>42889</v>
      </c>
      <c r="D491" s="5" t="s">
        <v>24</v>
      </c>
      <c r="E491" s="8">
        <v>0.72916666666666663</v>
      </c>
      <c r="F491" s="8">
        <v>0.8125</v>
      </c>
      <c r="G491" s="14">
        <v>8.0000000000000036</v>
      </c>
      <c r="H491" s="14">
        <v>1.9999999999999964</v>
      </c>
      <c r="I491" s="14">
        <v>10</v>
      </c>
      <c r="J491" s="42" t="s">
        <v>52</v>
      </c>
      <c r="K491" s="25" t="s">
        <v>163</v>
      </c>
      <c r="L491" s="66">
        <f t="shared" si="14"/>
        <v>1</v>
      </c>
      <c r="M491" s="19" t="str">
        <f t="shared" si="15"/>
        <v>Jun_2017</v>
      </c>
    </row>
    <row r="492" spans="1:13">
      <c r="A492" s="4" t="s">
        <v>11</v>
      </c>
      <c r="B492" s="57" t="s">
        <v>149</v>
      </c>
      <c r="C492" s="21">
        <v>42889</v>
      </c>
      <c r="D492" s="5" t="s">
        <v>24</v>
      </c>
      <c r="E492" s="8">
        <v>0.72916666666666663</v>
      </c>
      <c r="F492" s="8">
        <v>0.8125</v>
      </c>
      <c r="G492" s="14">
        <v>8.0000000000000036</v>
      </c>
      <c r="H492" s="14">
        <v>1.9999999999999964</v>
      </c>
      <c r="I492" s="14">
        <v>10</v>
      </c>
      <c r="J492" s="25" t="s">
        <v>52</v>
      </c>
      <c r="K492" s="25" t="s">
        <v>163</v>
      </c>
      <c r="L492" s="66">
        <f t="shared" si="14"/>
        <v>1</v>
      </c>
      <c r="M492" s="19" t="str">
        <f t="shared" si="15"/>
        <v>Jun_2017</v>
      </c>
    </row>
    <row r="493" spans="1:13">
      <c r="A493" s="4" t="s">
        <v>11</v>
      </c>
      <c r="B493" s="57" t="s">
        <v>161</v>
      </c>
      <c r="C493" s="21">
        <v>42889</v>
      </c>
      <c r="D493" s="5" t="s">
        <v>24</v>
      </c>
      <c r="E493" s="8">
        <v>0.72916666666666663</v>
      </c>
      <c r="F493" s="8">
        <v>0.8125</v>
      </c>
      <c r="G493" s="14">
        <v>8.0000000000000036</v>
      </c>
      <c r="H493" s="14">
        <v>1.9999999999999964</v>
      </c>
      <c r="I493" s="14">
        <v>10</v>
      </c>
      <c r="J493" s="25" t="s">
        <v>52</v>
      </c>
      <c r="K493" s="25" t="s">
        <v>163</v>
      </c>
      <c r="L493" s="66">
        <f t="shared" si="14"/>
        <v>1</v>
      </c>
      <c r="M493" s="19" t="str">
        <f t="shared" si="15"/>
        <v>Jun_2017</v>
      </c>
    </row>
    <row r="494" spans="1:13">
      <c r="A494" s="4" t="s">
        <v>22</v>
      </c>
      <c r="B494" s="57" t="s">
        <v>78</v>
      </c>
      <c r="C494" s="21">
        <v>42889</v>
      </c>
      <c r="D494" s="5" t="s">
        <v>24</v>
      </c>
      <c r="E494" s="8">
        <v>0.35416666666666663</v>
      </c>
      <c r="F494" s="8">
        <v>0.8125</v>
      </c>
      <c r="G494" s="14">
        <v>0</v>
      </c>
      <c r="H494" s="14">
        <v>10</v>
      </c>
      <c r="I494" s="14">
        <v>10</v>
      </c>
      <c r="J494" s="42" t="s">
        <v>52</v>
      </c>
      <c r="K494" s="25" t="s">
        <v>163</v>
      </c>
      <c r="L494" s="66" t="str">
        <f t="shared" si="14"/>
        <v/>
      </c>
      <c r="M494" s="19" t="str">
        <f t="shared" si="15"/>
        <v>Jun_2017</v>
      </c>
    </row>
    <row r="495" spans="1:13">
      <c r="A495" s="4" t="s">
        <v>22</v>
      </c>
      <c r="B495" s="57" t="s">
        <v>23</v>
      </c>
      <c r="C495" s="21">
        <v>42891</v>
      </c>
      <c r="D495" s="5" t="s">
        <v>16</v>
      </c>
      <c r="E495" s="8">
        <v>0.35416666666666663</v>
      </c>
      <c r="F495" s="8">
        <v>0.72916666666666674</v>
      </c>
      <c r="G495" s="14">
        <v>0</v>
      </c>
      <c r="H495" s="14">
        <v>8.0000000000000036</v>
      </c>
      <c r="I495" s="14">
        <v>8.0000000000000036</v>
      </c>
      <c r="J495" s="42" t="s">
        <v>30</v>
      </c>
      <c r="K495" s="25" t="s">
        <v>164</v>
      </c>
      <c r="L495" s="66" t="str">
        <f t="shared" si="14"/>
        <v/>
      </c>
      <c r="M495" s="19" t="str">
        <f t="shared" si="15"/>
        <v>Jun_2017</v>
      </c>
    </row>
    <row r="496" spans="1:13">
      <c r="A496" s="4" t="s">
        <v>22</v>
      </c>
      <c r="B496" s="57" t="s">
        <v>23</v>
      </c>
      <c r="C496" s="21">
        <v>42893</v>
      </c>
      <c r="D496" s="5" t="s">
        <v>15</v>
      </c>
      <c r="E496" s="8">
        <v>0.35416666666666663</v>
      </c>
      <c r="F496" s="8">
        <v>0.72916666666666674</v>
      </c>
      <c r="G496" s="14">
        <v>0</v>
      </c>
      <c r="H496" s="14">
        <v>8.0000000000000036</v>
      </c>
      <c r="I496" s="14">
        <v>8.0000000000000036</v>
      </c>
      <c r="J496" s="42" t="s">
        <v>30</v>
      </c>
      <c r="K496" s="25" t="s">
        <v>165</v>
      </c>
      <c r="L496" s="66" t="str">
        <f t="shared" si="14"/>
        <v/>
      </c>
      <c r="M496" s="19" t="str">
        <f t="shared" si="15"/>
        <v>Jun_2017</v>
      </c>
    </row>
    <row r="497" spans="1:13">
      <c r="A497" s="4" t="s">
        <v>22</v>
      </c>
      <c r="B497" s="57" t="s">
        <v>23</v>
      </c>
      <c r="C497" s="21">
        <v>42894</v>
      </c>
      <c r="D497" s="5" t="s">
        <v>25</v>
      </c>
      <c r="E497" s="8">
        <v>0.35416666666666663</v>
      </c>
      <c r="F497" s="8">
        <v>0.72916666666666674</v>
      </c>
      <c r="G497" s="14">
        <v>0</v>
      </c>
      <c r="H497" s="14">
        <v>8.0000000000000036</v>
      </c>
      <c r="I497" s="14">
        <v>8.0000000000000036</v>
      </c>
      <c r="J497" s="25" t="s">
        <v>30</v>
      </c>
      <c r="K497" s="25" t="s">
        <v>166</v>
      </c>
      <c r="L497" s="66" t="str">
        <f t="shared" si="14"/>
        <v/>
      </c>
      <c r="M497" s="19" t="str">
        <f t="shared" si="15"/>
        <v>Jun_2017</v>
      </c>
    </row>
    <row r="498" spans="1:13">
      <c r="A498" s="4" t="s">
        <v>22</v>
      </c>
      <c r="B498" s="57" t="s">
        <v>23</v>
      </c>
      <c r="C498" s="21">
        <v>42895</v>
      </c>
      <c r="D498" s="5" t="s">
        <v>17</v>
      </c>
      <c r="E498" s="8">
        <v>0.35416666666666663</v>
      </c>
      <c r="F498" s="8">
        <v>0.72916666666666674</v>
      </c>
      <c r="G498" s="14">
        <v>0</v>
      </c>
      <c r="H498" s="14">
        <v>8.0000000000000036</v>
      </c>
      <c r="I498" s="14">
        <v>8.0000000000000036</v>
      </c>
      <c r="J498" s="25" t="s">
        <v>30</v>
      </c>
      <c r="K498" s="25" t="s">
        <v>167</v>
      </c>
      <c r="L498" s="66" t="str">
        <f t="shared" si="14"/>
        <v/>
      </c>
      <c r="M498" s="19" t="str">
        <f t="shared" si="15"/>
        <v>Jun_2017</v>
      </c>
    </row>
    <row r="499" spans="1:13">
      <c r="A499" s="4" t="s">
        <v>22</v>
      </c>
      <c r="B499" s="57" t="s">
        <v>23</v>
      </c>
      <c r="C499" s="21">
        <v>42898</v>
      </c>
      <c r="D499" s="5" t="s">
        <v>16</v>
      </c>
      <c r="E499" s="8">
        <v>0.35416666666666663</v>
      </c>
      <c r="F499" s="8">
        <v>0.72916666666666674</v>
      </c>
      <c r="G499" s="14">
        <v>0</v>
      </c>
      <c r="H499" s="14">
        <v>8.0000000000000036</v>
      </c>
      <c r="I499" s="14">
        <v>8.0000000000000036</v>
      </c>
      <c r="J499" s="42" t="s">
        <v>30</v>
      </c>
      <c r="K499" s="25" t="s">
        <v>168</v>
      </c>
      <c r="L499" s="66" t="str">
        <f t="shared" si="14"/>
        <v/>
      </c>
      <c r="M499" s="19" t="str">
        <f t="shared" si="15"/>
        <v>Jun_2017</v>
      </c>
    </row>
    <row r="500" spans="1:13">
      <c r="A500" s="4" t="s">
        <v>22</v>
      </c>
      <c r="B500" s="57" t="s">
        <v>23</v>
      </c>
      <c r="C500" s="21">
        <v>42899</v>
      </c>
      <c r="D500" s="5" t="s">
        <v>14</v>
      </c>
      <c r="E500" s="8">
        <v>0.35416666666666663</v>
      </c>
      <c r="F500" s="8">
        <v>0.72916666666666674</v>
      </c>
      <c r="G500" s="14">
        <v>0</v>
      </c>
      <c r="H500" s="14">
        <v>8.0000000000000036</v>
      </c>
      <c r="I500" s="14">
        <v>8.0000000000000036</v>
      </c>
      <c r="J500" s="42" t="s">
        <v>30</v>
      </c>
      <c r="K500" s="25" t="s">
        <v>169</v>
      </c>
      <c r="L500" s="66" t="str">
        <f t="shared" si="14"/>
        <v/>
      </c>
      <c r="M500" s="19" t="str">
        <f t="shared" si="15"/>
        <v>Jun_2017</v>
      </c>
    </row>
    <row r="501" spans="1:13">
      <c r="A501" s="4" t="s">
        <v>22</v>
      </c>
      <c r="B501" s="57" t="s">
        <v>23</v>
      </c>
      <c r="C501" s="21">
        <v>42900</v>
      </c>
      <c r="D501" s="5" t="s">
        <v>15</v>
      </c>
      <c r="E501" s="8">
        <v>0.35416666666666663</v>
      </c>
      <c r="F501" s="8">
        <v>0.72916666666666674</v>
      </c>
      <c r="G501" s="14">
        <v>0</v>
      </c>
      <c r="H501" s="14">
        <v>8.0000000000000036</v>
      </c>
      <c r="I501" s="14">
        <v>8.0000000000000036</v>
      </c>
      <c r="J501" s="42" t="s">
        <v>30</v>
      </c>
      <c r="K501" s="25" t="s">
        <v>170</v>
      </c>
      <c r="L501" s="66" t="str">
        <f t="shared" si="14"/>
        <v/>
      </c>
      <c r="M501" s="19" t="str">
        <f t="shared" si="15"/>
        <v>Jun_2017</v>
      </c>
    </row>
    <row r="502" spans="1:13">
      <c r="A502" s="4" t="s">
        <v>22</v>
      </c>
      <c r="B502" s="57" t="s">
        <v>23</v>
      </c>
      <c r="C502" s="21">
        <v>42901</v>
      </c>
      <c r="D502" s="5" t="s">
        <v>25</v>
      </c>
      <c r="E502" s="8">
        <v>0.35416666666666663</v>
      </c>
      <c r="F502" s="8">
        <v>0.72916666666666674</v>
      </c>
      <c r="G502" s="14">
        <v>0</v>
      </c>
      <c r="H502" s="14">
        <v>8.0000000000000036</v>
      </c>
      <c r="I502" s="14">
        <v>8.0000000000000036</v>
      </c>
      <c r="J502" s="25" t="s">
        <v>30</v>
      </c>
      <c r="K502" s="25" t="s">
        <v>171</v>
      </c>
      <c r="L502" s="66" t="str">
        <f t="shared" si="14"/>
        <v/>
      </c>
      <c r="M502" s="19" t="str">
        <f t="shared" si="15"/>
        <v>Jun_2017</v>
      </c>
    </row>
    <row r="503" spans="1:13">
      <c r="A503" s="4" t="s">
        <v>11</v>
      </c>
      <c r="B503" s="57" t="s">
        <v>12</v>
      </c>
      <c r="C503" s="24">
        <v>42902</v>
      </c>
      <c r="D503" s="5" t="s">
        <v>17</v>
      </c>
      <c r="E503" s="8">
        <v>0.72916666666666663</v>
      </c>
      <c r="F503" s="8">
        <v>0.83333333333333337</v>
      </c>
      <c r="G503" s="14">
        <v>8.0000000000000036</v>
      </c>
      <c r="H503" s="14">
        <v>2.4999999999999982</v>
      </c>
      <c r="I503" s="14">
        <v>2.4999999999999982</v>
      </c>
      <c r="J503" s="25" t="s">
        <v>30</v>
      </c>
      <c r="K503" s="25" t="s">
        <v>172</v>
      </c>
      <c r="L503" s="66">
        <f t="shared" si="14"/>
        <v>1</v>
      </c>
      <c r="M503" s="19" t="str">
        <f t="shared" si="15"/>
        <v>Jun_2017</v>
      </c>
    </row>
    <row r="504" spans="1:13">
      <c r="A504" s="4" t="s">
        <v>11</v>
      </c>
      <c r="B504" s="57" t="s">
        <v>20</v>
      </c>
      <c r="C504" s="21">
        <v>42902</v>
      </c>
      <c r="D504" s="5" t="s">
        <v>17</v>
      </c>
      <c r="E504" s="8">
        <v>0.72916666666666663</v>
      </c>
      <c r="F504" s="8">
        <v>0.83333333333333337</v>
      </c>
      <c r="G504" s="14">
        <v>8.0000000000000036</v>
      </c>
      <c r="H504" s="14">
        <v>2.4999999999999982</v>
      </c>
      <c r="I504" s="14">
        <v>2.4999999999999982</v>
      </c>
      <c r="J504" s="25" t="s">
        <v>30</v>
      </c>
      <c r="K504" s="25" t="s">
        <v>172</v>
      </c>
      <c r="L504" s="66">
        <f t="shared" si="14"/>
        <v>1</v>
      </c>
      <c r="M504" s="19" t="str">
        <f t="shared" si="15"/>
        <v>Jun_2017</v>
      </c>
    </row>
    <row r="505" spans="1:13">
      <c r="A505" s="4" t="s">
        <v>22</v>
      </c>
      <c r="B505" s="57" t="s">
        <v>23</v>
      </c>
      <c r="C505" s="21">
        <v>42902</v>
      </c>
      <c r="D505" s="5" t="s">
        <v>17</v>
      </c>
      <c r="E505" s="8">
        <v>0.35416666666666663</v>
      </c>
      <c r="F505" s="8">
        <v>0.83333333333333337</v>
      </c>
      <c r="G505" s="14">
        <v>0</v>
      </c>
      <c r="H505" s="14">
        <v>10.500000000000002</v>
      </c>
      <c r="I505" s="14">
        <v>10.500000000000002</v>
      </c>
      <c r="J505" s="25" t="s">
        <v>30</v>
      </c>
      <c r="K505" s="25" t="s">
        <v>172</v>
      </c>
      <c r="L505" s="66" t="str">
        <f t="shared" si="14"/>
        <v/>
      </c>
      <c r="M505" s="19" t="str">
        <f t="shared" si="15"/>
        <v>Jun_2017</v>
      </c>
    </row>
    <row r="506" spans="1:13">
      <c r="A506" s="4" t="s">
        <v>11</v>
      </c>
      <c r="B506" s="57" t="s">
        <v>26</v>
      </c>
      <c r="C506" s="21">
        <v>42902</v>
      </c>
      <c r="D506" s="5" t="s">
        <v>17</v>
      </c>
      <c r="E506" s="8">
        <v>0.72916666666666663</v>
      </c>
      <c r="F506" s="8">
        <v>0.83333333333333337</v>
      </c>
      <c r="G506" s="14">
        <v>8.0000000000000036</v>
      </c>
      <c r="H506" s="14">
        <v>2.4999999999999982</v>
      </c>
      <c r="I506" s="14">
        <v>2.4999999999999982</v>
      </c>
      <c r="J506" s="25" t="s">
        <v>30</v>
      </c>
      <c r="K506" s="25" t="s">
        <v>172</v>
      </c>
      <c r="L506" s="66">
        <f t="shared" si="14"/>
        <v>1</v>
      </c>
      <c r="M506" s="19" t="str">
        <f t="shared" si="15"/>
        <v>Jun_2017</v>
      </c>
    </row>
    <row r="507" spans="1:13">
      <c r="A507" s="4" t="s">
        <v>11</v>
      </c>
      <c r="B507" s="57" t="s">
        <v>149</v>
      </c>
      <c r="C507" s="21">
        <v>42902</v>
      </c>
      <c r="D507" s="5" t="s">
        <v>17</v>
      </c>
      <c r="E507" s="8">
        <v>0.72916666666666663</v>
      </c>
      <c r="F507" s="8">
        <v>0.83333333333333337</v>
      </c>
      <c r="G507" s="14">
        <v>8.0000000000000036</v>
      </c>
      <c r="H507" s="14">
        <v>2.4999999999999982</v>
      </c>
      <c r="I507" s="14">
        <v>2.4999999999999982</v>
      </c>
      <c r="J507" s="25" t="s">
        <v>30</v>
      </c>
      <c r="K507" s="25" t="s">
        <v>172</v>
      </c>
      <c r="L507" s="66">
        <f t="shared" si="14"/>
        <v>1</v>
      </c>
      <c r="M507" s="19" t="str">
        <f t="shared" si="15"/>
        <v>Jun_2017</v>
      </c>
    </row>
    <row r="508" spans="1:13">
      <c r="A508" s="4" t="s">
        <v>11</v>
      </c>
      <c r="B508" s="57" t="s">
        <v>161</v>
      </c>
      <c r="C508" s="21">
        <v>42902</v>
      </c>
      <c r="D508" s="5" t="s">
        <v>17</v>
      </c>
      <c r="E508" s="8">
        <v>0.72916666666666663</v>
      </c>
      <c r="F508" s="8">
        <v>0.83333333333333337</v>
      </c>
      <c r="G508" s="14">
        <v>8.0000000000000036</v>
      </c>
      <c r="H508" s="14">
        <v>2.4999999999999982</v>
      </c>
      <c r="I508" s="14">
        <v>2.4999999999999982</v>
      </c>
      <c r="J508" s="25" t="s">
        <v>30</v>
      </c>
      <c r="K508" s="25" t="s">
        <v>172</v>
      </c>
      <c r="L508" s="66">
        <f t="shared" si="14"/>
        <v>1</v>
      </c>
      <c r="M508" s="19" t="str">
        <f t="shared" si="15"/>
        <v>Jun_2017</v>
      </c>
    </row>
    <row r="509" spans="1:13">
      <c r="A509" s="4" t="s">
        <v>11</v>
      </c>
      <c r="B509" s="57" t="s">
        <v>187</v>
      </c>
      <c r="C509" s="21">
        <v>42902</v>
      </c>
      <c r="D509" s="5" t="s">
        <v>17</v>
      </c>
      <c r="E509" s="8">
        <v>0.72916666666666663</v>
      </c>
      <c r="F509" s="8">
        <v>0.83333333333333337</v>
      </c>
      <c r="G509" s="14">
        <v>8.0000000000000036</v>
      </c>
      <c r="H509" s="14">
        <v>2.4999999999999982</v>
      </c>
      <c r="I509" s="14">
        <v>2.4999999999999982</v>
      </c>
      <c r="J509" s="25" t="s">
        <v>30</v>
      </c>
      <c r="K509" s="25" t="s">
        <v>172</v>
      </c>
      <c r="L509" s="66">
        <f t="shared" si="14"/>
        <v>1</v>
      </c>
      <c r="M509" s="19" t="str">
        <f t="shared" si="15"/>
        <v>Jun_2017</v>
      </c>
    </row>
    <row r="510" spans="1:13">
      <c r="A510" s="4" t="s">
        <v>22</v>
      </c>
      <c r="B510" s="57" t="s">
        <v>23</v>
      </c>
      <c r="C510" s="21">
        <v>42905</v>
      </c>
      <c r="D510" s="5" t="s">
        <v>16</v>
      </c>
      <c r="E510" s="8">
        <v>0.35416666666666663</v>
      </c>
      <c r="F510" s="8">
        <v>0.72916666666666674</v>
      </c>
      <c r="G510" s="14">
        <v>0</v>
      </c>
      <c r="H510" s="14">
        <v>8.0000000000000036</v>
      </c>
      <c r="I510" s="14">
        <v>8.0000000000000036</v>
      </c>
      <c r="J510" s="42" t="s">
        <v>30</v>
      </c>
      <c r="K510" s="25" t="s">
        <v>173</v>
      </c>
      <c r="L510" s="66" t="str">
        <f t="shared" si="14"/>
        <v/>
      </c>
      <c r="M510" s="19" t="str">
        <f t="shared" si="15"/>
        <v>Jun_2017</v>
      </c>
    </row>
    <row r="511" spans="1:13">
      <c r="A511" s="4" t="s">
        <v>22</v>
      </c>
      <c r="B511" s="57" t="s">
        <v>23</v>
      </c>
      <c r="C511" s="21">
        <v>42906</v>
      </c>
      <c r="D511" s="5" t="s">
        <v>14</v>
      </c>
      <c r="E511" s="8">
        <v>0.35416666666666663</v>
      </c>
      <c r="F511" s="8">
        <v>0.72916666666666674</v>
      </c>
      <c r="G511" s="14">
        <v>0</v>
      </c>
      <c r="H511" s="14">
        <v>8.0000000000000036</v>
      </c>
      <c r="I511" s="14">
        <v>8.0000000000000036</v>
      </c>
      <c r="J511" s="42" t="s">
        <v>30</v>
      </c>
      <c r="K511" s="25" t="s">
        <v>174</v>
      </c>
      <c r="L511" s="66" t="str">
        <f t="shared" si="14"/>
        <v/>
      </c>
      <c r="M511" s="19" t="str">
        <f t="shared" si="15"/>
        <v>Jun_2017</v>
      </c>
    </row>
    <row r="512" spans="1:13">
      <c r="A512" s="4" t="s">
        <v>22</v>
      </c>
      <c r="B512" s="57" t="s">
        <v>23</v>
      </c>
      <c r="C512" s="21">
        <v>42907</v>
      </c>
      <c r="D512" s="5" t="s">
        <v>15</v>
      </c>
      <c r="E512" s="8">
        <v>0.35416666666666663</v>
      </c>
      <c r="F512" s="8">
        <v>0.72916666666666674</v>
      </c>
      <c r="G512" s="14">
        <v>0</v>
      </c>
      <c r="H512" s="14">
        <v>8.0000000000000036</v>
      </c>
      <c r="I512" s="14">
        <v>8.0000000000000036</v>
      </c>
      <c r="J512" s="42" t="s">
        <v>30</v>
      </c>
      <c r="K512" s="25" t="s">
        <v>175</v>
      </c>
      <c r="L512" s="66" t="str">
        <f t="shared" si="14"/>
        <v/>
      </c>
      <c r="M512" s="19" t="str">
        <f t="shared" si="15"/>
        <v>Jun_2017</v>
      </c>
    </row>
    <row r="513" spans="1:13">
      <c r="A513" s="4" t="s">
        <v>22</v>
      </c>
      <c r="B513" s="57" t="s">
        <v>23</v>
      </c>
      <c r="C513" s="21">
        <v>42908</v>
      </c>
      <c r="D513" s="5" t="s">
        <v>25</v>
      </c>
      <c r="E513" s="8">
        <v>0.35416666666666663</v>
      </c>
      <c r="F513" s="8">
        <v>0.72916666666666674</v>
      </c>
      <c r="G513" s="14">
        <v>0</v>
      </c>
      <c r="H513" s="14">
        <v>8.0000000000000036</v>
      </c>
      <c r="I513" s="14">
        <v>8.0000000000000036</v>
      </c>
      <c r="J513" s="25" t="s">
        <v>30</v>
      </c>
      <c r="K513" s="25" t="s">
        <v>176</v>
      </c>
      <c r="L513" s="66" t="str">
        <f t="shared" si="14"/>
        <v/>
      </c>
      <c r="M513" s="19" t="str">
        <f t="shared" si="15"/>
        <v>Jun_2017</v>
      </c>
    </row>
    <row r="514" spans="1:13">
      <c r="A514" s="4" t="s">
        <v>22</v>
      </c>
      <c r="B514" s="57" t="s">
        <v>23</v>
      </c>
      <c r="C514" s="21">
        <v>42909</v>
      </c>
      <c r="D514" s="5" t="s">
        <v>17</v>
      </c>
      <c r="E514" s="8">
        <v>0.35416666666666663</v>
      </c>
      <c r="F514" s="8">
        <v>0.72916666666666674</v>
      </c>
      <c r="G514" s="14">
        <v>0</v>
      </c>
      <c r="H514" s="14">
        <v>8.0000000000000036</v>
      </c>
      <c r="I514" s="14">
        <v>8.0000000000000036</v>
      </c>
      <c r="J514" s="25" t="s">
        <v>30</v>
      </c>
      <c r="K514" s="25" t="s">
        <v>177</v>
      </c>
      <c r="L514" s="66" t="str">
        <f t="shared" ref="L514:L577" si="16">IF(AND($A514="Perm Staff Onsite",$H514&gt;=2),1,"")</f>
        <v/>
      </c>
      <c r="M514" s="19" t="str">
        <f t="shared" si="15"/>
        <v>Jun_2017</v>
      </c>
    </row>
    <row r="515" spans="1:13">
      <c r="A515" s="4" t="s">
        <v>11</v>
      </c>
      <c r="B515" s="57" t="s">
        <v>12</v>
      </c>
      <c r="C515" s="24">
        <v>42910</v>
      </c>
      <c r="D515" s="5" t="s">
        <v>24</v>
      </c>
      <c r="E515" s="8">
        <v>0.35416666666666663</v>
      </c>
      <c r="F515" s="8">
        <v>0.72916666666666674</v>
      </c>
      <c r="G515" s="14">
        <v>8.0000000000000036</v>
      </c>
      <c r="H515" s="14">
        <v>0</v>
      </c>
      <c r="I515" s="14">
        <v>8.0000000000000036</v>
      </c>
      <c r="J515" s="43" t="s">
        <v>52</v>
      </c>
      <c r="K515" s="25" t="s">
        <v>178</v>
      </c>
      <c r="L515" s="66" t="str">
        <f t="shared" si="16"/>
        <v/>
      </c>
      <c r="M515" s="19" t="str">
        <f t="shared" ref="M515:M578" si="17">IF($C515="","",TEXT(DATE(YEAR($C515),MONTH($C515),DAY($C515)),"MMM")&amp;"_"&amp;YEAR($C515))</f>
        <v>Jun_2017</v>
      </c>
    </row>
    <row r="516" spans="1:13">
      <c r="A516" s="4" t="s">
        <v>11</v>
      </c>
      <c r="B516" s="57" t="s">
        <v>19</v>
      </c>
      <c r="C516" s="21">
        <v>42910</v>
      </c>
      <c r="D516" s="5" t="s">
        <v>24</v>
      </c>
      <c r="E516" s="8">
        <v>0.35416666666666663</v>
      </c>
      <c r="F516" s="8">
        <v>0.72916666666666674</v>
      </c>
      <c r="G516" s="14">
        <v>8.0000000000000036</v>
      </c>
      <c r="H516" s="14">
        <v>0</v>
      </c>
      <c r="I516" s="14">
        <v>8.0000000000000036</v>
      </c>
      <c r="J516" s="43" t="s">
        <v>52</v>
      </c>
      <c r="K516" s="25" t="s">
        <v>178</v>
      </c>
      <c r="L516" s="66" t="str">
        <f t="shared" si="16"/>
        <v/>
      </c>
      <c r="M516" s="19" t="str">
        <f t="shared" si="17"/>
        <v>Jun_2017</v>
      </c>
    </row>
    <row r="517" spans="1:13">
      <c r="A517" s="4" t="s">
        <v>11</v>
      </c>
      <c r="B517" s="57" t="s">
        <v>26</v>
      </c>
      <c r="C517" s="21">
        <v>42910</v>
      </c>
      <c r="D517" s="5" t="s">
        <v>24</v>
      </c>
      <c r="E517" s="8">
        <v>0.35416666666666663</v>
      </c>
      <c r="F517" s="8">
        <v>0.72916666666666674</v>
      </c>
      <c r="G517" s="14">
        <v>8.0000000000000036</v>
      </c>
      <c r="H517" s="14">
        <v>0</v>
      </c>
      <c r="I517" s="14">
        <v>8.0000000000000036</v>
      </c>
      <c r="J517" s="43" t="s">
        <v>52</v>
      </c>
      <c r="K517" s="25" t="s">
        <v>178</v>
      </c>
      <c r="L517" s="66" t="str">
        <f t="shared" si="16"/>
        <v/>
      </c>
      <c r="M517" s="19" t="str">
        <f t="shared" si="17"/>
        <v>Jun_2017</v>
      </c>
    </row>
    <row r="518" spans="1:13">
      <c r="A518" s="4" t="s">
        <v>11</v>
      </c>
      <c r="B518" s="57" t="s">
        <v>149</v>
      </c>
      <c r="C518" s="21">
        <v>42910</v>
      </c>
      <c r="D518" s="5" t="s">
        <v>24</v>
      </c>
      <c r="E518" s="8">
        <v>0.35416666666666663</v>
      </c>
      <c r="F518" s="8">
        <v>0.72916666666666674</v>
      </c>
      <c r="G518" s="14">
        <v>8.0000000000000036</v>
      </c>
      <c r="H518" s="14">
        <v>0</v>
      </c>
      <c r="I518" s="14">
        <v>8.0000000000000036</v>
      </c>
      <c r="J518" s="43" t="s">
        <v>52</v>
      </c>
      <c r="K518" s="25" t="s">
        <v>178</v>
      </c>
      <c r="L518" s="66" t="str">
        <f t="shared" si="16"/>
        <v/>
      </c>
      <c r="M518" s="19" t="str">
        <f t="shared" si="17"/>
        <v>Jun_2017</v>
      </c>
    </row>
    <row r="519" spans="1:13">
      <c r="A519" s="4" t="s">
        <v>11</v>
      </c>
      <c r="B519" s="57" t="s">
        <v>161</v>
      </c>
      <c r="C519" s="21">
        <v>42910</v>
      </c>
      <c r="D519" s="5" t="s">
        <v>24</v>
      </c>
      <c r="E519" s="8">
        <v>0.35416666666666663</v>
      </c>
      <c r="F519" s="8">
        <v>0.72916666666666674</v>
      </c>
      <c r="G519" s="14">
        <v>8.0000000000000036</v>
      </c>
      <c r="H519" s="14">
        <v>0</v>
      </c>
      <c r="I519" s="14">
        <v>8.0000000000000036</v>
      </c>
      <c r="J519" s="44" t="s">
        <v>52</v>
      </c>
      <c r="K519" s="25" t="s">
        <v>178</v>
      </c>
      <c r="L519" s="66" t="str">
        <f t="shared" si="16"/>
        <v/>
      </c>
      <c r="M519" s="19" t="str">
        <f t="shared" si="17"/>
        <v>Jun_2017</v>
      </c>
    </row>
    <row r="520" spans="1:13">
      <c r="A520" s="4" t="s">
        <v>22</v>
      </c>
      <c r="B520" s="57" t="s">
        <v>23</v>
      </c>
      <c r="C520" s="21">
        <v>42912</v>
      </c>
      <c r="D520" s="5" t="s">
        <v>16</v>
      </c>
      <c r="E520" s="8">
        <v>0.35416666666666663</v>
      </c>
      <c r="F520" s="8">
        <v>0.72916666666666674</v>
      </c>
      <c r="G520" s="14">
        <v>0</v>
      </c>
      <c r="H520" s="14">
        <v>8.0000000000000036</v>
      </c>
      <c r="I520" s="14">
        <v>8.0000000000000036</v>
      </c>
      <c r="J520" s="42" t="s">
        <v>30</v>
      </c>
      <c r="K520" s="25" t="s">
        <v>179</v>
      </c>
      <c r="L520" s="66" t="str">
        <f t="shared" si="16"/>
        <v/>
      </c>
      <c r="M520" s="19" t="str">
        <f t="shared" si="17"/>
        <v>Jun_2017</v>
      </c>
    </row>
    <row r="521" spans="1:13">
      <c r="A521" s="4" t="s">
        <v>11</v>
      </c>
      <c r="B521" s="57" t="s">
        <v>12</v>
      </c>
      <c r="C521" s="24">
        <v>42913</v>
      </c>
      <c r="D521" s="5" t="s">
        <v>14</v>
      </c>
      <c r="E521" s="8">
        <v>0.72916666666666663</v>
      </c>
      <c r="F521" s="8">
        <v>0.83333333333333337</v>
      </c>
      <c r="G521" s="14">
        <v>8.0000000000000036</v>
      </c>
      <c r="H521" s="14">
        <v>2.4999999999999982</v>
      </c>
      <c r="I521" s="14">
        <v>2.4999999999999982</v>
      </c>
      <c r="J521" s="42" t="s">
        <v>30</v>
      </c>
      <c r="K521" s="25" t="s">
        <v>180</v>
      </c>
      <c r="L521" s="66">
        <f t="shared" si="16"/>
        <v>1</v>
      </c>
      <c r="M521" s="19" t="str">
        <f t="shared" si="17"/>
        <v>Jun_2017</v>
      </c>
    </row>
    <row r="522" spans="1:13">
      <c r="A522" s="4" t="s">
        <v>11</v>
      </c>
      <c r="B522" s="57" t="s">
        <v>19</v>
      </c>
      <c r="C522" s="21">
        <v>42913</v>
      </c>
      <c r="D522" s="5" t="s">
        <v>14</v>
      </c>
      <c r="E522" s="8">
        <v>0.72916666666666663</v>
      </c>
      <c r="F522" s="8">
        <v>0.83333333333333337</v>
      </c>
      <c r="G522" s="14">
        <v>8.0000000000000036</v>
      </c>
      <c r="H522" s="14">
        <v>2.4999999999999982</v>
      </c>
      <c r="I522" s="14">
        <v>2.4999999999999982</v>
      </c>
      <c r="J522" s="42" t="s">
        <v>30</v>
      </c>
      <c r="K522" s="25" t="s">
        <v>180</v>
      </c>
      <c r="L522" s="66">
        <f t="shared" si="16"/>
        <v>1</v>
      </c>
      <c r="M522" s="19" t="str">
        <f t="shared" si="17"/>
        <v>Jun_2017</v>
      </c>
    </row>
    <row r="523" spans="1:13">
      <c r="A523" s="4" t="s">
        <v>22</v>
      </c>
      <c r="B523" s="57" t="s">
        <v>23</v>
      </c>
      <c r="C523" s="21">
        <v>42913</v>
      </c>
      <c r="D523" s="5" t="s">
        <v>14</v>
      </c>
      <c r="E523" s="8">
        <v>0.35416666666666663</v>
      </c>
      <c r="F523" s="8">
        <v>0.83333333333333337</v>
      </c>
      <c r="G523" s="14">
        <v>0</v>
      </c>
      <c r="H523" s="14">
        <v>10.500000000000002</v>
      </c>
      <c r="I523" s="14">
        <v>10.500000000000002</v>
      </c>
      <c r="J523" s="42" t="s">
        <v>30</v>
      </c>
      <c r="K523" s="25" t="s">
        <v>180</v>
      </c>
      <c r="L523" s="66" t="str">
        <f t="shared" si="16"/>
        <v/>
      </c>
      <c r="M523" s="19" t="str">
        <f t="shared" si="17"/>
        <v>Jun_2017</v>
      </c>
    </row>
    <row r="524" spans="1:13">
      <c r="A524" s="4" t="s">
        <v>11</v>
      </c>
      <c r="B524" s="57" t="s">
        <v>149</v>
      </c>
      <c r="C524" s="21">
        <v>42913</v>
      </c>
      <c r="D524" s="5" t="s">
        <v>14</v>
      </c>
      <c r="E524" s="8">
        <v>0.72916666666666663</v>
      </c>
      <c r="F524" s="8">
        <v>0.83333333333333337</v>
      </c>
      <c r="G524" s="14">
        <v>8.0000000000000036</v>
      </c>
      <c r="H524" s="14">
        <v>2.4999999999999982</v>
      </c>
      <c r="I524" s="14">
        <v>2.4999999999999982</v>
      </c>
      <c r="J524" s="25" t="s">
        <v>30</v>
      </c>
      <c r="K524" s="25" t="s">
        <v>180</v>
      </c>
      <c r="L524" s="66">
        <f t="shared" si="16"/>
        <v>1</v>
      </c>
      <c r="M524" s="19" t="str">
        <f t="shared" si="17"/>
        <v>Jun_2017</v>
      </c>
    </row>
    <row r="525" spans="1:13">
      <c r="A525" s="4" t="s">
        <v>11</v>
      </c>
      <c r="B525" s="57" t="s">
        <v>161</v>
      </c>
      <c r="C525" s="21">
        <v>42913</v>
      </c>
      <c r="D525" s="5" t="s">
        <v>14</v>
      </c>
      <c r="E525" s="8">
        <v>0.72916666666666663</v>
      </c>
      <c r="F525" s="8">
        <v>0.83333333333333337</v>
      </c>
      <c r="G525" s="14">
        <v>8.0000000000000036</v>
      </c>
      <c r="H525" s="14">
        <v>2.4999999999999982</v>
      </c>
      <c r="I525" s="14">
        <v>2.4999999999999982</v>
      </c>
      <c r="J525" s="25" t="s">
        <v>30</v>
      </c>
      <c r="K525" s="25" t="s">
        <v>180</v>
      </c>
      <c r="L525" s="66">
        <f t="shared" si="16"/>
        <v>1</v>
      </c>
      <c r="M525" s="19" t="str">
        <f t="shared" si="17"/>
        <v>Jun_2017</v>
      </c>
    </row>
    <row r="526" spans="1:13">
      <c r="A526" s="4" t="s">
        <v>11</v>
      </c>
      <c r="B526" s="57" t="s">
        <v>187</v>
      </c>
      <c r="C526" s="21">
        <v>42913</v>
      </c>
      <c r="D526" s="5" t="s">
        <v>14</v>
      </c>
      <c r="E526" s="8">
        <v>0.72916666666666663</v>
      </c>
      <c r="F526" s="8">
        <v>0.75</v>
      </c>
      <c r="G526" s="14">
        <v>8.0000000000000036</v>
      </c>
      <c r="H526" s="14">
        <v>0.49999999999999645</v>
      </c>
      <c r="I526" s="14">
        <v>0.49999999999999645</v>
      </c>
      <c r="J526" s="42" t="s">
        <v>30</v>
      </c>
      <c r="K526" s="25" t="s">
        <v>180</v>
      </c>
      <c r="L526" s="66" t="str">
        <f t="shared" si="16"/>
        <v/>
      </c>
      <c r="M526" s="19" t="str">
        <f t="shared" si="17"/>
        <v>Jun_2017</v>
      </c>
    </row>
    <row r="527" spans="1:13">
      <c r="A527" s="4" t="s">
        <v>11</v>
      </c>
      <c r="B527" s="57" t="s">
        <v>12</v>
      </c>
      <c r="C527" s="24">
        <v>42914</v>
      </c>
      <c r="D527" s="5" t="s">
        <v>15</v>
      </c>
      <c r="E527" s="8">
        <v>0.72916666666666663</v>
      </c>
      <c r="F527" s="8">
        <v>0.88541666666666663</v>
      </c>
      <c r="G527" s="14">
        <v>8.0000000000000036</v>
      </c>
      <c r="H527" s="14">
        <v>3.7499999999999964</v>
      </c>
      <c r="I527" s="14">
        <v>3.7499999999999964</v>
      </c>
      <c r="J527" s="42" t="s">
        <v>30</v>
      </c>
      <c r="K527" s="25" t="s">
        <v>181</v>
      </c>
      <c r="L527" s="66">
        <f t="shared" si="16"/>
        <v>1</v>
      </c>
      <c r="M527" s="19" t="str">
        <f t="shared" si="17"/>
        <v>Jun_2017</v>
      </c>
    </row>
    <row r="528" spans="1:13">
      <c r="A528" s="4" t="s">
        <v>11</v>
      </c>
      <c r="B528" s="57" t="s">
        <v>19</v>
      </c>
      <c r="C528" s="21">
        <v>42914</v>
      </c>
      <c r="D528" s="5" t="s">
        <v>15</v>
      </c>
      <c r="E528" s="8">
        <v>0.72916666666666663</v>
      </c>
      <c r="F528" s="8">
        <v>0.88541666666666663</v>
      </c>
      <c r="G528" s="14">
        <v>8.0000000000000036</v>
      </c>
      <c r="H528" s="14">
        <v>3.7499999999999964</v>
      </c>
      <c r="I528" s="14">
        <v>3.7499999999999964</v>
      </c>
      <c r="J528" s="42" t="s">
        <v>30</v>
      </c>
      <c r="K528" s="25" t="s">
        <v>181</v>
      </c>
      <c r="L528" s="66">
        <f t="shared" si="16"/>
        <v>1</v>
      </c>
      <c r="M528" s="19" t="str">
        <f t="shared" si="17"/>
        <v>Jun_2017</v>
      </c>
    </row>
    <row r="529" spans="1:13">
      <c r="A529" s="4" t="s">
        <v>22</v>
      </c>
      <c r="B529" s="57" t="s">
        <v>23</v>
      </c>
      <c r="C529" s="21">
        <v>42914</v>
      </c>
      <c r="D529" s="5" t="s">
        <v>15</v>
      </c>
      <c r="E529" s="8">
        <v>0.35416666666666663</v>
      </c>
      <c r="F529" s="8">
        <v>0.88541666666666663</v>
      </c>
      <c r="G529" s="14">
        <v>0</v>
      </c>
      <c r="H529" s="14">
        <v>11.75</v>
      </c>
      <c r="I529" s="14">
        <v>11.75</v>
      </c>
      <c r="J529" s="42" t="s">
        <v>30</v>
      </c>
      <c r="K529" s="25" t="s">
        <v>181</v>
      </c>
      <c r="L529" s="66" t="str">
        <f t="shared" si="16"/>
        <v/>
      </c>
      <c r="M529" s="19" t="str">
        <f t="shared" si="17"/>
        <v>Jun_2017</v>
      </c>
    </row>
    <row r="530" spans="1:13">
      <c r="A530" s="4" t="s">
        <v>11</v>
      </c>
      <c r="B530" s="57" t="s">
        <v>26</v>
      </c>
      <c r="C530" s="21">
        <v>42914</v>
      </c>
      <c r="D530" s="5" t="s">
        <v>15</v>
      </c>
      <c r="E530" s="8">
        <v>0.72916666666666663</v>
      </c>
      <c r="F530" s="8">
        <v>0.88541666666666663</v>
      </c>
      <c r="G530" s="14">
        <v>8.0000000000000036</v>
      </c>
      <c r="H530" s="14">
        <v>3.7499999999999964</v>
      </c>
      <c r="I530" s="14">
        <v>3.7499999999999964</v>
      </c>
      <c r="J530" s="42" t="s">
        <v>30</v>
      </c>
      <c r="K530" s="25" t="s">
        <v>181</v>
      </c>
      <c r="L530" s="66">
        <f t="shared" si="16"/>
        <v>1</v>
      </c>
      <c r="M530" s="19" t="str">
        <f t="shared" si="17"/>
        <v>Jun_2017</v>
      </c>
    </row>
    <row r="531" spans="1:13">
      <c r="A531" s="4" t="s">
        <v>11</v>
      </c>
      <c r="B531" s="57" t="s">
        <v>149</v>
      </c>
      <c r="C531" s="21">
        <v>42914</v>
      </c>
      <c r="D531" s="5" t="s">
        <v>15</v>
      </c>
      <c r="E531" s="8">
        <v>0.72916666666666663</v>
      </c>
      <c r="F531" s="8">
        <v>0.88541666666666663</v>
      </c>
      <c r="G531" s="14">
        <v>8.0000000000000036</v>
      </c>
      <c r="H531" s="14">
        <v>3.7499999999999964</v>
      </c>
      <c r="I531" s="14">
        <v>3.7499999999999964</v>
      </c>
      <c r="J531" s="25" t="s">
        <v>30</v>
      </c>
      <c r="K531" s="25" t="s">
        <v>181</v>
      </c>
      <c r="L531" s="66">
        <f t="shared" si="16"/>
        <v>1</v>
      </c>
      <c r="M531" s="19" t="str">
        <f t="shared" si="17"/>
        <v>Jun_2017</v>
      </c>
    </row>
    <row r="532" spans="1:13">
      <c r="A532" s="4" t="s">
        <v>11</v>
      </c>
      <c r="B532" s="57" t="s">
        <v>161</v>
      </c>
      <c r="C532" s="21">
        <v>42914</v>
      </c>
      <c r="D532" s="5" t="s">
        <v>15</v>
      </c>
      <c r="E532" s="8">
        <v>0.72916666666666663</v>
      </c>
      <c r="F532" s="8">
        <v>0.88541666666666663</v>
      </c>
      <c r="G532" s="14">
        <v>8.0000000000000036</v>
      </c>
      <c r="H532" s="14">
        <v>3.7499999999999964</v>
      </c>
      <c r="I532" s="14">
        <v>3.7499999999999964</v>
      </c>
      <c r="J532" s="25" t="s">
        <v>30</v>
      </c>
      <c r="K532" s="25" t="s">
        <v>181</v>
      </c>
      <c r="L532" s="66">
        <f t="shared" si="16"/>
        <v>1</v>
      </c>
      <c r="M532" s="19" t="str">
        <f t="shared" si="17"/>
        <v>Jun_2017</v>
      </c>
    </row>
    <row r="533" spans="1:13">
      <c r="A533" s="4" t="s">
        <v>22</v>
      </c>
      <c r="B533" s="57" t="s">
        <v>78</v>
      </c>
      <c r="C533" s="21">
        <v>42914</v>
      </c>
      <c r="D533" s="5" t="s">
        <v>15</v>
      </c>
      <c r="E533" s="8">
        <v>0.41666666666666669</v>
      </c>
      <c r="F533" s="8">
        <v>0.88541666666666663</v>
      </c>
      <c r="G533" s="14">
        <v>0</v>
      </c>
      <c r="H533" s="14">
        <v>10.249999999999998</v>
      </c>
      <c r="I533" s="14">
        <v>10.249999999999998</v>
      </c>
      <c r="J533" s="42" t="s">
        <v>30</v>
      </c>
      <c r="K533" s="25" t="s">
        <v>181</v>
      </c>
      <c r="L533" s="66" t="str">
        <f t="shared" si="16"/>
        <v/>
      </c>
      <c r="M533" s="19" t="str">
        <f t="shared" si="17"/>
        <v>Jun_2017</v>
      </c>
    </row>
    <row r="534" spans="1:13">
      <c r="A534" s="4" t="s">
        <v>11</v>
      </c>
      <c r="B534" s="57" t="s">
        <v>187</v>
      </c>
      <c r="C534" s="21">
        <v>42914</v>
      </c>
      <c r="D534" s="5" t="s">
        <v>15</v>
      </c>
      <c r="E534" s="8">
        <v>0.72916666666666663</v>
      </c>
      <c r="F534" s="8">
        <v>0.88541666666666663</v>
      </c>
      <c r="G534" s="14">
        <v>8.0000000000000036</v>
      </c>
      <c r="H534" s="14">
        <v>3.7499999999999964</v>
      </c>
      <c r="I534" s="14">
        <v>3.7499999999999964</v>
      </c>
      <c r="J534" s="42" t="s">
        <v>30</v>
      </c>
      <c r="K534" s="25" t="s">
        <v>181</v>
      </c>
      <c r="L534" s="66">
        <f t="shared" si="16"/>
        <v>1</v>
      </c>
      <c r="M534" s="19" t="str">
        <f t="shared" si="17"/>
        <v>Jun_2017</v>
      </c>
    </row>
    <row r="535" spans="1:13">
      <c r="A535" s="4" t="s">
        <v>11</v>
      </c>
      <c r="B535" s="57" t="s">
        <v>12</v>
      </c>
      <c r="C535" s="24">
        <v>42915</v>
      </c>
      <c r="D535" s="5" t="s">
        <v>25</v>
      </c>
      <c r="E535" s="8">
        <v>0.72916666666666663</v>
      </c>
      <c r="F535" s="8">
        <v>0.875</v>
      </c>
      <c r="G535" s="14">
        <v>8.0000000000000036</v>
      </c>
      <c r="H535" s="14">
        <v>3.4999999999999964</v>
      </c>
      <c r="I535" s="14">
        <v>3.4999999999999964</v>
      </c>
      <c r="J535" s="25" t="s">
        <v>30</v>
      </c>
      <c r="K535" s="25" t="s">
        <v>182</v>
      </c>
      <c r="L535" s="66">
        <f t="shared" si="16"/>
        <v>1</v>
      </c>
      <c r="M535" s="19" t="str">
        <f t="shared" si="17"/>
        <v>Jun_2017</v>
      </c>
    </row>
    <row r="536" spans="1:13">
      <c r="A536" s="4" t="s">
        <v>11</v>
      </c>
      <c r="B536" s="57" t="s">
        <v>19</v>
      </c>
      <c r="C536" s="21">
        <v>42915</v>
      </c>
      <c r="D536" s="5" t="s">
        <v>25</v>
      </c>
      <c r="E536" s="8">
        <v>0.72916666666666663</v>
      </c>
      <c r="F536" s="8">
        <v>0.75</v>
      </c>
      <c r="G536" s="14">
        <v>8.0000000000000036</v>
      </c>
      <c r="H536" s="14">
        <v>0.49999999999999645</v>
      </c>
      <c r="I536" s="14">
        <v>0.49999999999999645</v>
      </c>
      <c r="J536" s="42" t="s">
        <v>30</v>
      </c>
      <c r="K536" s="25" t="s">
        <v>182</v>
      </c>
      <c r="L536" s="66" t="str">
        <f t="shared" si="16"/>
        <v/>
      </c>
      <c r="M536" s="19" t="str">
        <f t="shared" si="17"/>
        <v>Jun_2017</v>
      </c>
    </row>
    <row r="537" spans="1:13">
      <c r="A537" s="4" t="s">
        <v>22</v>
      </c>
      <c r="B537" s="57" t="s">
        <v>23</v>
      </c>
      <c r="C537" s="21">
        <v>42915</v>
      </c>
      <c r="D537" s="5" t="s">
        <v>25</v>
      </c>
      <c r="E537" s="8">
        <v>0.35416666666666663</v>
      </c>
      <c r="F537" s="8">
        <v>0.875</v>
      </c>
      <c r="G537" s="14">
        <v>0</v>
      </c>
      <c r="H537" s="14">
        <v>11.5</v>
      </c>
      <c r="I537" s="14">
        <v>11.5</v>
      </c>
      <c r="J537" s="42" t="s">
        <v>30</v>
      </c>
      <c r="K537" s="25" t="s">
        <v>182</v>
      </c>
      <c r="L537" s="66" t="str">
        <f t="shared" si="16"/>
        <v/>
      </c>
      <c r="M537" s="19" t="str">
        <f t="shared" si="17"/>
        <v>Jun_2017</v>
      </c>
    </row>
    <row r="538" spans="1:13">
      <c r="A538" s="4" t="s">
        <v>11</v>
      </c>
      <c r="B538" s="57" t="s">
        <v>26</v>
      </c>
      <c r="C538" s="21">
        <v>42915</v>
      </c>
      <c r="D538" s="5" t="s">
        <v>25</v>
      </c>
      <c r="E538" s="8">
        <v>0.72916666666666663</v>
      </c>
      <c r="F538" s="8">
        <v>0.875</v>
      </c>
      <c r="G538" s="14">
        <v>8.0000000000000036</v>
      </c>
      <c r="H538" s="14">
        <v>3.4999999999999964</v>
      </c>
      <c r="I538" s="14">
        <v>3.4999999999999964</v>
      </c>
      <c r="J538" s="42" t="s">
        <v>30</v>
      </c>
      <c r="K538" s="25" t="s">
        <v>182</v>
      </c>
      <c r="L538" s="66">
        <f t="shared" si="16"/>
        <v>1</v>
      </c>
      <c r="M538" s="19" t="str">
        <f t="shared" si="17"/>
        <v>Jun_2017</v>
      </c>
    </row>
    <row r="539" spans="1:13">
      <c r="A539" s="4" t="s">
        <v>11</v>
      </c>
      <c r="B539" s="57" t="s">
        <v>149</v>
      </c>
      <c r="C539" s="21">
        <v>42915</v>
      </c>
      <c r="D539" s="5" t="s">
        <v>25</v>
      </c>
      <c r="E539" s="8">
        <v>0.72916666666666663</v>
      </c>
      <c r="F539" s="8">
        <v>0.875</v>
      </c>
      <c r="G539" s="14">
        <v>8.0000000000000036</v>
      </c>
      <c r="H539" s="14">
        <v>3.4999999999999964</v>
      </c>
      <c r="I539" s="14">
        <v>3.4999999999999964</v>
      </c>
      <c r="J539" s="25" t="s">
        <v>30</v>
      </c>
      <c r="K539" s="25" t="s">
        <v>182</v>
      </c>
      <c r="L539" s="66">
        <f t="shared" si="16"/>
        <v>1</v>
      </c>
      <c r="M539" s="19" t="str">
        <f t="shared" si="17"/>
        <v>Jun_2017</v>
      </c>
    </row>
    <row r="540" spans="1:13">
      <c r="A540" s="4" t="s">
        <v>11</v>
      </c>
      <c r="B540" s="57" t="s">
        <v>161</v>
      </c>
      <c r="C540" s="21">
        <v>42915</v>
      </c>
      <c r="D540" s="5" t="s">
        <v>25</v>
      </c>
      <c r="E540" s="8">
        <v>0.72916666666666663</v>
      </c>
      <c r="F540" s="8">
        <v>0.875</v>
      </c>
      <c r="G540" s="14">
        <v>8.0000000000000036</v>
      </c>
      <c r="H540" s="14">
        <v>3.4999999999999964</v>
      </c>
      <c r="I540" s="14">
        <v>3.4999999999999964</v>
      </c>
      <c r="J540" s="25" t="s">
        <v>30</v>
      </c>
      <c r="K540" s="25" t="s">
        <v>182</v>
      </c>
      <c r="L540" s="66">
        <f t="shared" si="16"/>
        <v>1</v>
      </c>
      <c r="M540" s="19" t="str">
        <f t="shared" si="17"/>
        <v>Jun_2017</v>
      </c>
    </row>
    <row r="541" spans="1:13">
      <c r="A541" s="4" t="s">
        <v>22</v>
      </c>
      <c r="B541" s="57" t="s">
        <v>80</v>
      </c>
      <c r="C541" s="21">
        <v>42915</v>
      </c>
      <c r="D541" s="5" t="s">
        <v>25</v>
      </c>
      <c r="E541" s="8">
        <v>0.35416666666666663</v>
      </c>
      <c r="F541" s="8">
        <v>0.875</v>
      </c>
      <c r="G541" s="14">
        <v>0</v>
      </c>
      <c r="H541" s="14">
        <v>11.5</v>
      </c>
      <c r="I541" s="14">
        <v>11.5</v>
      </c>
      <c r="J541" s="25" t="s">
        <v>30</v>
      </c>
      <c r="K541" s="25" t="s">
        <v>182</v>
      </c>
      <c r="L541" s="66" t="str">
        <f t="shared" si="16"/>
        <v/>
      </c>
      <c r="M541" s="19" t="str">
        <f t="shared" si="17"/>
        <v>Jun_2017</v>
      </c>
    </row>
    <row r="542" spans="1:13">
      <c r="A542" s="4" t="s">
        <v>22</v>
      </c>
      <c r="B542" s="57" t="s">
        <v>78</v>
      </c>
      <c r="C542" s="21">
        <v>42915</v>
      </c>
      <c r="D542" s="5" t="s">
        <v>25</v>
      </c>
      <c r="E542" s="8">
        <v>0.375</v>
      </c>
      <c r="F542" s="8">
        <v>0.75</v>
      </c>
      <c r="G542" s="14">
        <v>0</v>
      </c>
      <c r="H542" s="14">
        <v>8</v>
      </c>
      <c r="I542" s="14">
        <v>8</v>
      </c>
      <c r="J542" s="42" t="s">
        <v>30</v>
      </c>
      <c r="K542" s="25" t="s">
        <v>182</v>
      </c>
      <c r="L542" s="66" t="str">
        <f t="shared" si="16"/>
        <v/>
      </c>
      <c r="M542" s="19" t="str">
        <f t="shared" si="17"/>
        <v>Jun_2017</v>
      </c>
    </row>
    <row r="543" spans="1:13">
      <c r="A543" s="4" t="s">
        <v>11</v>
      </c>
      <c r="B543" s="57" t="s">
        <v>187</v>
      </c>
      <c r="C543" s="21">
        <v>42915</v>
      </c>
      <c r="D543" s="5" t="s">
        <v>25</v>
      </c>
      <c r="E543" s="8">
        <v>0.72916666666666663</v>
      </c>
      <c r="F543" s="8">
        <v>0.875</v>
      </c>
      <c r="G543" s="14">
        <v>8.0000000000000036</v>
      </c>
      <c r="H543" s="14">
        <v>3.4999999999999964</v>
      </c>
      <c r="I543" s="14">
        <v>3.4999999999999964</v>
      </c>
      <c r="J543" s="42" t="s">
        <v>30</v>
      </c>
      <c r="K543" s="25" t="s">
        <v>182</v>
      </c>
      <c r="L543" s="66">
        <f t="shared" si="16"/>
        <v>1</v>
      </c>
      <c r="M543" s="19" t="str">
        <f t="shared" si="17"/>
        <v>Jun_2017</v>
      </c>
    </row>
    <row r="544" spans="1:13">
      <c r="A544" s="4" t="s">
        <v>11</v>
      </c>
      <c r="B544" s="57" t="s">
        <v>12</v>
      </c>
      <c r="C544" s="24">
        <v>42916</v>
      </c>
      <c r="D544" s="5" t="s">
        <v>17</v>
      </c>
      <c r="E544" s="8">
        <v>0.70833333333333326</v>
      </c>
      <c r="F544" s="8">
        <v>0.88541666666666663</v>
      </c>
      <c r="G544" s="14">
        <v>8.0000000000000036</v>
      </c>
      <c r="H544" s="14">
        <v>4.2499999999999947</v>
      </c>
      <c r="I544" s="14">
        <v>4.2499999999999947</v>
      </c>
      <c r="J544" s="42" t="s">
        <v>30</v>
      </c>
      <c r="K544" s="25" t="s">
        <v>183</v>
      </c>
      <c r="L544" s="66">
        <f t="shared" si="16"/>
        <v>1</v>
      </c>
      <c r="M544" s="19" t="str">
        <f t="shared" si="17"/>
        <v>Jun_2017</v>
      </c>
    </row>
    <row r="545" spans="1:13">
      <c r="A545" s="4" t="s">
        <v>11</v>
      </c>
      <c r="B545" s="57" t="s">
        <v>19</v>
      </c>
      <c r="C545" s="21">
        <v>42916</v>
      </c>
      <c r="D545" s="5" t="s">
        <v>17</v>
      </c>
      <c r="E545" s="8">
        <v>0.70833333333333326</v>
      </c>
      <c r="F545" s="8">
        <v>0.88541666666666663</v>
      </c>
      <c r="G545" s="14">
        <v>8.0000000000000036</v>
      </c>
      <c r="H545" s="14">
        <v>4.2499999999999947</v>
      </c>
      <c r="I545" s="14">
        <v>4.2499999999999947</v>
      </c>
      <c r="J545" s="42" t="s">
        <v>30</v>
      </c>
      <c r="K545" s="25" t="s">
        <v>183</v>
      </c>
      <c r="L545" s="66">
        <f t="shared" si="16"/>
        <v>1</v>
      </c>
      <c r="M545" s="19" t="str">
        <f t="shared" si="17"/>
        <v>Jun_2017</v>
      </c>
    </row>
    <row r="546" spans="1:13">
      <c r="A546" s="4" t="s">
        <v>22</v>
      </c>
      <c r="B546" s="57" t="s">
        <v>23</v>
      </c>
      <c r="C546" s="21">
        <v>42916</v>
      </c>
      <c r="D546" s="5" t="s">
        <v>17</v>
      </c>
      <c r="E546" s="8">
        <v>0.33333333333333331</v>
      </c>
      <c r="F546" s="8">
        <v>0.72916666666666674</v>
      </c>
      <c r="G546" s="14">
        <v>0</v>
      </c>
      <c r="H546" s="14">
        <v>8.5000000000000018</v>
      </c>
      <c r="I546" s="14">
        <v>8.5000000000000018</v>
      </c>
      <c r="J546" s="42" t="s">
        <v>30</v>
      </c>
      <c r="K546" s="25" t="s">
        <v>183</v>
      </c>
      <c r="L546" s="66" t="str">
        <f t="shared" si="16"/>
        <v/>
      </c>
      <c r="M546" s="19" t="str">
        <f t="shared" si="17"/>
        <v>Jun_2017</v>
      </c>
    </row>
    <row r="547" spans="1:13">
      <c r="A547" s="4" t="s">
        <v>11</v>
      </c>
      <c r="B547" s="57" t="s">
        <v>26</v>
      </c>
      <c r="C547" s="21">
        <v>42916</v>
      </c>
      <c r="D547" s="5" t="s">
        <v>17</v>
      </c>
      <c r="E547" s="8">
        <v>0.70833333333333326</v>
      </c>
      <c r="F547" s="8">
        <v>0.88541666666666663</v>
      </c>
      <c r="G547" s="14">
        <v>8.0000000000000036</v>
      </c>
      <c r="H547" s="14">
        <v>4.2499999999999947</v>
      </c>
      <c r="I547" s="14">
        <v>4.2499999999999947</v>
      </c>
      <c r="J547" s="42" t="s">
        <v>30</v>
      </c>
      <c r="K547" s="25" t="s">
        <v>183</v>
      </c>
      <c r="L547" s="66">
        <f t="shared" si="16"/>
        <v>1</v>
      </c>
      <c r="M547" s="19" t="str">
        <f t="shared" si="17"/>
        <v>Jun_2017</v>
      </c>
    </row>
    <row r="548" spans="1:13">
      <c r="A548" s="4" t="s">
        <v>11</v>
      </c>
      <c r="B548" s="57" t="s">
        <v>149</v>
      </c>
      <c r="C548" s="21">
        <v>42916</v>
      </c>
      <c r="D548" s="5" t="s">
        <v>17</v>
      </c>
      <c r="E548" s="8">
        <v>0.70833333333333326</v>
      </c>
      <c r="F548" s="8">
        <v>0.88541666666666663</v>
      </c>
      <c r="G548" s="14">
        <v>8.0000000000000036</v>
      </c>
      <c r="H548" s="14">
        <v>4.2499999999999947</v>
      </c>
      <c r="I548" s="14">
        <v>4.2499999999999947</v>
      </c>
      <c r="J548" s="42" t="s">
        <v>30</v>
      </c>
      <c r="K548" s="25" t="s">
        <v>183</v>
      </c>
      <c r="L548" s="66">
        <f t="shared" si="16"/>
        <v>1</v>
      </c>
      <c r="M548" s="19" t="str">
        <f t="shared" si="17"/>
        <v>Jun_2017</v>
      </c>
    </row>
    <row r="549" spans="1:13">
      <c r="A549" s="4" t="s">
        <v>11</v>
      </c>
      <c r="B549" s="57" t="s">
        <v>161</v>
      </c>
      <c r="C549" s="21">
        <v>42916</v>
      </c>
      <c r="D549" s="5" t="s">
        <v>17</v>
      </c>
      <c r="E549" s="8">
        <v>0.70833333333333326</v>
      </c>
      <c r="F549" s="8">
        <v>0.88541666666666663</v>
      </c>
      <c r="G549" s="14">
        <v>8.0000000000000036</v>
      </c>
      <c r="H549" s="14">
        <v>4.2499999999999947</v>
      </c>
      <c r="I549" s="14">
        <v>4.2499999999999947</v>
      </c>
      <c r="J549" s="25" t="s">
        <v>30</v>
      </c>
      <c r="K549" s="25" t="s">
        <v>183</v>
      </c>
      <c r="L549" s="66">
        <f t="shared" si="16"/>
        <v>1</v>
      </c>
      <c r="M549" s="19" t="str">
        <f t="shared" si="17"/>
        <v>Jun_2017</v>
      </c>
    </row>
    <row r="550" spans="1:13">
      <c r="A550" s="4" t="s">
        <v>22</v>
      </c>
      <c r="B550" s="57" t="s">
        <v>80</v>
      </c>
      <c r="C550" s="21">
        <v>42916</v>
      </c>
      <c r="D550" s="5" t="s">
        <v>17</v>
      </c>
      <c r="E550" s="8">
        <v>0.33333333333333331</v>
      </c>
      <c r="F550" s="8">
        <v>0.88541666666666663</v>
      </c>
      <c r="G550" s="14">
        <v>0</v>
      </c>
      <c r="H550" s="14">
        <v>12.249999999999998</v>
      </c>
      <c r="I550" s="14">
        <v>12.249999999999998</v>
      </c>
      <c r="J550" s="25" t="s">
        <v>30</v>
      </c>
      <c r="K550" s="25" t="s">
        <v>183</v>
      </c>
      <c r="L550" s="66" t="str">
        <f t="shared" si="16"/>
        <v/>
      </c>
      <c r="M550" s="19" t="str">
        <f t="shared" si="17"/>
        <v>Jun_2017</v>
      </c>
    </row>
    <row r="551" spans="1:13">
      <c r="A551" s="4" t="s">
        <v>11</v>
      </c>
      <c r="B551" s="57" t="s">
        <v>187</v>
      </c>
      <c r="C551" s="21">
        <v>42916</v>
      </c>
      <c r="D551" s="5" t="s">
        <v>17</v>
      </c>
      <c r="E551" s="8">
        <v>0.70833333333333326</v>
      </c>
      <c r="F551" s="8">
        <v>0.88541666666666663</v>
      </c>
      <c r="G551" s="14">
        <v>8.0000000000000036</v>
      </c>
      <c r="H551" s="14">
        <v>4.2499999999999947</v>
      </c>
      <c r="I551" s="14">
        <v>4.2499999999999947</v>
      </c>
      <c r="J551" s="42" t="s">
        <v>30</v>
      </c>
      <c r="K551" s="25" t="s">
        <v>183</v>
      </c>
      <c r="L551" s="66">
        <f t="shared" si="16"/>
        <v>1</v>
      </c>
      <c r="M551" s="19" t="str">
        <f t="shared" si="17"/>
        <v>Jun_2017</v>
      </c>
    </row>
    <row r="552" spans="1:13">
      <c r="A552" s="4" t="s">
        <v>11</v>
      </c>
      <c r="B552" s="57" t="s">
        <v>12</v>
      </c>
      <c r="C552" s="24">
        <v>42917</v>
      </c>
      <c r="D552" s="5" t="s">
        <v>24</v>
      </c>
      <c r="E552" s="8">
        <v>0.70833333333333304</v>
      </c>
      <c r="F552" s="8">
        <v>0.875</v>
      </c>
      <c r="G552" s="14">
        <v>8.0000000000000036</v>
      </c>
      <c r="H552" s="14">
        <v>4.0000000000000036</v>
      </c>
      <c r="I552" s="14">
        <v>12.000000000000007</v>
      </c>
      <c r="J552" s="42" t="s">
        <v>52</v>
      </c>
      <c r="K552" s="25" t="s">
        <v>184</v>
      </c>
      <c r="L552" s="66">
        <f t="shared" si="16"/>
        <v>1</v>
      </c>
      <c r="M552" s="19" t="str">
        <f t="shared" si="17"/>
        <v>Jul_2017</v>
      </c>
    </row>
    <row r="553" spans="1:13">
      <c r="A553" s="4" t="s">
        <v>11</v>
      </c>
      <c r="B553" s="57" t="s">
        <v>19</v>
      </c>
      <c r="C553" s="21">
        <v>42917</v>
      </c>
      <c r="D553" s="5" t="s">
        <v>24</v>
      </c>
      <c r="E553" s="8">
        <v>0.70833333333333304</v>
      </c>
      <c r="F553" s="8">
        <v>0.875</v>
      </c>
      <c r="G553" s="14">
        <v>8.0000000000000036</v>
      </c>
      <c r="H553" s="14">
        <v>4.0000000000000036</v>
      </c>
      <c r="I553" s="14">
        <v>12.000000000000007</v>
      </c>
      <c r="J553" s="25" t="s">
        <v>52</v>
      </c>
      <c r="K553" s="25" t="s">
        <v>185</v>
      </c>
      <c r="L553" s="66">
        <f t="shared" si="16"/>
        <v>1</v>
      </c>
      <c r="M553" s="19" t="str">
        <f t="shared" si="17"/>
        <v>Jul_2017</v>
      </c>
    </row>
    <row r="554" spans="1:13">
      <c r="A554" s="4" t="s">
        <v>11</v>
      </c>
      <c r="B554" s="57" t="s">
        <v>149</v>
      </c>
      <c r="C554" s="21">
        <v>42917</v>
      </c>
      <c r="D554" s="5" t="s">
        <v>24</v>
      </c>
      <c r="E554" s="8">
        <v>0.70833333333333304</v>
      </c>
      <c r="F554" s="8">
        <v>0.875</v>
      </c>
      <c r="G554" s="14">
        <v>8.0000000000000036</v>
      </c>
      <c r="H554" s="14">
        <v>4.0000000000000036</v>
      </c>
      <c r="I554" s="14">
        <v>12.000000000000007</v>
      </c>
      <c r="J554" s="42" t="s">
        <v>52</v>
      </c>
      <c r="K554" s="25" t="s">
        <v>185</v>
      </c>
      <c r="L554" s="66">
        <f t="shared" si="16"/>
        <v>1</v>
      </c>
      <c r="M554" s="19" t="str">
        <f t="shared" si="17"/>
        <v>Jul_2017</v>
      </c>
    </row>
    <row r="555" spans="1:13">
      <c r="A555" s="4" t="s">
        <v>11</v>
      </c>
      <c r="B555" s="57" t="s">
        <v>161</v>
      </c>
      <c r="C555" s="21">
        <v>42917</v>
      </c>
      <c r="D555" s="5" t="s">
        <v>24</v>
      </c>
      <c r="E555" s="8">
        <v>0.70833333333333304</v>
      </c>
      <c r="F555" s="8">
        <v>0.875</v>
      </c>
      <c r="G555" s="14">
        <v>8.0000000000000036</v>
      </c>
      <c r="H555" s="14">
        <v>4.0000000000000036</v>
      </c>
      <c r="I555" s="14">
        <v>12.000000000000007</v>
      </c>
      <c r="J555" s="42" t="s">
        <v>52</v>
      </c>
      <c r="K555" s="25" t="s">
        <v>185</v>
      </c>
      <c r="L555" s="66">
        <f t="shared" si="16"/>
        <v>1</v>
      </c>
      <c r="M555" s="19" t="str">
        <f t="shared" si="17"/>
        <v>Jul_2017</v>
      </c>
    </row>
    <row r="556" spans="1:13">
      <c r="A556" s="4" t="s">
        <v>22</v>
      </c>
      <c r="B556" s="57" t="s">
        <v>23</v>
      </c>
      <c r="C556" s="21">
        <v>42917</v>
      </c>
      <c r="D556" s="5" t="s">
        <v>24</v>
      </c>
      <c r="E556" s="8">
        <v>0.33333333333333298</v>
      </c>
      <c r="F556" s="8">
        <v>0.875</v>
      </c>
      <c r="G556" s="14">
        <v>0</v>
      </c>
      <c r="H556" s="14">
        <v>12.000000000000007</v>
      </c>
      <c r="I556" s="14">
        <v>12.000000000000007</v>
      </c>
      <c r="J556" s="25" t="s">
        <v>52</v>
      </c>
      <c r="K556" s="25" t="s">
        <v>185</v>
      </c>
      <c r="L556" s="66" t="str">
        <f t="shared" si="16"/>
        <v/>
      </c>
      <c r="M556" s="19" t="str">
        <f t="shared" si="17"/>
        <v>Jul_2017</v>
      </c>
    </row>
    <row r="557" spans="1:13">
      <c r="A557" s="4" t="s">
        <v>22</v>
      </c>
      <c r="B557" s="57" t="s">
        <v>80</v>
      </c>
      <c r="C557" s="21">
        <v>42917</v>
      </c>
      <c r="D557" s="5" t="s">
        <v>24</v>
      </c>
      <c r="E557" s="8">
        <v>0.33333333333333298</v>
      </c>
      <c r="F557" s="8">
        <v>0.875</v>
      </c>
      <c r="G557" s="14">
        <v>0</v>
      </c>
      <c r="H557" s="14">
        <v>12.000000000000007</v>
      </c>
      <c r="I557" s="14">
        <v>12.000000000000007</v>
      </c>
      <c r="J557" s="42" t="s">
        <v>52</v>
      </c>
      <c r="K557" s="25" t="s">
        <v>185</v>
      </c>
      <c r="L557" s="66" t="str">
        <f t="shared" si="16"/>
        <v/>
      </c>
      <c r="M557" s="19" t="str">
        <f t="shared" si="17"/>
        <v>Jul_2017</v>
      </c>
    </row>
    <row r="558" spans="1:13">
      <c r="A558" s="4" t="s">
        <v>22</v>
      </c>
      <c r="B558" s="57" t="s">
        <v>78</v>
      </c>
      <c r="C558" s="21">
        <v>42917</v>
      </c>
      <c r="D558" s="5" t="s">
        <v>24</v>
      </c>
      <c r="E558" s="8">
        <v>0.41666666666666702</v>
      </c>
      <c r="F558" s="8">
        <v>0.875</v>
      </c>
      <c r="G558" s="14">
        <v>0</v>
      </c>
      <c r="H558" s="14">
        <v>9.9999999999999911</v>
      </c>
      <c r="I558" s="14">
        <v>9.9999999999999911</v>
      </c>
      <c r="J558" s="25" t="s">
        <v>52</v>
      </c>
      <c r="K558" s="25" t="s">
        <v>185</v>
      </c>
      <c r="L558" s="66" t="str">
        <f t="shared" si="16"/>
        <v/>
      </c>
      <c r="M558" s="19" t="str">
        <f t="shared" si="17"/>
        <v>Jul_2017</v>
      </c>
    </row>
    <row r="559" spans="1:13">
      <c r="A559" s="4" t="s">
        <v>11</v>
      </c>
      <c r="B559" s="57" t="s">
        <v>12</v>
      </c>
      <c r="C559" s="24">
        <v>42918</v>
      </c>
      <c r="D559" s="5" t="s">
        <v>13</v>
      </c>
      <c r="E559" s="8">
        <v>0.33333333333333298</v>
      </c>
      <c r="F559" s="8">
        <v>0.875</v>
      </c>
      <c r="G559" s="14"/>
      <c r="H559" s="14">
        <v>12.000000000000007</v>
      </c>
      <c r="I559" s="14">
        <v>12.000000000000007</v>
      </c>
      <c r="J559" s="42" t="s">
        <v>52</v>
      </c>
      <c r="K559" s="25" t="s">
        <v>186</v>
      </c>
      <c r="L559" s="66">
        <f t="shared" si="16"/>
        <v>1</v>
      </c>
      <c r="M559" s="19" t="str">
        <f t="shared" si="17"/>
        <v>Jul_2017</v>
      </c>
    </row>
    <row r="560" spans="1:13">
      <c r="A560" s="4" t="s">
        <v>11</v>
      </c>
      <c r="B560" s="57" t="s">
        <v>19</v>
      </c>
      <c r="C560" s="21">
        <v>42918</v>
      </c>
      <c r="D560" s="5" t="s">
        <v>13</v>
      </c>
      <c r="E560" s="8">
        <v>0.33333333333333298</v>
      </c>
      <c r="F560" s="8">
        <v>0.79166666666666696</v>
      </c>
      <c r="G560" s="14"/>
      <c r="H560" s="14">
        <v>10.000000000000016</v>
      </c>
      <c r="I560" s="14">
        <v>10.000000000000016</v>
      </c>
      <c r="J560" s="42" t="s">
        <v>52</v>
      </c>
      <c r="K560" s="25" t="s">
        <v>186</v>
      </c>
      <c r="L560" s="66">
        <f t="shared" si="16"/>
        <v>1</v>
      </c>
      <c r="M560" s="19" t="str">
        <f t="shared" si="17"/>
        <v>Jul_2017</v>
      </c>
    </row>
    <row r="561" spans="1:13">
      <c r="A561" s="4" t="s">
        <v>11</v>
      </c>
      <c r="B561" s="57" t="s">
        <v>26</v>
      </c>
      <c r="C561" s="21">
        <v>42918</v>
      </c>
      <c r="D561" s="5" t="s">
        <v>13</v>
      </c>
      <c r="E561" s="8">
        <v>0.33333333333333298</v>
      </c>
      <c r="F561" s="8">
        <v>0.79166666666666696</v>
      </c>
      <c r="G561" s="14"/>
      <c r="H561" s="14">
        <v>10.000000000000016</v>
      </c>
      <c r="I561" s="14">
        <v>10.000000000000016</v>
      </c>
      <c r="J561" s="25" t="s">
        <v>52</v>
      </c>
      <c r="K561" s="25" t="s">
        <v>186</v>
      </c>
      <c r="L561" s="66">
        <f t="shared" si="16"/>
        <v>1</v>
      </c>
      <c r="M561" s="19" t="str">
        <f t="shared" si="17"/>
        <v>Jul_2017</v>
      </c>
    </row>
    <row r="562" spans="1:13">
      <c r="A562" s="4" t="s">
        <v>11</v>
      </c>
      <c r="B562" s="57" t="s">
        <v>149</v>
      </c>
      <c r="C562" s="21">
        <v>42918</v>
      </c>
      <c r="D562" s="5" t="s">
        <v>13</v>
      </c>
      <c r="E562" s="8">
        <v>0.33333333333333298</v>
      </c>
      <c r="F562" s="8">
        <v>0.79166666666666696</v>
      </c>
      <c r="G562" s="14"/>
      <c r="H562" s="14">
        <v>10.000000000000016</v>
      </c>
      <c r="I562" s="14">
        <v>10.000000000000016</v>
      </c>
      <c r="J562" s="42" t="s">
        <v>52</v>
      </c>
      <c r="K562" s="25" t="s">
        <v>186</v>
      </c>
      <c r="L562" s="66">
        <f t="shared" si="16"/>
        <v>1</v>
      </c>
      <c r="M562" s="19" t="str">
        <f t="shared" si="17"/>
        <v>Jul_2017</v>
      </c>
    </row>
    <row r="563" spans="1:13">
      <c r="A563" s="4" t="s">
        <v>11</v>
      </c>
      <c r="B563" s="57" t="s">
        <v>161</v>
      </c>
      <c r="C563" s="21">
        <v>42918</v>
      </c>
      <c r="D563" s="5" t="s">
        <v>13</v>
      </c>
      <c r="E563" s="8">
        <v>0.33333333333333298</v>
      </c>
      <c r="F563" s="8">
        <v>0.79166666666666696</v>
      </c>
      <c r="G563" s="14"/>
      <c r="H563" s="14">
        <v>10.000000000000016</v>
      </c>
      <c r="I563" s="14">
        <v>10.000000000000016</v>
      </c>
      <c r="J563" s="42" t="s">
        <v>52</v>
      </c>
      <c r="K563" s="25" t="s">
        <v>186</v>
      </c>
      <c r="L563" s="66">
        <f t="shared" si="16"/>
        <v>1</v>
      </c>
      <c r="M563" s="19" t="str">
        <f t="shared" si="17"/>
        <v>Jul_2017</v>
      </c>
    </row>
    <row r="564" spans="1:13">
      <c r="A564" s="4" t="s">
        <v>22</v>
      </c>
      <c r="B564" s="57" t="s">
        <v>23</v>
      </c>
      <c r="C564" s="21">
        <v>42918</v>
      </c>
      <c r="D564" s="5" t="s">
        <v>13</v>
      </c>
      <c r="E564" s="8">
        <v>0.33333333333333298</v>
      </c>
      <c r="F564" s="8">
        <v>0.875</v>
      </c>
      <c r="G564" s="14"/>
      <c r="H564" s="14">
        <v>12.000000000000007</v>
      </c>
      <c r="I564" s="14">
        <v>12.000000000000007</v>
      </c>
      <c r="J564" s="42" t="s">
        <v>52</v>
      </c>
      <c r="K564" s="25" t="s">
        <v>186</v>
      </c>
      <c r="L564" s="66" t="str">
        <f t="shared" si="16"/>
        <v/>
      </c>
      <c r="M564" s="19" t="str">
        <f t="shared" si="17"/>
        <v>Jul_2017</v>
      </c>
    </row>
    <row r="565" spans="1:13">
      <c r="A565" s="4" t="s">
        <v>11</v>
      </c>
      <c r="B565" s="57" t="s">
        <v>187</v>
      </c>
      <c r="C565" s="21">
        <v>42918</v>
      </c>
      <c r="D565" s="5" t="s">
        <v>13</v>
      </c>
      <c r="E565" s="8">
        <v>0.33333333333333298</v>
      </c>
      <c r="F565" s="8">
        <v>0.72916666666666696</v>
      </c>
      <c r="G565" s="14"/>
      <c r="H565" s="14">
        <v>8.500000000000016</v>
      </c>
      <c r="I565" s="14">
        <v>8.500000000000016</v>
      </c>
      <c r="J565" s="25" t="s">
        <v>52</v>
      </c>
      <c r="K565" s="25" t="s">
        <v>186</v>
      </c>
      <c r="L565" s="66">
        <f t="shared" si="16"/>
        <v>1</v>
      </c>
      <c r="M565" s="19" t="str">
        <f t="shared" si="17"/>
        <v>Jul_2017</v>
      </c>
    </row>
    <row r="566" spans="1:13">
      <c r="A566" s="4" t="s">
        <v>22</v>
      </c>
      <c r="B566" s="57" t="s">
        <v>80</v>
      </c>
      <c r="C566" s="21">
        <v>42918</v>
      </c>
      <c r="D566" s="5" t="s">
        <v>13</v>
      </c>
      <c r="E566" s="8">
        <v>0.33333333333333298</v>
      </c>
      <c r="F566" s="8">
        <v>0.875</v>
      </c>
      <c r="G566" s="14"/>
      <c r="H566" s="14">
        <v>12.000000000000007</v>
      </c>
      <c r="I566" s="14">
        <v>12.000000000000007</v>
      </c>
      <c r="J566" s="42" t="s">
        <v>52</v>
      </c>
      <c r="K566" s="25" t="s">
        <v>186</v>
      </c>
      <c r="L566" s="66" t="str">
        <f t="shared" si="16"/>
        <v/>
      </c>
      <c r="M566" s="19" t="str">
        <f t="shared" si="17"/>
        <v>Jul_2017</v>
      </c>
    </row>
    <row r="567" spans="1:13">
      <c r="A567" s="4" t="s">
        <v>22</v>
      </c>
      <c r="B567" s="57" t="s">
        <v>78</v>
      </c>
      <c r="C567" s="21">
        <v>42918</v>
      </c>
      <c r="D567" s="5" t="s">
        <v>13</v>
      </c>
      <c r="E567" s="8">
        <v>0.33333333333333298</v>
      </c>
      <c r="F567" s="8">
        <v>0.875</v>
      </c>
      <c r="G567" s="14"/>
      <c r="H567" s="14">
        <v>12.000000000000007</v>
      </c>
      <c r="I567" s="14">
        <v>12.000000000000007</v>
      </c>
      <c r="J567" s="25" t="s">
        <v>52</v>
      </c>
      <c r="K567" s="25" t="s">
        <v>186</v>
      </c>
      <c r="L567" s="66" t="str">
        <f t="shared" si="16"/>
        <v/>
      </c>
      <c r="M567" s="19" t="str">
        <f t="shared" si="17"/>
        <v>Jul_2017</v>
      </c>
    </row>
    <row r="568" spans="1:13">
      <c r="A568" s="4" t="s">
        <v>11</v>
      </c>
      <c r="B568" s="57" t="s">
        <v>12</v>
      </c>
      <c r="C568" s="24">
        <v>42919</v>
      </c>
      <c r="D568" s="5" t="s">
        <v>16</v>
      </c>
      <c r="E568" s="8">
        <v>0.70833333333333304</v>
      </c>
      <c r="F568" s="8">
        <v>0.875</v>
      </c>
      <c r="G568" s="14">
        <v>8.0000000000000036</v>
      </c>
      <c r="H568" s="14">
        <v>4.0000000000000036</v>
      </c>
      <c r="I568" s="14">
        <v>4.0000000000000036</v>
      </c>
      <c r="J568" s="42" t="s">
        <v>30</v>
      </c>
      <c r="K568" s="25" t="s">
        <v>188</v>
      </c>
      <c r="L568" s="66">
        <f t="shared" si="16"/>
        <v>1</v>
      </c>
      <c r="M568" s="19" t="str">
        <f t="shared" si="17"/>
        <v>Jul_2017</v>
      </c>
    </row>
    <row r="569" spans="1:13">
      <c r="A569" s="4" t="s">
        <v>11</v>
      </c>
      <c r="B569" s="57" t="s">
        <v>26</v>
      </c>
      <c r="C569" s="21">
        <v>42919</v>
      </c>
      <c r="D569" s="5" t="s">
        <v>16</v>
      </c>
      <c r="E569" s="8">
        <v>0.66666666666666696</v>
      </c>
      <c r="F569" s="8">
        <v>0.875</v>
      </c>
      <c r="G569" s="14">
        <v>8.0000000000000036</v>
      </c>
      <c r="H569" s="14">
        <v>4.9999999999999893</v>
      </c>
      <c r="I569" s="14">
        <v>4.9999999999999893</v>
      </c>
      <c r="J569" s="42" t="s">
        <v>30</v>
      </c>
      <c r="K569" s="25" t="s">
        <v>188</v>
      </c>
      <c r="L569" s="66">
        <f t="shared" si="16"/>
        <v>1</v>
      </c>
      <c r="M569" s="19" t="str">
        <f t="shared" si="17"/>
        <v>Jul_2017</v>
      </c>
    </row>
    <row r="570" spans="1:13">
      <c r="A570" s="4" t="s">
        <v>11</v>
      </c>
      <c r="B570" s="57" t="s">
        <v>149</v>
      </c>
      <c r="C570" s="21">
        <v>42919</v>
      </c>
      <c r="D570" s="5" t="s">
        <v>16</v>
      </c>
      <c r="E570" s="8">
        <v>0.70833333333333304</v>
      </c>
      <c r="F570" s="8">
        <v>0.875</v>
      </c>
      <c r="G570" s="14">
        <v>8.0000000000000036</v>
      </c>
      <c r="H570" s="14">
        <v>4.0000000000000036</v>
      </c>
      <c r="I570" s="14">
        <v>4.0000000000000036</v>
      </c>
      <c r="J570" s="42" t="s">
        <v>30</v>
      </c>
      <c r="K570" s="25" t="s">
        <v>188</v>
      </c>
      <c r="L570" s="66">
        <f t="shared" si="16"/>
        <v>1</v>
      </c>
      <c r="M570" s="19" t="str">
        <f t="shared" si="17"/>
        <v>Jul_2017</v>
      </c>
    </row>
    <row r="571" spans="1:13">
      <c r="A571" s="4" t="s">
        <v>11</v>
      </c>
      <c r="B571" s="57" t="s">
        <v>161</v>
      </c>
      <c r="C571" s="21">
        <v>42919</v>
      </c>
      <c r="D571" s="5" t="s">
        <v>16</v>
      </c>
      <c r="E571" s="8">
        <v>0.70833333333333304</v>
      </c>
      <c r="F571" s="8">
        <v>0.875</v>
      </c>
      <c r="G571" s="14">
        <v>8.0000000000000036</v>
      </c>
      <c r="H571" s="14">
        <v>4.0000000000000036</v>
      </c>
      <c r="I571" s="14">
        <v>4.0000000000000036</v>
      </c>
      <c r="J571" s="42" t="s">
        <v>30</v>
      </c>
      <c r="K571" s="25" t="s">
        <v>188</v>
      </c>
      <c r="L571" s="66">
        <f t="shared" si="16"/>
        <v>1</v>
      </c>
      <c r="M571" s="19" t="str">
        <f t="shared" si="17"/>
        <v>Jul_2017</v>
      </c>
    </row>
    <row r="572" spans="1:13">
      <c r="A572" s="4" t="s">
        <v>22</v>
      </c>
      <c r="B572" s="57" t="s">
        <v>23</v>
      </c>
      <c r="C572" s="21">
        <v>42919</v>
      </c>
      <c r="D572" s="5" t="s">
        <v>16</v>
      </c>
      <c r="E572" s="8">
        <v>0.33333333333333298</v>
      </c>
      <c r="F572" s="8">
        <v>0.875</v>
      </c>
      <c r="G572" s="14">
        <v>0</v>
      </c>
      <c r="H572" s="14">
        <v>12.000000000000007</v>
      </c>
      <c r="I572" s="14">
        <v>12.000000000000007</v>
      </c>
      <c r="J572" s="42" t="s">
        <v>30</v>
      </c>
      <c r="K572" s="25" t="s">
        <v>188</v>
      </c>
      <c r="L572" s="66" t="str">
        <f t="shared" si="16"/>
        <v/>
      </c>
      <c r="M572" s="19" t="str">
        <f t="shared" si="17"/>
        <v>Jul_2017</v>
      </c>
    </row>
    <row r="573" spans="1:13">
      <c r="A573" s="4" t="s">
        <v>11</v>
      </c>
      <c r="B573" s="57" t="s">
        <v>187</v>
      </c>
      <c r="C573" s="21">
        <v>42919</v>
      </c>
      <c r="D573" s="5" t="s">
        <v>16</v>
      </c>
      <c r="E573" s="8">
        <v>0.72916666666666696</v>
      </c>
      <c r="F573" s="8">
        <v>0.875</v>
      </c>
      <c r="G573" s="14">
        <v>8.0000000000000036</v>
      </c>
      <c r="H573" s="14">
        <v>3.4999999999999893</v>
      </c>
      <c r="I573" s="14">
        <v>3.4999999999999893</v>
      </c>
      <c r="J573" s="25" t="s">
        <v>30</v>
      </c>
      <c r="K573" s="25" t="s">
        <v>188</v>
      </c>
      <c r="L573" s="66">
        <f t="shared" si="16"/>
        <v>1</v>
      </c>
      <c r="M573" s="19" t="str">
        <f t="shared" si="17"/>
        <v>Jul_2017</v>
      </c>
    </row>
    <row r="574" spans="1:13">
      <c r="A574" s="4" t="s">
        <v>22</v>
      </c>
      <c r="B574" s="57" t="s">
        <v>80</v>
      </c>
      <c r="C574" s="21">
        <v>42919</v>
      </c>
      <c r="D574" s="5" t="s">
        <v>16</v>
      </c>
      <c r="E574" s="8">
        <v>0.33333333333333298</v>
      </c>
      <c r="F574" s="8">
        <v>0.70833333333333304</v>
      </c>
      <c r="G574" s="14">
        <v>0</v>
      </c>
      <c r="H574" s="14">
        <v>8.0000000000000018</v>
      </c>
      <c r="I574" s="14">
        <v>8.0000000000000018</v>
      </c>
      <c r="J574" s="42" t="s">
        <v>30</v>
      </c>
      <c r="K574" s="25" t="s">
        <v>188</v>
      </c>
      <c r="L574" s="66" t="str">
        <f t="shared" si="16"/>
        <v/>
      </c>
      <c r="M574" s="19" t="str">
        <f t="shared" si="17"/>
        <v>Jul_2017</v>
      </c>
    </row>
    <row r="575" spans="1:13">
      <c r="A575" s="4" t="s">
        <v>11</v>
      </c>
      <c r="B575" s="57" t="s">
        <v>12</v>
      </c>
      <c r="C575" s="24">
        <v>42920</v>
      </c>
      <c r="D575" s="5" t="s">
        <v>14</v>
      </c>
      <c r="E575" s="8">
        <v>0.70833333333333304</v>
      </c>
      <c r="F575" s="8">
        <v>0.875</v>
      </c>
      <c r="G575" s="14">
        <v>8.0000000000000036</v>
      </c>
      <c r="H575" s="14">
        <v>4.0000000000000036</v>
      </c>
      <c r="I575" s="14">
        <v>4.0000000000000036</v>
      </c>
      <c r="J575" s="42" t="s">
        <v>30</v>
      </c>
      <c r="K575" s="25" t="s">
        <v>189</v>
      </c>
      <c r="L575" s="66">
        <f t="shared" si="16"/>
        <v>1</v>
      </c>
      <c r="M575" s="19" t="str">
        <f t="shared" si="17"/>
        <v>Jul_2017</v>
      </c>
    </row>
    <row r="576" spans="1:13">
      <c r="A576" s="4" t="s">
        <v>11</v>
      </c>
      <c r="B576" s="57" t="s">
        <v>19</v>
      </c>
      <c r="C576" s="21">
        <v>42920</v>
      </c>
      <c r="D576" s="5" t="s">
        <v>14</v>
      </c>
      <c r="E576" s="8">
        <v>0.70833333333333304</v>
      </c>
      <c r="F576" s="8">
        <v>0.875</v>
      </c>
      <c r="G576" s="14">
        <v>8.0000000000000036</v>
      </c>
      <c r="H576" s="14">
        <v>4.0000000000000036</v>
      </c>
      <c r="I576" s="14">
        <v>4.0000000000000036</v>
      </c>
      <c r="J576" s="25" t="s">
        <v>30</v>
      </c>
      <c r="K576" s="25" t="s">
        <v>189</v>
      </c>
      <c r="L576" s="66">
        <f t="shared" si="16"/>
        <v>1</v>
      </c>
      <c r="M576" s="19" t="str">
        <f t="shared" si="17"/>
        <v>Jul_2017</v>
      </c>
    </row>
    <row r="577" spans="1:13">
      <c r="A577" s="4" t="s">
        <v>11</v>
      </c>
      <c r="B577" s="57" t="s">
        <v>26</v>
      </c>
      <c r="C577" s="21">
        <v>42920</v>
      </c>
      <c r="D577" s="5" t="s">
        <v>14</v>
      </c>
      <c r="E577" s="8">
        <v>0.70833333333333304</v>
      </c>
      <c r="F577" s="8">
        <v>0.875</v>
      </c>
      <c r="G577" s="14">
        <v>8.0000000000000036</v>
      </c>
      <c r="H577" s="14">
        <v>4.0000000000000036</v>
      </c>
      <c r="I577" s="14">
        <v>4.0000000000000036</v>
      </c>
      <c r="J577" s="42" t="s">
        <v>30</v>
      </c>
      <c r="K577" s="25" t="s">
        <v>189</v>
      </c>
      <c r="L577" s="66">
        <f t="shared" si="16"/>
        <v>1</v>
      </c>
      <c r="M577" s="19" t="str">
        <f t="shared" si="17"/>
        <v>Jul_2017</v>
      </c>
    </row>
    <row r="578" spans="1:13">
      <c r="A578" s="4" t="s">
        <v>11</v>
      </c>
      <c r="B578" s="57" t="s">
        <v>149</v>
      </c>
      <c r="C578" s="21">
        <v>42920</v>
      </c>
      <c r="D578" s="5" t="s">
        <v>14</v>
      </c>
      <c r="E578" s="8">
        <v>0.70833333333333304</v>
      </c>
      <c r="F578" s="8">
        <v>0.875</v>
      </c>
      <c r="G578" s="14">
        <v>8.0000000000000036</v>
      </c>
      <c r="H578" s="14">
        <v>4.0000000000000036</v>
      </c>
      <c r="I578" s="14">
        <v>4.0000000000000036</v>
      </c>
      <c r="J578" s="42" t="s">
        <v>30</v>
      </c>
      <c r="K578" s="25" t="s">
        <v>189</v>
      </c>
      <c r="L578" s="66">
        <f t="shared" ref="L578:L641" si="18">IF(AND($A578="Perm Staff Onsite",$H578&gt;=2),1,"")</f>
        <v>1</v>
      </c>
      <c r="M578" s="19" t="str">
        <f t="shared" si="17"/>
        <v>Jul_2017</v>
      </c>
    </row>
    <row r="579" spans="1:13">
      <c r="A579" s="4" t="s">
        <v>11</v>
      </c>
      <c r="B579" s="57" t="s">
        <v>161</v>
      </c>
      <c r="C579" s="21">
        <v>42920</v>
      </c>
      <c r="D579" s="5" t="s">
        <v>14</v>
      </c>
      <c r="E579" s="8">
        <v>0.70833333333333304</v>
      </c>
      <c r="F579" s="8">
        <v>0.875</v>
      </c>
      <c r="G579" s="14">
        <v>8.0000000000000036</v>
      </c>
      <c r="H579" s="14">
        <v>4.0000000000000036</v>
      </c>
      <c r="I579" s="14">
        <v>4.0000000000000036</v>
      </c>
      <c r="J579" s="42" t="s">
        <v>30</v>
      </c>
      <c r="K579" s="25" t="s">
        <v>189</v>
      </c>
      <c r="L579" s="66">
        <f t="shared" si="18"/>
        <v>1</v>
      </c>
      <c r="M579" s="19" t="str">
        <f t="shared" ref="M579:M642" si="19">IF($C579="","",TEXT(DATE(YEAR($C579),MONTH($C579),DAY($C579)),"MMM")&amp;"_"&amp;YEAR($C579))</f>
        <v>Jul_2017</v>
      </c>
    </row>
    <row r="580" spans="1:13">
      <c r="A580" s="4" t="s">
        <v>22</v>
      </c>
      <c r="B580" s="57" t="s">
        <v>23</v>
      </c>
      <c r="C580" s="21">
        <v>42920</v>
      </c>
      <c r="D580" s="5" t="s">
        <v>14</v>
      </c>
      <c r="E580" s="8">
        <v>0.33333333333333298</v>
      </c>
      <c r="F580" s="8">
        <v>0.875</v>
      </c>
      <c r="G580" s="14">
        <v>0</v>
      </c>
      <c r="H580" s="14">
        <v>12.000000000000007</v>
      </c>
      <c r="I580" s="14">
        <v>12.000000000000007</v>
      </c>
      <c r="J580" s="42" t="s">
        <v>30</v>
      </c>
      <c r="K580" s="25" t="s">
        <v>189</v>
      </c>
      <c r="L580" s="66" t="str">
        <f t="shared" si="18"/>
        <v/>
      </c>
      <c r="M580" s="19" t="str">
        <f t="shared" si="19"/>
        <v>Jul_2017</v>
      </c>
    </row>
    <row r="581" spans="1:13">
      <c r="A581" s="4" t="s">
        <v>11</v>
      </c>
      <c r="B581" s="57" t="s">
        <v>187</v>
      </c>
      <c r="C581" s="21">
        <v>42920</v>
      </c>
      <c r="D581" s="5" t="s">
        <v>14</v>
      </c>
      <c r="E581" s="8">
        <v>0.70833333333333304</v>
      </c>
      <c r="F581" s="8">
        <v>0.875</v>
      </c>
      <c r="G581" s="14">
        <v>8.0000000000000036</v>
      </c>
      <c r="H581" s="14">
        <v>4.0000000000000036</v>
      </c>
      <c r="I581" s="14">
        <v>4.0000000000000036</v>
      </c>
      <c r="J581" s="25" t="s">
        <v>30</v>
      </c>
      <c r="K581" s="25" t="s">
        <v>189</v>
      </c>
      <c r="L581" s="66">
        <f t="shared" si="18"/>
        <v>1</v>
      </c>
      <c r="M581" s="19" t="str">
        <f t="shared" si="19"/>
        <v>Jul_2017</v>
      </c>
    </row>
    <row r="582" spans="1:13">
      <c r="A582" s="4" t="s">
        <v>22</v>
      </c>
      <c r="B582" s="57" t="s">
        <v>80</v>
      </c>
      <c r="C582" s="21">
        <v>42920</v>
      </c>
      <c r="D582" s="5" t="s">
        <v>14</v>
      </c>
      <c r="E582" s="8">
        <v>0.33333333333333298</v>
      </c>
      <c r="F582" s="8">
        <v>0.72916666666666696</v>
      </c>
      <c r="G582" s="14">
        <v>0</v>
      </c>
      <c r="H582" s="14">
        <v>8.500000000000016</v>
      </c>
      <c r="I582" s="14">
        <v>8.500000000000016</v>
      </c>
      <c r="J582" s="42" t="s">
        <v>30</v>
      </c>
      <c r="K582" s="25" t="s">
        <v>189</v>
      </c>
      <c r="L582" s="66" t="str">
        <f t="shared" si="18"/>
        <v/>
      </c>
      <c r="M582" s="19" t="str">
        <f t="shared" si="19"/>
        <v>Jul_2017</v>
      </c>
    </row>
    <row r="583" spans="1:13">
      <c r="A583" s="4" t="s">
        <v>22</v>
      </c>
      <c r="B583" s="57" t="s">
        <v>190</v>
      </c>
      <c r="C583" s="21">
        <v>42920</v>
      </c>
      <c r="D583" s="5" t="s">
        <v>14</v>
      </c>
      <c r="E583" s="8">
        <v>0.54166666666666696</v>
      </c>
      <c r="F583" s="8">
        <v>0.875</v>
      </c>
      <c r="G583" s="14">
        <v>0</v>
      </c>
      <c r="H583" s="14">
        <v>7.9999999999999929</v>
      </c>
      <c r="I583" s="14">
        <v>7.9999999999999929</v>
      </c>
      <c r="J583" s="25" t="s">
        <v>30</v>
      </c>
      <c r="K583" s="25" t="s">
        <v>189</v>
      </c>
      <c r="L583" s="66" t="str">
        <f t="shared" si="18"/>
        <v/>
      </c>
      <c r="M583" s="19" t="str">
        <f t="shared" si="19"/>
        <v>Jul_2017</v>
      </c>
    </row>
    <row r="584" spans="1:13">
      <c r="A584" s="4" t="s">
        <v>11</v>
      </c>
      <c r="B584" s="57" t="s">
        <v>12</v>
      </c>
      <c r="C584" s="24">
        <v>42921</v>
      </c>
      <c r="D584" s="5" t="s">
        <v>15</v>
      </c>
      <c r="E584" s="8">
        <v>0.66666666666666696</v>
      </c>
      <c r="F584" s="8">
        <v>0.8125</v>
      </c>
      <c r="G584" s="14">
        <v>8.0000000000000036</v>
      </c>
      <c r="H584" s="14">
        <v>3.4999999999999893</v>
      </c>
      <c r="I584" s="14">
        <v>3.4999999999999893</v>
      </c>
      <c r="J584" s="25" t="s">
        <v>30</v>
      </c>
      <c r="K584" s="25" t="s">
        <v>191</v>
      </c>
      <c r="L584" s="66">
        <f t="shared" si="18"/>
        <v>1</v>
      </c>
      <c r="M584" s="19" t="str">
        <f t="shared" si="19"/>
        <v>Jul_2017</v>
      </c>
    </row>
    <row r="585" spans="1:13">
      <c r="A585" s="4" t="s">
        <v>11</v>
      </c>
      <c r="B585" s="57" t="s">
        <v>19</v>
      </c>
      <c r="C585" s="21">
        <v>42921</v>
      </c>
      <c r="D585" s="5" t="s">
        <v>15</v>
      </c>
      <c r="E585" s="8">
        <v>0.70833333333333304</v>
      </c>
      <c r="F585" s="8">
        <v>0.72916666666666696</v>
      </c>
      <c r="G585" s="14">
        <v>8.0000000000000036</v>
      </c>
      <c r="H585" s="14">
        <v>0.50000000000001243</v>
      </c>
      <c r="I585" s="14">
        <v>0.50000000000001243</v>
      </c>
      <c r="J585" s="25" t="s">
        <v>30</v>
      </c>
      <c r="K585" s="25" t="s">
        <v>191</v>
      </c>
      <c r="L585" s="66" t="str">
        <f t="shared" si="18"/>
        <v/>
      </c>
      <c r="M585" s="19" t="str">
        <f t="shared" si="19"/>
        <v>Jul_2017</v>
      </c>
    </row>
    <row r="586" spans="1:13">
      <c r="A586" s="4" t="s">
        <v>11</v>
      </c>
      <c r="B586" s="57" t="s">
        <v>26</v>
      </c>
      <c r="C586" s="21">
        <v>42921</v>
      </c>
      <c r="D586" s="5" t="s">
        <v>15</v>
      </c>
      <c r="E586" s="8">
        <v>0.70833333333333304</v>
      </c>
      <c r="F586" s="8">
        <v>0.8125</v>
      </c>
      <c r="G586" s="14">
        <v>8.0000000000000036</v>
      </c>
      <c r="H586" s="14">
        <v>2.5000000000000053</v>
      </c>
      <c r="I586" s="14">
        <v>2.5000000000000053</v>
      </c>
      <c r="J586" s="25" t="s">
        <v>30</v>
      </c>
      <c r="K586" s="25" t="s">
        <v>191</v>
      </c>
      <c r="L586" s="66">
        <f t="shared" si="18"/>
        <v>1</v>
      </c>
      <c r="M586" s="19" t="str">
        <f t="shared" si="19"/>
        <v>Jul_2017</v>
      </c>
    </row>
    <row r="587" spans="1:13">
      <c r="A587" s="4" t="s">
        <v>11</v>
      </c>
      <c r="B587" s="57" t="s">
        <v>149</v>
      </c>
      <c r="C587" s="21">
        <v>42921</v>
      </c>
      <c r="D587" s="5" t="s">
        <v>15</v>
      </c>
      <c r="E587" s="8">
        <v>0.70833333333333304</v>
      </c>
      <c r="F587" s="8">
        <v>0.8125</v>
      </c>
      <c r="G587" s="14">
        <v>8.0000000000000036</v>
      </c>
      <c r="H587" s="14">
        <v>2.5000000000000053</v>
      </c>
      <c r="I587" s="14">
        <v>2.5000000000000053</v>
      </c>
      <c r="J587" s="25" t="s">
        <v>30</v>
      </c>
      <c r="K587" s="25" t="s">
        <v>191</v>
      </c>
      <c r="L587" s="66">
        <f t="shared" si="18"/>
        <v>1</v>
      </c>
      <c r="M587" s="19" t="str">
        <f t="shared" si="19"/>
        <v>Jul_2017</v>
      </c>
    </row>
    <row r="588" spans="1:13">
      <c r="A588" s="4" t="s">
        <v>11</v>
      </c>
      <c r="B588" s="57" t="s">
        <v>161</v>
      </c>
      <c r="C588" s="21">
        <v>42921</v>
      </c>
      <c r="D588" s="5" t="s">
        <v>15</v>
      </c>
      <c r="E588" s="8">
        <v>0.70833333333333304</v>
      </c>
      <c r="F588" s="8">
        <v>0.8125</v>
      </c>
      <c r="G588" s="14">
        <v>8.0000000000000036</v>
      </c>
      <c r="H588" s="14">
        <v>2.5000000000000053</v>
      </c>
      <c r="I588" s="14">
        <v>2.5000000000000053</v>
      </c>
      <c r="J588" s="42" t="s">
        <v>30</v>
      </c>
      <c r="K588" s="25" t="s">
        <v>191</v>
      </c>
      <c r="L588" s="66">
        <f t="shared" si="18"/>
        <v>1</v>
      </c>
      <c r="M588" s="19" t="str">
        <f t="shared" si="19"/>
        <v>Jul_2017</v>
      </c>
    </row>
    <row r="589" spans="1:13">
      <c r="A589" s="4" t="s">
        <v>22</v>
      </c>
      <c r="B589" s="57" t="s">
        <v>23</v>
      </c>
      <c r="C589" s="21">
        <v>42921</v>
      </c>
      <c r="D589" s="5" t="s">
        <v>15</v>
      </c>
      <c r="E589" s="8">
        <v>0.33333333333333298</v>
      </c>
      <c r="F589" s="8">
        <v>0.8125</v>
      </c>
      <c r="G589" s="14">
        <v>0</v>
      </c>
      <c r="H589" s="14">
        <v>10.500000000000009</v>
      </c>
      <c r="I589" s="14">
        <v>10.500000000000009</v>
      </c>
      <c r="J589" s="25" t="s">
        <v>30</v>
      </c>
      <c r="K589" s="25" t="s">
        <v>191</v>
      </c>
      <c r="L589" s="66" t="str">
        <f t="shared" si="18"/>
        <v/>
      </c>
      <c r="M589" s="19" t="str">
        <f t="shared" si="19"/>
        <v>Jul_2017</v>
      </c>
    </row>
    <row r="590" spans="1:13">
      <c r="A590" s="4" t="s">
        <v>11</v>
      </c>
      <c r="B590" s="57" t="s">
        <v>187</v>
      </c>
      <c r="C590" s="21">
        <v>42921</v>
      </c>
      <c r="D590" s="5" t="s">
        <v>15</v>
      </c>
      <c r="E590" s="8">
        <v>0.70833333333333304</v>
      </c>
      <c r="F590" s="8">
        <v>0.8125</v>
      </c>
      <c r="G590" s="14">
        <v>8.0000000000000036</v>
      </c>
      <c r="H590" s="14">
        <v>2.5000000000000053</v>
      </c>
      <c r="I590" s="14">
        <v>2.5000000000000053</v>
      </c>
      <c r="J590" s="25" t="s">
        <v>30</v>
      </c>
      <c r="K590" s="25" t="s">
        <v>191</v>
      </c>
      <c r="L590" s="66">
        <f t="shared" si="18"/>
        <v>1</v>
      </c>
      <c r="M590" s="19" t="str">
        <f t="shared" si="19"/>
        <v>Jul_2017</v>
      </c>
    </row>
    <row r="591" spans="1:13">
      <c r="A591" s="4" t="s">
        <v>22</v>
      </c>
      <c r="B591" s="57" t="s">
        <v>190</v>
      </c>
      <c r="C591" s="21">
        <v>42921</v>
      </c>
      <c r="D591" s="5" t="s">
        <v>15</v>
      </c>
      <c r="E591" s="8">
        <v>0.54166666666666696</v>
      </c>
      <c r="F591" s="8">
        <v>0.8125</v>
      </c>
      <c r="G591" s="14">
        <v>0</v>
      </c>
      <c r="H591" s="14">
        <v>6.4999999999999929</v>
      </c>
      <c r="I591" s="14">
        <v>6.4999999999999929</v>
      </c>
      <c r="J591" s="25" t="s">
        <v>30</v>
      </c>
      <c r="K591" s="25" t="s">
        <v>191</v>
      </c>
      <c r="L591" s="66" t="str">
        <f t="shared" si="18"/>
        <v/>
      </c>
      <c r="M591" s="19" t="str">
        <f t="shared" si="19"/>
        <v>Jul_2017</v>
      </c>
    </row>
    <row r="592" spans="1:13">
      <c r="A592" s="4" t="s">
        <v>22</v>
      </c>
      <c r="B592" s="57" t="s">
        <v>23</v>
      </c>
      <c r="C592" s="21">
        <v>42922</v>
      </c>
      <c r="D592" s="5" t="s">
        <v>25</v>
      </c>
      <c r="E592" s="8">
        <v>0.35416666666666702</v>
      </c>
      <c r="F592" s="8">
        <v>0.72916666666666696</v>
      </c>
      <c r="G592" s="14">
        <v>0</v>
      </c>
      <c r="H592" s="14">
        <v>7.9999999999999982</v>
      </c>
      <c r="I592" s="14">
        <v>7.9999999999999982</v>
      </c>
      <c r="J592" s="25" t="s">
        <v>30</v>
      </c>
      <c r="K592" s="25" t="s">
        <v>192</v>
      </c>
      <c r="L592" s="66" t="str">
        <f t="shared" si="18"/>
        <v/>
      </c>
      <c r="M592" s="19" t="str">
        <f t="shared" si="19"/>
        <v>Jul_2017</v>
      </c>
    </row>
    <row r="593" spans="1:13">
      <c r="A593" s="4" t="s">
        <v>22</v>
      </c>
      <c r="B593" s="57" t="s">
        <v>23</v>
      </c>
      <c r="C593" s="21">
        <v>42923</v>
      </c>
      <c r="D593" s="5" t="s">
        <v>17</v>
      </c>
      <c r="E593" s="8">
        <v>0.35416666666666702</v>
      </c>
      <c r="F593" s="8">
        <v>0.72916666666666696</v>
      </c>
      <c r="G593" s="14">
        <v>0</v>
      </c>
      <c r="H593" s="14">
        <v>7.9999999999999982</v>
      </c>
      <c r="I593" s="14">
        <v>7.9999999999999982</v>
      </c>
      <c r="J593" s="25" t="s">
        <v>30</v>
      </c>
      <c r="K593" s="25" t="s">
        <v>193</v>
      </c>
      <c r="L593" s="66" t="str">
        <f t="shared" si="18"/>
        <v/>
      </c>
      <c r="M593" s="19" t="str">
        <f t="shared" si="19"/>
        <v>Jul_2017</v>
      </c>
    </row>
    <row r="594" spans="1:13">
      <c r="A594" s="4" t="s">
        <v>22</v>
      </c>
      <c r="B594" s="57" t="s">
        <v>78</v>
      </c>
      <c r="C594" s="21">
        <v>42923</v>
      </c>
      <c r="D594" s="5" t="s">
        <v>17</v>
      </c>
      <c r="E594" s="8">
        <v>0.35416666666666702</v>
      </c>
      <c r="F594" s="8">
        <v>0.72916666666666696</v>
      </c>
      <c r="G594" s="14">
        <v>0</v>
      </c>
      <c r="H594" s="14">
        <v>7.9999999999999982</v>
      </c>
      <c r="I594" s="14">
        <v>7.9999999999999982</v>
      </c>
      <c r="J594" s="25" t="s">
        <v>30</v>
      </c>
      <c r="K594" s="25" t="s">
        <v>193</v>
      </c>
      <c r="L594" s="66" t="str">
        <f t="shared" si="18"/>
        <v/>
      </c>
      <c r="M594" s="19" t="str">
        <f t="shared" si="19"/>
        <v>Jul_2017</v>
      </c>
    </row>
    <row r="595" spans="1:13">
      <c r="A595" s="4" t="s">
        <v>22</v>
      </c>
      <c r="B595" s="57" t="s">
        <v>23</v>
      </c>
      <c r="C595" s="21">
        <v>42926</v>
      </c>
      <c r="D595" s="5" t="s">
        <v>16</v>
      </c>
      <c r="E595" s="8">
        <v>0.35416666666666702</v>
      </c>
      <c r="F595" s="8">
        <v>0.72916666666666696</v>
      </c>
      <c r="G595" s="14">
        <v>0</v>
      </c>
      <c r="H595" s="14">
        <v>7.9999999999999982</v>
      </c>
      <c r="I595" s="14">
        <v>7.9999999999999982</v>
      </c>
      <c r="J595" s="25" t="s">
        <v>30</v>
      </c>
      <c r="K595" s="25" t="s">
        <v>194</v>
      </c>
      <c r="L595" s="66" t="str">
        <f t="shared" si="18"/>
        <v/>
      </c>
      <c r="M595" s="19" t="str">
        <f t="shared" si="19"/>
        <v>Jul_2017</v>
      </c>
    </row>
    <row r="596" spans="1:13">
      <c r="A596" s="4" t="s">
        <v>22</v>
      </c>
      <c r="B596" s="57" t="s">
        <v>23</v>
      </c>
      <c r="C596" s="21">
        <v>42927</v>
      </c>
      <c r="D596" s="5" t="s">
        <v>14</v>
      </c>
      <c r="E596" s="8">
        <v>0.35416666666666702</v>
      </c>
      <c r="F596" s="8">
        <v>0.72916666666666696</v>
      </c>
      <c r="G596" s="14">
        <v>0</v>
      </c>
      <c r="H596" s="14">
        <v>7.9999999999999982</v>
      </c>
      <c r="I596" s="14">
        <v>7.9999999999999982</v>
      </c>
      <c r="J596" s="25" t="s">
        <v>30</v>
      </c>
      <c r="K596" s="25" t="s">
        <v>195</v>
      </c>
      <c r="L596" s="66" t="str">
        <f t="shared" si="18"/>
        <v/>
      </c>
      <c r="M596" s="19" t="str">
        <f t="shared" si="19"/>
        <v>Jul_2017</v>
      </c>
    </row>
    <row r="597" spans="1:13">
      <c r="A597" s="4" t="s">
        <v>22</v>
      </c>
      <c r="B597" s="57" t="s">
        <v>23</v>
      </c>
      <c r="C597" s="21">
        <v>42928</v>
      </c>
      <c r="D597" s="5" t="s">
        <v>15</v>
      </c>
      <c r="E597" s="8">
        <v>0.35416666666666702</v>
      </c>
      <c r="F597" s="8">
        <v>0.72916666666666696</v>
      </c>
      <c r="G597" s="14">
        <v>0</v>
      </c>
      <c r="H597" s="14">
        <v>7.9999999999999982</v>
      </c>
      <c r="I597" s="14">
        <v>7.9999999999999982</v>
      </c>
      <c r="J597" s="25" t="s">
        <v>30</v>
      </c>
      <c r="K597" s="25" t="s">
        <v>196</v>
      </c>
      <c r="L597" s="66" t="str">
        <f t="shared" si="18"/>
        <v/>
      </c>
      <c r="M597" s="19" t="str">
        <f t="shared" si="19"/>
        <v>Jul_2017</v>
      </c>
    </row>
    <row r="598" spans="1:13">
      <c r="A598" s="4" t="s">
        <v>22</v>
      </c>
      <c r="B598" s="57" t="s">
        <v>23</v>
      </c>
      <c r="C598" s="21">
        <v>42929</v>
      </c>
      <c r="D598" s="5" t="s">
        <v>25</v>
      </c>
      <c r="E598" s="8">
        <v>0.35416666666666702</v>
      </c>
      <c r="F598" s="8">
        <v>0.72916666666666696</v>
      </c>
      <c r="G598" s="14">
        <v>0</v>
      </c>
      <c r="H598" s="14">
        <v>7.9999999999999982</v>
      </c>
      <c r="I598" s="14">
        <v>7.9999999999999982</v>
      </c>
      <c r="J598" s="25" t="s">
        <v>30</v>
      </c>
      <c r="K598" s="25" t="s">
        <v>197</v>
      </c>
      <c r="L598" s="66" t="str">
        <f t="shared" si="18"/>
        <v/>
      </c>
      <c r="M598" s="19" t="str">
        <f t="shared" si="19"/>
        <v>Jul_2017</v>
      </c>
    </row>
    <row r="599" spans="1:13">
      <c r="A599" s="4" t="s">
        <v>22</v>
      </c>
      <c r="B599" s="57" t="s">
        <v>23</v>
      </c>
      <c r="C599" s="21">
        <v>42930</v>
      </c>
      <c r="D599" s="5" t="s">
        <v>17</v>
      </c>
      <c r="E599" s="8">
        <v>0.35416666666666702</v>
      </c>
      <c r="F599" s="8">
        <v>0.72916666666666696</v>
      </c>
      <c r="G599" s="14">
        <v>0</v>
      </c>
      <c r="H599" s="14">
        <v>7.9999999999999982</v>
      </c>
      <c r="I599" s="14">
        <v>7.9999999999999982</v>
      </c>
      <c r="J599" s="25" t="s">
        <v>30</v>
      </c>
      <c r="K599" s="25" t="s">
        <v>198</v>
      </c>
      <c r="L599" s="66" t="str">
        <f t="shared" si="18"/>
        <v/>
      </c>
      <c r="M599" s="19" t="str">
        <f t="shared" si="19"/>
        <v>Jul_2017</v>
      </c>
    </row>
    <row r="600" spans="1:13">
      <c r="A600" s="4" t="s">
        <v>11</v>
      </c>
      <c r="B600" s="57" t="s">
        <v>12</v>
      </c>
      <c r="C600" s="24">
        <v>42933</v>
      </c>
      <c r="D600" s="5" t="s">
        <v>16</v>
      </c>
      <c r="E600" s="8">
        <v>0.72916666666666696</v>
      </c>
      <c r="F600" s="8">
        <v>0.84375</v>
      </c>
      <c r="G600" s="14">
        <v>8.0000000000000036</v>
      </c>
      <c r="H600" s="14">
        <v>2.7499999999999876</v>
      </c>
      <c r="I600" s="14">
        <v>2.7499999999999876</v>
      </c>
      <c r="J600" s="25" t="s">
        <v>30</v>
      </c>
      <c r="K600" s="25" t="s">
        <v>199</v>
      </c>
      <c r="L600" s="66">
        <f t="shared" si="18"/>
        <v>1</v>
      </c>
      <c r="M600" s="19" t="str">
        <f t="shared" si="19"/>
        <v>Jul_2017</v>
      </c>
    </row>
    <row r="601" spans="1:13">
      <c r="A601" s="4" t="s">
        <v>11</v>
      </c>
      <c r="B601" s="57" t="s">
        <v>19</v>
      </c>
      <c r="C601" s="21">
        <v>42933</v>
      </c>
      <c r="D601" s="5" t="s">
        <v>16</v>
      </c>
      <c r="E601" s="8">
        <v>0.72916666666666696</v>
      </c>
      <c r="F601" s="8">
        <v>0.84375</v>
      </c>
      <c r="G601" s="14">
        <v>8.0000000000000036</v>
      </c>
      <c r="H601" s="14">
        <v>2.7499999999999876</v>
      </c>
      <c r="I601" s="14">
        <v>2.7499999999999876</v>
      </c>
      <c r="J601" s="25" t="s">
        <v>30</v>
      </c>
      <c r="K601" s="25" t="s">
        <v>199</v>
      </c>
      <c r="L601" s="66">
        <f t="shared" si="18"/>
        <v>1</v>
      </c>
      <c r="M601" s="19" t="str">
        <f t="shared" si="19"/>
        <v>Jul_2017</v>
      </c>
    </row>
    <row r="602" spans="1:13">
      <c r="A602" s="4" t="s">
        <v>11</v>
      </c>
      <c r="B602" s="57" t="s">
        <v>26</v>
      </c>
      <c r="C602" s="21">
        <v>42933</v>
      </c>
      <c r="D602" s="5" t="s">
        <v>16</v>
      </c>
      <c r="E602" s="8">
        <v>0.72916666666666696</v>
      </c>
      <c r="F602" s="8">
        <v>0.84375</v>
      </c>
      <c r="G602" s="14">
        <v>8.0000000000000036</v>
      </c>
      <c r="H602" s="14">
        <v>2.7499999999999876</v>
      </c>
      <c r="I602" s="14">
        <v>2.7499999999999876</v>
      </c>
      <c r="J602" s="25" t="s">
        <v>30</v>
      </c>
      <c r="K602" s="25" t="s">
        <v>199</v>
      </c>
      <c r="L602" s="66">
        <f t="shared" si="18"/>
        <v>1</v>
      </c>
      <c r="M602" s="19" t="str">
        <f t="shared" si="19"/>
        <v>Jul_2017</v>
      </c>
    </row>
    <row r="603" spans="1:13">
      <c r="A603" s="4" t="s">
        <v>11</v>
      </c>
      <c r="B603" s="57" t="s">
        <v>161</v>
      </c>
      <c r="C603" s="21">
        <v>42933</v>
      </c>
      <c r="D603" s="5" t="s">
        <v>16</v>
      </c>
      <c r="E603" s="8">
        <v>0.72916666666666696</v>
      </c>
      <c r="F603" s="8">
        <v>0.84375</v>
      </c>
      <c r="G603" s="14">
        <v>8.0000000000000036</v>
      </c>
      <c r="H603" s="14">
        <v>2.7499999999999876</v>
      </c>
      <c r="I603" s="14">
        <v>2.7499999999999876</v>
      </c>
      <c r="J603" s="42" t="s">
        <v>30</v>
      </c>
      <c r="K603" s="25" t="s">
        <v>199</v>
      </c>
      <c r="L603" s="66">
        <f t="shared" si="18"/>
        <v>1</v>
      </c>
      <c r="M603" s="19" t="str">
        <f t="shared" si="19"/>
        <v>Jul_2017</v>
      </c>
    </row>
    <row r="604" spans="1:13">
      <c r="A604" s="4" t="s">
        <v>22</v>
      </c>
      <c r="B604" s="57" t="s">
        <v>23</v>
      </c>
      <c r="C604" s="21">
        <v>42933</v>
      </c>
      <c r="D604" s="5" t="s">
        <v>16</v>
      </c>
      <c r="E604" s="8">
        <v>0.35416666666666702</v>
      </c>
      <c r="F604" s="8">
        <v>0.84375</v>
      </c>
      <c r="G604" s="14">
        <v>0</v>
      </c>
      <c r="H604" s="14">
        <v>10.749999999999991</v>
      </c>
      <c r="I604" s="14">
        <v>10.749999999999991</v>
      </c>
      <c r="J604" s="25" t="s">
        <v>30</v>
      </c>
      <c r="K604" s="25" t="s">
        <v>199</v>
      </c>
      <c r="L604" s="66" t="str">
        <f t="shared" si="18"/>
        <v/>
      </c>
      <c r="M604" s="19" t="str">
        <f t="shared" si="19"/>
        <v>Jul_2017</v>
      </c>
    </row>
    <row r="605" spans="1:13">
      <c r="A605" s="4" t="s">
        <v>11</v>
      </c>
      <c r="B605" s="57" t="s">
        <v>187</v>
      </c>
      <c r="C605" s="21">
        <v>42933</v>
      </c>
      <c r="D605" s="5" t="s">
        <v>16</v>
      </c>
      <c r="E605" s="8">
        <v>0.72916666666666696</v>
      </c>
      <c r="F605" s="8">
        <v>0.84375</v>
      </c>
      <c r="G605" s="14">
        <v>8.0000000000000036</v>
      </c>
      <c r="H605" s="14">
        <v>2.7499999999999876</v>
      </c>
      <c r="I605" s="14">
        <v>2.7499999999999876</v>
      </c>
      <c r="J605" s="25" t="s">
        <v>30</v>
      </c>
      <c r="K605" s="25" t="s">
        <v>199</v>
      </c>
      <c r="L605" s="66">
        <f t="shared" si="18"/>
        <v>1</v>
      </c>
      <c r="M605" s="19" t="str">
        <f t="shared" si="19"/>
        <v>Jul_2017</v>
      </c>
    </row>
    <row r="606" spans="1:13">
      <c r="A606" s="4" t="s">
        <v>22</v>
      </c>
      <c r="B606" s="57" t="s">
        <v>23</v>
      </c>
      <c r="C606" s="21">
        <v>42934</v>
      </c>
      <c r="D606" s="5" t="s">
        <v>14</v>
      </c>
      <c r="E606" s="8">
        <v>0.35416666666666702</v>
      </c>
      <c r="F606" s="8">
        <v>0.72916666666666696</v>
      </c>
      <c r="G606" s="14">
        <v>0</v>
      </c>
      <c r="H606" s="14">
        <v>7.9999999999999982</v>
      </c>
      <c r="I606" s="14">
        <v>7.9999999999999982</v>
      </c>
      <c r="J606" s="25" t="s">
        <v>30</v>
      </c>
      <c r="K606" s="25" t="s">
        <v>200</v>
      </c>
      <c r="L606" s="66" t="str">
        <f t="shared" si="18"/>
        <v/>
      </c>
      <c r="M606" s="19" t="str">
        <f t="shared" si="19"/>
        <v>Jul_2017</v>
      </c>
    </row>
    <row r="607" spans="1:13">
      <c r="A607" s="4" t="s">
        <v>22</v>
      </c>
      <c r="B607" s="57" t="s">
        <v>23</v>
      </c>
      <c r="C607" s="21">
        <v>42935</v>
      </c>
      <c r="D607" s="5" t="s">
        <v>15</v>
      </c>
      <c r="E607" s="8">
        <v>0.35416666666666702</v>
      </c>
      <c r="F607" s="8">
        <v>0.72916666666666696</v>
      </c>
      <c r="G607" s="14">
        <v>0</v>
      </c>
      <c r="H607" s="14">
        <v>7.9999999999999982</v>
      </c>
      <c r="I607" s="14">
        <v>7.9999999999999982</v>
      </c>
      <c r="J607" s="42" t="s">
        <v>30</v>
      </c>
      <c r="K607" s="25" t="s">
        <v>201</v>
      </c>
      <c r="L607" s="66" t="str">
        <f t="shared" si="18"/>
        <v/>
      </c>
      <c r="M607" s="19" t="str">
        <f t="shared" si="19"/>
        <v>Jul_2017</v>
      </c>
    </row>
    <row r="608" spans="1:13">
      <c r="A608" s="4" t="s">
        <v>22</v>
      </c>
      <c r="B608" s="57" t="s">
        <v>23</v>
      </c>
      <c r="C608" s="21">
        <v>42936</v>
      </c>
      <c r="D608" s="5" t="s">
        <v>25</v>
      </c>
      <c r="E608" s="8">
        <v>0.35416666666666702</v>
      </c>
      <c r="F608" s="8">
        <v>0.72916666666666696</v>
      </c>
      <c r="G608" s="14">
        <v>0</v>
      </c>
      <c r="H608" s="14">
        <v>7.9999999999999982</v>
      </c>
      <c r="I608" s="14">
        <v>7.9999999999999982</v>
      </c>
      <c r="J608" s="25" t="s">
        <v>30</v>
      </c>
      <c r="K608" s="25" t="s">
        <v>202</v>
      </c>
      <c r="L608" s="66" t="str">
        <f t="shared" si="18"/>
        <v/>
      </c>
      <c r="M608" s="19" t="str">
        <f t="shared" si="19"/>
        <v>Jul_2017</v>
      </c>
    </row>
    <row r="609" spans="1:13">
      <c r="A609" s="4" t="s">
        <v>22</v>
      </c>
      <c r="B609" s="57" t="s">
        <v>23</v>
      </c>
      <c r="C609" s="21">
        <v>42937</v>
      </c>
      <c r="D609" s="5" t="s">
        <v>17</v>
      </c>
      <c r="E609" s="8">
        <v>0.35416666666666702</v>
      </c>
      <c r="F609" s="8">
        <v>0.72916666666666696</v>
      </c>
      <c r="G609" s="14">
        <v>0</v>
      </c>
      <c r="H609" s="14">
        <v>7.9999999999999982</v>
      </c>
      <c r="I609" s="14">
        <v>7.9999999999999982</v>
      </c>
      <c r="J609" s="25" t="s">
        <v>30</v>
      </c>
      <c r="K609" s="25" t="s">
        <v>203</v>
      </c>
      <c r="L609" s="66" t="str">
        <f t="shared" si="18"/>
        <v/>
      </c>
      <c r="M609" s="19" t="str">
        <f t="shared" si="19"/>
        <v>Jul_2017</v>
      </c>
    </row>
    <row r="610" spans="1:13">
      <c r="A610" s="4" t="s">
        <v>22</v>
      </c>
      <c r="B610" s="57" t="s">
        <v>23</v>
      </c>
      <c r="C610" s="21">
        <v>42940</v>
      </c>
      <c r="D610" s="5" t="s">
        <v>16</v>
      </c>
      <c r="E610" s="8">
        <v>0.35416666666666702</v>
      </c>
      <c r="F610" s="8">
        <v>0.72916666666666696</v>
      </c>
      <c r="G610" s="14">
        <v>0</v>
      </c>
      <c r="H610" s="14">
        <v>7.9999999999999982</v>
      </c>
      <c r="I610" s="14">
        <v>7.9999999999999982</v>
      </c>
      <c r="J610" s="25" t="s">
        <v>30</v>
      </c>
      <c r="K610" s="25" t="s">
        <v>204</v>
      </c>
      <c r="L610" s="66" t="str">
        <f t="shared" si="18"/>
        <v/>
      </c>
      <c r="M610" s="19" t="str">
        <f t="shared" si="19"/>
        <v>Jul_2017</v>
      </c>
    </row>
    <row r="611" spans="1:13">
      <c r="A611" s="4" t="s">
        <v>11</v>
      </c>
      <c r="B611" s="57" t="s">
        <v>12</v>
      </c>
      <c r="C611" s="24">
        <v>42941</v>
      </c>
      <c r="D611" s="5" t="s">
        <v>14</v>
      </c>
      <c r="E611" s="8">
        <v>0.72916666666666696</v>
      </c>
      <c r="F611" s="8">
        <v>0.875</v>
      </c>
      <c r="G611" s="14">
        <v>8.0000000000000036</v>
      </c>
      <c r="H611" s="14">
        <v>3.4999999999999893</v>
      </c>
      <c r="I611" s="14">
        <v>3.4999999999999893</v>
      </c>
      <c r="J611" s="25" t="s">
        <v>30</v>
      </c>
      <c r="K611" s="25" t="s">
        <v>205</v>
      </c>
      <c r="L611" s="66">
        <f t="shared" si="18"/>
        <v>1</v>
      </c>
      <c r="M611" s="19" t="str">
        <f t="shared" si="19"/>
        <v>Jul_2017</v>
      </c>
    </row>
    <row r="612" spans="1:13">
      <c r="A612" s="4" t="s">
        <v>11</v>
      </c>
      <c r="B612" s="57" t="s">
        <v>19</v>
      </c>
      <c r="C612" s="21">
        <v>42941</v>
      </c>
      <c r="D612" s="5" t="s">
        <v>14</v>
      </c>
      <c r="E612" s="8">
        <v>0.72916666666666696</v>
      </c>
      <c r="F612" s="8">
        <v>0.875</v>
      </c>
      <c r="G612" s="14">
        <v>8.0000000000000036</v>
      </c>
      <c r="H612" s="14">
        <v>3.4999999999999893</v>
      </c>
      <c r="I612" s="14">
        <v>3.4999999999999893</v>
      </c>
      <c r="J612" s="25" t="s">
        <v>30</v>
      </c>
      <c r="K612" s="25" t="s">
        <v>205</v>
      </c>
      <c r="L612" s="66">
        <f t="shared" si="18"/>
        <v>1</v>
      </c>
      <c r="M612" s="19" t="str">
        <f t="shared" si="19"/>
        <v>Jul_2017</v>
      </c>
    </row>
    <row r="613" spans="1:13">
      <c r="A613" s="4" t="s">
        <v>11</v>
      </c>
      <c r="B613" s="57" t="s">
        <v>26</v>
      </c>
      <c r="C613" s="21">
        <v>42941</v>
      </c>
      <c r="D613" s="5" t="s">
        <v>14</v>
      </c>
      <c r="E613" s="8">
        <v>0.72916666666666696</v>
      </c>
      <c r="F613" s="8">
        <v>0.875</v>
      </c>
      <c r="G613" s="14">
        <v>8.0000000000000036</v>
      </c>
      <c r="H613" s="14">
        <v>3.4999999999999893</v>
      </c>
      <c r="I613" s="14">
        <v>3.4999999999999893</v>
      </c>
      <c r="J613" s="25" t="s">
        <v>30</v>
      </c>
      <c r="K613" s="25" t="s">
        <v>205</v>
      </c>
      <c r="L613" s="66">
        <f t="shared" si="18"/>
        <v>1</v>
      </c>
      <c r="M613" s="19" t="str">
        <f t="shared" si="19"/>
        <v>Jul_2017</v>
      </c>
    </row>
    <row r="614" spans="1:13">
      <c r="A614" s="4" t="s">
        <v>11</v>
      </c>
      <c r="B614" s="57" t="s">
        <v>149</v>
      </c>
      <c r="C614" s="21">
        <v>42941</v>
      </c>
      <c r="D614" s="5" t="s">
        <v>14</v>
      </c>
      <c r="E614" s="8">
        <v>0.72916666666666696</v>
      </c>
      <c r="F614" s="8">
        <v>0.875</v>
      </c>
      <c r="G614" s="14">
        <v>8.0000000000000036</v>
      </c>
      <c r="H614" s="14">
        <v>3.4999999999999893</v>
      </c>
      <c r="I614" s="14">
        <v>3.4999999999999893</v>
      </c>
      <c r="J614" s="25" t="s">
        <v>30</v>
      </c>
      <c r="K614" s="25" t="s">
        <v>205</v>
      </c>
      <c r="L614" s="66">
        <f t="shared" si="18"/>
        <v>1</v>
      </c>
      <c r="M614" s="19" t="str">
        <f t="shared" si="19"/>
        <v>Jul_2017</v>
      </c>
    </row>
    <row r="615" spans="1:13">
      <c r="A615" s="4" t="s">
        <v>11</v>
      </c>
      <c r="B615" s="57" t="s">
        <v>161</v>
      </c>
      <c r="C615" s="21">
        <v>42941</v>
      </c>
      <c r="D615" s="5" t="s">
        <v>14</v>
      </c>
      <c r="E615" s="8">
        <v>0.72916666666666696</v>
      </c>
      <c r="F615" s="8">
        <v>0.875</v>
      </c>
      <c r="G615" s="14">
        <v>8.0000000000000036</v>
      </c>
      <c r="H615" s="14">
        <v>3.4999999999999893</v>
      </c>
      <c r="I615" s="14">
        <v>3.4999999999999893</v>
      </c>
      <c r="J615" s="42" t="s">
        <v>30</v>
      </c>
      <c r="K615" s="25" t="s">
        <v>205</v>
      </c>
      <c r="L615" s="66">
        <f t="shared" si="18"/>
        <v>1</v>
      </c>
      <c r="M615" s="19" t="str">
        <f t="shared" si="19"/>
        <v>Jul_2017</v>
      </c>
    </row>
    <row r="616" spans="1:13">
      <c r="A616" s="4" t="s">
        <v>22</v>
      </c>
      <c r="B616" s="57" t="s">
        <v>23</v>
      </c>
      <c r="C616" s="21">
        <v>42941</v>
      </c>
      <c r="D616" s="5" t="s">
        <v>14</v>
      </c>
      <c r="E616" s="8">
        <v>0.35416666666666702</v>
      </c>
      <c r="F616" s="8">
        <v>0.875</v>
      </c>
      <c r="G616" s="14">
        <v>0</v>
      </c>
      <c r="H616" s="14">
        <v>11.499999999999993</v>
      </c>
      <c r="I616" s="14">
        <v>11.499999999999993</v>
      </c>
      <c r="J616" s="25" t="s">
        <v>30</v>
      </c>
      <c r="K616" s="25" t="s">
        <v>205</v>
      </c>
      <c r="L616" s="66" t="str">
        <f t="shared" si="18"/>
        <v/>
      </c>
      <c r="M616" s="19" t="str">
        <f t="shared" si="19"/>
        <v>Jul_2017</v>
      </c>
    </row>
    <row r="617" spans="1:13">
      <c r="A617" s="4" t="s">
        <v>11</v>
      </c>
      <c r="B617" s="57" t="s">
        <v>187</v>
      </c>
      <c r="C617" s="21">
        <v>42941</v>
      </c>
      <c r="D617" s="5" t="s">
        <v>14</v>
      </c>
      <c r="E617" s="8">
        <v>0.72916666666666696</v>
      </c>
      <c r="F617" s="8">
        <v>0.875</v>
      </c>
      <c r="G617" s="14">
        <v>8.0000000000000036</v>
      </c>
      <c r="H617" s="14">
        <v>3.4999999999999893</v>
      </c>
      <c r="I617" s="14">
        <v>3.4999999999999893</v>
      </c>
      <c r="J617" s="25" t="s">
        <v>30</v>
      </c>
      <c r="K617" s="25" t="s">
        <v>205</v>
      </c>
      <c r="L617" s="66">
        <f t="shared" si="18"/>
        <v>1</v>
      </c>
      <c r="M617" s="19" t="str">
        <f t="shared" si="19"/>
        <v>Jul_2017</v>
      </c>
    </row>
    <row r="618" spans="1:13">
      <c r="A618" s="4" t="s">
        <v>22</v>
      </c>
      <c r="B618" s="57" t="s">
        <v>80</v>
      </c>
      <c r="C618" s="21">
        <v>42941</v>
      </c>
      <c r="D618" s="5" t="s">
        <v>14</v>
      </c>
      <c r="E618" s="8">
        <v>0.52083333333333304</v>
      </c>
      <c r="F618" s="8">
        <v>0.875</v>
      </c>
      <c r="G618" s="14">
        <v>0</v>
      </c>
      <c r="H618" s="14">
        <v>7.5000000000000071</v>
      </c>
      <c r="I618" s="14">
        <v>7.5000000000000071</v>
      </c>
      <c r="J618" s="25" t="s">
        <v>30</v>
      </c>
      <c r="K618" s="25" t="s">
        <v>205</v>
      </c>
      <c r="L618" s="66" t="str">
        <f t="shared" si="18"/>
        <v/>
      </c>
      <c r="M618" s="19" t="str">
        <f t="shared" si="19"/>
        <v>Jul_2017</v>
      </c>
    </row>
    <row r="619" spans="1:13">
      <c r="A619" s="4" t="s">
        <v>11</v>
      </c>
      <c r="B619" s="57" t="s">
        <v>12</v>
      </c>
      <c r="C619" s="24">
        <v>42942</v>
      </c>
      <c r="D619" s="5" t="s">
        <v>15</v>
      </c>
      <c r="E619" s="8">
        <v>0.70833333333333304</v>
      </c>
      <c r="F619" s="8">
        <v>0.875</v>
      </c>
      <c r="G619" s="14">
        <v>8.0000000000000036</v>
      </c>
      <c r="H619" s="14">
        <v>4.0000000000000036</v>
      </c>
      <c r="I619" s="14">
        <v>4.0000000000000036</v>
      </c>
      <c r="J619" s="42" t="s">
        <v>30</v>
      </c>
      <c r="K619" s="25" t="s">
        <v>206</v>
      </c>
      <c r="L619" s="66">
        <f t="shared" si="18"/>
        <v>1</v>
      </c>
      <c r="M619" s="19" t="str">
        <f t="shared" si="19"/>
        <v>Jul_2017</v>
      </c>
    </row>
    <row r="620" spans="1:13">
      <c r="A620" s="4" t="s">
        <v>11</v>
      </c>
      <c r="B620" s="57" t="s">
        <v>19</v>
      </c>
      <c r="C620" s="21">
        <v>42942</v>
      </c>
      <c r="D620" s="5" t="s">
        <v>15</v>
      </c>
      <c r="E620" s="8">
        <v>0.70833333333333304</v>
      </c>
      <c r="F620" s="8">
        <v>0.875</v>
      </c>
      <c r="G620" s="14">
        <v>8.0000000000000036</v>
      </c>
      <c r="H620" s="14">
        <v>4.0000000000000036</v>
      </c>
      <c r="I620" s="14">
        <v>4.0000000000000036</v>
      </c>
      <c r="J620" s="25" t="s">
        <v>30</v>
      </c>
      <c r="K620" s="25" t="s">
        <v>206</v>
      </c>
      <c r="L620" s="66">
        <f t="shared" si="18"/>
        <v>1</v>
      </c>
      <c r="M620" s="19" t="str">
        <f t="shared" si="19"/>
        <v>Jul_2017</v>
      </c>
    </row>
    <row r="621" spans="1:13">
      <c r="A621" s="4" t="s">
        <v>11</v>
      </c>
      <c r="B621" s="57" t="s">
        <v>26</v>
      </c>
      <c r="C621" s="21">
        <v>42942</v>
      </c>
      <c r="D621" s="5" t="s">
        <v>15</v>
      </c>
      <c r="E621" s="8">
        <v>0.70833333333333304</v>
      </c>
      <c r="F621" s="8">
        <v>0.875</v>
      </c>
      <c r="G621" s="14">
        <v>8.0000000000000036</v>
      </c>
      <c r="H621" s="14">
        <v>4.0000000000000036</v>
      </c>
      <c r="I621" s="14">
        <v>4.0000000000000036</v>
      </c>
      <c r="J621" s="42" t="s">
        <v>30</v>
      </c>
      <c r="K621" s="25" t="s">
        <v>206</v>
      </c>
      <c r="L621" s="66">
        <f t="shared" si="18"/>
        <v>1</v>
      </c>
      <c r="M621" s="19" t="str">
        <f t="shared" si="19"/>
        <v>Jul_2017</v>
      </c>
    </row>
    <row r="622" spans="1:13">
      <c r="A622" s="4" t="s">
        <v>11</v>
      </c>
      <c r="B622" s="57" t="s">
        <v>149</v>
      </c>
      <c r="C622" s="21">
        <v>42942</v>
      </c>
      <c r="D622" s="5" t="s">
        <v>15</v>
      </c>
      <c r="E622" s="8">
        <v>0.70833333333333304</v>
      </c>
      <c r="F622" s="8">
        <v>0.72916666666666696</v>
      </c>
      <c r="G622" s="14">
        <v>8.0000000000000036</v>
      </c>
      <c r="H622" s="14">
        <v>0.50000000000001243</v>
      </c>
      <c r="I622" s="14">
        <v>0.50000000000001243</v>
      </c>
      <c r="J622" s="42" t="s">
        <v>30</v>
      </c>
      <c r="K622" s="25" t="s">
        <v>206</v>
      </c>
      <c r="L622" s="66" t="str">
        <f t="shared" si="18"/>
        <v/>
      </c>
      <c r="M622" s="19" t="str">
        <f t="shared" si="19"/>
        <v>Jul_2017</v>
      </c>
    </row>
    <row r="623" spans="1:13">
      <c r="A623" s="4" t="s">
        <v>11</v>
      </c>
      <c r="B623" s="57" t="s">
        <v>161</v>
      </c>
      <c r="C623" s="21">
        <v>42942</v>
      </c>
      <c r="D623" s="5" t="s">
        <v>15</v>
      </c>
      <c r="E623" s="8">
        <v>0.70833333333333304</v>
      </c>
      <c r="F623" s="8">
        <v>0.875</v>
      </c>
      <c r="G623" s="14">
        <v>8.0000000000000036</v>
      </c>
      <c r="H623" s="14">
        <v>4.0000000000000036</v>
      </c>
      <c r="I623" s="14">
        <v>4.0000000000000036</v>
      </c>
      <c r="J623" s="42" t="s">
        <v>30</v>
      </c>
      <c r="K623" s="25" t="s">
        <v>206</v>
      </c>
      <c r="L623" s="66">
        <f t="shared" si="18"/>
        <v>1</v>
      </c>
      <c r="M623" s="19" t="str">
        <f t="shared" si="19"/>
        <v>Jul_2017</v>
      </c>
    </row>
    <row r="624" spans="1:13">
      <c r="A624" s="4" t="s">
        <v>22</v>
      </c>
      <c r="B624" s="57" t="s">
        <v>23</v>
      </c>
      <c r="C624" s="21">
        <v>42942</v>
      </c>
      <c r="D624" s="5" t="s">
        <v>15</v>
      </c>
      <c r="E624" s="8">
        <v>0.33333333333333298</v>
      </c>
      <c r="F624" s="8">
        <v>0.875</v>
      </c>
      <c r="G624" s="14">
        <v>0</v>
      </c>
      <c r="H624" s="14">
        <v>12.000000000000007</v>
      </c>
      <c r="I624" s="14">
        <v>12.000000000000007</v>
      </c>
      <c r="J624" s="25" t="s">
        <v>30</v>
      </c>
      <c r="K624" s="25" t="s">
        <v>206</v>
      </c>
      <c r="L624" s="66" t="str">
        <f t="shared" si="18"/>
        <v/>
      </c>
      <c r="M624" s="19" t="str">
        <f t="shared" si="19"/>
        <v>Jul_2017</v>
      </c>
    </row>
    <row r="625" spans="1:13">
      <c r="A625" s="4" t="s">
        <v>11</v>
      </c>
      <c r="B625" s="57" t="s">
        <v>187</v>
      </c>
      <c r="C625" s="21">
        <v>42942</v>
      </c>
      <c r="D625" s="5" t="s">
        <v>15</v>
      </c>
      <c r="E625" s="8">
        <v>0.70833333333333304</v>
      </c>
      <c r="F625" s="8">
        <v>0.875</v>
      </c>
      <c r="G625" s="14">
        <v>8.0000000000000036</v>
      </c>
      <c r="H625" s="14">
        <v>4.0000000000000036</v>
      </c>
      <c r="I625" s="14">
        <v>4.0000000000000036</v>
      </c>
      <c r="J625" s="42" t="s">
        <v>30</v>
      </c>
      <c r="K625" s="25" t="s">
        <v>206</v>
      </c>
      <c r="L625" s="66">
        <f t="shared" si="18"/>
        <v>1</v>
      </c>
      <c r="M625" s="19" t="str">
        <f t="shared" si="19"/>
        <v>Jul_2017</v>
      </c>
    </row>
    <row r="626" spans="1:13">
      <c r="A626" s="4" t="s">
        <v>22</v>
      </c>
      <c r="B626" s="57" t="s">
        <v>80</v>
      </c>
      <c r="C626" s="21">
        <v>42942</v>
      </c>
      <c r="D626" s="5" t="s">
        <v>15</v>
      </c>
      <c r="E626" s="8">
        <v>0.52083333333333304</v>
      </c>
      <c r="F626" s="8">
        <v>0.875</v>
      </c>
      <c r="G626" s="14">
        <v>0</v>
      </c>
      <c r="H626" s="14">
        <v>7.5000000000000071</v>
      </c>
      <c r="I626" s="14">
        <v>7.5000000000000071</v>
      </c>
      <c r="J626" s="25" t="s">
        <v>30</v>
      </c>
      <c r="K626" s="25" t="s">
        <v>206</v>
      </c>
      <c r="L626" s="66" t="str">
        <f t="shared" si="18"/>
        <v/>
      </c>
      <c r="M626" s="19" t="str">
        <f t="shared" si="19"/>
        <v>Jul_2017</v>
      </c>
    </row>
    <row r="627" spans="1:13">
      <c r="A627" s="4" t="s">
        <v>11</v>
      </c>
      <c r="B627" s="57" t="s">
        <v>12</v>
      </c>
      <c r="C627" s="24">
        <v>42943</v>
      </c>
      <c r="D627" s="5" t="s">
        <v>25</v>
      </c>
      <c r="E627" s="8">
        <v>0.75</v>
      </c>
      <c r="F627" s="8">
        <v>0.875</v>
      </c>
      <c r="G627" s="14">
        <v>8.0000000000000036</v>
      </c>
      <c r="H627" s="14">
        <v>2.9999999999999964</v>
      </c>
      <c r="I627" s="14">
        <v>2.9999999999999964</v>
      </c>
      <c r="J627" s="42" t="s">
        <v>30</v>
      </c>
      <c r="K627" s="25" t="s">
        <v>207</v>
      </c>
      <c r="L627" s="66">
        <f t="shared" si="18"/>
        <v>1</v>
      </c>
      <c r="M627" s="19" t="str">
        <f t="shared" si="19"/>
        <v>Jul_2017</v>
      </c>
    </row>
    <row r="628" spans="1:13">
      <c r="A628" s="4" t="s">
        <v>11</v>
      </c>
      <c r="B628" s="57" t="s">
        <v>19</v>
      </c>
      <c r="C628" s="21">
        <v>42943</v>
      </c>
      <c r="D628" s="5" t="s">
        <v>25</v>
      </c>
      <c r="E628" s="8">
        <v>0.70833333333333304</v>
      </c>
      <c r="F628" s="8">
        <v>0.875</v>
      </c>
      <c r="G628" s="14">
        <v>8.0000000000000036</v>
      </c>
      <c r="H628" s="14">
        <v>4.0000000000000036</v>
      </c>
      <c r="I628" s="14">
        <v>4.0000000000000036</v>
      </c>
      <c r="J628" s="42" t="s">
        <v>30</v>
      </c>
      <c r="K628" s="25" t="s">
        <v>207</v>
      </c>
      <c r="L628" s="66">
        <f t="shared" si="18"/>
        <v>1</v>
      </c>
      <c r="M628" s="19" t="str">
        <f t="shared" si="19"/>
        <v>Jul_2017</v>
      </c>
    </row>
    <row r="629" spans="1:13">
      <c r="A629" s="4" t="s">
        <v>11</v>
      </c>
      <c r="B629" s="57" t="s">
        <v>26</v>
      </c>
      <c r="C629" s="21">
        <v>42943</v>
      </c>
      <c r="D629" s="5" t="s">
        <v>25</v>
      </c>
      <c r="E629" s="8">
        <v>0.72916666666666696</v>
      </c>
      <c r="F629" s="8">
        <v>0.875</v>
      </c>
      <c r="G629" s="14">
        <v>8.0000000000000036</v>
      </c>
      <c r="H629" s="14">
        <v>3.4999999999999893</v>
      </c>
      <c r="I629" s="14">
        <v>3.4999999999999893</v>
      </c>
      <c r="J629" s="25" t="s">
        <v>30</v>
      </c>
      <c r="K629" s="25" t="s">
        <v>207</v>
      </c>
      <c r="L629" s="66">
        <f t="shared" si="18"/>
        <v>1</v>
      </c>
      <c r="M629" s="19" t="str">
        <f t="shared" si="19"/>
        <v>Jul_2017</v>
      </c>
    </row>
    <row r="630" spans="1:13">
      <c r="A630" s="4" t="s">
        <v>11</v>
      </c>
      <c r="B630" s="57" t="s">
        <v>149</v>
      </c>
      <c r="C630" s="21">
        <v>42943</v>
      </c>
      <c r="D630" s="5" t="s">
        <v>25</v>
      </c>
      <c r="E630" s="8">
        <v>0.72916666666666696</v>
      </c>
      <c r="F630" s="8">
        <v>0.875</v>
      </c>
      <c r="G630" s="14">
        <v>8.0000000000000036</v>
      </c>
      <c r="H630" s="14">
        <v>3.4999999999999893</v>
      </c>
      <c r="I630" s="14">
        <v>3.4999999999999893</v>
      </c>
      <c r="J630" s="42" t="s">
        <v>30</v>
      </c>
      <c r="K630" s="25" t="s">
        <v>207</v>
      </c>
      <c r="L630" s="66">
        <f t="shared" si="18"/>
        <v>1</v>
      </c>
      <c r="M630" s="19" t="str">
        <f t="shared" si="19"/>
        <v>Jul_2017</v>
      </c>
    </row>
    <row r="631" spans="1:13">
      <c r="A631" s="4" t="s">
        <v>11</v>
      </c>
      <c r="B631" s="57" t="s">
        <v>161</v>
      </c>
      <c r="C631" s="21">
        <v>42943</v>
      </c>
      <c r="D631" s="5" t="s">
        <v>25</v>
      </c>
      <c r="E631" s="8">
        <v>0.72916666666666696</v>
      </c>
      <c r="F631" s="8">
        <v>0.875</v>
      </c>
      <c r="G631" s="14">
        <v>8.0000000000000036</v>
      </c>
      <c r="H631" s="14">
        <v>3.4999999999999893</v>
      </c>
      <c r="I631" s="14">
        <v>3.4999999999999893</v>
      </c>
      <c r="J631" s="42" t="s">
        <v>30</v>
      </c>
      <c r="K631" s="25" t="s">
        <v>207</v>
      </c>
      <c r="L631" s="66">
        <f t="shared" si="18"/>
        <v>1</v>
      </c>
      <c r="M631" s="19" t="str">
        <f t="shared" si="19"/>
        <v>Jul_2017</v>
      </c>
    </row>
    <row r="632" spans="1:13">
      <c r="A632" s="4" t="s">
        <v>22</v>
      </c>
      <c r="B632" s="57" t="s">
        <v>23</v>
      </c>
      <c r="C632" s="21">
        <v>42943</v>
      </c>
      <c r="D632" s="5" t="s">
        <v>25</v>
      </c>
      <c r="E632" s="8">
        <v>0.35416666666666702</v>
      </c>
      <c r="F632" s="8">
        <v>0.875</v>
      </c>
      <c r="G632" s="14">
        <v>0</v>
      </c>
      <c r="H632" s="14">
        <v>11.499999999999993</v>
      </c>
      <c r="I632" s="14">
        <v>11.499999999999993</v>
      </c>
      <c r="J632" s="42" t="s">
        <v>30</v>
      </c>
      <c r="K632" s="25" t="s">
        <v>207</v>
      </c>
      <c r="L632" s="66" t="str">
        <f t="shared" si="18"/>
        <v/>
      </c>
      <c r="M632" s="19" t="str">
        <f t="shared" si="19"/>
        <v>Jul_2017</v>
      </c>
    </row>
    <row r="633" spans="1:13">
      <c r="A633" s="4" t="s">
        <v>11</v>
      </c>
      <c r="B633" s="57" t="s">
        <v>187</v>
      </c>
      <c r="C633" s="21">
        <v>42943</v>
      </c>
      <c r="D633" s="5" t="s">
        <v>25</v>
      </c>
      <c r="E633" s="8">
        <v>0.72916666666666696</v>
      </c>
      <c r="F633" s="8">
        <v>0.875</v>
      </c>
      <c r="G633" s="14">
        <v>8.0000000000000036</v>
      </c>
      <c r="H633" s="14">
        <v>3.4999999999999893</v>
      </c>
      <c r="I633" s="14">
        <v>3.4999999999999893</v>
      </c>
      <c r="J633" s="25" t="s">
        <v>30</v>
      </c>
      <c r="K633" s="25" t="s">
        <v>207</v>
      </c>
      <c r="L633" s="66">
        <f t="shared" si="18"/>
        <v>1</v>
      </c>
      <c r="M633" s="19" t="str">
        <f t="shared" si="19"/>
        <v>Jul_2017</v>
      </c>
    </row>
    <row r="634" spans="1:13">
      <c r="A634" s="4" t="s">
        <v>22</v>
      </c>
      <c r="B634" s="57" t="s">
        <v>77</v>
      </c>
      <c r="C634" s="21">
        <v>42943</v>
      </c>
      <c r="D634" s="5" t="s">
        <v>25</v>
      </c>
      <c r="E634" s="8">
        <v>0.77083333333333304</v>
      </c>
      <c r="F634" s="8">
        <v>0.875</v>
      </c>
      <c r="G634" s="14">
        <v>0</v>
      </c>
      <c r="H634" s="14">
        <v>2.5000000000000071</v>
      </c>
      <c r="I634" s="14">
        <v>2.5000000000000071</v>
      </c>
      <c r="J634" s="25" t="s">
        <v>30</v>
      </c>
      <c r="K634" s="25" t="s">
        <v>207</v>
      </c>
      <c r="L634" s="66" t="str">
        <f t="shared" si="18"/>
        <v/>
      </c>
      <c r="M634" s="19" t="str">
        <f t="shared" si="19"/>
        <v>Jul_2017</v>
      </c>
    </row>
    <row r="635" spans="1:13">
      <c r="A635" s="4" t="s">
        <v>22</v>
      </c>
      <c r="B635" s="57" t="s">
        <v>80</v>
      </c>
      <c r="C635" s="21">
        <v>42943</v>
      </c>
      <c r="D635" s="5" t="s">
        <v>25</v>
      </c>
      <c r="E635" s="8">
        <v>0.35416666666666702</v>
      </c>
      <c r="F635" s="8">
        <v>0.875</v>
      </c>
      <c r="G635" s="14">
        <v>0</v>
      </c>
      <c r="H635" s="14">
        <v>11.499999999999993</v>
      </c>
      <c r="I635" s="14">
        <v>11.499999999999993</v>
      </c>
      <c r="J635" s="25" t="s">
        <v>30</v>
      </c>
      <c r="K635" s="25" t="s">
        <v>207</v>
      </c>
      <c r="L635" s="66" t="str">
        <f t="shared" si="18"/>
        <v/>
      </c>
      <c r="M635" s="19" t="str">
        <f t="shared" si="19"/>
        <v>Jul_2017</v>
      </c>
    </row>
    <row r="636" spans="1:13">
      <c r="A636" s="4" t="s">
        <v>11</v>
      </c>
      <c r="B636" s="57" t="s">
        <v>12</v>
      </c>
      <c r="C636" s="24">
        <v>42944</v>
      </c>
      <c r="D636" s="5" t="s">
        <v>17</v>
      </c>
      <c r="E636" s="8">
        <v>0.75</v>
      </c>
      <c r="F636" s="8">
        <v>0.875</v>
      </c>
      <c r="G636" s="14">
        <v>8.0000000000000036</v>
      </c>
      <c r="H636" s="14">
        <v>2.9999999999999964</v>
      </c>
      <c r="I636" s="14">
        <v>2.9999999999999964</v>
      </c>
      <c r="J636" s="42" t="s">
        <v>30</v>
      </c>
      <c r="K636" s="25" t="s">
        <v>208</v>
      </c>
      <c r="L636" s="66">
        <f t="shared" si="18"/>
        <v>1</v>
      </c>
      <c r="M636" s="19" t="str">
        <f t="shared" si="19"/>
        <v>Jul_2017</v>
      </c>
    </row>
    <row r="637" spans="1:13">
      <c r="A637" s="4" t="s">
        <v>11</v>
      </c>
      <c r="B637" s="57" t="s">
        <v>19</v>
      </c>
      <c r="C637" s="21">
        <v>42944</v>
      </c>
      <c r="D637" s="5" t="s">
        <v>17</v>
      </c>
      <c r="E637" s="8">
        <v>0.70833333333333304</v>
      </c>
      <c r="F637" s="8">
        <v>0.83333333333333304</v>
      </c>
      <c r="G637" s="14">
        <v>8.0000000000000036</v>
      </c>
      <c r="H637" s="14">
        <v>2.9999999999999964</v>
      </c>
      <c r="I637" s="14">
        <v>2.9999999999999964</v>
      </c>
      <c r="J637" s="42" t="s">
        <v>30</v>
      </c>
      <c r="K637" s="25" t="s">
        <v>208</v>
      </c>
      <c r="L637" s="66">
        <f t="shared" si="18"/>
        <v>1</v>
      </c>
      <c r="M637" s="19" t="str">
        <f t="shared" si="19"/>
        <v>Jul_2017</v>
      </c>
    </row>
    <row r="638" spans="1:13">
      <c r="A638" s="4" t="s">
        <v>11</v>
      </c>
      <c r="B638" s="57" t="s">
        <v>26</v>
      </c>
      <c r="C638" s="21">
        <v>42944</v>
      </c>
      <c r="D638" s="5" t="s">
        <v>17</v>
      </c>
      <c r="E638" s="8">
        <v>0.70833333333333304</v>
      </c>
      <c r="F638" s="8">
        <v>0.72916666666666696</v>
      </c>
      <c r="G638" s="14">
        <v>8.0000000000000036</v>
      </c>
      <c r="H638" s="14">
        <v>0.50000000000001243</v>
      </c>
      <c r="I638" s="14">
        <v>0.50000000000001243</v>
      </c>
      <c r="J638" s="42" t="s">
        <v>30</v>
      </c>
      <c r="K638" s="25" t="s">
        <v>208</v>
      </c>
      <c r="L638" s="66" t="str">
        <f t="shared" si="18"/>
        <v/>
      </c>
      <c r="M638" s="19" t="str">
        <f t="shared" si="19"/>
        <v>Jul_2017</v>
      </c>
    </row>
    <row r="639" spans="1:13">
      <c r="A639" s="4" t="s">
        <v>11</v>
      </c>
      <c r="B639" s="57" t="s">
        <v>149</v>
      </c>
      <c r="C639" s="21">
        <v>42944</v>
      </c>
      <c r="D639" s="5" t="s">
        <v>17</v>
      </c>
      <c r="E639" s="8">
        <v>0.70833333333333304</v>
      </c>
      <c r="F639" s="8">
        <v>0.875</v>
      </c>
      <c r="G639" s="14">
        <v>8.0000000000000036</v>
      </c>
      <c r="H639" s="14">
        <v>4.0000000000000036</v>
      </c>
      <c r="I639" s="14">
        <v>4.0000000000000036</v>
      </c>
      <c r="J639" s="42" t="s">
        <v>30</v>
      </c>
      <c r="K639" s="25" t="s">
        <v>208</v>
      </c>
      <c r="L639" s="66">
        <f t="shared" si="18"/>
        <v>1</v>
      </c>
      <c r="M639" s="19" t="str">
        <f t="shared" si="19"/>
        <v>Jul_2017</v>
      </c>
    </row>
    <row r="640" spans="1:13">
      <c r="A640" s="4" t="s">
        <v>11</v>
      </c>
      <c r="B640" s="57" t="s">
        <v>161</v>
      </c>
      <c r="C640" s="21">
        <v>42944</v>
      </c>
      <c r="D640" s="5" t="s">
        <v>17</v>
      </c>
      <c r="E640" s="8">
        <v>0.70833333333333304</v>
      </c>
      <c r="F640" s="8">
        <v>0.875</v>
      </c>
      <c r="G640" s="14">
        <v>8.0000000000000036</v>
      </c>
      <c r="H640" s="14">
        <v>4.0000000000000036</v>
      </c>
      <c r="I640" s="14">
        <v>4.0000000000000036</v>
      </c>
      <c r="J640" s="42" t="s">
        <v>30</v>
      </c>
      <c r="K640" s="25" t="s">
        <v>208</v>
      </c>
      <c r="L640" s="66">
        <f t="shared" si="18"/>
        <v>1</v>
      </c>
      <c r="M640" s="19" t="str">
        <f t="shared" si="19"/>
        <v>Jul_2017</v>
      </c>
    </row>
    <row r="641" spans="1:13">
      <c r="A641" s="4" t="s">
        <v>22</v>
      </c>
      <c r="B641" s="57" t="s">
        <v>23</v>
      </c>
      <c r="C641" s="21">
        <v>42944</v>
      </c>
      <c r="D641" s="5" t="s">
        <v>17</v>
      </c>
      <c r="E641" s="8">
        <v>0.33333333333333298</v>
      </c>
      <c r="F641" s="8">
        <v>0.875</v>
      </c>
      <c r="G641" s="14">
        <v>0</v>
      </c>
      <c r="H641" s="14">
        <v>12.000000000000007</v>
      </c>
      <c r="I641" s="14">
        <v>12.000000000000007</v>
      </c>
      <c r="J641" s="42" t="s">
        <v>30</v>
      </c>
      <c r="K641" s="25" t="s">
        <v>208</v>
      </c>
      <c r="L641" s="66" t="str">
        <f t="shared" si="18"/>
        <v/>
      </c>
      <c r="M641" s="19" t="str">
        <f t="shared" si="19"/>
        <v>Jul_2017</v>
      </c>
    </row>
    <row r="642" spans="1:13">
      <c r="A642" s="4" t="s">
        <v>22</v>
      </c>
      <c r="B642" s="57" t="s">
        <v>80</v>
      </c>
      <c r="C642" s="21">
        <v>42944</v>
      </c>
      <c r="D642" s="5" t="s">
        <v>17</v>
      </c>
      <c r="E642" s="8">
        <v>0.33333333333333298</v>
      </c>
      <c r="F642" s="8">
        <v>0.875</v>
      </c>
      <c r="G642" s="14">
        <v>0</v>
      </c>
      <c r="H642" s="14">
        <v>12.000000000000007</v>
      </c>
      <c r="I642" s="14">
        <v>12.000000000000007</v>
      </c>
      <c r="J642" s="25" t="s">
        <v>30</v>
      </c>
      <c r="K642" s="25" t="s">
        <v>208</v>
      </c>
      <c r="L642" s="66" t="str">
        <f t="shared" ref="L642:L708" si="20">IF(AND($A642="Perm Staff Onsite",$H642&gt;=2),1,"")</f>
        <v/>
      </c>
      <c r="M642" s="19" t="str">
        <f t="shared" si="19"/>
        <v>Jul_2017</v>
      </c>
    </row>
    <row r="643" spans="1:13">
      <c r="A643" s="4" t="s">
        <v>22</v>
      </c>
      <c r="B643" s="57" t="s">
        <v>78</v>
      </c>
      <c r="C643" s="21">
        <v>42944</v>
      </c>
      <c r="D643" s="5" t="s">
        <v>17</v>
      </c>
      <c r="E643" s="8">
        <v>0.70833333333333304</v>
      </c>
      <c r="F643" s="8">
        <v>0.875</v>
      </c>
      <c r="G643" s="14">
        <v>0</v>
      </c>
      <c r="H643" s="14">
        <v>4.0000000000000071</v>
      </c>
      <c r="I643" s="14">
        <v>4.0000000000000071</v>
      </c>
      <c r="J643" s="25" t="s">
        <v>30</v>
      </c>
      <c r="K643" s="25" t="s">
        <v>208</v>
      </c>
      <c r="L643" s="66" t="str">
        <f t="shared" si="20"/>
        <v/>
      </c>
      <c r="M643" s="19" t="str">
        <f t="shared" ref="M643:M662" si="21">IF($C643="","",TEXT(DATE(YEAR($C643),MONTH($C643),DAY($C643)),"MMM")&amp;"_"&amp;YEAR($C643))</f>
        <v>Jul_2017</v>
      </c>
    </row>
    <row r="644" spans="1:13">
      <c r="A644" s="4" t="s">
        <v>22</v>
      </c>
      <c r="B644" s="57" t="s">
        <v>23</v>
      </c>
      <c r="C644" s="21">
        <v>42945</v>
      </c>
      <c r="D644" s="5" t="s">
        <v>24</v>
      </c>
      <c r="E644" s="8">
        <v>0.33333333333333298</v>
      </c>
      <c r="F644" s="8">
        <v>0.70833333333333304</v>
      </c>
      <c r="G644" s="14">
        <v>0</v>
      </c>
      <c r="H644" s="14">
        <v>8.0000000000000018</v>
      </c>
      <c r="I644" s="14">
        <v>8.0000000000000018</v>
      </c>
      <c r="J644" s="42" t="s">
        <v>52</v>
      </c>
      <c r="K644" s="25" t="s">
        <v>209</v>
      </c>
      <c r="L644" s="66" t="str">
        <f t="shared" si="20"/>
        <v/>
      </c>
      <c r="M644" s="19" t="str">
        <f t="shared" si="21"/>
        <v>Jul_2017</v>
      </c>
    </row>
    <row r="645" spans="1:13">
      <c r="A645" s="4" t="s">
        <v>22</v>
      </c>
      <c r="B645" s="57" t="s">
        <v>80</v>
      </c>
      <c r="C645" s="21">
        <v>42945</v>
      </c>
      <c r="D645" s="5" t="s">
        <v>24</v>
      </c>
      <c r="E645" s="8">
        <v>0.33333333333333298</v>
      </c>
      <c r="F645" s="8">
        <v>0.70833333333333304</v>
      </c>
      <c r="G645" s="14">
        <v>0</v>
      </c>
      <c r="H645" s="14">
        <v>8.0000000000000018</v>
      </c>
      <c r="I645" s="14">
        <v>8.0000000000000018</v>
      </c>
      <c r="J645" s="42" t="s">
        <v>52</v>
      </c>
      <c r="K645" s="25" t="s">
        <v>209</v>
      </c>
      <c r="L645" s="66" t="str">
        <f t="shared" si="20"/>
        <v/>
      </c>
      <c r="M645" s="19" t="str">
        <f t="shared" si="21"/>
        <v>Jul_2017</v>
      </c>
    </row>
    <row r="646" spans="1:13">
      <c r="A646" s="4" t="s">
        <v>22</v>
      </c>
      <c r="B646" s="57" t="s">
        <v>78</v>
      </c>
      <c r="C646" s="21">
        <v>42945</v>
      </c>
      <c r="D646" s="5" t="s">
        <v>24</v>
      </c>
      <c r="E646" s="8">
        <v>0.33333333333333298</v>
      </c>
      <c r="F646" s="8">
        <v>0.70833333333333304</v>
      </c>
      <c r="G646" s="14">
        <v>0</v>
      </c>
      <c r="H646" s="14">
        <v>8.0000000000000018</v>
      </c>
      <c r="I646" s="14">
        <v>8.0000000000000018</v>
      </c>
      <c r="J646" s="25" t="s">
        <v>52</v>
      </c>
      <c r="K646" s="25" t="s">
        <v>209</v>
      </c>
      <c r="L646" s="66" t="str">
        <f t="shared" si="20"/>
        <v/>
      </c>
      <c r="M646" s="19" t="str">
        <f t="shared" si="21"/>
        <v>Jul_2017</v>
      </c>
    </row>
    <row r="647" spans="1:13">
      <c r="A647" s="4" t="s">
        <v>11</v>
      </c>
      <c r="B647" s="57" t="s">
        <v>12</v>
      </c>
      <c r="C647" s="24">
        <v>42946</v>
      </c>
      <c r="D647" s="5" t="s">
        <v>13</v>
      </c>
      <c r="E647" s="8">
        <v>0.33333333333333298</v>
      </c>
      <c r="F647" s="8">
        <v>0.83333333333333304</v>
      </c>
      <c r="G647" s="14"/>
      <c r="H647" s="14">
        <v>11</v>
      </c>
      <c r="I647" s="14">
        <v>11</v>
      </c>
      <c r="J647" s="42" t="s">
        <v>52</v>
      </c>
      <c r="K647" s="25" t="s">
        <v>210</v>
      </c>
      <c r="L647" s="66">
        <f t="shared" si="20"/>
        <v>1</v>
      </c>
      <c r="M647" s="19" t="str">
        <f t="shared" si="21"/>
        <v>Jul_2017</v>
      </c>
    </row>
    <row r="648" spans="1:13">
      <c r="A648" s="4" t="s">
        <v>11</v>
      </c>
      <c r="B648" s="57" t="s">
        <v>19</v>
      </c>
      <c r="C648" s="21">
        <v>42946</v>
      </c>
      <c r="D648" s="5" t="s">
        <v>13</v>
      </c>
      <c r="E648" s="8">
        <v>0.33333333333333298</v>
      </c>
      <c r="F648" s="8">
        <v>0.70833333333333304</v>
      </c>
      <c r="G648" s="14"/>
      <c r="H648" s="14">
        <v>8.0000000000000018</v>
      </c>
      <c r="I648" s="14">
        <v>8.0000000000000018</v>
      </c>
      <c r="J648" s="42" t="s">
        <v>52</v>
      </c>
      <c r="K648" s="25" t="s">
        <v>211</v>
      </c>
      <c r="L648" s="66">
        <f t="shared" si="20"/>
        <v>1</v>
      </c>
      <c r="M648" s="19" t="str">
        <f t="shared" si="21"/>
        <v>Jul_2017</v>
      </c>
    </row>
    <row r="649" spans="1:13">
      <c r="A649" s="4" t="s">
        <v>11</v>
      </c>
      <c r="B649" s="57" t="s">
        <v>26</v>
      </c>
      <c r="C649" s="21">
        <v>42946</v>
      </c>
      <c r="D649" s="5" t="s">
        <v>13</v>
      </c>
      <c r="E649" s="8">
        <v>0.33333333333333298</v>
      </c>
      <c r="F649" s="8">
        <v>0.83333333333333304</v>
      </c>
      <c r="G649" s="14"/>
      <c r="H649" s="14">
        <v>11</v>
      </c>
      <c r="I649" s="14">
        <v>11</v>
      </c>
      <c r="J649" s="25" t="s">
        <v>52</v>
      </c>
      <c r="K649" s="25" t="s">
        <v>211</v>
      </c>
      <c r="L649" s="66">
        <f t="shared" si="20"/>
        <v>1</v>
      </c>
      <c r="M649" s="19" t="str">
        <f t="shared" si="21"/>
        <v>Jul_2017</v>
      </c>
    </row>
    <row r="650" spans="1:13">
      <c r="A650" s="4" t="s">
        <v>11</v>
      </c>
      <c r="B650" s="57" t="s">
        <v>149</v>
      </c>
      <c r="C650" s="21">
        <v>42946</v>
      </c>
      <c r="D650" s="5" t="s">
        <v>13</v>
      </c>
      <c r="E650" s="8">
        <v>0.33333333333333298</v>
      </c>
      <c r="F650" s="8">
        <v>0.83333333333333304</v>
      </c>
      <c r="G650" s="14"/>
      <c r="H650" s="14">
        <v>11</v>
      </c>
      <c r="I650" s="14">
        <v>11</v>
      </c>
      <c r="J650" s="42" t="s">
        <v>52</v>
      </c>
      <c r="K650" s="25" t="s">
        <v>211</v>
      </c>
      <c r="L650" s="66">
        <f t="shared" si="20"/>
        <v>1</v>
      </c>
      <c r="M650" s="19" t="str">
        <f t="shared" si="21"/>
        <v>Jul_2017</v>
      </c>
    </row>
    <row r="651" spans="1:13">
      <c r="A651" s="4" t="s">
        <v>11</v>
      </c>
      <c r="B651" s="57" t="s">
        <v>161</v>
      </c>
      <c r="C651" s="21">
        <v>42946</v>
      </c>
      <c r="D651" s="5" t="s">
        <v>13</v>
      </c>
      <c r="E651" s="8">
        <v>0.33333333333333298</v>
      </c>
      <c r="F651" s="8">
        <v>0.83333333333333304</v>
      </c>
      <c r="G651" s="14"/>
      <c r="H651" s="14">
        <v>11</v>
      </c>
      <c r="I651" s="14">
        <v>11</v>
      </c>
      <c r="J651" s="42" t="s">
        <v>52</v>
      </c>
      <c r="K651" s="25" t="s">
        <v>211</v>
      </c>
      <c r="L651" s="66">
        <f t="shared" si="20"/>
        <v>1</v>
      </c>
      <c r="M651" s="19" t="str">
        <f t="shared" si="21"/>
        <v>Jul_2017</v>
      </c>
    </row>
    <row r="652" spans="1:13">
      <c r="A652" s="4" t="s">
        <v>22</v>
      </c>
      <c r="B652" s="57" t="s">
        <v>23</v>
      </c>
      <c r="C652" s="21">
        <v>42946</v>
      </c>
      <c r="D652" s="5" t="s">
        <v>13</v>
      </c>
      <c r="E652" s="8">
        <v>0.33333333333333298</v>
      </c>
      <c r="F652" s="8">
        <v>0.83333333333333304</v>
      </c>
      <c r="G652" s="14"/>
      <c r="H652" s="14">
        <v>11</v>
      </c>
      <c r="I652" s="14">
        <v>11</v>
      </c>
      <c r="J652" s="42" t="s">
        <v>52</v>
      </c>
      <c r="K652" s="25" t="s">
        <v>211</v>
      </c>
      <c r="L652" s="66" t="str">
        <f t="shared" si="20"/>
        <v/>
      </c>
      <c r="M652" s="19" t="str">
        <f t="shared" si="21"/>
        <v>Jul_2017</v>
      </c>
    </row>
    <row r="653" spans="1:13">
      <c r="A653" s="4" t="s">
        <v>22</v>
      </c>
      <c r="B653" s="57" t="s">
        <v>80</v>
      </c>
      <c r="C653" s="21">
        <v>42946</v>
      </c>
      <c r="D653" s="5" t="s">
        <v>13</v>
      </c>
      <c r="E653" s="8">
        <v>0.33333333333333298</v>
      </c>
      <c r="F653" s="8">
        <v>0.83333333333333304</v>
      </c>
      <c r="G653" s="14"/>
      <c r="H653" s="14">
        <v>11</v>
      </c>
      <c r="I653" s="14">
        <v>11</v>
      </c>
      <c r="J653" s="42" t="s">
        <v>52</v>
      </c>
      <c r="K653" s="25" t="s">
        <v>211</v>
      </c>
      <c r="L653" s="66" t="str">
        <f t="shared" si="20"/>
        <v/>
      </c>
      <c r="M653" s="19" t="str">
        <f t="shared" si="21"/>
        <v>Jul_2017</v>
      </c>
    </row>
    <row r="654" spans="1:13">
      <c r="A654" s="4" t="s">
        <v>22</v>
      </c>
      <c r="B654" s="57" t="s">
        <v>78</v>
      </c>
      <c r="C654" s="21">
        <v>42946</v>
      </c>
      <c r="D654" s="5" t="s">
        <v>13</v>
      </c>
      <c r="E654" s="8">
        <v>0.33333333333333298</v>
      </c>
      <c r="F654" s="8">
        <v>0.83333333333333304</v>
      </c>
      <c r="G654" s="14"/>
      <c r="H654" s="14">
        <v>11</v>
      </c>
      <c r="I654" s="14">
        <v>11</v>
      </c>
      <c r="J654" s="25" t="s">
        <v>52</v>
      </c>
      <c r="K654" s="25" t="s">
        <v>211</v>
      </c>
      <c r="L654" s="66" t="str">
        <f t="shared" si="20"/>
        <v/>
      </c>
      <c r="M654" s="19" t="str">
        <f t="shared" si="21"/>
        <v>Jul_2017</v>
      </c>
    </row>
    <row r="655" spans="1:13">
      <c r="A655" s="4" t="s">
        <v>11</v>
      </c>
      <c r="B655" s="57" t="s">
        <v>12</v>
      </c>
      <c r="C655" s="24">
        <v>42947</v>
      </c>
      <c r="D655" s="5" t="s">
        <v>16</v>
      </c>
      <c r="E655" s="8">
        <v>0.70833333333333304</v>
      </c>
      <c r="F655" s="8">
        <v>0.79166666666666663</v>
      </c>
      <c r="G655" s="14">
        <v>8.0000000000000036</v>
      </c>
      <c r="H655" s="14">
        <v>2.0000000000000036</v>
      </c>
      <c r="I655" s="14">
        <v>2.0000000000000036</v>
      </c>
      <c r="J655" s="25" t="s">
        <v>30</v>
      </c>
      <c r="K655" s="25" t="s">
        <v>212</v>
      </c>
      <c r="L655" s="66">
        <f t="shared" si="20"/>
        <v>1</v>
      </c>
      <c r="M655" s="19" t="str">
        <f t="shared" si="21"/>
        <v>Jul_2017</v>
      </c>
    </row>
    <row r="656" spans="1:13">
      <c r="A656" s="4" t="s">
        <v>11</v>
      </c>
      <c r="B656" s="57" t="s">
        <v>19</v>
      </c>
      <c r="C656" s="21">
        <v>42947</v>
      </c>
      <c r="D656" s="5" t="s">
        <v>16</v>
      </c>
      <c r="E656" s="8">
        <v>0.70833333333333304</v>
      </c>
      <c r="F656" s="8">
        <v>0.875</v>
      </c>
      <c r="G656" s="14">
        <v>8.0000000000000036</v>
      </c>
      <c r="H656" s="14">
        <v>4.0000000000000036</v>
      </c>
      <c r="I656" s="14">
        <v>4.0000000000000036</v>
      </c>
      <c r="J656" s="25" t="s">
        <v>30</v>
      </c>
      <c r="K656" s="25" t="s">
        <v>212</v>
      </c>
      <c r="L656" s="66">
        <f t="shared" si="20"/>
        <v>1</v>
      </c>
      <c r="M656" s="19" t="str">
        <f t="shared" si="21"/>
        <v>Jul_2017</v>
      </c>
    </row>
    <row r="657" spans="1:13">
      <c r="A657" s="4" t="s">
        <v>11</v>
      </c>
      <c r="B657" s="57" t="s">
        <v>149</v>
      </c>
      <c r="C657" s="21">
        <v>42947</v>
      </c>
      <c r="D657" s="5" t="s">
        <v>16</v>
      </c>
      <c r="E657" s="8">
        <v>0.70833333333333304</v>
      </c>
      <c r="F657" s="8">
        <v>0.875</v>
      </c>
      <c r="G657" s="14">
        <v>8.0000000000000036</v>
      </c>
      <c r="H657" s="14">
        <v>4.0000000000000036</v>
      </c>
      <c r="I657" s="14">
        <v>4.0000000000000036</v>
      </c>
      <c r="J657" s="25" t="s">
        <v>30</v>
      </c>
      <c r="K657" s="25" t="s">
        <v>212</v>
      </c>
      <c r="L657" s="66">
        <f t="shared" si="20"/>
        <v>1</v>
      </c>
      <c r="M657" s="19" t="str">
        <f t="shared" si="21"/>
        <v>Jul_2017</v>
      </c>
    </row>
    <row r="658" spans="1:13">
      <c r="A658" s="4" t="s">
        <v>11</v>
      </c>
      <c r="B658" s="57" t="s">
        <v>161</v>
      </c>
      <c r="C658" s="21">
        <v>42947</v>
      </c>
      <c r="D658" s="5" t="s">
        <v>16</v>
      </c>
      <c r="E658" s="8">
        <v>0.70833333333333304</v>
      </c>
      <c r="F658" s="8">
        <v>0.875</v>
      </c>
      <c r="G658" s="14">
        <v>8.0000000000000036</v>
      </c>
      <c r="H658" s="14">
        <v>4.0000000000000036</v>
      </c>
      <c r="I658" s="14">
        <v>4.0000000000000036</v>
      </c>
      <c r="J658" s="25" t="s">
        <v>30</v>
      </c>
      <c r="K658" s="25" t="s">
        <v>212</v>
      </c>
      <c r="L658" s="66">
        <f t="shared" si="20"/>
        <v>1</v>
      </c>
      <c r="M658" s="19" t="str">
        <f t="shared" si="21"/>
        <v>Jul_2017</v>
      </c>
    </row>
    <row r="659" spans="1:13">
      <c r="A659" s="4" t="s">
        <v>22</v>
      </c>
      <c r="B659" s="57" t="s">
        <v>23</v>
      </c>
      <c r="C659" s="21">
        <v>42947</v>
      </c>
      <c r="D659" s="5" t="s">
        <v>16</v>
      </c>
      <c r="E659" s="8">
        <v>0.33333333333333298</v>
      </c>
      <c r="F659" s="8">
        <v>0.875</v>
      </c>
      <c r="G659" s="14">
        <v>0</v>
      </c>
      <c r="H659" s="14">
        <v>12.000000000000007</v>
      </c>
      <c r="I659" s="14">
        <v>12.000000000000007</v>
      </c>
      <c r="J659" s="25" t="s">
        <v>30</v>
      </c>
      <c r="K659" s="25" t="s">
        <v>212</v>
      </c>
      <c r="L659" s="66" t="str">
        <f t="shared" si="20"/>
        <v/>
      </c>
      <c r="M659" s="19" t="str">
        <f t="shared" si="21"/>
        <v>Jul_2017</v>
      </c>
    </row>
    <row r="660" spans="1:13">
      <c r="A660" s="4" t="s">
        <v>22</v>
      </c>
      <c r="B660" s="57" t="s">
        <v>77</v>
      </c>
      <c r="C660" s="21">
        <v>42947</v>
      </c>
      <c r="D660" s="5" t="s">
        <v>16</v>
      </c>
      <c r="E660" s="8">
        <v>0.33333333333333298</v>
      </c>
      <c r="F660" s="8">
        <v>0.875</v>
      </c>
      <c r="G660" s="14">
        <v>0</v>
      </c>
      <c r="H660" s="14">
        <v>12.000000000000007</v>
      </c>
      <c r="I660" s="14">
        <v>12.000000000000007</v>
      </c>
      <c r="J660" s="25" t="s">
        <v>30</v>
      </c>
      <c r="K660" s="25" t="s">
        <v>212</v>
      </c>
      <c r="L660" s="66" t="str">
        <f t="shared" si="20"/>
        <v/>
      </c>
      <c r="M660" s="19" t="str">
        <f t="shared" si="21"/>
        <v>Jul_2017</v>
      </c>
    </row>
    <row r="661" spans="1:13">
      <c r="A661" s="4" t="s">
        <v>22</v>
      </c>
      <c r="B661" s="57" t="s">
        <v>80</v>
      </c>
      <c r="C661" s="21">
        <v>42947</v>
      </c>
      <c r="D661" s="5" t="s">
        <v>16</v>
      </c>
      <c r="E661" s="8">
        <v>0.33333333333333298</v>
      </c>
      <c r="F661" s="8">
        <v>0.875</v>
      </c>
      <c r="G661" s="14">
        <v>0</v>
      </c>
      <c r="H661" s="14">
        <v>12.000000000000007</v>
      </c>
      <c r="I661" s="14">
        <v>12.000000000000007</v>
      </c>
      <c r="J661" s="25" t="s">
        <v>30</v>
      </c>
      <c r="K661" s="25" t="s">
        <v>212</v>
      </c>
      <c r="L661" s="66" t="str">
        <f t="shared" si="20"/>
        <v/>
      </c>
      <c r="M661" s="19" t="str">
        <f t="shared" si="21"/>
        <v>Jul_2017</v>
      </c>
    </row>
    <row r="662" spans="1:13">
      <c r="A662" s="4" t="s">
        <v>22</v>
      </c>
      <c r="B662" s="57" t="s">
        <v>78</v>
      </c>
      <c r="C662" s="21">
        <v>42947</v>
      </c>
      <c r="D662" s="5" t="s">
        <v>16</v>
      </c>
      <c r="E662" s="8">
        <v>0.70833333333333337</v>
      </c>
      <c r="F662" s="8">
        <v>0.875</v>
      </c>
      <c r="G662" s="14">
        <v>0</v>
      </c>
      <c r="H662" s="14">
        <v>3.9999999999999991</v>
      </c>
      <c r="I662" s="14">
        <v>3.9999999999999991</v>
      </c>
      <c r="J662" s="25" t="s">
        <v>30</v>
      </c>
      <c r="K662" s="25" t="s">
        <v>212</v>
      </c>
      <c r="L662" s="66" t="str">
        <f t="shared" si="20"/>
        <v/>
      </c>
      <c r="M662" s="19" t="str">
        <f t="shared" si="21"/>
        <v>Jul_2017</v>
      </c>
    </row>
    <row r="663" spans="1:13">
      <c r="A663" s="45" t="s">
        <v>11</v>
      </c>
      <c r="B663" s="64" t="s">
        <v>19</v>
      </c>
      <c r="C663" s="46">
        <v>42948</v>
      </c>
      <c r="D663" s="47" t="s">
        <v>14</v>
      </c>
      <c r="E663" s="48">
        <v>0.70833333333333304</v>
      </c>
      <c r="F663" s="48">
        <v>0.8125</v>
      </c>
      <c r="G663" s="49">
        <v>8.0000000000000036</v>
      </c>
      <c r="H663" s="49">
        <v>2.5000000000000053</v>
      </c>
      <c r="I663" s="49">
        <v>2.5000000000000053</v>
      </c>
      <c r="J663" s="50" t="s">
        <v>30</v>
      </c>
      <c r="K663" s="51" t="s">
        <v>256</v>
      </c>
      <c r="L663" s="66">
        <f t="shared" si="20"/>
        <v>1</v>
      </c>
      <c r="M663" s="19" t="str">
        <f>IF($C663="","",TEXT(DATE(YEAR($C663),MONTH($C663),DAY($C663)),"MMM")&amp;"_"&amp;YEAR($C663))</f>
        <v>Aug_2017</v>
      </c>
    </row>
    <row r="664" spans="1:13">
      <c r="A664" s="45" t="s">
        <v>11</v>
      </c>
      <c r="B664" s="64" t="s">
        <v>149</v>
      </c>
      <c r="C664" s="46">
        <v>42948</v>
      </c>
      <c r="D664" s="47" t="s">
        <v>14</v>
      </c>
      <c r="E664" s="48">
        <v>0.70833333333333304</v>
      </c>
      <c r="F664" s="48">
        <v>0.8125</v>
      </c>
      <c r="G664" s="49">
        <v>8.0000000000000036</v>
      </c>
      <c r="H664" s="49">
        <v>2.5000000000000053</v>
      </c>
      <c r="I664" s="49">
        <v>2.5000000000000053</v>
      </c>
      <c r="J664" s="53" t="s">
        <v>30</v>
      </c>
      <c r="K664" s="51" t="s">
        <v>256</v>
      </c>
      <c r="L664" s="66">
        <f t="shared" si="20"/>
        <v>1</v>
      </c>
      <c r="M664" s="19" t="str">
        <f t="shared" ref="M664:M731" si="22">IF($C664="","",TEXT(DATE(YEAR($C664),MONTH($C664),DAY($C664)),"MMM")&amp;"_"&amp;YEAR($C664))</f>
        <v>Aug_2017</v>
      </c>
    </row>
    <row r="665" spans="1:13">
      <c r="A665" s="45" t="s">
        <v>11</v>
      </c>
      <c r="B665" s="64" t="s">
        <v>161</v>
      </c>
      <c r="C665" s="46">
        <v>42948</v>
      </c>
      <c r="D665" s="47" t="s">
        <v>14</v>
      </c>
      <c r="E665" s="48">
        <v>0.70833333333333304</v>
      </c>
      <c r="F665" s="48">
        <v>0.8125</v>
      </c>
      <c r="G665" s="49">
        <v>8.0000000000000036</v>
      </c>
      <c r="H665" s="49">
        <v>2.5000000000000053</v>
      </c>
      <c r="I665" s="49">
        <v>2.5000000000000053</v>
      </c>
      <c r="J665" s="53" t="s">
        <v>30</v>
      </c>
      <c r="K665" s="51" t="s">
        <v>256</v>
      </c>
      <c r="L665" s="66">
        <f t="shared" si="20"/>
        <v>1</v>
      </c>
      <c r="M665" s="19" t="str">
        <f t="shared" si="22"/>
        <v>Aug_2017</v>
      </c>
    </row>
    <row r="666" spans="1:13">
      <c r="A666" s="45" t="s">
        <v>22</v>
      </c>
      <c r="B666" s="64" t="s">
        <v>23</v>
      </c>
      <c r="C666" s="46">
        <v>42948</v>
      </c>
      <c r="D666" s="47" t="s">
        <v>14</v>
      </c>
      <c r="E666" s="48">
        <v>0.33333333333333298</v>
      </c>
      <c r="F666" s="48">
        <v>0.8125</v>
      </c>
      <c r="G666" s="49">
        <v>0</v>
      </c>
      <c r="H666" s="49">
        <v>10.500000000000009</v>
      </c>
      <c r="I666" s="49">
        <v>10.500000000000009</v>
      </c>
      <c r="J666" s="50" t="s">
        <v>30</v>
      </c>
      <c r="K666" s="51" t="s">
        <v>256</v>
      </c>
      <c r="L666" s="66" t="str">
        <f t="shared" si="20"/>
        <v/>
      </c>
      <c r="M666" s="19" t="str">
        <f t="shared" si="22"/>
        <v>Aug_2017</v>
      </c>
    </row>
    <row r="667" spans="1:13">
      <c r="A667" s="45" t="s">
        <v>22</v>
      </c>
      <c r="B667" s="64" t="s">
        <v>77</v>
      </c>
      <c r="C667" s="46">
        <v>42948</v>
      </c>
      <c r="D667" s="47" t="s">
        <v>14</v>
      </c>
      <c r="E667" s="48">
        <v>0.33333333333333298</v>
      </c>
      <c r="F667" s="48">
        <v>0.8125</v>
      </c>
      <c r="G667" s="49">
        <v>0</v>
      </c>
      <c r="H667" s="49">
        <v>10.500000000000009</v>
      </c>
      <c r="I667" s="49">
        <v>10.500000000000009</v>
      </c>
      <c r="J667" s="50" t="s">
        <v>30</v>
      </c>
      <c r="K667" s="51" t="s">
        <v>256</v>
      </c>
      <c r="L667" s="66" t="str">
        <f t="shared" si="20"/>
        <v/>
      </c>
      <c r="M667" s="19" t="str">
        <f t="shared" si="22"/>
        <v>Aug_2017</v>
      </c>
    </row>
    <row r="668" spans="1:13">
      <c r="A668" s="45" t="s">
        <v>22</v>
      </c>
      <c r="B668" s="64" t="s">
        <v>78</v>
      </c>
      <c r="C668" s="46">
        <v>42948</v>
      </c>
      <c r="D668" s="47" t="s">
        <v>14</v>
      </c>
      <c r="E668" s="48">
        <v>0.33333333333333298</v>
      </c>
      <c r="F668" s="48">
        <v>0.8125</v>
      </c>
      <c r="G668" s="49">
        <v>0</v>
      </c>
      <c r="H668" s="49">
        <v>10.500000000000009</v>
      </c>
      <c r="I668" s="49">
        <v>10.500000000000009</v>
      </c>
      <c r="J668" s="53" t="s">
        <v>30</v>
      </c>
      <c r="K668" s="51" t="s">
        <v>256</v>
      </c>
      <c r="L668" s="66" t="str">
        <f t="shared" si="20"/>
        <v/>
      </c>
      <c r="M668" s="19" t="str">
        <f t="shared" si="22"/>
        <v>Aug_2017</v>
      </c>
    </row>
    <row r="669" spans="1:13">
      <c r="A669" s="45" t="s">
        <v>11</v>
      </c>
      <c r="B669" s="64" t="s">
        <v>12</v>
      </c>
      <c r="C669" s="54">
        <v>42949</v>
      </c>
      <c r="D669" s="47" t="s">
        <v>15</v>
      </c>
      <c r="E669" s="48">
        <v>0.70833333333333304</v>
      </c>
      <c r="F669" s="48">
        <v>0.89583333333333304</v>
      </c>
      <c r="G669" s="49">
        <v>8.0000000000000036</v>
      </c>
      <c r="H669" s="49">
        <v>4.4999999999999964</v>
      </c>
      <c r="I669" s="49">
        <v>4.4999999999999964</v>
      </c>
      <c r="J669" s="53" t="s">
        <v>30</v>
      </c>
      <c r="K669" s="51" t="s">
        <v>257</v>
      </c>
      <c r="L669" s="66">
        <f t="shared" si="20"/>
        <v>1</v>
      </c>
      <c r="M669" s="19" t="str">
        <f t="shared" si="22"/>
        <v>Aug_2017</v>
      </c>
    </row>
    <row r="670" spans="1:13">
      <c r="A670" s="45" t="s">
        <v>11</v>
      </c>
      <c r="B670" s="64" t="s">
        <v>19</v>
      </c>
      <c r="C670" s="46">
        <v>42949</v>
      </c>
      <c r="D670" s="47" t="s">
        <v>15</v>
      </c>
      <c r="E670" s="48">
        <v>0.70833333333333304</v>
      </c>
      <c r="F670" s="48">
        <v>0.89583333333333304</v>
      </c>
      <c r="G670" s="49">
        <v>8.0000000000000036</v>
      </c>
      <c r="H670" s="49">
        <v>4.4999999999999964</v>
      </c>
      <c r="I670" s="49">
        <v>4.4999999999999964</v>
      </c>
      <c r="J670" s="53" t="s">
        <v>30</v>
      </c>
      <c r="K670" s="51" t="s">
        <v>257</v>
      </c>
      <c r="L670" s="66">
        <f t="shared" si="20"/>
        <v>1</v>
      </c>
      <c r="M670" s="19" t="str">
        <f t="shared" si="22"/>
        <v>Aug_2017</v>
      </c>
    </row>
    <row r="671" spans="1:13">
      <c r="A671" s="45" t="s">
        <v>11</v>
      </c>
      <c r="B671" s="64" t="s">
        <v>26</v>
      </c>
      <c r="C671" s="46">
        <v>42949</v>
      </c>
      <c r="D671" s="47" t="s">
        <v>15</v>
      </c>
      <c r="E671" s="48">
        <v>0.54166666666666696</v>
      </c>
      <c r="F671" s="48">
        <v>0.85416666666666696</v>
      </c>
      <c r="G671" s="49">
        <v>7.5</v>
      </c>
      <c r="H671" s="49">
        <v>3</v>
      </c>
      <c r="I671" s="49">
        <v>3</v>
      </c>
      <c r="J671" s="50" t="s">
        <v>30</v>
      </c>
      <c r="K671" s="51" t="s">
        <v>257</v>
      </c>
      <c r="L671" s="66">
        <f t="shared" si="20"/>
        <v>1</v>
      </c>
      <c r="M671" s="19" t="str">
        <f t="shared" si="22"/>
        <v>Aug_2017</v>
      </c>
    </row>
    <row r="672" spans="1:13">
      <c r="A672" s="45" t="s">
        <v>11</v>
      </c>
      <c r="B672" s="64" t="s">
        <v>149</v>
      </c>
      <c r="C672" s="46">
        <v>42949</v>
      </c>
      <c r="D672" s="47" t="s">
        <v>15</v>
      </c>
      <c r="E672" s="48">
        <v>0.70833333333333304</v>
      </c>
      <c r="F672" s="48">
        <v>0.89583333333333304</v>
      </c>
      <c r="G672" s="49">
        <v>8.0000000000000036</v>
      </c>
      <c r="H672" s="49">
        <v>4.4999999999999964</v>
      </c>
      <c r="I672" s="49">
        <v>4.4999999999999964</v>
      </c>
      <c r="J672" s="53" t="s">
        <v>30</v>
      </c>
      <c r="K672" s="51" t="s">
        <v>257</v>
      </c>
      <c r="L672" s="66">
        <f t="shared" si="20"/>
        <v>1</v>
      </c>
      <c r="M672" s="19" t="str">
        <f t="shared" si="22"/>
        <v>Aug_2017</v>
      </c>
    </row>
    <row r="673" spans="1:13">
      <c r="A673" s="45" t="s">
        <v>11</v>
      </c>
      <c r="B673" s="64" t="s">
        <v>161</v>
      </c>
      <c r="C673" s="46">
        <v>42949</v>
      </c>
      <c r="D673" s="47" t="s">
        <v>15</v>
      </c>
      <c r="E673" s="48">
        <v>0.70833333333333304</v>
      </c>
      <c r="F673" s="48">
        <v>0.89583333333333304</v>
      </c>
      <c r="G673" s="49">
        <v>8.0000000000000036</v>
      </c>
      <c r="H673" s="49">
        <v>4.4999999999999964</v>
      </c>
      <c r="I673" s="49">
        <v>4.4999999999999964</v>
      </c>
      <c r="J673" s="53" t="s">
        <v>30</v>
      </c>
      <c r="K673" s="51" t="s">
        <v>257</v>
      </c>
      <c r="L673" s="66">
        <f t="shared" si="20"/>
        <v>1</v>
      </c>
      <c r="M673" s="19" t="str">
        <f t="shared" si="22"/>
        <v>Aug_2017</v>
      </c>
    </row>
    <row r="674" spans="1:13">
      <c r="A674" s="45" t="s">
        <v>22</v>
      </c>
      <c r="B674" s="64" t="s">
        <v>23</v>
      </c>
      <c r="C674" s="46">
        <v>42949</v>
      </c>
      <c r="D674" s="47" t="s">
        <v>15</v>
      </c>
      <c r="E674" s="48">
        <v>0.33333333333333298</v>
      </c>
      <c r="F674" s="48">
        <v>0.89583333333333304</v>
      </c>
      <c r="G674" s="49">
        <v>0</v>
      </c>
      <c r="H674" s="49">
        <v>12.5</v>
      </c>
      <c r="I674" s="49">
        <v>12.5</v>
      </c>
      <c r="J674" s="53" t="s">
        <v>30</v>
      </c>
      <c r="K674" s="51" t="s">
        <v>257</v>
      </c>
      <c r="L674" s="66" t="str">
        <f t="shared" si="20"/>
        <v/>
      </c>
      <c r="M674" s="19" t="str">
        <f t="shared" si="22"/>
        <v>Aug_2017</v>
      </c>
    </row>
    <row r="675" spans="1:13">
      <c r="A675" s="45" t="s">
        <v>22</v>
      </c>
      <c r="B675" s="64" t="s">
        <v>190</v>
      </c>
      <c r="C675" s="46">
        <v>42949</v>
      </c>
      <c r="D675" s="47" t="s">
        <v>15</v>
      </c>
      <c r="E675" s="48">
        <v>0.70833333333333304</v>
      </c>
      <c r="F675" s="48">
        <v>0.89583333333333304</v>
      </c>
      <c r="G675" s="49">
        <v>0</v>
      </c>
      <c r="H675" s="49">
        <v>4.5</v>
      </c>
      <c r="I675" s="49">
        <v>4.5</v>
      </c>
      <c r="J675" s="50" t="s">
        <v>30</v>
      </c>
      <c r="K675" s="51" t="s">
        <v>257</v>
      </c>
      <c r="L675" s="66" t="str">
        <f t="shared" si="20"/>
        <v/>
      </c>
      <c r="M675" s="19" t="str">
        <f t="shared" si="22"/>
        <v>Aug_2017</v>
      </c>
    </row>
    <row r="676" spans="1:13">
      <c r="A676" s="45" t="s">
        <v>11</v>
      </c>
      <c r="B676" s="64" t="s">
        <v>12</v>
      </c>
      <c r="C676" s="54">
        <v>42950</v>
      </c>
      <c r="D676" s="47" t="s">
        <v>25</v>
      </c>
      <c r="E676" s="48">
        <v>0.70833333333333304</v>
      </c>
      <c r="F676" s="48">
        <v>0.875</v>
      </c>
      <c r="G676" s="49">
        <v>8.0000000000000036</v>
      </c>
      <c r="H676" s="49">
        <v>4.0000000000000036</v>
      </c>
      <c r="I676" s="49">
        <v>4.0000000000000036</v>
      </c>
      <c r="J676" s="53" t="s">
        <v>30</v>
      </c>
      <c r="K676" s="51" t="s">
        <v>258</v>
      </c>
      <c r="L676" s="66">
        <f t="shared" si="20"/>
        <v>1</v>
      </c>
      <c r="M676" s="19" t="str">
        <f t="shared" si="22"/>
        <v>Aug_2017</v>
      </c>
    </row>
    <row r="677" spans="1:13">
      <c r="A677" s="45" t="s">
        <v>11</v>
      </c>
      <c r="B677" s="64" t="s">
        <v>19</v>
      </c>
      <c r="C677" s="46">
        <v>42950</v>
      </c>
      <c r="D677" s="47" t="s">
        <v>25</v>
      </c>
      <c r="E677" s="48">
        <v>0.70833333333333304</v>
      </c>
      <c r="F677" s="48">
        <v>0.875</v>
      </c>
      <c r="G677" s="49">
        <v>8.0000000000000036</v>
      </c>
      <c r="H677" s="49">
        <v>4.0000000000000036</v>
      </c>
      <c r="I677" s="49">
        <v>4.0000000000000036</v>
      </c>
      <c r="J677" s="53" t="s">
        <v>30</v>
      </c>
      <c r="K677" s="51" t="s">
        <v>258</v>
      </c>
      <c r="L677" s="66">
        <f t="shared" si="20"/>
        <v>1</v>
      </c>
      <c r="M677" s="19" t="str">
        <f t="shared" si="22"/>
        <v>Aug_2017</v>
      </c>
    </row>
    <row r="678" spans="1:13">
      <c r="A678" s="45" t="s">
        <v>11</v>
      </c>
      <c r="B678" s="64" t="s">
        <v>26</v>
      </c>
      <c r="C678" s="46">
        <v>42950</v>
      </c>
      <c r="D678" s="47" t="s">
        <v>25</v>
      </c>
      <c r="E678" s="48">
        <v>0.70833333333333304</v>
      </c>
      <c r="F678" s="48">
        <v>0.875</v>
      </c>
      <c r="G678" s="49">
        <v>8.0000000000000036</v>
      </c>
      <c r="H678" s="49">
        <v>4.0000000000000036</v>
      </c>
      <c r="I678" s="49">
        <v>4.0000000000000036</v>
      </c>
      <c r="J678" s="53" t="s">
        <v>30</v>
      </c>
      <c r="K678" s="51" t="s">
        <v>258</v>
      </c>
      <c r="L678" s="66">
        <f t="shared" si="20"/>
        <v>1</v>
      </c>
      <c r="M678" s="19" t="str">
        <f t="shared" si="22"/>
        <v>Aug_2017</v>
      </c>
    </row>
    <row r="679" spans="1:13">
      <c r="A679" s="45" t="s">
        <v>11</v>
      </c>
      <c r="B679" s="64" t="s">
        <v>149</v>
      </c>
      <c r="C679" s="46">
        <v>42950</v>
      </c>
      <c r="D679" s="47" t="s">
        <v>25</v>
      </c>
      <c r="E679" s="48">
        <v>0.70833333333333304</v>
      </c>
      <c r="F679" s="48">
        <v>0.875</v>
      </c>
      <c r="G679" s="49">
        <v>8.0000000000000036</v>
      </c>
      <c r="H679" s="49">
        <v>4.0000000000000036</v>
      </c>
      <c r="I679" s="49">
        <v>4.0000000000000036</v>
      </c>
      <c r="J679" s="53" t="s">
        <v>30</v>
      </c>
      <c r="K679" s="51" t="s">
        <v>258</v>
      </c>
      <c r="L679" s="66">
        <f t="shared" si="20"/>
        <v>1</v>
      </c>
      <c r="M679" s="19" t="str">
        <f t="shared" si="22"/>
        <v>Aug_2017</v>
      </c>
    </row>
    <row r="680" spans="1:13">
      <c r="A680" s="45" t="s">
        <v>11</v>
      </c>
      <c r="B680" s="64" t="s">
        <v>161</v>
      </c>
      <c r="C680" s="46">
        <v>42950</v>
      </c>
      <c r="D680" s="47" t="s">
        <v>25</v>
      </c>
      <c r="E680" s="48">
        <v>0.70833333333333304</v>
      </c>
      <c r="F680" s="48">
        <v>0.875</v>
      </c>
      <c r="G680" s="49">
        <v>8.0000000000000036</v>
      </c>
      <c r="H680" s="49">
        <v>4.0000000000000036</v>
      </c>
      <c r="I680" s="49">
        <v>4.0000000000000036</v>
      </c>
      <c r="J680" s="53" t="s">
        <v>30</v>
      </c>
      <c r="K680" s="51" t="s">
        <v>258</v>
      </c>
      <c r="L680" s="66">
        <f t="shared" si="20"/>
        <v>1</v>
      </c>
      <c r="M680" s="19" t="str">
        <f t="shared" si="22"/>
        <v>Aug_2017</v>
      </c>
    </row>
    <row r="681" spans="1:13">
      <c r="A681" s="45" t="s">
        <v>22</v>
      </c>
      <c r="B681" s="64" t="s">
        <v>23</v>
      </c>
      <c r="C681" s="46">
        <v>42950</v>
      </c>
      <c r="D681" s="47" t="s">
        <v>25</v>
      </c>
      <c r="E681" s="48">
        <v>0.33333333333333298</v>
      </c>
      <c r="F681" s="48">
        <v>0.875</v>
      </c>
      <c r="G681" s="49">
        <v>0</v>
      </c>
      <c r="H681" s="49">
        <v>12.000000000000007</v>
      </c>
      <c r="I681" s="49">
        <v>12.000000000000007</v>
      </c>
      <c r="J681" s="53" t="s">
        <v>30</v>
      </c>
      <c r="K681" s="51" t="s">
        <v>258</v>
      </c>
      <c r="L681" s="66" t="str">
        <f t="shared" si="20"/>
        <v/>
      </c>
      <c r="M681" s="19" t="str">
        <f t="shared" si="22"/>
        <v>Aug_2017</v>
      </c>
    </row>
    <row r="682" spans="1:13">
      <c r="A682" s="45" t="s">
        <v>22</v>
      </c>
      <c r="B682" s="64" t="s">
        <v>190</v>
      </c>
      <c r="C682" s="46">
        <v>42950</v>
      </c>
      <c r="D682" s="47" t="s">
        <v>25</v>
      </c>
      <c r="E682" s="48">
        <v>0.72916666666666696</v>
      </c>
      <c r="F682" s="48">
        <v>0.875</v>
      </c>
      <c r="G682" s="49">
        <v>0</v>
      </c>
      <c r="H682" s="49">
        <v>3.4999999999999929</v>
      </c>
      <c r="I682" s="49">
        <v>3.4999999999999929</v>
      </c>
      <c r="J682" s="50" t="s">
        <v>30</v>
      </c>
      <c r="K682" s="51" t="s">
        <v>258</v>
      </c>
      <c r="L682" s="66" t="str">
        <f t="shared" si="20"/>
        <v/>
      </c>
      <c r="M682" s="19" t="str">
        <f t="shared" si="22"/>
        <v>Aug_2017</v>
      </c>
    </row>
    <row r="683" spans="1:13">
      <c r="A683" s="45" t="s">
        <v>22</v>
      </c>
      <c r="B683" s="64" t="s">
        <v>23</v>
      </c>
      <c r="C683" s="46">
        <v>42951</v>
      </c>
      <c r="D683" s="47" t="s">
        <v>17</v>
      </c>
      <c r="E683" s="48">
        <v>0.35416666666666702</v>
      </c>
      <c r="F683" s="48">
        <v>0.72916666666666696</v>
      </c>
      <c r="G683" s="49">
        <v>0</v>
      </c>
      <c r="H683" s="49">
        <v>7.9999999999999982</v>
      </c>
      <c r="I683" s="49">
        <v>7.9999999999999982</v>
      </c>
      <c r="J683" s="53" t="s">
        <v>30</v>
      </c>
      <c r="K683" s="51" t="s">
        <v>259</v>
      </c>
      <c r="L683" s="66" t="str">
        <f t="shared" si="20"/>
        <v/>
      </c>
      <c r="M683" s="19" t="str">
        <f t="shared" si="22"/>
        <v>Aug_2017</v>
      </c>
    </row>
    <row r="684" spans="1:13">
      <c r="A684" s="45" t="s">
        <v>22</v>
      </c>
      <c r="B684" s="64" t="s">
        <v>187</v>
      </c>
      <c r="C684" s="46">
        <v>42951</v>
      </c>
      <c r="D684" s="47" t="s">
        <v>17</v>
      </c>
      <c r="E684" s="48">
        <v>0.72916666666666663</v>
      </c>
      <c r="F684" s="48">
        <v>0.8125</v>
      </c>
      <c r="G684" s="49"/>
      <c r="H684" s="14">
        <v>2.0000000000000009</v>
      </c>
      <c r="I684" s="49"/>
      <c r="J684" s="50" t="s">
        <v>30</v>
      </c>
      <c r="K684" s="51" t="s">
        <v>280</v>
      </c>
      <c r="L684" s="66" t="str">
        <f t="shared" si="20"/>
        <v/>
      </c>
      <c r="M684" s="19" t="str">
        <f t="shared" si="22"/>
        <v>Aug_2017</v>
      </c>
    </row>
    <row r="685" spans="1:13">
      <c r="A685" s="45" t="s">
        <v>22</v>
      </c>
      <c r="B685" s="64" t="s">
        <v>23</v>
      </c>
      <c r="C685" s="46">
        <v>42954</v>
      </c>
      <c r="D685" s="47" t="s">
        <v>16</v>
      </c>
      <c r="E685" s="48">
        <v>0.35416666666666702</v>
      </c>
      <c r="F685" s="48">
        <v>0.72916666666666696</v>
      </c>
      <c r="G685" s="49">
        <v>0</v>
      </c>
      <c r="H685" s="49">
        <v>7.9999999999999982</v>
      </c>
      <c r="I685" s="49">
        <v>7.9999999999999982</v>
      </c>
      <c r="J685" s="50" t="s">
        <v>30</v>
      </c>
      <c r="K685" s="51" t="s">
        <v>260</v>
      </c>
      <c r="L685" s="66" t="str">
        <f t="shared" si="20"/>
        <v/>
      </c>
      <c r="M685" s="19" t="str">
        <f t="shared" si="22"/>
        <v>Aug_2017</v>
      </c>
    </row>
    <row r="686" spans="1:13">
      <c r="A686" s="45" t="s">
        <v>22</v>
      </c>
      <c r="B686" s="64" t="s">
        <v>23</v>
      </c>
      <c r="C686" s="46">
        <v>42955</v>
      </c>
      <c r="D686" s="47" t="s">
        <v>14</v>
      </c>
      <c r="E686" s="48">
        <v>0.35416666666666702</v>
      </c>
      <c r="F686" s="48">
        <v>0.72916666666666696</v>
      </c>
      <c r="G686" s="49">
        <v>0</v>
      </c>
      <c r="H686" s="49">
        <v>7.9999999999999982</v>
      </c>
      <c r="I686" s="49">
        <v>7.9999999999999982</v>
      </c>
      <c r="J686" s="50" t="s">
        <v>30</v>
      </c>
      <c r="K686" s="51" t="s">
        <v>261</v>
      </c>
      <c r="L686" s="66" t="str">
        <f t="shared" si="20"/>
        <v/>
      </c>
      <c r="M686" s="19" t="str">
        <f t="shared" si="22"/>
        <v>Aug_2017</v>
      </c>
    </row>
    <row r="687" spans="1:13">
      <c r="A687" s="45" t="s">
        <v>22</v>
      </c>
      <c r="B687" s="64" t="s">
        <v>187</v>
      </c>
      <c r="C687" s="46">
        <v>42955</v>
      </c>
      <c r="D687" s="47" t="s">
        <v>14</v>
      </c>
      <c r="E687" s="48">
        <v>0.72916666666666663</v>
      </c>
      <c r="F687" s="48">
        <v>0.8125</v>
      </c>
      <c r="G687" s="49"/>
      <c r="H687" s="14">
        <v>2.0000000000000009</v>
      </c>
      <c r="I687" s="49"/>
      <c r="J687" s="50" t="s">
        <v>30</v>
      </c>
      <c r="K687" s="51" t="s">
        <v>280</v>
      </c>
      <c r="L687" s="66" t="str">
        <f t="shared" si="20"/>
        <v/>
      </c>
      <c r="M687" s="19" t="str">
        <f t="shared" si="22"/>
        <v>Aug_2017</v>
      </c>
    </row>
    <row r="688" spans="1:13">
      <c r="A688" s="45" t="s">
        <v>22</v>
      </c>
      <c r="B688" s="64" t="s">
        <v>23</v>
      </c>
      <c r="C688" s="46">
        <v>42956</v>
      </c>
      <c r="D688" s="47" t="s">
        <v>15</v>
      </c>
      <c r="E688" s="48">
        <v>0.35416666666666702</v>
      </c>
      <c r="F688" s="48">
        <v>0.72916666666666696</v>
      </c>
      <c r="G688" s="49">
        <v>0</v>
      </c>
      <c r="H688" s="49">
        <v>7.9999999999999982</v>
      </c>
      <c r="I688" s="49">
        <v>7.9999999999999982</v>
      </c>
      <c r="J688" s="50" t="s">
        <v>30</v>
      </c>
      <c r="K688" s="51" t="s">
        <v>262</v>
      </c>
      <c r="L688" s="66" t="str">
        <f t="shared" si="20"/>
        <v/>
      </c>
      <c r="M688" s="19" t="str">
        <f t="shared" si="22"/>
        <v>Aug_2017</v>
      </c>
    </row>
    <row r="689" spans="1:13">
      <c r="A689" s="45" t="s">
        <v>22</v>
      </c>
      <c r="B689" s="64" t="s">
        <v>23</v>
      </c>
      <c r="C689" s="46">
        <v>42957</v>
      </c>
      <c r="D689" s="47" t="s">
        <v>25</v>
      </c>
      <c r="E689" s="48">
        <v>0.35416666666666702</v>
      </c>
      <c r="F689" s="48">
        <v>0.72916666666666696</v>
      </c>
      <c r="G689" s="49">
        <v>0</v>
      </c>
      <c r="H689" s="49">
        <v>7.9999999999999982</v>
      </c>
      <c r="I689" s="49">
        <v>7.9999999999999982</v>
      </c>
      <c r="J689" s="50" t="s">
        <v>30</v>
      </c>
      <c r="K689" s="51" t="s">
        <v>263</v>
      </c>
      <c r="L689" s="66" t="str">
        <f t="shared" si="20"/>
        <v/>
      </c>
      <c r="M689" s="19" t="str">
        <f t="shared" si="22"/>
        <v>Aug_2017</v>
      </c>
    </row>
    <row r="690" spans="1:13">
      <c r="A690" s="45" t="s">
        <v>22</v>
      </c>
      <c r="B690" s="64" t="s">
        <v>23</v>
      </c>
      <c r="C690" s="46">
        <v>42958</v>
      </c>
      <c r="D690" s="47" t="s">
        <v>17</v>
      </c>
      <c r="E690" s="48">
        <v>0.35416666666666702</v>
      </c>
      <c r="F690" s="48">
        <v>0.72916666666666696</v>
      </c>
      <c r="G690" s="49">
        <v>0</v>
      </c>
      <c r="H690" s="49">
        <v>7.9999999999999982</v>
      </c>
      <c r="I690" s="49">
        <v>7.9999999999999982</v>
      </c>
      <c r="J690" s="50" t="s">
        <v>30</v>
      </c>
      <c r="K690" s="51" t="s">
        <v>264</v>
      </c>
      <c r="L690" s="66" t="str">
        <f t="shared" si="20"/>
        <v/>
      </c>
      <c r="M690" s="19" t="str">
        <f t="shared" si="22"/>
        <v>Aug_2017</v>
      </c>
    </row>
    <row r="691" spans="1:13">
      <c r="A691" s="45" t="s">
        <v>22</v>
      </c>
      <c r="B691" s="64" t="s">
        <v>23</v>
      </c>
      <c r="C691" s="46">
        <v>42961</v>
      </c>
      <c r="D691" s="47" t="s">
        <v>16</v>
      </c>
      <c r="E691" s="48">
        <v>0.35416666666666702</v>
      </c>
      <c r="F691" s="48">
        <v>0.72916666666666696</v>
      </c>
      <c r="G691" s="49">
        <v>0</v>
      </c>
      <c r="H691" s="49">
        <v>7.9999999999999982</v>
      </c>
      <c r="I691" s="49">
        <v>7.9999999999999982</v>
      </c>
      <c r="J691" s="50" t="s">
        <v>30</v>
      </c>
      <c r="K691" s="51" t="s">
        <v>265</v>
      </c>
      <c r="L691" s="66" t="str">
        <f t="shared" si="20"/>
        <v/>
      </c>
      <c r="M691" s="19" t="str">
        <f t="shared" si="22"/>
        <v>Aug_2017</v>
      </c>
    </row>
    <row r="692" spans="1:13">
      <c r="A692" s="45" t="s">
        <v>22</v>
      </c>
      <c r="B692" s="64" t="s">
        <v>254</v>
      </c>
      <c r="C692" s="46">
        <v>42961</v>
      </c>
      <c r="D692" s="47" t="s">
        <v>16</v>
      </c>
      <c r="E692" s="48">
        <v>0.35416666666666702</v>
      </c>
      <c r="F692" s="48">
        <v>0.72916666666666696</v>
      </c>
      <c r="G692" s="49">
        <v>0</v>
      </c>
      <c r="H692" s="49">
        <v>7.9999999999999982</v>
      </c>
      <c r="I692" s="49">
        <v>7.9999999999999982</v>
      </c>
      <c r="J692" s="50" t="s">
        <v>30</v>
      </c>
      <c r="K692" s="51" t="s">
        <v>265</v>
      </c>
      <c r="L692" s="66" t="str">
        <f t="shared" si="20"/>
        <v/>
      </c>
      <c r="M692" s="19" t="str">
        <f t="shared" si="22"/>
        <v>Aug_2017</v>
      </c>
    </row>
    <row r="693" spans="1:13">
      <c r="A693" s="45" t="s">
        <v>22</v>
      </c>
      <c r="B693" s="64" t="s">
        <v>23</v>
      </c>
      <c r="C693" s="46">
        <v>42962</v>
      </c>
      <c r="D693" s="47" t="s">
        <v>14</v>
      </c>
      <c r="E693" s="48">
        <v>0.35416666666666702</v>
      </c>
      <c r="F693" s="48">
        <v>0.72916666666666696</v>
      </c>
      <c r="G693" s="49">
        <v>0</v>
      </c>
      <c r="H693" s="49">
        <v>7.9999999999999982</v>
      </c>
      <c r="I693" s="49">
        <v>7.9999999999999982</v>
      </c>
      <c r="J693" s="50" t="s">
        <v>30</v>
      </c>
      <c r="K693" s="51" t="s">
        <v>266</v>
      </c>
      <c r="L693" s="66" t="str">
        <f t="shared" si="20"/>
        <v/>
      </c>
      <c r="M693" s="19" t="str">
        <f t="shared" si="22"/>
        <v>Aug_2017</v>
      </c>
    </row>
    <row r="694" spans="1:13">
      <c r="A694" s="45" t="s">
        <v>22</v>
      </c>
      <c r="B694" s="64" t="s">
        <v>78</v>
      </c>
      <c r="C694" s="46">
        <v>42962</v>
      </c>
      <c r="D694" s="47" t="s">
        <v>14</v>
      </c>
      <c r="E694" s="48">
        <v>0.35416666666666702</v>
      </c>
      <c r="F694" s="48">
        <v>0.72916666666666696</v>
      </c>
      <c r="G694" s="49">
        <v>0</v>
      </c>
      <c r="H694" s="49">
        <v>7.9999999999999982</v>
      </c>
      <c r="I694" s="49">
        <v>7.9999999999999982</v>
      </c>
      <c r="J694" s="50" t="s">
        <v>30</v>
      </c>
      <c r="K694" s="51" t="s">
        <v>266</v>
      </c>
      <c r="L694" s="66" t="str">
        <f t="shared" si="20"/>
        <v/>
      </c>
      <c r="M694" s="19" t="str">
        <f t="shared" si="22"/>
        <v>Aug_2017</v>
      </c>
    </row>
    <row r="695" spans="1:13">
      <c r="A695" s="45" t="s">
        <v>22</v>
      </c>
      <c r="B695" s="64" t="s">
        <v>254</v>
      </c>
      <c r="C695" s="46">
        <v>42962</v>
      </c>
      <c r="D695" s="47" t="s">
        <v>14</v>
      </c>
      <c r="E695" s="48">
        <v>0.35416666666666702</v>
      </c>
      <c r="F695" s="48">
        <v>0.72916666666666696</v>
      </c>
      <c r="G695" s="49">
        <v>0</v>
      </c>
      <c r="H695" s="49">
        <v>7.9999999999999982</v>
      </c>
      <c r="I695" s="49">
        <v>7.9999999999999982</v>
      </c>
      <c r="J695" s="50" t="s">
        <v>30</v>
      </c>
      <c r="K695" s="51" t="s">
        <v>266</v>
      </c>
      <c r="L695" s="66" t="str">
        <f t="shared" si="20"/>
        <v/>
      </c>
      <c r="M695" s="19" t="str">
        <f t="shared" si="22"/>
        <v>Aug_2017</v>
      </c>
    </row>
    <row r="696" spans="1:13">
      <c r="A696" s="45" t="s">
        <v>22</v>
      </c>
      <c r="B696" s="64" t="s">
        <v>255</v>
      </c>
      <c r="C696" s="46">
        <v>42962</v>
      </c>
      <c r="D696" s="47" t="s">
        <v>14</v>
      </c>
      <c r="E696" s="48">
        <v>0.35416666666666702</v>
      </c>
      <c r="F696" s="48">
        <v>0.72916666666666696</v>
      </c>
      <c r="G696" s="49">
        <v>0</v>
      </c>
      <c r="H696" s="49">
        <v>7.9999999999999982</v>
      </c>
      <c r="I696" s="49">
        <v>7.9999999999999982</v>
      </c>
      <c r="J696" s="50" t="s">
        <v>30</v>
      </c>
      <c r="K696" s="51" t="s">
        <v>266</v>
      </c>
      <c r="L696" s="66" t="str">
        <f t="shared" si="20"/>
        <v/>
      </c>
      <c r="M696" s="19" t="str">
        <f t="shared" si="22"/>
        <v>Aug_2017</v>
      </c>
    </row>
    <row r="697" spans="1:13">
      <c r="A697" s="45" t="s">
        <v>11</v>
      </c>
      <c r="B697" s="64" t="s">
        <v>12</v>
      </c>
      <c r="C697" s="54">
        <v>42963</v>
      </c>
      <c r="D697" s="47" t="s">
        <v>15</v>
      </c>
      <c r="E697" s="48">
        <v>0.72916666666666696</v>
      </c>
      <c r="F697" s="48">
        <v>0.83333333333333304</v>
      </c>
      <c r="G697" s="49">
        <v>8.0000000000000036</v>
      </c>
      <c r="H697" s="49">
        <v>2.4999999999999805</v>
      </c>
      <c r="I697" s="49">
        <v>2.4999999999999805</v>
      </c>
      <c r="J697" s="50" t="s">
        <v>30</v>
      </c>
      <c r="K697" s="51" t="s">
        <v>267</v>
      </c>
      <c r="L697" s="66">
        <f t="shared" si="20"/>
        <v>1</v>
      </c>
      <c r="M697" s="19" t="str">
        <f t="shared" si="22"/>
        <v>Aug_2017</v>
      </c>
    </row>
    <row r="698" spans="1:13">
      <c r="A698" s="45" t="s">
        <v>22</v>
      </c>
      <c r="B698" s="64" t="s">
        <v>187</v>
      </c>
      <c r="C698" s="46">
        <v>42963</v>
      </c>
      <c r="D698" s="47" t="s">
        <v>15</v>
      </c>
      <c r="E698" s="48">
        <v>0.72916666666666663</v>
      </c>
      <c r="F698" s="48">
        <v>0.8125</v>
      </c>
      <c r="G698" s="49"/>
      <c r="H698" s="14">
        <v>2.0000000000000009</v>
      </c>
      <c r="I698" s="49"/>
      <c r="J698" s="50" t="s">
        <v>30</v>
      </c>
      <c r="K698" s="51" t="s">
        <v>280</v>
      </c>
      <c r="L698" s="66" t="str">
        <f t="shared" si="20"/>
        <v/>
      </c>
      <c r="M698" s="19" t="str">
        <f t="shared" si="22"/>
        <v>Aug_2017</v>
      </c>
    </row>
    <row r="699" spans="1:13">
      <c r="A699" s="45" t="s">
        <v>11</v>
      </c>
      <c r="B699" s="64" t="s">
        <v>19</v>
      </c>
      <c r="C699" s="46">
        <v>42963</v>
      </c>
      <c r="D699" s="47" t="s">
        <v>15</v>
      </c>
      <c r="E699" s="48">
        <v>0.72916666666666696</v>
      </c>
      <c r="F699" s="48">
        <v>0.75</v>
      </c>
      <c r="G699" s="49">
        <v>8.0000000000000036</v>
      </c>
      <c r="H699" s="49">
        <v>0.49999999999998757</v>
      </c>
      <c r="I699" s="49">
        <v>0.49999999999998757</v>
      </c>
      <c r="J699" s="50" t="s">
        <v>30</v>
      </c>
      <c r="K699" s="51" t="s">
        <v>267</v>
      </c>
      <c r="L699" s="66" t="str">
        <f t="shared" si="20"/>
        <v/>
      </c>
      <c r="M699" s="19" t="str">
        <f t="shared" si="22"/>
        <v>Aug_2017</v>
      </c>
    </row>
    <row r="700" spans="1:13">
      <c r="A700" s="45" t="s">
        <v>11</v>
      </c>
      <c r="B700" s="64" t="s">
        <v>26</v>
      </c>
      <c r="C700" s="46">
        <v>42963</v>
      </c>
      <c r="D700" s="47" t="s">
        <v>15</v>
      </c>
      <c r="E700" s="48">
        <v>0.72916666666666696</v>
      </c>
      <c r="F700" s="48">
        <v>0.83333333333333304</v>
      </c>
      <c r="G700" s="49">
        <v>8.0000000000000036</v>
      </c>
      <c r="H700" s="49">
        <v>2.4999999999999805</v>
      </c>
      <c r="I700" s="49">
        <v>2.4999999999999805</v>
      </c>
      <c r="J700" s="50" t="s">
        <v>30</v>
      </c>
      <c r="K700" s="51" t="s">
        <v>267</v>
      </c>
      <c r="L700" s="66">
        <f t="shared" si="20"/>
        <v>1</v>
      </c>
      <c r="M700" s="19" t="str">
        <f t="shared" si="22"/>
        <v>Aug_2017</v>
      </c>
    </row>
    <row r="701" spans="1:13">
      <c r="A701" s="45" t="s">
        <v>22</v>
      </c>
      <c r="B701" s="64" t="s">
        <v>23</v>
      </c>
      <c r="C701" s="46">
        <v>42963</v>
      </c>
      <c r="D701" s="47" t="s">
        <v>15</v>
      </c>
      <c r="E701" s="48">
        <v>0.35416666666666702</v>
      </c>
      <c r="F701" s="48">
        <v>0.83333333333333304</v>
      </c>
      <c r="G701" s="49">
        <v>0</v>
      </c>
      <c r="H701" s="49">
        <v>10.499999999999984</v>
      </c>
      <c r="I701" s="49">
        <v>10.499999999999984</v>
      </c>
      <c r="J701" s="50" t="s">
        <v>30</v>
      </c>
      <c r="K701" s="51" t="s">
        <v>267</v>
      </c>
      <c r="L701" s="66" t="str">
        <f t="shared" si="20"/>
        <v/>
      </c>
      <c r="M701" s="19" t="str">
        <f t="shared" si="22"/>
        <v>Aug_2017</v>
      </c>
    </row>
    <row r="702" spans="1:13">
      <c r="A702" s="45" t="s">
        <v>22</v>
      </c>
      <c r="B702" s="64" t="s">
        <v>78</v>
      </c>
      <c r="C702" s="46">
        <v>42963</v>
      </c>
      <c r="D702" s="47" t="s">
        <v>15</v>
      </c>
      <c r="E702" s="48">
        <v>0.35416666666666702</v>
      </c>
      <c r="F702" s="48">
        <v>0.83333333333333304</v>
      </c>
      <c r="G702" s="49">
        <v>0</v>
      </c>
      <c r="H702" s="49">
        <v>10.499999999999984</v>
      </c>
      <c r="I702" s="49">
        <v>10.499999999999984</v>
      </c>
      <c r="J702" s="50" t="s">
        <v>30</v>
      </c>
      <c r="K702" s="51" t="s">
        <v>267</v>
      </c>
      <c r="L702" s="66" t="str">
        <f t="shared" si="20"/>
        <v/>
      </c>
      <c r="M702" s="19" t="str">
        <f t="shared" si="22"/>
        <v>Aug_2017</v>
      </c>
    </row>
    <row r="703" spans="1:13">
      <c r="A703" s="45" t="s">
        <v>22</v>
      </c>
      <c r="B703" s="64" t="s">
        <v>254</v>
      </c>
      <c r="C703" s="46">
        <v>42963</v>
      </c>
      <c r="D703" s="47" t="s">
        <v>15</v>
      </c>
      <c r="E703" s="48">
        <v>0.52083333333333304</v>
      </c>
      <c r="F703" s="48">
        <v>0.83333333333333304</v>
      </c>
      <c r="G703" s="49">
        <v>0</v>
      </c>
      <c r="H703" s="49">
        <v>7.5</v>
      </c>
      <c r="I703" s="49">
        <v>7.5</v>
      </c>
      <c r="J703" s="50" t="s">
        <v>30</v>
      </c>
      <c r="K703" s="51" t="s">
        <v>267</v>
      </c>
      <c r="L703" s="66" t="str">
        <f t="shared" si="20"/>
        <v/>
      </c>
      <c r="M703" s="19" t="str">
        <f t="shared" si="22"/>
        <v>Aug_2017</v>
      </c>
    </row>
    <row r="704" spans="1:13">
      <c r="A704" s="45" t="s">
        <v>22</v>
      </c>
      <c r="B704" s="64" t="s">
        <v>255</v>
      </c>
      <c r="C704" s="46">
        <v>42963</v>
      </c>
      <c r="D704" s="47" t="s">
        <v>15</v>
      </c>
      <c r="E704" s="48">
        <v>0.35416666666666702</v>
      </c>
      <c r="F704" s="48">
        <v>0.83333333333333304</v>
      </c>
      <c r="G704" s="49">
        <v>0</v>
      </c>
      <c r="H704" s="49">
        <v>10.499999999999984</v>
      </c>
      <c r="I704" s="49">
        <v>10.499999999999984</v>
      </c>
      <c r="J704" s="50" t="s">
        <v>30</v>
      </c>
      <c r="K704" s="51" t="s">
        <v>267</v>
      </c>
      <c r="L704" s="66" t="str">
        <f t="shared" si="20"/>
        <v/>
      </c>
      <c r="M704" s="19" t="str">
        <f t="shared" si="22"/>
        <v>Aug_2017</v>
      </c>
    </row>
    <row r="705" spans="1:13">
      <c r="A705" s="45" t="s">
        <v>22</v>
      </c>
      <c r="B705" s="64" t="s">
        <v>23</v>
      </c>
      <c r="C705" s="46">
        <v>42964</v>
      </c>
      <c r="D705" s="47" t="s">
        <v>25</v>
      </c>
      <c r="E705" s="48">
        <v>0.35416666666666702</v>
      </c>
      <c r="F705" s="48">
        <v>0.72916666666666696</v>
      </c>
      <c r="G705" s="49">
        <v>0</v>
      </c>
      <c r="H705" s="49">
        <v>7.9999999999999982</v>
      </c>
      <c r="I705" s="49">
        <v>7.9999999999999982</v>
      </c>
      <c r="J705" s="50" t="s">
        <v>30</v>
      </c>
      <c r="K705" s="51" t="s">
        <v>268</v>
      </c>
      <c r="L705" s="66" t="str">
        <f t="shared" si="20"/>
        <v/>
      </c>
      <c r="M705" s="19" t="str">
        <f t="shared" si="22"/>
        <v>Aug_2017</v>
      </c>
    </row>
    <row r="706" spans="1:13">
      <c r="A706" s="45" t="s">
        <v>22</v>
      </c>
      <c r="B706" s="64" t="s">
        <v>254</v>
      </c>
      <c r="C706" s="46">
        <v>42964</v>
      </c>
      <c r="D706" s="47" t="s">
        <v>25</v>
      </c>
      <c r="E706" s="48">
        <v>0.35416666666666702</v>
      </c>
      <c r="F706" s="48">
        <v>0.72916666666666696</v>
      </c>
      <c r="G706" s="49">
        <v>0</v>
      </c>
      <c r="H706" s="49">
        <v>7.9999999999999982</v>
      </c>
      <c r="I706" s="49">
        <v>7.9999999999999982</v>
      </c>
      <c r="J706" s="50" t="s">
        <v>30</v>
      </c>
      <c r="K706" s="51" t="s">
        <v>268</v>
      </c>
      <c r="L706" s="66" t="str">
        <f t="shared" si="20"/>
        <v/>
      </c>
      <c r="M706" s="19" t="str">
        <f t="shared" si="22"/>
        <v>Aug_2017</v>
      </c>
    </row>
    <row r="707" spans="1:13">
      <c r="A707" s="45" t="s">
        <v>22</v>
      </c>
      <c r="B707" s="64" t="s">
        <v>255</v>
      </c>
      <c r="C707" s="46">
        <v>42964</v>
      </c>
      <c r="D707" s="47" t="s">
        <v>25</v>
      </c>
      <c r="E707" s="48">
        <v>0.35416666666666702</v>
      </c>
      <c r="F707" s="48">
        <v>0.72916666666666696</v>
      </c>
      <c r="G707" s="49">
        <v>0</v>
      </c>
      <c r="H707" s="49">
        <v>7.9999999999999982</v>
      </c>
      <c r="I707" s="49">
        <v>7.9999999999999982</v>
      </c>
      <c r="J707" s="50" t="s">
        <v>30</v>
      </c>
      <c r="K707" s="51" t="s">
        <v>268</v>
      </c>
      <c r="L707" s="66" t="str">
        <f t="shared" si="20"/>
        <v/>
      </c>
      <c r="M707" s="19" t="str">
        <f t="shared" si="22"/>
        <v>Aug_2017</v>
      </c>
    </row>
    <row r="708" spans="1:13">
      <c r="A708" s="45" t="s">
        <v>22</v>
      </c>
      <c r="B708" s="64" t="s">
        <v>23</v>
      </c>
      <c r="C708" s="46">
        <v>42965</v>
      </c>
      <c r="D708" s="47" t="s">
        <v>17</v>
      </c>
      <c r="E708" s="48">
        <v>0.35416666666666702</v>
      </c>
      <c r="F708" s="48">
        <v>0.72916666666666696</v>
      </c>
      <c r="G708" s="49">
        <v>0</v>
      </c>
      <c r="H708" s="49">
        <v>7.9999999999999982</v>
      </c>
      <c r="I708" s="49">
        <v>7.9999999999999982</v>
      </c>
      <c r="J708" s="50" t="s">
        <v>30</v>
      </c>
      <c r="K708" s="51" t="s">
        <v>269</v>
      </c>
      <c r="L708" s="66" t="str">
        <f t="shared" si="20"/>
        <v/>
      </c>
      <c r="M708" s="19" t="str">
        <f t="shared" si="22"/>
        <v>Aug_2017</v>
      </c>
    </row>
    <row r="709" spans="1:13">
      <c r="A709" s="45" t="s">
        <v>22</v>
      </c>
      <c r="B709" s="64" t="s">
        <v>254</v>
      </c>
      <c r="C709" s="46">
        <v>42965</v>
      </c>
      <c r="D709" s="47" t="s">
        <v>17</v>
      </c>
      <c r="E709" s="48">
        <v>0.35416666666666702</v>
      </c>
      <c r="F709" s="48">
        <v>0.66666666666666696</v>
      </c>
      <c r="G709" s="49">
        <v>0</v>
      </c>
      <c r="H709" s="49">
        <v>6.4999999999999982</v>
      </c>
      <c r="I709" s="49">
        <v>6.4999999999999982</v>
      </c>
      <c r="J709" s="50" t="s">
        <v>30</v>
      </c>
      <c r="K709" s="51" t="s">
        <v>269</v>
      </c>
      <c r="L709" s="66" t="str">
        <f t="shared" ref="L709:L774" si="23">IF(AND($A709="Perm Staff Onsite",$H709&gt;=2),1,"")</f>
        <v/>
      </c>
      <c r="M709" s="19" t="str">
        <f t="shared" si="22"/>
        <v>Aug_2017</v>
      </c>
    </row>
    <row r="710" spans="1:13">
      <c r="A710" s="45" t="s">
        <v>22</v>
      </c>
      <c r="B710" s="64" t="s">
        <v>255</v>
      </c>
      <c r="C710" s="46">
        <v>42965</v>
      </c>
      <c r="D710" s="47" t="s">
        <v>17</v>
      </c>
      <c r="E710" s="48">
        <v>0.35416666666666702</v>
      </c>
      <c r="F710" s="48">
        <v>0.66666666666666696</v>
      </c>
      <c r="G710" s="49">
        <v>0</v>
      </c>
      <c r="H710" s="49">
        <v>6.4999999999999982</v>
      </c>
      <c r="I710" s="49">
        <v>6.4999999999999982</v>
      </c>
      <c r="J710" s="50" t="s">
        <v>30</v>
      </c>
      <c r="K710" s="51" t="s">
        <v>269</v>
      </c>
      <c r="L710" s="66" t="str">
        <f t="shared" si="23"/>
        <v/>
      </c>
      <c r="M710" s="19" t="str">
        <f t="shared" si="22"/>
        <v>Aug_2017</v>
      </c>
    </row>
    <row r="711" spans="1:13">
      <c r="A711" s="45" t="s">
        <v>22</v>
      </c>
      <c r="B711" s="64" t="s">
        <v>23</v>
      </c>
      <c r="C711" s="46">
        <v>42968</v>
      </c>
      <c r="D711" s="47" t="s">
        <v>16</v>
      </c>
      <c r="E711" s="48">
        <v>0.35416666666666702</v>
      </c>
      <c r="F711" s="48">
        <v>0.72916666666666696</v>
      </c>
      <c r="G711" s="49">
        <v>0</v>
      </c>
      <c r="H711" s="49">
        <v>7.9999999999999982</v>
      </c>
      <c r="I711" s="49">
        <v>7.9999999999999982</v>
      </c>
      <c r="J711" s="50" t="s">
        <v>30</v>
      </c>
      <c r="K711" s="51" t="s">
        <v>270</v>
      </c>
      <c r="L711" s="66" t="str">
        <f t="shared" si="23"/>
        <v/>
      </c>
      <c r="M711" s="19" t="str">
        <f t="shared" si="22"/>
        <v>Aug_2017</v>
      </c>
    </row>
    <row r="712" spans="1:13">
      <c r="A712" s="45" t="s">
        <v>11</v>
      </c>
      <c r="B712" s="64" t="s">
        <v>12</v>
      </c>
      <c r="C712" s="54">
        <v>42969</v>
      </c>
      <c r="D712" s="47" t="s">
        <v>14</v>
      </c>
      <c r="E712" s="48">
        <v>0.72916666666666696</v>
      </c>
      <c r="F712" s="48">
        <v>0.89583333333333304</v>
      </c>
      <c r="G712" s="49">
        <v>8.0000000000000036</v>
      </c>
      <c r="H712" s="49">
        <v>3.9999999999999822</v>
      </c>
      <c r="I712" s="49">
        <v>3.9999999999999822</v>
      </c>
      <c r="J712" s="50" t="s">
        <v>30</v>
      </c>
      <c r="K712" s="51" t="s">
        <v>271</v>
      </c>
      <c r="L712" s="66">
        <f t="shared" si="23"/>
        <v>1</v>
      </c>
      <c r="M712" s="19" t="str">
        <f t="shared" si="22"/>
        <v>Aug_2017</v>
      </c>
    </row>
    <row r="713" spans="1:13">
      <c r="A713" s="45" t="s">
        <v>11</v>
      </c>
      <c r="B713" s="64" t="s">
        <v>19</v>
      </c>
      <c r="C713" s="46">
        <v>42969</v>
      </c>
      <c r="D713" s="47" t="s">
        <v>14</v>
      </c>
      <c r="E713" s="48">
        <v>0.72916666666666696</v>
      </c>
      <c r="F713" s="48">
        <v>0.89583333333333304</v>
      </c>
      <c r="G713" s="49">
        <v>8.0000000000000036</v>
      </c>
      <c r="H713" s="49">
        <v>3.9999999999999822</v>
      </c>
      <c r="I713" s="49">
        <v>3.9999999999999822</v>
      </c>
      <c r="J713" s="50" t="s">
        <v>30</v>
      </c>
      <c r="K713" s="51" t="s">
        <v>271</v>
      </c>
      <c r="L713" s="66">
        <f t="shared" si="23"/>
        <v>1</v>
      </c>
      <c r="M713" s="19" t="str">
        <f t="shared" si="22"/>
        <v>Aug_2017</v>
      </c>
    </row>
    <row r="714" spans="1:13">
      <c r="A714" s="45" t="s">
        <v>11</v>
      </c>
      <c r="B714" s="64" t="s">
        <v>26</v>
      </c>
      <c r="C714" s="46">
        <v>42969</v>
      </c>
      <c r="D714" s="47" t="s">
        <v>14</v>
      </c>
      <c r="E714" s="48">
        <v>0.72916666666666696</v>
      </c>
      <c r="F714" s="48">
        <v>0.89583333333333304</v>
      </c>
      <c r="G714" s="49">
        <v>8.0000000000000036</v>
      </c>
      <c r="H714" s="49">
        <v>3.9999999999999822</v>
      </c>
      <c r="I714" s="49">
        <v>3.9999999999999822</v>
      </c>
      <c r="J714" s="50" t="s">
        <v>30</v>
      </c>
      <c r="K714" s="51" t="s">
        <v>271</v>
      </c>
      <c r="L714" s="66">
        <f t="shared" si="23"/>
        <v>1</v>
      </c>
      <c r="M714" s="19" t="str">
        <f t="shared" si="22"/>
        <v>Aug_2017</v>
      </c>
    </row>
    <row r="715" spans="1:13">
      <c r="A715" s="45" t="s">
        <v>11</v>
      </c>
      <c r="B715" s="64" t="s">
        <v>149</v>
      </c>
      <c r="C715" s="46">
        <v>42969</v>
      </c>
      <c r="D715" s="47" t="s">
        <v>14</v>
      </c>
      <c r="E715" s="48">
        <v>0.72916666666666696</v>
      </c>
      <c r="F715" s="48">
        <v>0.89583333333333304</v>
      </c>
      <c r="G715" s="49">
        <v>8.0000000000000036</v>
      </c>
      <c r="H715" s="49">
        <v>3.9999999999999822</v>
      </c>
      <c r="I715" s="49">
        <v>3.9999999999999822</v>
      </c>
      <c r="J715" s="50" t="s">
        <v>30</v>
      </c>
      <c r="K715" s="51" t="s">
        <v>271</v>
      </c>
      <c r="L715" s="66">
        <f t="shared" si="23"/>
        <v>1</v>
      </c>
      <c r="M715" s="19" t="str">
        <f t="shared" si="22"/>
        <v>Aug_2017</v>
      </c>
    </row>
    <row r="716" spans="1:13">
      <c r="A716" s="45" t="s">
        <v>11</v>
      </c>
      <c r="B716" s="64" t="s">
        <v>161</v>
      </c>
      <c r="C716" s="46">
        <v>42969</v>
      </c>
      <c r="D716" s="47" t="s">
        <v>14</v>
      </c>
      <c r="E716" s="48">
        <v>0.72916666666666696</v>
      </c>
      <c r="F716" s="48">
        <v>0.89583333333333304</v>
      </c>
      <c r="G716" s="49">
        <v>8.0000000000000036</v>
      </c>
      <c r="H716" s="49">
        <v>3.9999999999999822</v>
      </c>
      <c r="I716" s="49">
        <v>3.9999999999999822</v>
      </c>
      <c r="J716" s="50" t="s">
        <v>30</v>
      </c>
      <c r="K716" s="51" t="s">
        <v>271</v>
      </c>
      <c r="L716" s="66">
        <f t="shared" si="23"/>
        <v>1</v>
      </c>
      <c r="M716" s="19" t="str">
        <f t="shared" si="22"/>
        <v>Aug_2017</v>
      </c>
    </row>
    <row r="717" spans="1:13">
      <c r="A717" s="45" t="s">
        <v>22</v>
      </c>
      <c r="B717" s="64" t="s">
        <v>78</v>
      </c>
      <c r="C717" s="46">
        <v>42969</v>
      </c>
      <c r="D717" s="47" t="s">
        <v>14</v>
      </c>
      <c r="E717" s="48">
        <v>0.45833333333333298</v>
      </c>
      <c r="F717" s="48">
        <v>0.89583333333333304</v>
      </c>
      <c r="G717" s="49">
        <v>0</v>
      </c>
      <c r="H717" s="49">
        <v>9.5000000000000018</v>
      </c>
      <c r="I717" s="49">
        <v>9.5000000000000018</v>
      </c>
      <c r="J717" s="50" t="s">
        <v>30</v>
      </c>
      <c r="K717" s="51" t="s">
        <v>271</v>
      </c>
      <c r="L717" s="66" t="str">
        <f t="shared" si="23"/>
        <v/>
      </c>
      <c r="M717" s="19" t="str">
        <f t="shared" si="22"/>
        <v>Aug_2017</v>
      </c>
    </row>
    <row r="718" spans="1:13">
      <c r="A718" s="45" t="s">
        <v>22</v>
      </c>
      <c r="B718" s="64" t="s">
        <v>254</v>
      </c>
      <c r="C718" s="46">
        <v>42969</v>
      </c>
      <c r="D718" s="47" t="s">
        <v>14</v>
      </c>
      <c r="E718" s="48">
        <v>0.4375</v>
      </c>
      <c r="F718" s="48">
        <v>0.89583333333333304</v>
      </c>
      <c r="G718" s="49">
        <v>0</v>
      </c>
      <c r="H718" s="49">
        <v>9.9999999999999929</v>
      </c>
      <c r="I718" s="49">
        <v>9.9999999999999929</v>
      </c>
      <c r="J718" s="50" t="s">
        <v>30</v>
      </c>
      <c r="K718" s="51" t="s">
        <v>271</v>
      </c>
      <c r="L718" s="66" t="str">
        <f t="shared" si="23"/>
        <v/>
      </c>
      <c r="M718" s="19" t="str">
        <f t="shared" si="22"/>
        <v>Aug_2017</v>
      </c>
    </row>
    <row r="719" spans="1:13">
      <c r="A719" s="45" t="s">
        <v>22</v>
      </c>
      <c r="B719" s="64" t="s">
        <v>187</v>
      </c>
      <c r="C719" s="46">
        <v>42969</v>
      </c>
      <c r="D719" s="47" t="s">
        <v>14</v>
      </c>
      <c r="E719" s="48">
        <v>0.72916666666666663</v>
      </c>
      <c r="F719" s="48">
        <v>0.8125</v>
      </c>
      <c r="G719" s="49"/>
      <c r="H719" s="14">
        <v>2.0000000000000009</v>
      </c>
      <c r="I719" s="49"/>
      <c r="J719" s="50" t="s">
        <v>30</v>
      </c>
      <c r="K719" s="51" t="s">
        <v>280</v>
      </c>
      <c r="L719" s="66" t="str">
        <f t="shared" si="23"/>
        <v/>
      </c>
      <c r="M719" s="19" t="str">
        <f t="shared" si="22"/>
        <v>Aug_2017</v>
      </c>
    </row>
    <row r="720" spans="1:13">
      <c r="A720" s="45" t="s">
        <v>11</v>
      </c>
      <c r="B720" s="64" t="s">
        <v>12</v>
      </c>
      <c r="C720" s="54">
        <v>42970</v>
      </c>
      <c r="D720" s="47" t="s">
        <v>15</v>
      </c>
      <c r="E720" s="48">
        <v>0.75</v>
      </c>
      <c r="F720" s="48">
        <v>0.875</v>
      </c>
      <c r="G720" s="49">
        <v>8.0000000000000036</v>
      </c>
      <c r="H720" s="49">
        <v>2.9999999999999964</v>
      </c>
      <c r="I720" s="49">
        <v>2.9999999999999964</v>
      </c>
      <c r="J720" s="50" t="s">
        <v>30</v>
      </c>
      <c r="K720" s="51" t="s">
        <v>272</v>
      </c>
      <c r="L720" s="66">
        <f t="shared" si="23"/>
        <v>1</v>
      </c>
      <c r="M720" s="19" t="str">
        <f t="shared" si="22"/>
        <v>Aug_2017</v>
      </c>
    </row>
    <row r="721" spans="1:13">
      <c r="A721" s="45" t="s">
        <v>11</v>
      </c>
      <c r="B721" s="64" t="s">
        <v>19</v>
      </c>
      <c r="C721" s="46">
        <v>42970</v>
      </c>
      <c r="D721" s="47" t="s">
        <v>15</v>
      </c>
      <c r="E721" s="48">
        <v>0.72916666666666696</v>
      </c>
      <c r="F721" s="48">
        <v>0.875</v>
      </c>
      <c r="G721" s="49">
        <v>8.0000000000000036</v>
      </c>
      <c r="H721" s="49">
        <v>3.4999999999999893</v>
      </c>
      <c r="I721" s="49">
        <v>3.4999999999999893</v>
      </c>
      <c r="J721" s="50" t="s">
        <v>30</v>
      </c>
      <c r="K721" s="51" t="s">
        <v>272</v>
      </c>
      <c r="L721" s="66">
        <f t="shared" si="23"/>
        <v>1</v>
      </c>
      <c r="M721" s="19" t="str">
        <f t="shared" si="22"/>
        <v>Aug_2017</v>
      </c>
    </row>
    <row r="722" spans="1:13">
      <c r="A722" s="45" t="s">
        <v>11</v>
      </c>
      <c r="B722" s="64" t="s">
        <v>26</v>
      </c>
      <c r="C722" s="46">
        <v>42970</v>
      </c>
      <c r="D722" s="47" t="s">
        <v>15</v>
      </c>
      <c r="E722" s="48">
        <v>0.72916666666666696</v>
      </c>
      <c r="F722" s="48">
        <v>0.875</v>
      </c>
      <c r="G722" s="49">
        <v>8.0000000000000036</v>
      </c>
      <c r="H722" s="49">
        <v>3.4999999999999893</v>
      </c>
      <c r="I722" s="49">
        <v>3.4999999999999893</v>
      </c>
      <c r="J722" s="50" t="s">
        <v>30</v>
      </c>
      <c r="K722" s="51" t="s">
        <v>272</v>
      </c>
      <c r="L722" s="66">
        <f t="shared" si="23"/>
        <v>1</v>
      </c>
      <c r="M722" s="19" t="str">
        <f t="shared" si="22"/>
        <v>Aug_2017</v>
      </c>
    </row>
    <row r="723" spans="1:13">
      <c r="A723" s="45" t="s">
        <v>11</v>
      </c>
      <c r="B723" s="64" t="s">
        <v>149</v>
      </c>
      <c r="C723" s="46">
        <v>42970</v>
      </c>
      <c r="D723" s="47" t="s">
        <v>15</v>
      </c>
      <c r="E723" s="48">
        <v>0.72916666666666696</v>
      </c>
      <c r="F723" s="48">
        <v>0.875</v>
      </c>
      <c r="G723" s="49">
        <v>8.0000000000000036</v>
      </c>
      <c r="H723" s="49">
        <v>3.4999999999999893</v>
      </c>
      <c r="I723" s="49">
        <v>3.4999999999999893</v>
      </c>
      <c r="J723" s="50" t="s">
        <v>30</v>
      </c>
      <c r="K723" s="51" t="s">
        <v>272</v>
      </c>
      <c r="L723" s="66">
        <f t="shared" si="23"/>
        <v>1</v>
      </c>
      <c r="M723" s="19" t="str">
        <f t="shared" si="22"/>
        <v>Aug_2017</v>
      </c>
    </row>
    <row r="724" spans="1:13">
      <c r="A724" s="45" t="s">
        <v>11</v>
      </c>
      <c r="B724" s="64" t="s">
        <v>161</v>
      </c>
      <c r="C724" s="46">
        <v>42970</v>
      </c>
      <c r="D724" s="47" t="s">
        <v>15</v>
      </c>
      <c r="E724" s="48">
        <v>0.72916666666666696</v>
      </c>
      <c r="F724" s="48">
        <v>0.875</v>
      </c>
      <c r="G724" s="49">
        <v>8.0000000000000036</v>
      </c>
      <c r="H724" s="49">
        <v>3.4999999999999893</v>
      </c>
      <c r="I724" s="49">
        <v>3.4999999999999893</v>
      </c>
      <c r="J724" s="50" t="s">
        <v>30</v>
      </c>
      <c r="K724" s="51" t="s">
        <v>272</v>
      </c>
      <c r="L724" s="66">
        <f t="shared" si="23"/>
        <v>1</v>
      </c>
      <c r="M724" s="19" t="str">
        <f t="shared" si="22"/>
        <v>Aug_2017</v>
      </c>
    </row>
    <row r="725" spans="1:13">
      <c r="A725" s="45" t="s">
        <v>22</v>
      </c>
      <c r="B725" s="64" t="s">
        <v>77</v>
      </c>
      <c r="C725" s="46">
        <v>42970</v>
      </c>
      <c r="D725" s="47" t="s">
        <v>15</v>
      </c>
      <c r="E725" s="48">
        <v>0.77083333333333304</v>
      </c>
      <c r="F725" s="48">
        <v>0.875</v>
      </c>
      <c r="G725" s="49">
        <v>0</v>
      </c>
      <c r="H725" s="49">
        <v>2.5000000000000071</v>
      </c>
      <c r="I725" s="49">
        <v>2.5000000000000071</v>
      </c>
      <c r="J725" s="50" t="s">
        <v>30</v>
      </c>
      <c r="K725" s="51" t="s">
        <v>272</v>
      </c>
      <c r="L725" s="66" t="str">
        <f t="shared" si="23"/>
        <v/>
      </c>
      <c r="M725" s="19" t="str">
        <f t="shared" si="22"/>
        <v>Aug_2017</v>
      </c>
    </row>
    <row r="726" spans="1:13">
      <c r="A726" s="45" t="s">
        <v>22</v>
      </c>
      <c r="B726" s="64" t="s">
        <v>80</v>
      </c>
      <c r="C726" s="46">
        <v>42970</v>
      </c>
      <c r="D726" s="47" t="s">
        <v>15</v>
      </c>
      <c r="E726" s="48">
        <v>0.77083333333333304</v>
      </c>
      <c r="F726" s="48">
        <v>0.875</v>
      </c>
      <c r="G726" s="49">
        <v>0</v>
      </c>
      <c r="H726" s="49">
        <v>2.5000000000000071</v>
      </c>
      <c r="I726" s="49">
        <v>2.5000000000000071</v>
      </c>
      <c r="J726" s="50" t="s">
        <v>30</v>
      </c>
      <c r="K726" s="51" t="s">
        <v>272</v>
      </c>
      <c r="L726" s="66" t="str">
        <f t="shared" si="23"/>
        <v/>
      </c>
      <c r="M726" s="19" t="str">
        <f t="shared" si="22"/>
        <v>Aug_2017</v>
      </c>
    </row>
    <row r="727" spans="1:13">
      <c r="A727" s="45" t="s">
        <v>22</v>
      </c>
      <c r="B727" s="64" t="s">
        <v>78</v>
      </c>
      <c r="C727" s="46">
        <v>42970</v>
      </c>
      <c r="D727" s="47" t="s">
        <v>15</v>
      </c>
      <c r="E727" s="48">
        <v>0.77083333333333304</v>
      </c>
      <c r="F727" s="48">
        <v>0.875</v>
      </c>
      <c r="G727" s="49">
        <v>0</v>
      </c>
      <c r="H727" s="49">
        <v>2.5000000000000071</v>
      </c>
      <c r="I727" s="49">
        <v>2.5000000000000071</v>
      </c>
      <c r="J727" s="50" t="s">
        <v>30</v>
      </c>
      <c r="K727" s="51" t="s">
        <v>272</v>
      </c>
      <c r="L727" s="66" t="str">
        <f t="shared" si="23"/>
        <v/>
      </c>
      <c r="M727" s="19" t="str">
        <f t="shared" si="22"/>
        <v>Aug_2017</v>
      </c>
    </row>
    <row r="728" spans="1:13">
      <c r="A728" s="45" t="s">
        <v>22</v>
      </c>
      <c r="B728" s="64" t="s">
        <v>254</v>
      </c>
      <c r="C728" s="46">
        <v>42970</v>
      </c>
      <c r="D728" s="47" t="s">
        <v>15</v>
      </c>
      <c r="E728" s="48">
        <v>0.35416666666666702</v>
      </c>
      <c r="F728" s="48">
        <v>0.875</v>
      </c>
      <c r="G728" s="49">
        <v>0</v>
      </c>
      <c r="H728" s="49">
        <v>11.499999999999993</v>
      </c>
      <c r="I728" s="49">
        <v>11.499999999999993</v>
      </c>
      <c r="J728" s="50" t="s">
        <v>30</v>
      </c>
      <c r="K728" s="51" t="s">
        <v>272</v>
      </c>
      <c r="L728" s="66" t="str">
        <f t="shared" si="23"/>
        <v/>
      </c>
      <c r="M728" s="19" t="str">
        <f t="shared" si="22"/>
        <v>Aug_2017</v>
      </c>
    </row>
    <row r="729" spans="1:13">
      <c r="A729" s="45" t="s">
        <v>11</v>
      </c>
      <c r="B729" s="64" t="s">
        <v>12</v>
      </c>
      <c r="C729" s="54">
        <v>42971</v>
      </c>
      <c r="D729" s="47" t="s">
        <v>25</v>
      </c>
      <c r="E729" s="48">
        <v>0.70833333333333304</v>
      </c>
      <c r="F729" s="48">
        <v>0.875</v>
      </c>
      <c r="G729" s="49">
        <v>8.0000000000000036</v>
      </c>
      <c r="H729" s="49">
        <v>4.0000000000000036</v>
      </c>
      <c r="I729" s="49">
        <v>4.0000000000000036</v>
      </c>
      <c r="J729" s="50" t="s">
        <v>30</v>
      </c>
      <c r="K729" s="51" t="s">
        <v>273</v>
      </c>
      <c r="L729" s="66">
        <f t="shared" si="23"/>
        <v>1</v>
      </c>
      <c r="M729" s="19" t="str">
        <f t="shared" si="22"/>
        <v>Aug_2017</v>
      </c>
    </row>
    <row r="730" spans="1:13">
      <c r="A730" s="45" t="s">
        <v>11</v>
      </c>
      <c r="B730" s="64" t="s">
        <v>19</v>
      </c>
      <c r="C730" s="46">
        <v>42971</v>
      </c>
      <c r="D730" s="47" t="s">
        <v>25</v>
      </c>
      <c r="E730" s="48">
        <v>0.70833333333333304</v>
      </c>
      <c r="F730" s="48">
        <v>0.875</v>
      </c>
      <c r="G730" s="49">
        <v>8.0000000000000036</v>
      </c>
      <c r="H730" s="49">
        <v>4.0000000000000036</v>
      </c>
      <c r="I730" s="49">
        <v>4.0000000000000036</v>
      </c>
      <c r="J730" s="50" t="s">
        <v>30</v>
      </c>
      <c r="K730" s="51" t="s">
        <v>273</v>
      </c>
      <c r="L730" s="66">
        <f t="shared" si="23"/>
        <v>1</v>
      </c>
      <c r="M730" s="19" t="str">
        <f t="shared" si="22"/>
        <v>Aug_2017</v>
      </c>
    </row>
    <row r="731" spans="1:13">
      <c r="A731" s="45" t="s">
        <v>11</v>
      </c>
      <c r="B731" s="64" t="s">
        <v>26</v>
      </c>
      <c r="C731" s="46">
        <v>42971</v>
      </c>
      <c r="D731" s="47" t="s">
        <v>25</v>
      </c>
      <c r="E731" s="48">
        <v>0.70833333333333304</v>
      </c>
      <c r="F731" s="48">
        <v>0.875</v>
      </c>
      <c r="G731" s="49">
        <v>8.0000000000000036</v>
      </c>
      <c r="H731" s="49">
        <v>4.0000000000000036</v>
      </c>
      <c r="I731" s="49">
        <v>4.0000000000000036</v>
      </c>
      <c r="J731" s="50" t="s">
        <v>30</v>
      </c>
      <c r="K731" s="51" t="s">
        <v>273</v>
      </c>
      <c r="L731" s="66">
        <f t="shared" si="23"/>
        <v>1</v>
      </c>
      <c r="M731" s="19" t="str">
        <f t="shared" si="22"/>
        <v>Aug_2017</v>
      </c>
    </row>
    <row r="732" spans="1:13">
      <c r="A732" s="45" t="s">
        <v>11</v>
      </c>
      <c r="B732" s="64" t="s">
        <v>149</v>
      </c>
      <c r="C732" s="46">
        <v>42971</v>
      </c>
      <c r="D732" s="47" t="s">
        <v>25</v>
      </c>
      <c r="E732" s="48">
        <v>0.70833333333333304</v>
      </c>
      <c r="F732" s="48">
        <v>0.875</v>
      </c>
      <c r="G732" s="49">
        <v>8.0000000000000036</v>
      </c>
      <c r="H732" s="49">
        <v>4.0000000000000036</v>
      </c>
      <c r="I732" s="49">
        <v>4.0000000000000036</v>
      </c>
      <c r="J732" s="50" t="s">
        <v>30</v>
      </c>
      <c r="K732" s="51" t="s">
        <v>273</v>
      </c>
      <c r="L732" s="66">
        <f t="shared" si="23"/>
        <v>1</v>
      </c>
      <c r="M732" s="19" t="str">
        <f t="shared" ref="M732:M774" si="24">IF($C732="","",TEXT(DATE(YEAR($C732),MONTH($C732),DAY($C732)),"MMM")&amp;"_"&amp;YEAR($C732))</f>
        <v>Aug_2017</v>
      </c>
    </row>
    <row r="733" spans="1:13">
      <c r="A733" s="45" t="s">
        <v>11</v>
      </c>
      <c r="B733" s="64" t="s">
        <v>161</v>
      </c>
      <c r="C733" s="46">
        <v>42971</v>
      </c>
      <c r="D733" s="47" t="s">
        <v>25</v>
      </c>
      <c r="E733" s="48">
        <v>0.70833333333333304</v>
      </c>
      <c r="F733" s="48">
        <v>0.875</v>
      </c>
      <c r="G733" s="49">
        <v>8.0000000000000036</v>
      </c>
      <c r="H733" s="49">
        <v>4.0000000000000036</v>
      </c>
      <c r="I733" s="49">
        <v>4.0000000000000036</v>
      </c>
      <c r="J733" s="50" t="s">
        <v>30</v>
      </c>
      <c r="K733" s="51" t="s">
        <v>273</v>
      </c>
      <c r="L733" s="66">
        <f t="shared" si="23"/>
        <v>1</v>
      </c>
      <c r="M733" s="19" t="str">
        <f t="shared" si="24"/>
        <v>Aug_2017</v>
      </c>
    </row>
    <row r="734" spans="1:13">
      <c r="A734" s="45" t="s">
        <v>22</v>
      </c>
      <c r="B734" s="64" t="s">
        <v>80</v>
      </c>
      <c r="C734" s="46">
        <v>42971</v>
      </c>
      <c r="D734" s="47" t="s">
        <v>25</v>
      </c>
      <c r="E734" s="48">
        <v>0.52083333333333304</v>
      </c>
      <c r="F734" s="48">
        <v>0.875</v>
      </c>
      <c r="G734" s="49">
        <v>0</v>
      </c>
      <c r="H734" s="49">
        <v>7.5000000000000071</v>
      </c>
      <c r="I734" s="49">
        <v>7.5000000000000071</v>
      </c>
      <c r="J734" s="50" t="s">
        <v>30</v>
      </c>
      <c r="K734" s="51" t="s">
        <v>273</v>
      </c>
      <c r="L734" s="66" t="str">
        <f t="shared" si="23"/>
        <v/>
      </c>
      <c r="M734" s="19" t="str">
        <f t="shared" si="24"/>
        <v>Aug_2017</v>
      </c>
    </row>
    <row r="735" spans="1:13">
      <c r="A735" s="45" t="s">
        <v>22</v>
      </c>
      <c r="B735" s="64" t="s">
        <v>78</v>
      </c>
      <c r="C735" s="46">
        <v>42971</v>
      </c>
      <c r="D735" s="47" t="s">
        <v>25</v>
      </c>
      <c r="E735" s="48">
        <v>0.33333333333333298</v>
      </c>
      <c r="F735" s="48">
        <v>0.875</v>
      </c>
      <c r="G735" s="49">
        <v>0</v>
      </c>
      <c r="H735" s="49">
        <v>12.000000000000007</v>
      </c>
      <c r="I735" s="49">
        <v>12.000000000000007</v>
      </c>
      <c r="J735" s="50" t="s">
        <v>30</v>
      </c>
      <c r="K735" s="51" t="s">
        <v>273</v>
      </c>
      <c r="L735" s="66" t="str">
        <f t="shared" si="23"/>
        <v/>
      </c>
      <c r="M735" s="19" t="str">
        <f t="shared" si="24"/>
        <v>Aug_2017</v>
      </c>
    </row>
    <row r="736" spans="1:13">
      <c r="A736" s="45" t="s">
        <v>22</v>
      </c>
      <c r="B736" s="64" t="s">
        <v>254</v>
      </c>
      <c r="C736" s="46">
        <v>42971</v>
      </c>
      <c r="D736" s="47" t="s">
        <v>25</v>
      </c>
      <c r="E736" s="48">
        <v>0.4375</v>
      </c>
      <c r="F736" s="48">
        <v>0.875</v>
      </c>
      <c r="G736" s="49">
        <v>0</v>
      </c>
      <c r="H736" s="49">
        <v>9.5</v>
      </c>
      <c r="I736" s="49">
        <v>9.5</v>
      </c>
      <c r="J736" s="50" t="s">
        <v>30</v>
      </c>
      <c r="K736" s="51" t="s">
        <v>273</v>
      </c>
      <c r="L736" s="66" t="str">
        <f t="shared" si="23"/>
        <v/>
      </c>
      <c r="M736" s="19" t="str">
        <f t="shared" si="24"/>
        <v>Aug_2017</v>
      </c>
    </row>
    <row r="737" spans="1:13">
      <c r="A737" s="45" t="s">
        <v>22</v>
      </c>
      <c r="B737" s="64" t="s">
        <v>187</v>
      </c>
      <c r="C737" s="46">
        <v>42971</v>
      </c>
      <c r="D737" s="47" t="s">
        <v>25</v>
      </c>
      <c r="E737" s="48">
        <v>0.72916666666666663</v>
      </c>
      <c r="F737" s="48">
        <v>0.8125</v>
      </c>
      <c r="G737" s="49"/>
      <c r="H737" s="14">
        <v>2.0000000000000009</v>
      </c>
      <c r="I737" s="49"/>
      <c r="J737" s="50" t="s">
        <v>30</v>
      </c>
      <c r="K737" s="51" t="s">
        <v>280</v>
      </c>
      <c r="L737" s="66" t="str">
        <f t="shared" si="23"/>
        <v/>
      </c>
      <c r="M737" s="19" t="str">
        <f t="shared" si="24"/>
        <v>Aug_2017</v>
      </c>
    </row>
    <row r="738" spans="1:13">
      <c r="A738" s="45" t="s">
        <v>11</v>
      </c>
      <c r="B738" s="64" t="s">
        <v>19</v>
      </c>
      <c r="C738" s="46">
        <v>42973</v>
      </c>
      <c r="D738" s="47" t="s">
        <v>24</v>
      </c>
      <c r="E738" s="48">
        <v>0.35416666666666702</v>
      </c>
      <c r="F738" s="48">
        <v>0.72916666666666696</v>
      </c>
      <c r="G738" s="49">
        <v>8.0000000000000036</v>
      </c>
      <c r="H738" s="49"/>
      <c r="I738" s="49">
        <v>8.0000000000000036</v>
      </c>
      <c r="J738" s="50" t="s">
        <v>52</v>
      </c>
      <c r="K738" s="51" t="s">
        <v>274</v>
      </c>
      <c r="L738" s="67"/>
      <c r="M738" s="19" t="str">
        <f t="shared" si="24"/>
        <v>Aug_2017</v>
      </c>
    </row>
    <row r="739" spans="1:13">
      <c r="A739" s="45" t="s">
        <v>11</v>
      </c>
      <c r="B739" s="64" t="s">
        <v>26</v>
      </c>
      <c r="C739" s="46">
        <v>42973</v>
      </c>
      <c r="D739" s="47" t="s">
        <v>24</v>
      </c>
      <c r="E739" s="48">
        <v>0.35416666666666702</v>
      </c>
      <c r="F739" s="48">
        <v>0.72916666666666696</v>
      </c>
      <c r="G739" s="49">
        <v>8.0000000000000036</v>
      </c>
      <c r="H739" s="49"/>
      <c r="I739" s="49">
        <v>8.0000000000000036</v>
      </c>
      <c r="J739" s="50" t="s">
        <v>52</v>
      </c>
      <c r="K739" s="51" t="s">
        <v>274</v>
      </c>
      <c r="L739" s="66"/>
      <c r="M739" s="19" t="str">
        <f t="shared" si="24"/>
        <v>Aug_2017</v>
      </c>
    </row>
    <row r="740" spans="1:13">
      <c r="A740" s="45" t="s">
        <v>11</v>
      </c>
      <c r="B740" s="64" t="s">
        <v>161</v>
      </c>
      <c r="C740" s="46">
        <v>42973</v>
      </c>
      <c r="D740" s="47" t="s">
        <v>24</v>
      </c>
      <c r="E740" s="48">
        <v>0.35416666666666702</v>
      </c>
      <c r="F740" s="48">
        <v>0.72916666666666696</v>
      </c>
      <c r="G740" s="49">
        <v>8.0000000000000036</v>
      </c>
      <c r="H740" s="49"/>
      <c r="I740" s="49">
        <v>8.0000000000000036</v>
      </c>
      <c r="J740" s="50" t="s">
        <v>52</v>
      </c>
      <c r="K740" s="51" t="s">
        <v>274</v>
      </c>
      <c r="L740" s="66"/>
      <c r="M740" s="19" t="str">
        <f t="shared" si="24"/>
        <v>Aug_2017</v>
      </c>
    </row>
    <row r="741" spans="1:13">
      <c r="A741" s="45" t="s">
        <v>22</v>
      </c>
      <c r="B741" s="64" t="s">
        <v>23</v>
      </c>
      <c r="C741" s="46">
        <v>42973</v>
      </c>
      <c r="D741" s="47" t="s">
        <v>24</v>
      </c>
      <c r="E741" s="48">
        <v>0.35416666666666702</v>
      </c>
      <c r="F741" s="48">
        <v>0.72916666666666696</v>
      </c>
      <c r="G741" s="49">
        <v>0</v>
      </c>
      <c r="H741" s="49">
        <v>7.9999999999999982</v>
      </c>
      <c r="I741" s="49">
        <v>7.9999999999999982</v>
      </c>
      <c r="J741" s="50" t="s">
        <v>52</v>
      </c>
      <c r="K741" s="51" t="s">
        <v>274</v>
      </c>
      <c r="L741" s="66" t="str">
        <f t="shared" si="23"/>
        <v/>
      </c>
      <c r="M741" s="19" t="str">
        <f t="shared" si="24"/>
        <v>Aug_2017</v>
      </c>
    </row>
    <row r="742" spans="1:13">
      <c r="A742" s="45" t="s">
        <v>22</v>
      </c>
      <c r="B742" s="64" t="s">
        <v>78</v>
      </c>
      <c r="C742" s="46">
        <v>42973</v>
      </c>
      <c r="D742" s="47" t="s">
        <v>24</v>
      </c>
      <c r="E742" s="48">
        <v>0.35416666666666702</v>
      </c>
      <c r="F742" s="48">
        <v>0.72916666666666696</v>
      </c>
      <c r="G742" s="49">
        <v>0</v>
      </c>
      <c r="H742" s="49">
        <v>7.9999999999999982</v>
      </c>
      <c r="I742" s="49">
        <v>7.9999999999999982</v>
      </c>
      <c r="J742" s="50" t="s">
        <v>52</v>
      </c>
      <c r="K742" s="51" t="s">
        <v>274</v>
      </c>
      <c r="L742" s="66" t="str">
        <f t="shared" si="23"/>
        <v/>
      </c>
      <c r="M742" s="19" t="str">
        <f t="shared" si="24"/>
        <v>Aug_2017</v>
      </c>
    </row>
    <row r="743" spans="1:13">
      <c r="A743" s="45" t="s">
        <v>22</v>
      </c>
      <c r="B743" s="64" t="s">
        <v>254</v>
      </c>
      <c r="C743" s="46">
        <v>42973</v>
      </c>
      <c r="D743" s="47" t="s">
        <v>24</v>
      </c>
      <c r="E743" s="48">
        <v>0.35416666666666702</v>
      </c>
      <c r="F743" s="48">
        <v>0.72916666666666696</v>
      </c>
      <c r="G743" s="49">
        <v>0</v>
      </c>
      <c r="H743" s="49">
        <v>7.9999999999999982</v>
      </c>
      <c r="I743" s="49">
        <v>7.9999999999999982</v>
      </c>
      <c r="J743" s="53" t="s">
        <v>52</v>
      </c>
      <c r="K743" s="51" t="s">
        <v>275</v>
      </c>
      <c r="L743" s="66" t="str">
        <f t="shared" si="23"/>
        <v/>
      </c>
      <c r="M743" s="19" t="str">
        <f t="shared" si="24"/>
        <v>Aug_2017</v>
      </c>
    </row>
    <row r="744" spans="1:13">
      <c r="A744" s="45" t="s">
        <v>11</v>
      </c>
      <c r="B744" s="64" t="s">
        <v>12</v>
      </c>
      <c r="C744" s="54">
        <v>42975</v>
      </c>
      <c r="D744" s="47" t="s">
        <v>16</v>
      </c>
      <c r="E744" s="48">
        <v>0.72916666666666696</v>
      </c>
      <c r="F744" s="48">
        <v>0.85416666666666696</v>
      </c>
      <c r="G744" s="49">
        <v>8.0000000000000036</v>
      </c>
      <c r="H744" s="49">
        <v>2.9999999999999947</v>
      </c>
      <c r="I744" s="49">
        <v>2.9999999999999947</v>
      </c>
      <c r="J744" s="53" t="s">
        <v>30</v>
      </c>
      <c r="K744" s="51" t="s">
        <v>276</v>
      </c>
      <c r="L744" s="66">
        <f t="shared" si="23"/>
        <v>1</v>
      </c>
      <c r="M744" s="19" t="str">
        <f t="shared" si="24"/>
        <v>Aug_2017</v>
      </c>
    </row>
    <row r="745" spans="1:13">
      <c r="A745" s="45" t="s">
        <v>11</v>
      </c>
      <c r="B745" s="64" t="s">
        <v>26</v>
      </c>
      <c r="C745" s="46">
        <v>42975</v>
      </c>
      <c r="D745" s="47" t="s">
        <v>16</v>
      </c>
      <c r="E745" s="48">
        <v>0.70833333333333304</v>
      </c>
      <c r="F745" s="48">
        <v>0.85416666666666696</v>
      </c>
      <c r="G745" s="49">
        <v>8.0000000000000036</v>
      </c>
      <c r="H745" s="49">
        <v>3.5000000000000107</v>
      </c>
      <c r="I745" s="49">
        <v>3.5000000000000107</v>
      </c>
      <c r="J745" s="53" t="s">
        <v>30</v>
      </c>
      <c r="K745" s="51" t="s">
        <v>276</v>
      </c>
      <c r="L745" s="66">
        <f t="shared" si="23"/>
        <v>1</v>
      </c>
      <c r="M745" s="19" t="str">
        <f t="shared" si="24"/>
        <v>Aug_2017</v>
      </c>
    </row>
    <row r="746" spans="1:13">
      <c r="A746" s="45" t="s">
        <v>11</v>
      </c>
      <c r="B746" s="64" t="s">
        <v>149</v>
      </c>
      <c r="C746" s="46">
        <v>42975</v>
      </c>
      <c r="D746" s="47" t="s">
        <v>16</v>
      </c>
      <c r="E746" s="48">
        <v>0.72916666666666696</v>
      </c>
      <c r="F746" s="48">
        <v>0.85416666666666696</v>
      </c>
      <c r="G746" s="49">
        <v>8.0000000000000036</v>
      </c>
      <c r="H746" s="49">
        <v>2.9999999999999947</v>
      </c>
      <c r="I746" s="49">
        <v>2.9999999999999947</v>
      </c>
      <c r="J746" s="53" t="s">
        <v>30</v>
      </c>
      <c r="K746" s="51" t="s">
        <v>276</v>
      </c>
      <c r="L746" s="66">
        <f t="shared" si="23"/>
        <v>1</v>
      </c>
      <c r="M746" s="19" t="str">
        <f t="shared" si="24"/>
        <v>Aug_2017</v>
      </c>
    </row>
    <row r="747" spans="1:13">
      <c r="A747" s="45" t="s">
        <v>11</v>
      </c>
      <c r="B747" s="64" t="s">
        <v>161</v>
      </c>
      <c r="C747" s="46">
        <v>42975</v>
      </c>
      <c r="D747" s="47" t="s">
        <v>16</v>
      </c>
      <c r="E747" s="48">
        <v>0.72916666666666696</v>
      </c>
      <c r="F747" s="48">
        <v>0.85416666666666696</v>
      </c>
      <c r="G747" s="49">
        <v>8.0000000000000036</v>
      </c>
      <c r="H747" s="49">
        <v>2.9999999999999947</v>
      </c>
      <c r="I747" s="49">
        <v>2.9999999999999947</v>
      </c>
      <c r="J747" s="53" t="s">
        <v>30</v>
      </c>
      <c r="K747" s="51" t="s">
        <v>276</v>
      </c>
      <c r="L747" s="66">
        <f t="shared" si="23"/>
        <v>1</v>
      </c>
      <c r="M747" s="19" t="str">
        <f t="shared" si="24"/>
        <v>Aug_2017</v>
      </c>
    </row>
    <row r="748" spans="1:13">
      <c r="A748" s="45" t="s">
        <v>22</v>
      </c>
      <c r="B748" s="64" t="s">
        <v>23</v>
      </c>
      <c r="C748" s="46">
        <v>42975</v>
      </c>
      <c r="D748" s="47" t="s">
        <v>16</v>
      </c>
      <c r="E748" s="48">
        <v>0.35416666666666702</v>
      </c>
      <c r="F748" s="48">
        <v>0.85416666666666696</v>
      </c>
      <c r="G748" s="49">
        <v>0</v>
      </c>
      <c r="H748" s="49">
        <v>10.999999999999998</v>
      </c>
      <c r="I748" s="49">
        <v>10.999999999999998</v>
      </c>
      <c r="J748" s="53" t="s">
        <v>30</v>
      </c>
      <c r="K748" s="51" t="s">
        <v>276</v>
      </c>
      <c r="L748" s="66" t="str">
        <f t="shared" si="23"/>
        <v/>
      </c>
      <c r="M748" s="19" t="str">
        <f t="shared" si="24"/>
        <v>Aug_2017</v>
      </c>
    </row>
    <row r="749" spans="1:13">
      <c r="A749" s="45" t="s">
        <v>22</v>
      </c>
      <c r="B749" s="64" t="s">
        <v>78</v>
      </c>
      <c r="C749" s="46">
        <v>42975</v>
      </c>
      <c r="D749" s="47" t="s">
        <v>16</v>
      </c>
      <c r="E749" s="48">
        <v>0.35416666666666702</v>
      </c>
      <c r="F749" s="48">
        <v>0.85416666666666696</v>
      </c>
      <c r="G749" s="49">
        <v>0</v>
      </c>
      <c r="H749" s="49">
        <v>10.999999999999998</v>
      </c>
      <c r="I749" s="49">
        <v>10.999999999999998</v>
      </c>
      <c r="J749" s="50" t="s">
        <v>30</v>
      </c>
      <c r="K749" s="51" t="s">
        <v>276</v>
      </c>
      <c r="L749" s="66" t="str">
        <f t="shared" si="23"/>
        <v/>
      </c>
      <c r="M749" s="19" t="str">
        <f t="shared" si="24"/>
        <v>Aug_2017</v>
      </c>
    </row>
    <row r="750" spans="1:13">
      <c r="A750" s="45" t="s">
        <v>22</v>
      </c>
      <c r="B750" s="64" t="s">
        <v>254</v>
      </c>
      <c r="C750" s="46">
        <v>42975</v>
      </c>
      <c r="D750" s="47" t="s">
        <v>16</v>
      </c>
      <c r="E750" s="48">
        <v>0.35416666666666702</v>
      </c>
      <c r="F750" s="48">
        <v>0.85416666666666696</v>
      </c>
      <c r="G750" s="49">
        <v>0</v>
      </c>
      <c r="H750" s="49">
        <v>10.999999999999998</v>
      </c>
      <c r="I750" s="49">
        <v>10.999999999999998</v>
      </c>
      <c r="J750" s="53" t="s">
        <v>30</v>
      </c>
      <c r="K750" s="51" t="s">
        <v>276</v>
      </c>
      <c r="L750" s="66" t="str">
        <f t="shared" si="23"/>
        <v/>
      </c>
      <c r="M750" s="19" t="str">
        <f t="shared" si="24"/>
        <v>Aug_2017</v>
      </c>
    </row>
    <row r="751" spans="1:13">
      <c r="A751" s="45" t="s">
        <v>11</v>
      </c>
      <c r="B751" s="64" t="s">
        <v>12</v>
      </c>
      <c r="C751" s="54">
        <v>42976</v>
      </c>
      <c r="D751" s="47" t="s">
        <v>14</v>
      </c>
      <c r="E751" s="48">
        <v>0.72916666666666696</v>
      </c>
      <c r="F751" s="48">
        <v>0.85416666666666696</v>
      </c>
      <c r="G751" s="49">
        <v>8.0000000000000036</v>
      </c>
      <c r="H751" s="49">
        <v>2.9999999999999947</v>
      </c>
      <c r="I751" s="49">
        <v>2.9999999999999947</v>
      </c>
      <c r="J751" s="50" t="s">
        <v>30</v>
      </c>
      <c r="K751" s="51" t="s">
        <v>277</v>
      </c>
      <c r="L751" s="66">
        <f t="shared" si="23"/>
        <v>1</v>
      </c>
      <c r="M751" s="19" t="str">
        <f t="shared" si="24"/>
        <v>Aug_2017</v>
      </c>
    </row>
    <row r="752" spans="1:13">
      <c r="A752" s="45" t="s">
        <v>11</v>
      </c>
      <c r="B752" s="64" t="s">
        <v>19</v>
      </c>
      <c r="C752" s="46">
        <v>42976</v>
      </c>
      <c r="D752" s="47" t="s">
        <v>14</v>
      </c>
      <c r="E752" s="48">
        <v>0.72916666666666696</v>
      </c>
      <c r="F752" s="48">
        <v>0.85416666666666696</v>
      </c>
      <c r="G752" s="49">
        <v>8.0000000000000036</v>
      </c>
      <c r="H752" s="49">
        <v>2.9999999999999947</v>
      </c>
      <c r="I752" s="49">
        <v>2.9999999999999947</v>
      </c>
      <c r="J752" s="53" t="s">
        <v>30</v>
      </c>
      <c r="K752" s="51" t="s">
        <v>277</v>
      </c>
      <c r="L752" s="66">
        <f t="shared" si="23"/>
        <v>1</v>
      </c>
      <c r="M752" s="19" t="str">
        <f t="shared" si="24"/>
        <v>Aug_2017</v>
      </c>
    </row>
    <row r="753" spans="1:13">
      <c r="A753" s="45" t="s">
        <v>11</v>
      </c>
      <c r="B753" s="64" t="s">
        <v>149</v>
      </c>
      <c r="C753" s="46">
        <v>42976</v>
      </c>
      <c r="D753" s="47" t="s">
        <v>14</v>
      </c>
      <c r="E753" s="48">
        <v>0.72916666666666696</v>
      </c>
      <c r="F753" s="48">
        <v>0.85416666666666696</v>
      </c>
      <c r="G753" s="49">
        <v>8.0000000000000036</v>
      </c>
      <c r="H753" s="49">
        <v>2.9999999999999947</v>
      </c>
      <c r="I753" s="49">
        <v>2.9999999999999947</v>
      </c>
      <c r="J753" s="50" t="s">
        <v>30</v>
      </c>
      <c r="K753" s="51" t="s">
        <v>277</v>
      </c>
      <c r="L753" s="66">
        <f t="shared" si="23"/>
        <v>1</v>
      </c>
      <c r="M753" s="19" t="str">
        <f t="shared" si="24"/>
        <v>Aug_2017</v>
      </c>
    </row>
    <row r="754" spans="1:13">
      <c r="A754" s="45" t="s">
        <v>11</v>
      </c>
      <c r="B754" s="64" t="s">
        <v>161</v>
      </c>
      <c r="C754" s="46">
        <v>42976</v>
      </c>
      <c r="D754" s="47" t="s">
        <v>14</v>
      </c>
      <c r="E754" s="48">
        <v>0.72916666666666696</v>
      </c>
      <c r="F754" s="48">
        <v>0.85416666666666696</v>
      </c>
      <c r="G754" s="49">
        <v>8.0000000000000036</v>
      </c>
      <c r="H754" s="49">
        <v>2.9999999999999947</v>
      </c>
      <c r="I754" s="49">
        <v>2.9999999999999947</v>
      </c>
      <c r="J754" s="53" t="s">
        <v>30</v>
      </c>
      <c r="K754" s="51" t="s">
        <v>277</v>
      </c>
      <c r="L754" s="66">
        <f t="shared" si="23"/>
        <v>1</v>
      </c>
      <c r="M754" s="19" t="str">
        <f t="shared" si="24"/>
        <v>Aug_2017</v>
      </c>
    </row>
    <row r="755" spans="1:13">
      <c r="A755" s="45" t="s">
        <v>22</v>
      </c>
      <c r="B755" s="64" t="s">
        <v>23</v>
      </c>
      <c r="C755" s="46">
        <v>42976</v>
      </c>
      <c r="D755" s="47" t="s">
        <v>14</v>
      </c>
      <c r="E755" s="48">
        <v>0.35416666666666702</v>
      </c>
      <c r="F755" s="48">
        <v>0.85416666666666696</v>
      </c>
      <c r="G755" s="49">
        <v>0</v>
      </c>
      <c r="H755" s="49">
        <v>10.999999999999998</v>
      </c>
      <c r="I755" s="49">
        <v>10.999999999999998</v>
      </c>
      <c r="J755" s="53" t="s">
        <v>30</v>
      </c>
      <c r="K755" s="51" t="s">
        <v>277</v>
      </c>
      <c r="L755" s="66" t="str">
        <f t="shared" si="23"/>
        <v/>
      </c>
      <c r="M755" s="19" t="str">
        <f t="shared" si="24"/>
        <v>Aug_2017</v>
      </c>
    </row>
    <row r="756" spans="1:13">
      <c r="A756" s="45" t="s">
        <v>22</v>
      </c>
      <c r="B756" s="64" t="s">
        <v>77</v>
      </c>
      <c r="C756" s="46">
        <v>42976</v>
      </c>
      <c r="D756" s="47" t="s">
        <v>14</v>
      </c>
      <c r="E756" s="48">
        <v>0.35416666666666702</v>
      </c>
      <c r="F756" s="48">
        <v>0.85416666666666696</v>
      </c>
      <c r="G756" s="49">
        <v>0</v>
      </c>
      <c r="H756" s="49">
        <v>10.999999999999998</v>
      </c>
      <c r="I756" s="49">
        <v>10.999999999999998</v>
      </c>
      <c r="J756" s="50" t="s">
        <v>30</v>
      </c>
      <c r="K756" s="51" t="s">
        <v>277</v>
      </c>
      <c r="L756" s="66" t="str">
        <f t="shared" si="23"/>
        <v/>
      </c>
      <c r="M756" s="19" t="str">
        <f t="shared" si="24"/>
        <v>Aug_2017</v>
      </c>
    </row>
    <row r="757" spans="1:13">
      <c r="A757" s="45" t="s">
        <v>22</v>
      </c>
      <c r="B757" s="64" t="s">
        <v>80</v>
      </c>
      <c r="C757" s="46">
        <v>42976</v>
      </c>
      <c r="D757" s="47" t="s">
        <v>14</v>
      </c>
      <c r="E757" s="48">
        <v>0.35416666666666702</v>
      </c>
      <c r="F757" s="48">
        <v>0.85416666666666696</v>
      </c>
      <c r="G757" s="49">
        <v>0</v>
      </c>
      <c r="H757" s="49">
        <v>10.999999999999998</v>
      </c>
      <c r="I757" s="49">
        <v>10.999999999999998</v>
      </c>
      <c r="J757" s="50" t="s">
        <v>30</v>
      </c>
      <c r="K757" s="51" t="s">
        <v>277</v>
      </c>
      <c r="L757" s="66" t="str">
        <f t="shared" si="23"/>
        <v/>
      </c>
      <c r="M757" s="19" t="str">
        <f t="shared" si="24"/>
        <v>Aug_2017</v>
      </c>
    </row>
    <row r="758" spans="1:13">
      <c r="A758" s="45" t="s">
        <v>22</v>
      </c>
      <c r="B758" s="64" t="s">
        <v>78</v>
      </c>
      <c r="C758" s="46">
        <v>42976</v>
      </c>
      <c r="D758" s="47" t="s">
        <v>14</v>
      </c>
      <c r="E758" s="48">
        <v>0.35416666666666702</v>
      </c>
      <c r="F758" s="48">
        <v>0.85416666666666696</v>
      </c>
      <c r="G758" s="49">
        <v>0</v>
      </c>
      <c r="H758" s="49">
        <v>10.999999999999998</v>
      </c>
      <c r="I758" s="49">
        <v>10.999999999999998</v>
      </c>
      <c r="J758" s="53" t="s">
        <v>30</v>
      </c>
      <c r="K758" s="51" t="s">
        <v>277</v>
      </c>
      <c r="L758" s="66" t="str">
        <f t="shared" si="23"/>
        <v/>
      </c>
      <c r="M758" s="19" t="str">
        <f t="shared" si="24"/>
        <v>Aug_2017</v>
      </c>
    </row>
    <row r="759" spans="1:13">
      <c r="A759" s="45" t="s">
        <v>11</v>
      </c>
      <c r="B759" s="64" t="s">
        <v>12</v>
      </c>
      <c r="C759" s="54">
        <v>42977</v>
      </c>
      <c r="D759" s="47" t="s">
        <v>15</v>
      </c>
      <c r="E759" s="48">
        <v>0.72916666666666696</v>
      </c>
      <c r="F759" s="48">
        <v>0.83333333333333337</v>
      </c>
      <c r="G759" s="49">
        <v>8.0000000000000036</v>
      </c>
      <c r="H759" s="49">
        <v>2.4999999999999893</v>
      </c>
      <c r="I759" s="49">
        <v>2.4999999999999893</v>
      </c>
      <c r="J759" s="53" t="s">
        <v>30</v>
      </c>
      <c r="K759" s="51" t="s">
        <v>278</v>
      </c>
      <c r="L759" s="66">
        <f t="shared" si="23"/>
        <v>1</v>
      </c>
      <c r="M759" s="19" t="str">
        <f t="shared" si="24"/>
        <v>Aug_2017</v>
      </c>
    </row>
    <row r="760" spans="1:13">
      <c r="A760" s="45" t="s">
        <v>11</v>
      </c>
      <c r="B760" s="64" t="s">
        <v>19</v>
      </c>
      <c r="C760" s="46">
        <v>42977</v>
      </c>
      <c r="D760" s="47" t="s">
        <v>15</v>
      </c>
      <c r="E760" s="48">
        <v>0.70833333333333304</v>
      </c>
      <c r="F760" s="48">
        <v>0.83333333333333337</v>
      </c>
      <c r="G760" s="49">
        <v>8.0000000000000036</v>
      </c>
      <c r="H760" s="49">
        <v>3.0000000000000071</v>
      </c>
      <c r="I760" s="49">
        <v>3.0000000000000071</v>
      </c>
      <c r="J760" s="53" t="s">
        <v>30</v>
      </c>
      <c r="K760" s="51" t="s">
        <v>278</v>
      </c>
      <c r="L760" s="66">
        <f t="shared" si="23"/>
        <v>1</v>
      </c>
      <c r="M760" s="19" t="str">
        <f t="shared" si="24"/>
        <v>Aug_2017</v>
      </c>
    </row>
    <row r="761" spans="1:13">
      <c r="A761" s="45" t="s">
        <v>11</v>
      </c>
      <c r="B761" s="64" t="s">
        <v>149</v>
      </c>
      <c r="C761" s="46">
        <v>42977</v>
      </c>
      <c r="D761" s="47" t="s">
        <v>15</v>
      </c>
      <c r="E761" s="48">
        <v>0.72916666666666696</v>
      </c>
      <c r="F761" s="48">
        <v>0.83333333333333337</v>
      </c>
      <c r="G761" s="49">
        <v>8.0000000000000036</v>
      </c>
      <c r="H761" s="49">
        <v>2.4999999999999893</v>
      </c>
      <c r="I761" s="49">
        <v>2.4999999999999893</v>
      </c>
      <c r="J761" s="53" t="s">
        <v>30</v>
      </c>
      <c r="K761" s="51" t="s">
        <v>278</v>
      </c>
      <c r="L761" s="66">
        <f t="shared" si="23"/>
        <v>1</v>
      </c>
      <c r="M761" s="19" t="str">
        <f t="shared" si="24"/>
        <v>Aug_2017</v>
      </c>
    </row>
    <row r="762" spans="1:13">
      <c r="A762" s="45" t="s">
        <v>11</v>
      </c>
      <c r="B762" s="64" t="s">
        <v>161</v>
      </c>
      <c r="C762" s="46">
        <v>42977</v>
      </c>
      <c r="D762" s="47" t="s">
        <v>15</v>
      </c>
      <c r="E762" s="48">
        <v>0.72916666666666696</v>
      </c>
      <c r="F762" s="48">
        <v>0.83333333333333337</v>
      </c>
      <c r="G762" s="49">
        <v>8.0000000000000036</v>
      </c>
      <c r="H762" s="49">
        <v>2.4999999999999893</v>
      </c>
      <c r="I762" s="49">
        <v>2.4999999999999893</v>
      </c>
      <c r="J762" s="53" t="s">
        <v>30</v>
      </c>
      <c r="K762" s="51" t="s">
        <v>278</v>
      </c>
      <c r="L762" s="66">
        <f t="shared" si="23"/>
        <v>1</v>
      </c>
      <c r="M762" s="19" t="str">
        <f t="shared" si="24"/>
        <v>Aug_2017</v>
      </c>
    </row>
    <row r="763" spans="1:13">
      <c r="A763" s="45" t="s">
        <v>22</v>
      </c>
      <c r="B763" s="64" t="s">
        <v>23</v>
      </c>
      <c r="C763" s="46">
        <v>42977</v>
      </c>
      <c r="D763" s="47" t="s">
        <v>15</v>
      </c>
      <c r="E763" s="48">
        <v>0.35416666666666702</v>
      </c>
      <c r="F763" s="48">
        <v>0.83333333333333337</v>
      </c>
      <c r="G763" s="49">
        <v>0</v>
      </c>
      <c r="H763" s="49">
        <v>10.499999999999993</v>
      </c>
      <c r="I763" s="49">
        <v>10.499999999999993</v>
      </c>
      <c r="J763" s="53" t="s">
        <v>30</v>
      </c>
      <c r="K763" s="51" t="s">
        <v>278</v>
      </c>
      <c r="L763" s="66" t="str">
        <f t="shared" si="23"/>
        <v/>
      </c>
      <c r="M763" s="19" t="str">
        <f t="shared" si="24"/>
        <v>Aug_2017</v>
      </c>
    </row>
    <row r="764" spans="1:13">
      <c r="A764" s="45" t="s">
        <v>22</v>
      </c>
      <c r="B764" s="64" t="s">
        <v>77</v>
      </c>
      <c r="C764" s="46">
        <v>42977</v>
      </c>
      <c r="D764" s="47" t="s">
        <v>15</v>
      </c>
      <c r="E764" s="48">
        <v>0.35416666666666702</v>
      </c>
      <c r="F764" s="48">
        <v>0.83333333333333337</v>
      </c>
      <c r="G764" s="49">
        <v>0</v>
      </c>
      <c r="H764" s="49">
        <v>10.499999999999993</v>
      </c>
      <c r="I764" s="49">
        <v>10.499999999999993</v>
      </c>
      <c r="J764" s="53" t="s">
        <v>30</v>
      </c>
      <c r="K764" s="51" t="s">
        <v>278</v>
      </c>
      <c r="L764" s="66" t="str">
        <f t="shared" si="23"/>
        <v/>
      </c>
      <c r="M764" s="19" t="str">
        <f t="shared" si="24"/>
        <v>Aug_2017</v>
      </c>
    </row>
    <row r="765" spans="1:13">
      <c r="A765" s="45" t="s">
        <v>22</v>
      </c>
      <c r="B765" s="64" t="s">
        <v>80</v>
      </c>
      <c r="C765" s="46">
        <v>42977</v>
      </c>
      <c r="D765" s="47" t="s">
        <v>15</v>
      </c>
      <c r="E765" s="48">
        <v>0.35416666666666702</v>
      </c>
      <c r="F765" s="48">
        <v>0.83333333333333337</v>
      </c>
      <c r="G765" s="49">
        <v>0</v>
      </c>
      <c r="H765" s="49">
        <v>10.499999999999993</v>
      </c>
      <c r="I765" s="49">
        <v>10.499999999999993</v>
      </c>
      <c r="J765" s="50" t="s">
        <v>30</v>
      </c>
      <c r="K765" s="51" t="s">
        <v>278</v>
      </c>
      <c r="L765" s="66" t="str">
        <f t="shared" si="23"/>
        <v/>
      </c>
      <c r="M765" s="19" t="str">
        <f t="shared" si="24"/>
        <v>Aug_2017</v>
      </c>
    </row>
    <row r="766" spans="1:13">
      <c r="A766" s="45" t="s">
        <v>22</v>
      </c>
      <c r="B766" s="64" t="s">
        <v>78</v>
      </c>
      <c r="C766" s="46">
        <v>42977</v>
      </c>
      <c r="D766" s="47" t="s">
        <v>15</v>
      </c>
      <c r="E766" s="48">
        <v>0.35416666666666702</v>
      </c>
      <c r="F766" s="48">
        <v>0.70833333333333304</v>
      </c>
      <c r="G766" s="49">
        <v>0</v>
      </c>
      <c r="H766" s="49">
        <v>7.499999999999984</v>
      </c>
      <c r="I766" s="49">
        <v>7.499999999999984</v>
      </c>
      <c r="J766" s="53" t="s">
        <v>30</v>
      </c>
      <c r="K766" s="51" t="s">
        <v>278</v>
      </c>
      <c r="L766" s="66" t="str">
        <f t="shared" si="23"/>
        <v/>
      </c>
      <c r="M766" s="19" t="str">
        <f t="shared" si="24"/>
        <v>Aug_2017</v>
      </c>
    </row>
    <row r="767" spans="1:13">
      <c r="A767" s="45" t="s">
        <v>11</v>
      </c>
      <c r="B767" s="64" t="s">
        <v>12</v>
      </c>
      <c r="C767" s="54">
        <v>42978</v>
      </c>
      <c r="D767" s="47" t="s">
        <v>25</v>
      </c>
      <c r="E767" s="48">
        <v>0.72916666666666696</v>
      </c>
      <c r="F767" s="48">
        <v>0.89583333333333337</v>
      </c>
      <c r="G767" s="49">
        <v>8.0000000000000036</v>
      </c>
      <c r="H767" s="49">
        <v>3.9999999999999876</v>
      </c>
      <c r="I767" s="49">
        <v>3.9999999999999876</v>
      </c>
      <c r="J767" s="50" t="s">
        <v>30</v>
      </c>
      <c r="K767" s="51" t="s">
        <v>279</v>
      </c>
      <c r="L767" s="66">
        <f t="shared" si="23"/>
        <v>1</v>
      </c>
      <c r="M767" s="19" t="str">
        <f t="shared" si="24"/>
        <v>Aug_2017</v>
      </c>
    </row>
    <row r="768" spans="1:13">
      <c r="A768" s="45" t="s">
        <v>11</v>
      </c>
      <c r="B768" s="64" t="s">
        <v>26</v>
      </c>
      <c r="C768" s="46">
        <v>42978</v>
      </c>
      <c r="D768" s="47" t="s">
        <v>25</v>
      </c>
      <c r="E768" s="48">
        <v>0.72916666666666696</v>
      </c>
      <c r="F768" s="48">
        <v>0.89583333333333337</v>
      </c>
      <c r="G768" s="49">
        <v>8.0000000000000036</v>
      </c>
      <c r="H768" s="49">
        <v>3.9999999999999876</v>
      </c>
      <c r="I768" s="49">
        <v>3.9999999999999876</v>
      </c>
      <c r="J768" s="50" t="s">
        <v>30</v>
      </c>
      <c r="K768" s="51" t="s">
        <v>279</v>
      </c>
      <c r="L768" s="66">
        <f t="shared" si="23"/>
        <v>1</v>
      </c>
      <c r="M768" s="19" t="str">
        <f t="shared" si="24"/>
        <v>Aug_2017</v>
      </c>
    </row>
    <row r="769" spans="1:13">
      <c r="A769" s="45" t="s">
        <v>11</v>
      </c>
      <c r="B769" s="64" t="s">
        <v>149</v>
      </c>
      <c r="C769" s="46">
        <v>42978</v>
      </c>
      <c r="D769" s="47" t="s">
        <v>25</v>
      </c>
      <c r="E769" s="48">
        <v>0.72916666666666696</v>
      </c>
      <c r="F769" s="48">
        <v>0.89583333333333337</v>
      </c>
      <c r="G769" s="49">
        <v>8.0000000000000036</v>
      </c>
      <c r="H769" s="49">
        <v>3.9999999999999876</v>
      </c>
      <c r="I769" s="49">
        <v>3.9999999999999876</v>
      </c>
      <c r="J769" s="50" t="s">
        <v>30</v>
      </c>
      <c r="K769" s="51" t="s">
        <v>279</v>
      </c>
      <c r="L769" s="66">
        <f t="shared" si="23"/>
        <v>1</v>
      </c>
      <c r="M769" s="19" t="str">
        <f t="shared" si="24"/>
        <v>Aug_2017</v>
      </c>
    </row>
    <row r="770" spans="1:13">
      <c r="A770" s="45" t="s">
        <v>11</v>
      </c>
      <c r="B770" s="64" t="s">
        <v>161</v>
      </c>
      <c r="C770" s="46">
        <v>42978</v>
      </c>
      <c r="D770" s="47" t="s">
        <v>25</v>
      </c>
      <c r="E770" s="48">
        <v>0.72916666666666696</v>
      </c>
      <c r="F770" s="48">
        <v>0.89583333333333337</v>
      </c>
      <c r="G770" s="49">
        <v>8.0000000000000036</v>
      </c>
      <c r="H770" s="49">
        <v>3.9999999999999876</v>
      </c>
      <c r="I770" s="49">
        <v>3.9999999999999876</v>
      </c>
      <c r="J770" s="50" t="s">
        <v>30</v>
      </c>
      <c r="K770" s="51" t="s">
        <v>279</v>
      </c>
      <c r="L770" s="66">
        <f t="shared" si="23"/>
        <v>1</v>
      </c>
      <c r="M770" s="19" t="str">
        <f t="shared" si="24"/>
        <v>Aug_2017</v>
      </c>
    </row>
    <row r="771" spans="1:13">
      <c r="A771" s="45" t="s">
        <v>22</v>
      </c>
      <c r="B771" s="64" t="s">
        <v>23</v>
      </c>
      <c r="C771" s="46">
        <v>42978</v>
      </c>
      <c r="D771" s="47" t="s">
        <v>25</v>
      </c>
      <c r="E771" s="48">
        <v>0.35416666666666702</v>
      </c>
      <c r="F771" s="48">
        <v>0.89583333333333337</v>
      </c>
      <c r="G771" s="49">
        <v>0</v>
      </c>
      <c r="H771" s="49">
        <v>11.999999999999991</v>
      </c>
      <c r="I771" s="49">
        <v>11.999999999999991</v>
      </c>
      <c r="J771" s="50" t="s">
        <v>30</v>
      </c>
      <c r="K771" s="51" t="s">
        <v>279</v>
      </c>
      <c r="L771" s="66" t="str">
        <f t="shared" si="23"/>
        <v/>
      </c>
      <c r="M771" s="19" t="str">
        <f t="shared" si="24"/>
        <v>Aug_2017</v>
      </c>
    </row>
    <row r="772" spans="1:13">
      <c r="A772" s="45" t="s">
        <v>22</v>
      </c>
      <c r="B772" s="64" t="s">
        <v>77</v>
      </c>
      <c r="C772" s="46">
        <v>42978</v>
      </c>
      <c r="D772" s="47" t="s">
        <v>25</v>
      </c>
      <c r="E772" s="48">
        <v>0.35416666666666702</v>
      </c>
      <c r="F772" s="48">
        <v>0.89583333333333337</v>
      </c>
      <c r="G772" s="49">
        <v>0</v>
      </c>
      <c r="H772" s="49">
        <v>11.999999999999991</v>
      </c>
      <c r="I772" s="49">
        <v>11.999999999999991</v>
      </c>
      <c r="J772" s="50" t="s">
        <v>30</v>
      </c>
      <c r="K772" s="51" t="s">
        <v>279</v>
      </c>
      <c r="L772" s="66" t="str">
        <f t="shared" si="23"/>
        <v/>
      </c>
      <c r="M772" s="19" t="str">
        <f t="shared" si="24"/>
        <v>Aug_2017</v>
      </c>
    </row>
    <row r="773" spans="1:13">
      <c r="A773" s="45" t="s">
        <v>22</v>
      </c>
      <c r="B773" s="64" t="s">
        <v>80</v>
      </c>
      <c r="C773" s="46">
        <v>42978</v>
      </c>
      <c r="D773" s="47" t="s">
        <v>25</v>
      </c>
      <c r="E773" s="48">
        <v>0.35416666666666702</v>
      </c>
      <c r="F773" s="48">
        <v>0.72916666666666663</v>
      </c>
      <c r="G773" s="49">
        <v>0</v>
      </c>
      <c r="H773" s="49">
        <v>7.9999999999999911</v>
      </c>
      <c r="I773" s="49">
        <v>7.9999999999999911</v>
      </c>
      <c r="J773" s="50" t="s">
        <v>30</v>
      </c>
      <c r="K773" s="51" t="s">
        <v>279</v>
      </c>
      <c r="L773" s="66" t="str">
        <f t="shared" si="23"/>
        <v/>
      </c>
      <c r="M773" s="19" t="str">
        <f t="shared" si="24"/>
        <v>Aug_2017</v>
      </c>
    </row>
    <row r="774" spans="1:13">
      <c r="A774" s="45" t="s">
        <v>22</v>
      </c>
      <c r="B774" s="64" t="s">
        <v>78</v>
      </c>
      <c r="C774" s="46">
        <v>42978</v>
      </c>
      <c r="D774" s="47" t="s">
        <v>25</v>
      </c>
      <c r="E774" s="48">
        <v>0.35416666666666702</v>
      </c>
      <c r="F774" s="48">
        <v>0.89583333333333337</v>
      </c>
      <c r="G774" s="49">
        <v>0</v>
      </c>
      <c r="H774" s="49">
        <v>11.999999999999991</v>
      </c>
      <c r="I774" s="49">
        <v>11.999999999999991</v>
      </c>
      <c r="J774" s="50" t="s">
        <v>30</v>
      </c>
      <c r="K774" s="51" t="s">
        <v>279</v>
      </c>
      <c r="L774" s="66" t="str">
        <f t="shared" si="23"/>
        <v/>
      </c>
      <c r="M774" s="19" t="str">
        <f t="shared" si="24"/>
        <v>Aug_2017</v>
      </c>
    </row>
    <row r="775" spans="1:13">
      <c r="A775" s="45" t="s">
        <v>11</v>
      </c>
      <c r="B775" s="52" t="s">
        <v>12</v>
      </c>
      <c r="C775" s="54">
        <v>42979</v>
      </c>
      <c r="D775" s="47" t="s">
        <v>17</v>
      </c>
      <c r="E775" s="48">
        <v>0.72916666666666696</v>
      </c>
      <c r="F775" s="48">
        <v>0.89583333333333304</v>
      </c>
      <c r="G775" s="49">
        <v>8.0000000000000036</v>
      </c>
      <c r="H775" s="49">
        <v>3.9999999999999822</v>
      </c>
      <c r="I775" s="49">
        <v>3.9999999999999822</v>
      </c>
      <c r="J775" s="53" t="s">
        <v>30</v>
      </c>
      <c r="K775" s="51" t="s">
        <v>282</v>
      </c>
      <c r="L775" s="102">
        <v>1</v>
      </c>
      <c r="M775" s="19" t="str">
        <f>IF($C775="","",TEXT(DATE(YEAR($C775),MONTH($C775),DAY($C775)),"MMM")&amp;"_"&amp;YEAR($C775))</f>
        <v>Sep_2017</v>
      </c>
    </row>
    <row r="776" spans="1:13">
      <c r="A776" s="45" t="s">
        <v>11</v>
      </c>
      <c r="B776" s="52" t="s">
        <v>19</v>
      </c>
      <c r="C776" s="46">
        <v>42979</v>
      </c>
      <c r="D776" s="47" t="s">
        <v>17</v>
      </c>
      <c r="E776" s="48">
        <v>0.72916666666666696</v>
      </c>
      <c r="F776" s="48">
        <v>0.89583333333333304</v>
      </c>
      <c r="G776" s="49">
        <v>8.0000000000000036</v>
      </c>
      <c r="H776" s="49">
        <v>3.9999999999999822</v>
      </c>
      <c r="I776" s="49">
        <v>3.9999999999999822</v>
      </c>
      <c r="J776" s="50" t="s">
        <v>30</v>
      </c>
      <c r="K776" s="51" t="s">
        <v>282</v>
      </c>
      <c r="L776" s="102">
        <v>1</v>
      </c>
      <c r="M776" s="19" t="str">
        <f t="shared" ref="M776:M839" si="25">IF($C776="","",TEXT(DATE(YEAR($C776),MONTH($C776),DAY($C776)),"MMM")&amp;"_"&amp;YEAR($C776))</f>
        <v>Sep_2017</v>
      </c>
    </row>
    <row r="777" spans="1:13">
      <c r="A777" s="45" t="s">
        <v>11</v>
      </c>
      <c r="B777" s="52" t="s">
        <v>26</v>
      </c>
      <c r="C777" s="46">
        <v>42979</v>
      </c>
      <c r="D777" s="47" t="s">
        <v>17</v>
      </c>
      <c r="E777" s="48">
        <v>0.72916666666666696</v>
      </c>
      <c r="F777" s="48">
        <v>0.875</v>
      </c>
      <c r="G777" s="49">
        <v>8.0000000000000036</v>
      </c>
      <c r="H777" s="49">
        <v>3.4999999999999893</v>
      </c>
      <c r="I777" s="49">
        <v>3.4999999999999893</v>
      </c>
      <c r="J777" s="50" t="s">
        <v>30</v>
      </c>
      <c r="K777" s="51" t="s">
        <v>282</v>
      </c>
      <c r="L777" s="102">
        <v>1</v>
      </c>
      <c r="M777" s="19" t="str">
        <f t="shared" si="25"/>
        <v>Sep_2017</v>
      </c>
    </row>
    <row r="778" spans="1:13">
      <c r="A778" s="45" t="s">
        <v>11</v>
      </c>
      <c r="B778" s="52" t="s">
        <v>149</v>
      </c>
      <c r="C778" s="46">
        <v>42979</v>
      </c>
      <c r="D778" s="47" t="s">
        <v>17</v>
      </c>
      <c r="E778" s="48">
        <v>0.72916666666666696</v>
      </c>
      <c r="F778" s="48">
        <v>0.89583333333333304</v>
      </c>
      <c r="G778" s="49">
        <v>8.0000000000000036</v>
      </c>
      <c r="H778" s="49">
        <v>3.9999999999999822</v>
      </c>
      <c r="I778" s="49">
        <v>3.9999999999999822</v>
      </c>
      <c r="J778" s="53" t="s">
        <v>30</v>
      </c>
      <c r="K778" s="51" t="s">
        <v>282</v>
      </c>
      <c r="L778" s="102">
        <v>1</v>
      </c>
      <c r="M778" s="19" t="str">
        <f t="shared" si="25"/>
        <v>Sep_2017</v>
      </c>
    </row>
    <row r="779" spans="1:13">
      <c r="A779" s="45" t="s">
        <v>11</v>
      </c>
      <c r="B779" s="52" t="s">
        <v>161</v>
      </c>
      <c r="C779" s="46">
        <v>42979</v>
      </c>
      <c r="D779" s="47" t="s">
        <v>17</v>
      </c>
      <c r="E779" s="48">
        <v>0.72916666666666696</v>
      </c>
      <c r="F779" s="48">
        <v>0.89583333333333304</v>
      </c>
      <c r="G779" s="49">
        <v>8.0000000000000036</v>
      </c>
      <c r="H779" s="49">
        <v>3.9999999999999822</v>
      </c>
      <c r="I779" s="49">
        <v>3.9999999999999822</v>
      </c>
      <c r="J779" s="53" t="s">
        <v>30</v>
      </c>
      <c r="K779" s="51" t="s">
        <v>282</v>
      </c>
      <c r="L779" s="102">
        <v>1</v>
      </c>
      <c r="M779" s="19" t="str">
        <f t="shared" si="25"/>
        <v>Sep_2017</v>
      </c>
    </row>
    <row r="780" spans="1:13">
      <c r="A780" s="45" t="s">
        <v>22</v>
      </c>
      <c r="B780" s="52" t="s">
        <v>23</v>
      </c>
      <c r="C780" s="46">
        <v>42979</v>
      </c>
      <c r="D780" s="47" t="s">
        <v>17</v>
      </c>
      <c r="E780" s="48">
        <v>0.35416666666666702</v>
      </c>
      <c r="F780" s="48">
        <v>0.89583333333333304</v>
      </c>
      <c r="G780" s="49">
        <v>0</v>
      </c>
      <c r="H780" s="49">
        <v>11.999999999999986</v>
      </c>
      <c r="I780" s="49">
        <v>11.999999999999986</v>
      </c>
      <c r="J780" s="50" t="s">
        <v>30</v>
      </c>
      <c r="K780" s="51" t="s">
        <v>282</v>
      </c>
      <c r="L780" s="102" t="s">
        <v>281</v>
      </c>
      <c r="M780" s="19" t="str">
        <f t="shared" si="25"/>
        <v>Sep_2017</v>
      </c>
    </row>
    <row r="781" spans="1:13">
      <c r="A781" s="45" t="s">
        <v>22</v>
      </c>
      <c r="B781" s="52" t="s">
        <v>77</v>
      </c>
      <c r="C781" s="46">
        <v>42979</v>
      </c>
      <c r="D781" s="47" t="s">
        <v>17</v>
      </c>
      <c r="E781" s="48">
        <v>0.35416666666666702</v>
      </c>
      <c r="F781" s="48">
        <v>0.72916666666666696</v>
      </c>
      <c r="G781" s="49">
        <v>0</v>
      </c>
      <c r="H781" s="49">
        <v>7.9999999999999982</v>
      </c>
      <c r="I781" s="49">
        <v>7.9999999999999982</v>
      </c>
      <c r="J781" s="50" t="s">
        <v>30</v>
      </c>
      <c r="K781" s="51" t="s">
        <v>282</v>
      </c>
      <c r="L781" s="102" t="s">
        <v>281</v>
      </c>
      <c r="M781" s="19" t="str">
        <f t="shared" si="25"/>
        <v>Sep_2017</v>
      </c>
    </row>
    <row r="782" spans="1:13">
      <c r="A782" s="45" t="s">
        <v>22</v>
      </c>
      <c r="B782" s="52" t="s">
        <v>80</v>
      </c>
      <c r="C782" s="46">
        <v>42979</v>
      </c>
      <c r="D782" s="47" t="s">
        <v>17</v>
      </c>
      <c r="E782" s="48">
        <v>0.35416666666666702</v>
      </c>
      <c r="F782" s="48">
        <v>0.72916666666666696</v>
      </c>
      <c r="G782" s="49">
        <v>0</v>
      </c>
      <c r="H782" s="49">
        <v>7.9999999999999982</v>
      </c>
      <c r="I782" s="49">
        <v>7.9999999999999982</v>
      </c>
      <c r="J782" s="50" t="s">
        <v>30</v>
      </c>
      <c r="K782" s="51" t="s">
        <v>282</v>
      </c>
      <c r="L782" s="102" t="s">
        <v>281</v>
      </c>
      <c r="M782" s="19" t="str">
        <f t="shared" si="25"/>
        <v>Sep_2017</v>
      </c>
    </row>
    <row r="783" spans="1:13">
      <c r="A783" s="45" t="s">
        <v>22</v>
      </c>
      <c r="B783" s="52" t="s">
        <v>78</v>
      </c>
      <c r="C783" s="46">
        <v>42979</v>
      </c>
      <c r="D783" s="47" t="s">
        <v>17</v>
      </c>
      <c r="E783" s="48">
        <v>0.35416666666666702</v>
      </c>
      <c r="F783" s="48">
        <v>0.89583333333333304</v>
      </c>
      <c r="G783" s="49">
        <v>0</v>
      </c>
      <c r="H783" s="49">
        <v>11.999999999999986</v>
      </c>
      <c r="I783" s="49">
        <v>11.999999999999986</v>
      </c>
      <c r="J783" s="53" t="s">
        <v>30</v>
      </c>
      <c r="K783" s="51" t="s">
        <v>282</v>
      </c>
      <c r="L783" s="102" t="s">
        <v>281</v>
      </c>
      <c r="M783" s="19" t="str">
        <f t="shared" si="25"/>
        <v>Sep_2017</v>
      </c>
    </row>
    <row r="784" spans="1:13">
      <c r="A784" s="45" t="s">
        <v>11</v>
      </c>
      <c r="B784" s="52" t="s">
        <v>19</v>
      </c>
      <c r="C784" s="46">
        <v>42983</v>
      </c>
      <c r="D784" s="47" t="s">
        <v>14</v>
      </c>
      <c r="E784" s="48">
        <v>0.72916666666666696</v>
      </c>
      <c r="F784" s="48">
        <v>0.89583333333333304</v>
      </c>
      <c r="G784" s="49">
        <v>8.0000000000000036</v>
      </c>
      <c r="H784" s="49">
        <v>3.9999999999999822</v>
      </c>
      <c r="I784" s="49">
        <v>3.9999999999999822</v>
      </c>
      <c r="J784" s="50" t="s">
        <v>30</v>
      </c>
      <c r="K784" s="51" t="s">
        <v>283</v>
      </c>
      <c r="L784" s="102">
        <v>1</v>
      </c>
      <c r="M784" s="19" t="str">
        <f t="shared" si="25"/>
        <v>Sep_2017</v>
      </c>
    </row>
    <row r="785" spans="1:13">
      <c r="A785" s="45" t="s">
        <v>11</v>
      </c>
      <c r="B785" s="52" t="s">
        <v>26</v>
      </c>
      <c r="C785" s="46">
        <v>42983</v>
      </c>
      <c r="D785" s="47" t="s">
        <v>14</v>
      </c>
      <c r="E785" s="48">
        <v>0.72916666666666696</v>
      </c>
      <c r="F785" s="48">
        <v>0.89583333333333304</v>
      </c>
      <c r="G785" s="49">
        <v>8.0000000000000036</v>
      </c>
      <c r="H785" s="49">
        <v>3.9999999999999822</v>
      </c>
      <c r="I785" s="49">
        <v>3.9999999999999822</v>
      </c>
      <c r="J785" s="50" t="s">
        <v>30</v>
      </c>
      <c r="K785" s="51" t="s">
        <v>284</v>
      </c>
      <c r="L785" s="102">
        <v>1</v>
      </c>
      <c r="M785" s="19" t="str">
        <f t="shared" si="25"/>
        <v>Sep_2017</v>
      </c>
    </row>
    <row r="786" spans="1:13">
      <c r="A786" s="45" t="s">
        <v>11</v>
      </c>
      <c r="B786" s="52" t="s">
        <v>149</v>
      </c>
      <c r="C786" s="46">
        <v>42983</v>
      </c>
      <c r="D786" s="47" t="s">
        <v>14</v>
      </c>
      <c r="E786" s="48">
        <v>0.72916666666666696</v>
      </c>
      <c r="F786" s="48">
        <v>0.89583333333333304</v>
      </c>
      <c r="G786" s="49">
        <v>8.0000000000000036</v>
      </c>
      <c r="H786" s="49">
        <v>3.9999999999999822</v>
      </c>
      <c r="I786" s="49">
        <v>3.9999999999999822</v>
      </c>
      <c r="J786" s="50" t="s">
        <v>30</v>
      </c>
      <c r="K786" s="51" t="s">
        <v>284</v>
      </c>
      <c r="L786" s="102">
        <v>1</v>
      </c>
      <c r="M786" s="19" t="str">
        <f t="shared" si="25"/>
        <v>Sep_2017</v>
      </c>
    </row>
    <row r="787" spans="1:13">
      <c r="A787" s="45" t="s">
        <v>11</v>
      </c>
      <c r="B787" s="52" t="s">
        <v>161</v>
      </c>
      <c r="C787" s="46">
        <v>42983</v>
      </c>
      <c r="D787" s="47" t="s">
        <v>14</v>
      </c>
      <c r="E787" s="48">
        <v>0.72916666666666696</v>
      </c>
      <c r="F787" s="48">
        <v>0.89583333333333304</v>
      </c>
      <c r="G787" s="49">
        <v>8.0000000000000036</v>
      </c>
      <c r="H787" s="49">
        <v>3.9999999999999822</v>
      </c>
      <c r="I787" s="49">
        <v>3.9999999999999822</v>
      </c>
      <c r="J787" s="53" t="s">
        <v>30</v>
      </c>
      <c r="K787" s="51" t="s">
        <v>284</v>
      </c>
      <c r="L787" s="102">
        <v>1</v>
      </c>
      <c r="M787" s="19" t="str">
        <f t="shared" si="25"/>
        <v>Sep_2017</v>
      </c>
    </row>
    <row r="788" spans="1:13">
      <c r="A788" s="45" t="s">
        <v>22</v>
      </c>
      <c r="B788" s="52" t="s">
        <v>23</v>
      </c>
      <c r="C788" s="46">
        <v>42983</v>
      </c>
      <c r="D788" s="47" t="s">
        <v>14</v>
      </c>
      <c r="E788" s="48">
        <v>0.35416666666666702</v>
      </c>
      <c r="F788" s="48">
        <v>0.89583333333333304</v>
      </c>
      <c r="G788" s="49">
        <v>0</v>
      </c>
      <c r="H788" s="49">
        <v>11.999999999999986</v>
      </c>
      <c r="I788" s="49">
        <v>11.999999999999986</v>
      </c>
      <c r="J788" s="50" t="s">
        <v>30</v>
      </c>
      <c r="K788" s="51" t="s">
        <v>284</v>
      </c>
      <c r="L788" s="102" t="s">
        <v>281</v>
      </c>
      <c r="M788" s="19" t="str">
        <f t="shared" si="25"/>
        <v>Sep_2017</v>
      </c>
    </row>
    <row r="789" spans="1:13">
      <c r="A789" s="45" t="s">
        <v>22</v>
      </c>
      <c r="B789" s="52" t="s">
        <v>80</v>
      </c>
      <c r="C789" s="46">
        <v>42983</v>
      </c>
      <c r="D789" s="47" t="s">
        <v>14</v>
      </c>
      <c r="E789" s="48">
        <v>0.35416666666666702</v>
      </c>
      <c r="F789" s="48">
        <v>0.72916666666666696</v>
      </c>
      <c r="G789" s="49">
        <v>0</v>
      </c>
      <c r="H789" s="49">
        <v>7.9999999999999982</v>
      </c>
      <c r="I789" s="49">
        <v>7.9999999999999982</v>
      </c>
      <c r="J789" s="50" t="s">
        <v>30</v>
      </c>
      <c r="K789" s="51" t="s">
        <v>284</v>
      </c>
      <c r="L789" s="102" t="s">
        <v>281</v>
      </c>
      <c r="M789" s="19" t="str">
        <f t="shared" si="25"/>
        <v>Sep_2017</v>
      </c>
    </row>
    <row r="790" spans="1:13">
      <c r="A790" s="45" t="s">
        <v>22</v>
      </c>
      <c r="B790" s="52" t="s">
        <v>254</v>
      </c>
      <c r="C790" s="46">
        <v>42983</v>
      </c>
      <c r="D790" s="47" t="s">
        <v>14</v>
      </c>
      <c r="E790" s="48">
        <v>0.35416666666666702</v>
      </c>
      <c r="F790" s="48">
        <v>0.72916666666666696</v>
      </c>
      <c r="G790" s="49">
        <v>0</v>
      </c>
      <c r="H790" s="49">
        <v>7.9999999999999982</v>
      </c>
      <c r="I790" s="49">
        <v>7.9999999999999982</v>
      </c>
      <c r="J790" s="50" t="s">
        <v>30</v>
      </c>
      <c r="K790" s="51" t="s">
        <v>284</v>
      </c>
      <c r="L790" s="102" t="s">
        <v>281</v>
      </c>
      <c r="M790" s="19" t="str">
        <f t="shared" si="25"/>
        <v>Sep_2017</v>
      </c>
    </row>
    <row r="791" spans="1:13">
      <c r="A791" s="45" t="s">
        <v>22</v>
      </c>
      <c r="B791" s="52" t="s">
        <v>255</v>
      </c>
      <c r="C791" s="46">
        <v>42983</v>
      </c>
      <c r="D791" s="47" t="s">
        <v>14</v>
      </c>
      <c r="E791" s="48">
        <v>0.35416666666666702</v>
      </c>
      <c r="F791" s="48">
        <v>0.72916666666666696</v>
      </c>
      <c r="G791" s="49">
        <v>0</v>
      </c>
      <c r="H791" s="49">
        <v>7.9999999999999982</v>
      </c>
      <c r="I791" s="49">
        <v>7.9999999999999982</v>
      </c>
      <c r="J791" s="50" t="s">
        <v>30</v>
      </c>
      <c r="K791" s="51" t="s">
        <v>284</v>
      </c>
      <c r="L791" s="102" t="s">
        <v>281</v>
      </c>
      <c r="M791" s="19" t="str">
        <f t="shared" si="25"/>
        <v>Sep_2017</v>
      </c>
    </row>
    <row r="792" spans="1:13">
      <c r="A792" s="45" t="s">
        <v>11</v>
      </c>
      <c r="B792" s="52" t="s">
        <v>12</v>
      </c>
      <c r="C792" s="54">
        <v>42984</v>
      </c>
      <c r="D792" s="47" t="s">
        <v>15</v>
      </c>
      <c r="E792" s="48">
        <v>0.72916666666666696</v>
      </c>
      <c r="F792" s="48">
        <v>0.875</v>
      </c>
      <c r="G792" s="49">
        <v>8.0000000000000036</v>
      </c>
      <c r="H792" s="49">
        <v>3.4999999999999893</v>
      </c>
      <c r="I792" s="49">
        <v>3.4999999999999893</v>
      </c>
      <c r="J792" s="50" t="s">
        <v>30</v>
      </c>
      <c r="K792" s="51" t="s">
        <v>285</v>
      </c>
      <c r="L792" s="102">
        <v>1</v>
      </c>
      <c r="M792" s="19" t="str">
        <f t="shared" si="25"/>
        <v>Sep_2017</v>
      </c>
    </row>
    <row r="793" spans="1:13">
      <c r="A793" s="45" t="s">
        <v>11</v>
      </c>
      <c r="B793" s="52" t="s">
        <v>19</v>
      </c>
      <c r="C793" s="46">
        <v>42984</v>
      </c>
      <c r="D793" s="47" t="s">
        <v>15</v>
      </c>
      <c r="E793" s="48">
        <v>0.72916666666666696</v>
      </c>
      <c r="F793" s="48">
        <v>0.875</v>
      </c>
      <c r="G793" s="49">
        <v>8.0000000000000036</v>
      </c>
      <c r="H793" s="49">
        <v>3.4999999999999893</v>
      </c>
      <c r="I793" s="49">
        <v>3.4999999999999893</v>
      </c>
      <c r="J793" s="50" t="s">
        <v>30</v>
      </c>
      <c r="K793" s="51" t="s">
        <v>285</v>
      </c>
      <c r="L793" s="102">
        <v>1</v>
      </c>
      <c r="M793" s="19" t="str">
        <f t="shared" si="25"/>
        <v>Sep_2017</v>
      </c>
    </row>
    <row r="794" spans="1:13">
      <c r="A794" s="45" t="s">
        <v>11</v>
      </c>
      <c r="B794" s="52" t="s">
        <v>26</v>
      </c>
      <c r="C794" s="46">
        <v>42984</v>
      </c>
      <c r="D794" s="47" t="s">
        <v>15</v>
      </c>
      <c r="E794" s="48">
        <v>0.72916666666666696</v>
      </c>
      <c r="F794" s="48">
        <v>0.875</v>
      </c>
      <c r="G794" s="49">
        <v>8.0000000000000036</v>
      </c>
      <c r="H794" s="49">
        <v>3.4999999999999893</v>
      </c>
      <c r="I794" s="49">
        <v>3.4999999999999893</v>
      </c>
      <c r="J794" s="50" t="s">
        <v>30</v>
      </c>
      <c r="K794" s="51" t="s">
        <v>285</v>
      </c>
      <c r="L794" s="102">
        <v>1</v>
      </c>
      <c r="M794" s="19" t="str">
        <f t="shared" si="25"/>
        <v>Sep_2017</v>
      </c>
    </row>
    <row r="795" spans="1:13">
      <c r="A795" s="45" t="s">
        <v>11</v>
      </c>
      <c r="B795" s="52" t="s">
        <v>149</v>
      </c>
      <c r="C795" s="46">
        <v>42984</v>
      </c>
      <c r="D795" s="47" t="s">
        <v>15</v>
      </c>
      <c r="E795" s="48">
        <v>0.72916666666666696</v>
      </c>
      <c r="F795" s="48">
        <v>0.875</v>
      </c>
      <c r="G795" s="49">
        <v>8.0000000000000036</v>
      </c>
      <c r="H795" s="49">
        <v>3.4999999999999893</v>
      </c>
      <c r="I795" s="49">
        <v>3.4999999999999893</v>
      </c>
      <c r="J795" s="50" t="s">
        <v>30</v>
      </c>
      <c r="K795" s="51" t="s">
        <v>285</v>
      </c>
      <c r="L795" s="102">
        <v>1</v>
      </c>
      <c r="M795" s="19" t="str">
        <f t="shared" si="25"/>
        <v>Sep_2017</v>
      </c>
    </row>
    <row r="796" spans="1:13">
      <c r="A796" s="45" t="s">
        <v>11</v>
      </c>
      <c r="B796" s="52" t="s">
        <v>161</v>
      </c>
      <c r="C796" s="46">
        <v>42984</v>
      </c>
      <c r="D796" s="47" t="s">
        <v>15</v>
      </c>
      <c r="E796" s="48">
        <v>0.72916666666666696</v>
      </c>
      <c r="F796" s="48">
        <v>0.875</v>
      </c>
      <c r="G796" s="49">
        <v>8.0000000000000036</v>
      </c>
      <c r="H796" s="49">
        <v>3.4999999999999893</v>
      </c>
      <c r="I796" s="49">
        <v>3.4999999999999893</v>
      </c>
      <c r="J796" s="50" t="s">
        <v>30</v>
      </c>
      <c r="K796" s="51" t="s">
        <v>285</v>
      </c>
      <c r="L796" s="102">
        <v>1</v>
      </c>
      <c r="M796" s="19" t="str">
        <f t="shared" si="25"/>
        <v>Sep_2017</v>
      </c>
    </row>
    <row r="797" spans="1:13">
      <c r="A797" s="45" t="s">
        <v>22</v>
      </c>
      <c r="B797" s="52" t="s">
        <v>23</v>
      </c>
      <c r="C797" s="46">
        <v>42984</v>
      </c>
      <c r="D797" s="47" t="s">
        <v>15</v>
      </c>
      <c r="E797" s="48">
        <v>0.35416666666666702</v>
      </c>
      <c r="F797" s="48">
        <v>0.875</v>
      </c>
      <c r="G797" s="49">
        <v>0</v>
      </c>
      <c r="H797" s="49">
        <v>11.499999999999993</v>
      </c>
      <c r="I797" s="49">
        <v>11.499999999999993</v>
      </c>
      <c r="J797" s="50" t="s">
        <v>30</v>
      </c>
      <c r="K797" s="51" t="s">
        <v>285</v>
      </c>
      <c r="L797" s="102" t="s">
        <v>281</v>
      </c>
      <c r="M797" s="19" t="str">
        <f t="shared" si="25"/>
        <v>Sep_2017</v>
      </c>
    </row>
    <row r="798" spans="1:13">
      <c r="A798" s="45" t="s">
        <v>22</v>
      </c>
      <c r="B798" s="52" t="s">
        <v>77</v>
      </c>
      <c r="C798" s="46">
        <v>42984</v>
      </c>
      <c r="D798" s="47" t="s">
        <v>15</v>
      </c>
      <c r="E798" s="48">
        <v>0.77083333333333304</v>
      </c>
      <c r="F798" s="48">
        <v>0.875</v>
      </c>
      <c r="G798" s="49">
        <v>0</v>
      </c>
      <c r="H798" s="49">
        <v>2.5000000000000071</v>
      </c>
      <c r="I798" s="49">
        <v>2.5000000000000071</v>
      </c>
      <c r="J798" s="50" t="s">
        <v>30</v>
      </c>
      <c r="K798" s="51" t="s">
        <v>285</v>
      </c>
      <c r="L798" s="102" t="s">
        <v>281</v>
      </c>
      <c r="M798" s="19" t="str">
        <f t="shared" si="25"/>
        <v>Sep_2017</v>
      </c>
    </row>
    <row r="799" spans="1:13">
      <c r="A799" s="45" t="s">
        <v>22</v>
      </c>
      <c r="B799" s="52" t="s">
        <v>254</v>
      </c>
      <c r="C799" s="46">
        <v>42984</v>
      </c>
      <c r="D799" s="47" t="s">
        <v>15</v>
      </c>
      <c r="E799" s="48">
        <v>0.4375</v>
      </c>
      <c r="F799" s="48">
        <v>0.875</v>
      </c>
      <c r="G799" s="49">
        <v>0</v>
      </c>
      <c r="H799" s="49">
        <v>9.5</v>
      </c>
      <c r="I799" s="49">
        <v>9.5</v>
      </c>
      <c r="J799" s="50" t="s">
        <v>30</v>
      </c>
      <c r="K799" s="51" t="s">
        <v>285</v>
      </c>
      <c r="L799" s="102" t="s">
        <v>281</v>
      </c>
      <c r="M799" s="19" t="str">
        <f t="shared" si="25"/>
        <v>Sep_2017</v>
      </c>
    </row>
    <row r="800" spans="1:13">
      <c r="A800" s="45" t="s">
        <v>22</v>
      </c>
      <c r="B800" s="52" t="s">
        <v>23</v>
      </c>
      <c r="C800" s="46">
        <v>42985</v>
      </c>
      <c r="D800" s="47" t="s">
        <v>25</v>
      </c>
      <c r="E800" s="48">
        <v>0.35416666666666702</v>
      </c>
      <c r="F800" s="48">
        <v>0.72916666666666696</v>
      </c>
      <c r="G800" s="49">
        <v>0</v>
      </c>
      <c r="H800" s="49">
        <v>7.9999999999999982</v>
      </c>
      <c r="I800" s="49">
        <v>7.9999999999999982</v>
      </c>
      <c r="J800" s="50" t="s">
        <v>30</v>
      </c>
      <c r="K800" s="51" t="s">
        <v>286</v>
      </c>
      <c r="L800" s="102" t="s">
        <v>281</v>
      </c>
      <c r="M800" s="19" t="str">
        <f t="shared" si="25"/>
        <v>Sep_2017</v>
      </c>
    </row>
    <row r="801" spans="1:13">
      <c r="A801" s="45" t="s">
        <v>22</v>
      </c>
      <c r="B801" s="52" t="s">
        <v>23</v>
      </c>
      <c r="C801" s="46">
        <v>42986</v>
      </c>
      <c r="D801" s="47" t="s">
        <v>17</v>
      </c>
      <c r="E801" s="48">
        <v>0.35416666666666702</v>
      </c>
      <c r="F801" s="48">
        <v>0.72916666666666696</v>
      </c>
      <c r="G801" s="49">
        <v>0</v>
      </c>
      <c r="H801" s="49">
        <v>7.9999999999999982</v>
      </c>
      <c r="I801" s="49">
        <v>7.9999999999999982</v>
      </c>
      <c r="J801" s="50" t="s">
        <v>30</v>
      </c>
      <c r="K801" s="51" t="s">
        <v>287</v>
      </c>
      <c r="L801" s="102" t="s">
        <v>281</v>
      </c>
      <c r="M801" s="19" t="str">
        <f t="shared" si="25"/>
        <v>Sep_2017</v>
      </c>
    </row>
    <row r="802" spans="1:13">
      <c r="A802" s="45" t="s">
        <v>22</v>
      </c>
      <c r="B802" s="52" t="s">
        <v>23</v>
      </c>
      <c r="C802" s="46">
        <v>42989</v>
      </c>
      <c r="D802" s="47" t="s">
        <v>16</v>
      </c>
      <c r="E802" s="48">
        <v>0.35416666666666702</v>
      </c>
      <c r="F802" s="48">
        <v>0.72916666666666696</v>
      </c>
      <c r="G802" s="49">
        <v>0</v>
      </c>
      <c r="H802" s="49">
        <v>7.9999999999999982</v>
      </c>
      <c r="I802" s="49">
        <v>7.9999999999999982</v>
      </c>
      <c r="J802" s="50" t="s">
        <v>30</v>
      </c>
      <c r="K802" s="51" t="s">
        <v>288</v>
      </c>
      <c r="L802" s="102" t="s">
        <v>281</v>
      </c>
      <c r="M802" s="19" t="str">
        <f t="shared" si="25"/>
        <v>Sep_2017</v>
      </c>
    </row>
    <row r="803" spans="1:13">
      <c r="A803" s="45" t="s">
        <v>22</v>
      </c>
      <c r="B803" s="52" t="s">
        <v>23</v>
      </c>
      <c r="C803" s="46">
        <v>42990</v>
      </c>
      <c r="D803" s="47" t="s">
        <v>14</v>
      </c>
      <c r="E803" s="48">
        <v>0.35416666666666702</v>
      </c>
      <c r="F803" s="48">
        <v>0.72916666666666696</v>
      </c>
      <c r="G803" s="49">
        <v>0</v>
      </c>
      <c r="H803" s="49">
        <v>7.9999999999999982</v>
      </c>
      <c r="I803" s="49">
        <v>7.9999999999999982</v>
      </c>
      <c r="J803" s="50" t="s">
        <v>30</v>
      </c>
      <c r="K803" s="51" t="s">
        <v>289</v>
      </c>
      <c r="L803" s="102" t="s">
        <v>281</v>
      </c>
      <c r="M803" s="19" t="str">
        <f t="shared" si="25"/>
        <v>Sep_2017</v>
      </c>
    </row>
    <row r="804" spans="1:13">
      <c r="A804" s="45" t="s">
        <v>22</v>
      </c>
      <c r="B804" s="52" t="s">
        <v>23</v>
      </c>
      <c r="C804" s="46">
        <v>42991</v>
      </c>
      <c r="D804" s="47" t="s">
        <v>15</v>
      </c>
      <c r="E804" s="48">
        <v>0.35416666666666702</v>
      </c>
      <c r="F804" s="48">
        <v>0.72916666666666696</v>
      </c>
      <c r="G804" s="49">
        <v>0</v>
      </c>
      <c r="H804" s="49">
        <v>7.9999999999999982</v>
      </c>
      <c r="I804" s="49">
        <v>7.9999999999999982</v>
      </c>
      <c r="J804" s="50" t="s">
        <v>30</v>
      </c>
      <c r="K804" s="51" t="s">
        <v>290</v>
      </c>
      <c r="L804" s="102" t="s">
        <v>281</v>
      </c>
      <c r="M804" s="19" t="str">
        <f t="shared" si="25"/>
        <v>Sep_2017</v>
      </c>
    </row>
    <row r="805" spans="1:13">
      <c r="A805" s="45" t="s">
        <v>22</v>
      </c>
      <c r="B805" s="52" t="s">
        <v>23</v>
      </c>
      <c r="C805" s="46">
        <v>42992</v>
      </c>
      <c r="D805" s="47" t="s">
        <v>25</v>
      </c>
      <c r="E805" s="48">
        <v>0.35416666666666702</v>
      </c>
      <c r="F805" s="48">
        <v>0.72916666666666696</v>
      </c>
      <c r="G805" s="49">
        <v>0</v>
      </c>
      <c r="H805" s="49">
        <v>7.9999999999999982</v>
      </c>
      <c r="I805" s="49">
        <v>7.9999999999999982</v>
      </c>
      <c r="J805" s="50" t="s">
        <v>30</v>
      </c>
      <c r="K805" s="51" t="s">
        <v>291</v>
      </c>
      <c r="L805" s="102" t="s">
        <v>281</v>
      </c>
      <c r="M805" s="19" t="str">
        <f t="shared" si="25"/>
        <v>Sep_2017</v>
      </c>
    </row>
    <row r="806" spans="1:13">
      <c r="A806" s="45" t="s">
        <v>22</v>
      </c>
      <c r="B806" s="52" t="s">
        <v>23</v>
      </c>
      <c r="C806" s="46">
        <v>42993</v>
      </c>
      <c r="D806" s="47" t="s">
        <v>17</v>
      </c>
      <c r="E806" s="48">
        <v>0.35416666666666702</v>
      </c>
      <c r="F806" s="48">
        <v>0.72916666666666696</v>
      </c>
      <c r="G806" s="49">
        <v>0</v>
      </c>
      <c r="H806" s="49">
        <v>7.9999999999999982</v>
      </c>
      <c r="I806" s="49">
        <v>7.9999999999999982</v>
      </c>
      <c r="J806" s="50" t="s">
        <v>30</v>
      </c>
      <c r="K806" s="51" t="s">
        <v>292</v>
      </c>
      <c r="L806" s="102" t="s">
        <v>281</v>
      </c>
      <c r="M806" s="19" t="str">
        <f t="shared" si="25"/>
        <v>Sep_2017</v>
      </c>
    </row>
    <row r="807" spans="1:13">
      <c r="A807" s="45" t="s">
        <v>11</v>
      </c>
      <c r="B807" s="52" t="s">
        <v>12</v>
      </c>
      <c r="C807" s="54">
        <v>42996</v>
      </c>
      <c r="D807" s="47" t="s">
        <v>16</v>
      </c>
      <c r="E807" s="48">
        <v>0.72916666666666696</v>
      </c>
      <c r="F807" s="48">
        <v>0.86458333333333304</v>
      </c>
      <c r="G807" s="49">
        <v>8.0000000000000036</v>
      </c>
      <c r="H807" s="49">
        <v>3.2499999999999822</v>
      </c>
      <c r="I807" s="49">
        <v>3.2499999999999822</v>
      </c>
      <c r="J807" s="50" t="s">
        <v>30</v>
      </c>
      <c r="K807" s="51" t="s">
        <v>293</v>
      </c>
      <c r="L807" s="102">
        <v>1</v>
      </c>
      <c r="M807" s="19" t="str">
        <f t="shared" si="25"/>
        <v>Sep_2017</v>
      </c>
    </row>
    <row r="808" spans="1:13">
      <c r="A808" s="45" t="s">
        <v>11</v>
      </c>
      <c r="B808" s="52" t="s">
        <v>149</v>
      </c>
      <c r="C808" s="46">
        <v>42996</v>
      </c>
      <c r="D808" s="47" t="s">
        <v>16</v>
      </c>
      <c r="E808" s="48">
        <v>0.72916666666666696</v>
      </c>
      <c r="F808" s="48">
        <v>0.86458333333333304</v>
      </c>
      <c r="G808" s="49">
        <v>8.0000000000000036</v>
      </c>
      <c r="H808" s="49">
        <v>3.2499999999999822</v>
      </c>
      <c r="I808" s="49">
        <v>3.2499999999999822</v>
      </c>
      <c r="J808" s="50" t="s">
        <v>30</v>
      </c>
      <c r="K808" s="51" t="s">
        <v>293</v>
      </c>
      <c r="L808" s="102">
        <v>1</v>
      </c>
      <c r="M808" s="19" t="str">
        <f t="shared" si="25"/>
        <v>Sep_2017</v>
      </c>
    </row>
    <row r="809" spans="1:13">
      <c r="A809" s="45" t="s">
        <v>11</v>
      </c>
      <c r="B809" s="52" t="s">
        <v>161</v>
      </c>
      <c r="C809" s="46">
        <v>42996</v>
      </c>
      <c r="D809" s="47" t="s">
        <v>16</v>
      </c>
      <c r="E809" s="48">
        <v>0.72916666666666696</v>
      </c>
      <c r="F809" s="48">
        <v>0.86458333333333304</v>
      </c>
      <c r="G809" s="49">
        <v>8.0000000000000036</v>
      </c>
      <c r="H809" s="49">
        <v>3.2499999999999822</v>
      </c>
      <c r="I809" s="49">
        <v>3.2499999999999822</v>
      </c>
      <c r="J809" s="53" t="s">
        <v>30</v>
      </c>
      <c r="K809" s="51" t="s">
        <v>293</v>
      </c>
      <c r="L809" s="102">
        <v>1</v>
      </c>
      <c r="M809" s="19" t="str">
        <f t="shared" si="25"/>
        <v>Sep_2017</v>
      </c>
    </row>
    <row r="810" spans="1:13">
      <c r="A810" s="45" t="s">
        <v>22</v>
      </c>
      <c r="B810" s="52" t="s">
        <v>23</v>
      </c>
      <c r="C810" s="46">
        <v>42996</v>
      </c>
      <c r="D810" s="47" t="s">
        <v>16</v>
      </c>
      <c r="E810" s="48">
        <v>0.35416666666666702</v>
      </c>
      <c r="F810" s="48">
        <v>0.85416666666666696</v>
      </c>
      <c r="G810" s="49">
        <v>0</v>
      </c>
      <c r="H810" s="49">
        <v>10.999999999999998</v>
      </c>
      <c r="I810" s="49">
        <v>10.999999999999998</v>
      </c>
      <c r="J810" s="50" t="s">
        <v>30</v>
      </c>
      <c r="K810" s="51" t="s">
        <v>293</v>
      </c>
      <c r="L810" s="102" t="s">
        <v>281</v>
      </c>
      <c r="M810" s="19" t="str">
        <f t="shared" si="25"/>
        <v>Sep_2017</v>
      </c>
    </row>
    <row r="811" spans="1:13">
      <c r="A811" s="45" t="s">
        <v>22</v>
      </c>
      <c r="B811" s="52" t="s">
        <v>77</v>
      </c>
      <c r="C811" s="46">
        <v>42996</v>
      </c>
      <c r="D811" s="47" t="s">
        <v>16</v>
      </c>
      <c r="E811" s="48">
        <v>0.77083333333333304</v>
      </c>
      <c r="F811" s="48">
        <v>0.86458333333333304</v>
      </c>
      <c r="G811" s="49">
        <v>0</v>
      </c>
      <c r="H811" s="49">
        <v>2.25</v>
      </c>
      <c r="I811" s="49">
        <v>2.25</v>
      </c>
      <c r="J811" s="50" t="s">
        <v>30</v>
      </c>
      <c r="K811" s="51" t="s">
        <v>293</v>
      </c>
      <c r="L811" s="102" t="s">
        <v>281</v>
      </c>
      <c r="M811" s="19" t="str">
        <f t="shared" si="25"/>
        <v>Sep_2017</v>
      </c>
    </row>
    <row r="812" spans="1:13">
      <c r="A812" s="45" t="s">
        <v>11</v>
      </c>
      <c r="B812" s="52" t="s">
        <v>12</v>
      </c>
      <c r="C812" s="54">
        <v>42997</v>
      </c>
      <c r="D812" s="47" t="s">
        <v>14</v>
      </c>
      <c r="E812" s="48">
        <v>0.72916666666666696</v>
      </c>
      <c r="F812" s="48">
        <v>0.89583333333333304</v>
      </c>
      <c r="G812" s="49">
        <v>8.0000000000000036</v>
      </c>
      <c r="H812" s="49">
        <v>3.9999999999999822</v>
      </c>
      <c r="I812" s="49">
        <v>3.9999999999999822</v>
      </c>
      <c r="J812" s="53" t="s">
        <v>30</v>
      </c>
      <c r="K812" s="51" t="s">
        <v>294</v>
      </c>
      <c r="L812" s="102">
        <v>1</v>
      </c>
      <c r="M812" s="19" t="str">
        <f t="shared" si="25"/>
        <v>Sep_2017</v>
      </c>
    </row>
    <row r="813" spans="1:13">
      <c r="A813" s="45" t="s">
        <v>11</v>
      </c>
      <c r="B813" s="52" t="s">
        <v>19</v>
      </c>
      <c r="C813" s="46">
        <v>42997</v>
      </c>
      <c r="D813" s="47" t="s">
        <v>14</v>
      </c>
      <c r="E813" s="48">
        <v>0.72916666666666696</v>
      </c>
      <c r="F813" s="48">
        <v>0.89583333333333304</v>
      </c>
      <c r="G813" s="49">
        <v>8.0000000000000036</v>
      </c>
      <c r="H813" s="49">
        <v>3.9999999999999822</v>
      </c>
      <c r="I813" s="49">
        <v>3.9999999999999822</v>
      </c>
      <c r="J813" s="53" t="s">
        <v>30</v>
      </c>
      <c r="K813" s="51" t="s">
        <v>294</v>
      </c>
      <c r="L813" s="102">
        <v>1</v>
      </c>
      <c r="M813" s="19" t="str">
        <f t="shared" si="25"/>
        <v>Sep_2017</v>
      </c>
    </row>
    <row r="814" spans="1:13">
      <c r="A814" s="45" t="s">
        <v>11</v>
      </c>
      <c r="B814" s="52" t="s">
        <v>26</v>
      </c>
      <c r="C814" s="46">
        <v>42997</v>
      </c>
      <c r="D814" s="47" t="s">
        <v>14</v>
      </c>
      <c r="E814" s="48">
        <v>0.72916666666666696</v>
      </c>
      <c r="F814" s="48">
        <v>0.89583333333333304</v>
      </c>
      <c r="G814" s="49">
        <v>8.0000000000000036</v>
      </c>
      <c r="H814" s="49">
        <v>3.9999999999999822</v>
      </c>
      <c r="I814" s="49">
        <v>3.9999999999999822</v>
      </c>
      <c r="J814" s="53" t="s">
        <v>30</v>
      </c>
      <c r="K814" s="51" t="s">
        <v>294</v>
      </c>
      <c r="L814" s="102">
        <v>1</v>
      </c>
      <c r="M814" s="19" t="str">
        <f t="shared" si="25"/>
        <v>Sep_2017</v>
      </c>
    </row>
    <row r="815" spans="1:13">
      <c r="A815" s="45" t="s">
        <v>11</v>
      </c>
      <c r="B815" s="52" t="s">
        <v>149</v>
      </c>
      <c r="C815" s="46">
        <v>42997</v>
      </c>
      <c r="D815" s="47" t="s">
        <v>14</v>
      </c>
      <c r="E815" s="48">
        <v>0.72916666666666696</v>
      </c>
      <c r="F815" s="48">
        <v>0.89583333333333304</v>
      </c>
      <c r="G815" s="49">
        <v>8.0000000000000036</v>
      </c>
      <c r="H815" s="49">
        <v>3.9999999999999822</v>
      </c>
      <c r="I815" s="49">
        <v>3.9999999999999822</v>
      </c>
      <c r="J815" s="50" t="s">
        <v>30</v>
      </c>
      <c r="K815" s="51" t="s">
        <v>294</v>
      </c>
      <c r="L815" s="102">
        <v>1</v>
      </c>
      <c r="M815" s="19" t="str">
        <f t="shared" si="25"/>
        <v>Sep_2017</v>
      </c>
    </row>
    <row r="816" spans="1:13">
      <c r="A816" s="45" t="s">
        <v>11</v>
      </c>
      <c r="B816" s="52" t="s">
        <v>161</v>
      </c>
      <c r="C816" s="46">
        <v>42997</v>
      </c>
      <c r="D816" s="47" t="s">
        <v>14</v>
      </c>
      <c r="E816" s="48">
        <v>0.72916666666666696</v>
      </c>
      <c r="F816" s="48">
        <v>0.89583333333333304</v>
      </c>
      <c r="G816" s="49">
        <v>8.0000000000000036</v>
      </c>
      <c r="H816" s="49">
        <v>3.9999999999999822</v>
      </c>
      <c r="I816" s="49">
        <v>3.9999999999999822</v>
      </c>
      <c r="J816" s="53" t="s">
        <v>30</v>
      </c>
      <c r="K816" s="51" t="s">
        <v>294</v>
      </c>
      <c r="L816" s="102">
        <v>1</v>
      </c>
      <c r="M816" s="19" t="str">
        <f t="shared" si="25"/>
        <v>Sep_2017</v>
      </c>
    </row>
    <row r="817" spans="1:13">
      <c r="A817" s="45" t="s">
        <v>22</v>
      </c>
      <c r="B817" s="52" t="s">
        <v>23</v>
      </c>
      <c r="C817" s="46">
        <v>42997</v>
      </c>
      <c r="D817" s="47" t="s">
        <v>14</v>
      </c>
      <c r="E817" s="48">
        <v>0.35416666666666702</v>
      </c>
      <c r="F817" s="48">
        <v>0.89583333333333304</v>
      </c>
      <c r="G817" s="49">
        <v>0</v>
      </c>
      <c r="H817" s="49">
        <v>11.999999999999986</v>
      </c>
      <c r="I817" s="49">
        <v>11.999999999999986</v>
      </c>
      <c r="J817" s="53" t="s">
        <v>30</v>
      </c>
      <c r="K817" s="51" t="s">
        <v>294</v>
      </c>
      <c r="L817" s="102" t="s">
        <v>281</v>
      </c>
      <c r="M817" s="19" t="str">
        <f t="shared" si="25"/>
        <v>Sep_2017</v>
      </c>
    </row>
    <row r="818" spans="1:13">
      <c r="A818" s="45" t="s">
        <v>11</v>
      </c>
      <c r="B818" s="52" t="s">
        <v>12</v>
      </c>
      <c r="C818" s="54">
        <v>42998</v>
      </c>
      <c r="D818" s="47" t="s">
        <v>15</v>
      </c>
      <c r="E818" s="48">
        <v>0.72916666666666696</v>
      </c>
      <c r="F818" s="48">
        <v>0.89583333333333304</v>
      </c>
      <c r="G818" s="49">
        <v>8.0000000000000036</v>
      </c>
      <c r="H818" s="49">
        <v>3.9999999999999822</v>
      </c>
      <c r="I818" s="49">
        <v>3.9999999999999822</v>
      </c>
      <c r="J818" s="50" t="s">
        <v>30</v>
      </c>
      <c r="K818" s="51" t="s">
        <v>295</v>
      </c>
      <c r="L818" s="102">
        <v>1</v>
      </c>
      <c r="M818" s="19" t="str">
        <f t="shared" si="25"/>
        <v>Sep_2017</v>
      </c>
    </row>
    <row r="819" spans="1:13">
      <c r="A819" s="45" t="s">
        <v>11</v>
      </c>
      <c r="B819" s="52" t="s">
        <v>19</v>
      </c>
      <c r="C819" s="46">
        <v>42998</v>
      </c>
      <c r="D819" s="47" t="s">
        <v>15</v>
      </c>
      <c r="E819" s="48">
        <v>0.72916666666666696</v>
      </c>
      <c r="F819" s="48">
        <v>0.89583333333333304</v>
      </c>
      <c r="G819" s="49">
        <v>8.0000000000000036</v>
      </c>
      <c r="H819" s="49">
        <v>3.9999999999999822</v>
      </c>
      <c r="I819" s="49">
        <v>3.9999999999999822</v>
      </c>
      <c r="J819" s="50" t="s">
        <v>30</v>
      </c>
      <c r="K819" s="51" t="s">
        <v>295</v>
      </c>
      <c r="L819" s="102">
        <v>1</v>
      </c>
      <c r="M819" s="19" t="str">
        <f t="shared" si="25"/>
        <v>Sep_2017</v>
      </c>
    </row>
    <row r="820" spans="1:13">
      <c r="A820" s="45" t="s">
        <v>11</v>
      </c>
      <c r="B820" s="52" t="s">
        <v>149</v>
      </c>
      <c r="C820" s="46">
        <v>42998</v>
      </c>
      <c r="D820" s="47" t="s">
        <v>15</v>
      </c>
      <c r="E820" s="48">
        <v>0.72916666666666696</v>
      </c>
      <c r="F820" s="48">
        <v>0.89583333333333304</v>
      </c>
      <c r="G820" s="49">
        <v>8.0000000000000036</v>
      </c>
      <c r="H820" s="49">
        <v>3.9999999999999822</v>
      </c>
      <c r="I820" s="49">
        <v>3.9999999999999822</v>
      </c>
      <c r="J820" s="50" t="s">
        <v>30</v>
      </c>
      <c r="K820" s="51" t="s">
        <v>295</v>
      </c>
      <c r="L820" s="102">
        <v>1</v>
      </c>
      <c r="M820" s="19" t="str">
        <f t="shared" si="25"/>
        <v>Sep_2017</v>
      </c>
    </row>
    <row r="821" spans="1:13">
      <c r="A821" s="45" t="s">
        <v>11</v>
      </c>
      <c r="B821" s="52" t="s">
        <v>161</v>
      </c>
      <c r="C821" s="46">
        <v>42998</v>
      </c>
      <c r="D821" s="47" t="s">
        <v>15</v>
      </c>
      <c r="E821" s="48">
        <v>0.72916666666666696</v>
      </c>
      <c r="F821" s="48">
        <v>0.89583333333333304</v>
      </c>
      <c r="G821" s="49">
        <v>8.0000000000000036</v>
      </c>
      <c r="H821" s="49">
        <v>3.9999999999999822</v>
      </c>
      <c r="I821" s="49">
        <v>3.9999999999999822</v>
      </c>
      <c r="J821" s="53" t="s">
        <v>30</v>
      </c>
      <c r="K821" s="51" t="s">
        <v>295</v>
      </c>
      <c r="L821" s="102">
        <v>1</v>
      </c>
      <c r="M821" s="19" t="str">
        <f t="shared" si="25"/>
        <v>Sep_2017</v>
      </c>
    </row>
    <row r="822" spans="1:13">
      <c r="A822" s="45" t="s">
        <v>22</v>
      </c>
      <c r="B822" s="52" t="s">
        <v>23</v>
      </c>
      <c r="C822" s="46">
        <v>42998</v>
      </c>
      <c r="D822" s="47" t="s">
        <v>15</v>
      </c>
      <c r="E822" s="48">
        <v>0.35416666666666702</v>
      </c>
      <c r="F822" s="48">
        <v>0.72916666666666696</v>
      </c>
      <c r="G822" s="49">
        <v>0</v>
      </c>
      <c r="H822" s="49">
        <v>7.9999999999999982</v>
      </c>
      <c r="I822" s="49">
        <v>7.9999999999999982</v>
      </c>
      <c r="J822" s="50" t="s">
        <v>30</v>
      </c>
      <c r="K822" s="51" t="s">
        <v>295</v>
      </c>
      <c r="L822" s="102" t="s">
        <v>281</v>
      </c>
      <c r="M822" s="19" t="str">
        <f t="shared" si="25"/>
        <v>Sep_2017</v>
      </c>
    </row>
    <row r="823" spans="1:13">
      <c r="A823" s="45" t="s">
        <v>22</v>
      </c>
      <c r="B823" s="52" t="s">
        <v>254</v>
      </c>
      <c r="C823" s="46">
        <v>42998</v>
      </c>
      <c r="D823" s="47" t="s">
        <v>15</v>
      </c>
      <c r="E823" s="48">
        <v>0.4375</v>
      </c>
      <c r="F823" s="48">
        <v>0.89583333333333304</v>
      </c>
      <c r="G823" s="49">
        <v>0</v>
      </c>
      <c r="H823" s="49">
        <v>9.9999999999999929</v>
      </c>
      <c r="I823" s="49">
        <v>9.9999999999999929</v>
      </c>
      <c r="J823" s="50" t="s">
        <v>30</v>
      </c>
      <c r="K823" s="51" t="s">
        <v>295</v>
      </c>
      <c r="L823" s="102" t="s">
        <v>281</v>
      </c>
      <c r="M823" s="19" t="str">
        <f t="shared" si="25"/>
        <v>Sep_2017</v>
      </c>
    </row>
    <row r="824" spans="1:13">
      <c r="A824" s="45" t="s">
        <v>22</v>
      </c>
      <c r="B824" s="52" t="s">
        <v>23</v>
      </c>
      <c r="C824" s="46">
        <v>42999</v>
      </c>
      <c r="D824" s="47" t="s">
        <v>25</v>
      </c>
      <c r="E824" s="48">
        <v>0.35416666666666702</v>
      </c>
      <c r="F824" s="48">
        <v>0.72916666666666696</v>
      </c>
      <c r="G824" s="49">
        <v>0</v>
      </c>
      <c r="H824" s="49">
        <v>7.9999999999999982</v>
      </c>
      <c r="I824" s="49">
        <v>7.9999999999999982</v>
      </c>
      <c r="J824" s="50" t="s">
        <v>30</v>
      </c>
      <c r="K824" s="51" t="s">
        <v>296</v>
      </c>
      <c r="L824" s="102" t="s">
        <v>281</v>
      </c>
      <c r="M824" s="19" t="str">
        <f t="shared" si="25"/>
        <v>Sep_2017</v>
      </c>
    </row>
    <row r="825" spans="1:13">
      <c r="A825" s="45" t="s">
        <v>22</v>
      </c>
      <c r="B825" s="52" t="s">
        <v>23</v>
      </c>
      <c r="C825" s="46">
        <v>43000</v>
      </c>
      <c r="D825" s="47" t="s">
        <v>17</v>
      </c>
      <c r="E825" s="48">
        <v>0.35416666666666702</v>
      </c>
      <c r="F825" s="48">
        <v>0.72916666666666696</v>
      </c>
      <c r="G825" s="49">
        <v>0</v>
      </c>
      <c r="H825" s="49">
        <v>7.9999999999999982</v>
      </c>
      <c r="I825" s="49">
        <v>7.9999999999999982</v>
      </c>
      <c r="J825" s="50" t="s">
        <v>30</v>
      </c>
      <c r="K825" s="51" t="s">
        <v>297</v>
      </c>
      <c r="L825" s="102" t="s">
        <v>281</v>
      </c>
      <c r="M825" s="19" t="str">
        <f t="shared" si="25"/>
        <v>Sep_2017</v>
      </c>
    </row>
    <row r="826" spans="1:13">
      <c r="A826" s="45" t="s">
        <v>11</v>
      </c>
      <c r="B826" s="52" t="s">
        <v>12</v>
      </c>
      <c r="C826" s="54">
        <v>43001</v>
      </c>
      <c r="D826" s="47" t="s">
        <v>24</v>
      </c>
      <c r="E826" s="48">
        <v>0.33333333333333298</v>
      </c>
      <c r="F826" s="48">
        <v>0.60416666666666696</v>
      </c>
      <c r="G826" s="49">
        <v>5.500000000000016</v>
      </c>
      <c r="H826" s="49">
        <v>0</v>
      </c>
      <c r="I826" s="49">
        <v>5.500000000000016</v>
      </c>
      <c r="J826" s="68" t="s">
        <v>52</v>
      </c>
      <c r="K826" s="51" t="s">
        <v>298</v>
      </c>
      <c r="L826" s="102" t="s">
        <v>281</v>
      </c>
      <c r="M826" s="19" t="str">
        <f t="shared" si="25"/>
        <v>Sep_2017</v>
      </c>
    </row>
    <row r="827" spans="1:13">
      <c r="A827" s="45" t="s">
        <v>11</v>
      </c>
      <c r="B827" s="52" t="s">
        <v>19</v>
      </c>
      <c r="C827" s="46">
        <v>43001</v>
      </c>
      <c r="D827" s="47" t="s">
        <v>24</v>
      </c>
      <c r="E827" s="48">
        <v>0.35416666666666702</v>
      </c>
      <c r="F827" s="48">
        <v>0.60416666666666696</v>
      </c>
      <c r="G827" s="49">
        <v>4.9999999999999982</v>
      </c>
      <c r="H827" s="49">
        <v>0</v>
      </c>
      <c r="I827" s="49">
        <v>4.9999999999999982</v>
      </c>
      <c r="J827" s="68" t="s">
        <v>52</v>
      </c>
      <c r="K827" s="51" t="s">
        <v>298</v>
      </c>
      <c r="L827" s="102" t="s">
        <v>281</v>
      </c>
      <c r="M827" s="19" t="str">
        <f t="shared" si="25"/>
        <v>Sep_2017</v>
      </c>
    </row>
    <row r="828" spans="1:13">
      <c r="A828" s="45" t="s">
        <v>11</v>
      </c>
      <c r="B828" s="52" t="s">
        <v>26</v>
      </c>
      <c r="C828" s="46">
        <v>43001</v>
      </c>
      <c r="D828" s="47" t="s">
        <v>24</v>
      </c>
      <c r="E828" s="48">
        <v>0.33333333333333298</v>
      </c>
      <c r="F828" s="48">
        <v>0.60416666666666696</v>
      </c>
      <c r="G828" s="49">
        <v>5.500000000000016</v>
      </c>
      <c r="H828" s="49">
        <v>0</v>
      </c>
      <c r="I828" s="49">
        <v>5.500000000000016</v>
      </c>
      <c r="J828" s="68" t="s">
        <v>52</v>
      </c>
      <c r="K828" s="51" t="s">
        <v>298</v>
      </c>
      <c r="L828" s="102" t="s">
        <v>281</v>
      </c>
      <c r="M828" s="19" t="str">
        <f t="shared" si="25"/>
        <v>Sep_2017</v>
      </c>
    </row>
    <row r="829" spans="1:13">
      <c r="A829" s="45" t="s">
        <v>11</v>
      </c>
      <c r="B829" s="52" t="s">
        <v>149</v>
      </c>
      <c r="C829" s="46">
        <v>43001</v>
      </c>
      <c r="D829" s="47" t="s">
        <v>24</v>
      </c>
      <c r="E829" s="48">
        <v>0.33333333333333298</v>
      </c>
      <c r="F829" s="48">
        <v>0.60416666666666696</v>
      </c>
      <c r="G829" s="49">
        <v>5.500000000000016</v>
      </c>
      <c r="H829" s="49">
        <v>0</v>
      </c>
      <c r="I829" s="49">
        <v>5.500000000000016</v>
      </c>
      <c r="J829" s="68" t="s">
        <v>52</v>
      </c>
      <c r="K829" s="51" t="s">
        <v>298</v>
      </c>
      <c r="L829" s="102" t="s">
        <v>281</v>
      </c>
      <c r="M829" s="19" t="str">
        <f t="shared" si="25"/>
        <v>Sep_2017</v>
      </c>
    </row>
    <row r="830" spans="1:13">
      <c r="A830" s="45" t="s">
        <v>11</v>
      </c>
      <c r="B830" s="52" t="s">
        <v>161</v>
      </c>
      <c r="C830" s="46">
        <v>43001</v>
      </c>
      <c r="D830" s="47" t="s">
        <v>24</v>
      </c>
      <c r="E830" s="48">
        <v>0.33333333333333298</v>
      </c>
      <c r="F830" s="48">
        <v>0.60416666666666696</v>
      </c>
      <c r="G830" s="49">
        <v>5.500000000000016</v>
      </c>
      <c r="H830" s="49">
        <v>0</v>
      </c>
      <c r="I830" s="49">
        <v>5.500000000000016</v>
      </c>
      <c r="J830" s="68" t="s">
        <v>52</v>
      </c>
      <c r="K830" s="51" t="s">
        <v>298</v>
      </c>
      <c r="L830" s="102" t="s">
        <v>281</v>
      </c>
      <c r="M830" s="19" t="str">
        <f t="shared" si="25"/>
        <v>Sep_2017</v>
      </c>
    </row>
    <row r="831" spans="1:13">
      <c r="A831" s="45" t="s">
        <v>22</v>
      </c>
      <c r="B831" s="52" t="s">
        <v>23</v>
      </c>
      <c r="C831" s="46">
        <v>43001</v>
      </c>
      <c r="D831" s="47" t="s">
        <v>24</v>
      </c>
      <c r="E831" s="48">
        <v>0.33333333333333298</v>
      </c>
      <c r="F831" s="48">
        <v>0.60416666666666696</v>
      </c>
      <c r="G831" s="49">
        <v>0</v>
      </c>
      <c r="H831" s="49">
        <v>5.500000000000016</v>
      </c>
      <c r="I831" s="49">
        <v>5.500000000000016</v>
      </c>
      <c r="J831" s="50" t="s">
        <v>52</v>
      </c>
      <c r="K831" s="51" t="s">
        <v>298</v>
      </c>
      <c r="L831" s="102" t="s">
        <v>281</v>
      </c>
      <c r="M831" s="19" t="str">
        <f t="shared" si="25"/>
        <v>Sep_2017</v>
      </c>
    </row>
    <row r="832" spans="1:13">
      <c r="A832" s="45" t="s">
        <v>22</v>
      </c>
      <c r="B832" s="52" t="s">
        <v>23</v>
      </c>
      <c r="C832" s="46">
        <v>43003</v>
      </c>
      <c r="D832" s="47" t="s">
        <v>16</v>
      </c>
      <c r="E832" s="48">
        <v>0.54166666666666696</v>
      </c>
      <c r="F832" s="48">
        <v>0.72916666666666696</v>
      </c>
      <c r="G832" s="49">
        <v>0</v>
      </c>
      <c r="H832" s="49">
        <v>4.5</v>
      </c>
      <c r="I832" s="49">
        <v>4.5</v>
      </c>
      <c r="J832" s="50" t="s">
        <v>30</v>
      </c>
      <c r="K832" s="51" t="s">
        <v>299</v>
      </c>
      <c r="L832" s="102" t="s">
        <v>281</v>
      </c>
      <c r="M832" s="19" t="str">
        <f t="shared" si="25"/>
        <v>Sep_2017</v>
      </c>
    </row>
    <row r="833" spans="1:13">
      <c r="A833" s="45" t="s">
        <v>11</v>
      </c>
      <c r="B833" s="52" t="s">
        <v>12</v>
      </c>
      <c r="C833" s="54">
        <v>43004</v>
      </c>
      <c r="D833" s="47" t="s">
        <v>14</v>
      </c>
      <c r="E833" s="48">
        <v>0.70833333333333304</v>
      </c>
      <c r="F833" s="48">
        <v>0.875</v>
      </c>
      <c r="G833" s="49">
        <v>8.0000000000000036</v>
      </c>
      <c r="H833" s="49">
        <v>4.0000000000000036</v>
      </c>
      <c r="I833" s="49">
        <v>4.0000000000000036</v>
      </c>
      <c r="J833" s="53" t="s">
        <v>30</v>
      </c>
      <c r="K833" s="51" t="s">
        <v>300</v>
      </c>
      <c r="L833" s="102">
        <v>1</v>
      </c>
      <c r="M833" s="19" t="str">
        <f t="shared" si="25"/>
        <v>Sep_2017</v>
      </c>
    </row>
    <row r="834" spans="1:13">
      <c r="A834" s="45" t="s">
        <v>11</v>
      </c>
      <c r="B834" s="52" t="s">
        <v>19</v>
      </c>
      <c r="C834" s="46">
        <v>43004</v>
      </c>
      <c r="D834" s="47" t="s">
        <v>14</v>
      </c>
      <c r="E834" s="48">
        <v>0.70833333333333304</v>
      </c>
      <c r="F834" s="48">
        <v>0.875</v>
      </c>
      <c r="G834" s="49">
        <v>8.0000000000000036</v>
      </c>
      <c r="H834" s="49">
        <v>4.0000000000000036</v>
      </c>
      <c r="I834" s="49">
        <v>4.0000000000000036</v>
      </c>
      <c r="J834" s="50" t="s">
        <v>30</v>
      </c>
      <c r="K834" s="51" t="s">
        <v>300</v>
      </c>
      <c r="L834" s="102">
        <v>1</v>
      </c>
      <c r="M834" s="19" t="str">
        <f t="shared" si="25"/>
        <v>Sep_2017</v>
      </c>
    </row>
    <row r="835" spans="1:13">
      <c r="A835" s="45" t="s">
        <v>11</v>
      </c>
      <c r="B835" s="52" t="s">
        <v>149</v>
      </c>
      <c r="C835" s="46">
        <v>43004</v>
      </c>
      <c r="D835" s="47" t="s">
        <v>14</v>
      </c>
      <c r="E835" s="48">
        <v>0.70833333333333304</v>
      </c>
      <c r="F835" s="48">
        <v>0.875</v>
      </c>
      <c r="G835" s="49">
        <v>8.0000000000000036</v>
      </c>
      <c r="H835" s="49">
        <v>4.0000000000000036</v>
      </c>
      <c r="I835" s="49">
        <v>4.0000000000000036</v>
      </c>
      <c r="J835" s="53" t="s">
        <v>30</v>
      </c>
      <c r="K835" s="51" t="s">
        <v>300</v>
      </c>
      <c r="L835" s="102">
        <v>1</v>
      </c>
      <c r="M835" s="19" t="str">
        <f t="shared" si="25"/>
        <v>Sep_2017</v>
      </c>
    </row>
    <row r="836" spans="1:13">
      <c r="A836" s="45" t="s">
        <v>11</v>
      </c>
      <c r="B836" s="52" t="s">
        <v>161</v>
      </c>
      <c r="C836" s="46">
        <v>43004</v>
      </c>
      <c r="D836" s="47" t="s">
        <v>14</v>
      </c>
      <c r="E836" s="48">
        <v>0.70833333333333304</v>
      </c>
      <c r="F836" s="48">
        <v>0.875</v>
      </c>
      <c r="G836" s="49">
        <v>8.0000000000000036</v>
      </c>
      <c r="H836" s="49">
        <v>4.0000000000000036</v>
      </c>
      <c r="I836" s="49">
        <v>4.0000000000000036</v>
      </c>
      <c r="J836" s="53" t="s">
        <v>30</v>
      </c>
      <c r="K836" s="51" t="s">
        <v>300</v>
      </c>
      <c r="L836" s="102">
        <v>1</v>
      </c>
      <c r="M836" s="19" t="str">
        <f t="shared" si="25"/>
        <v>Sep_2017</v>
      </c>
    </row>
    <row r="837" spans="1:13">
      <c r="A837" s="45" t="s">
        <v>22</v>
      </c>
      <c r="B837" s="52" t="s">
        <v>23</v>
      </c>
      <c r="C837" s="46">
        <v>43004</v>
      </c>
      <c r="D837" s="47" t="s">
        <v>14</v>
      </c>
      <c r="E837" s="48">
        <v>0.33333333333333298</v>
      </c>
      <c r="F837" s="48">
        <v>0.875</v>
      </c>
      <c r="G837" s="49">
        <v>0</v>
      </c>
      <c r="H837" s="49">
        <v>12.000000000000007</v>
      </c>
      <c r="I837" s="49">
        <v>12.000000000000007</v>
      </c>
      <c r="J837" s="50" t="s">
        <v>30</v>
      </c>
      <c r="K837" s="51" t="s">
        <v>300</v>
      </c>
      <c r="L837" s="102" t="s">
        <v>281</v>
      </c>
      <c r="M837" s="19" t="str">
        <f t="shared" si="25"/>
        <v>Sep_2017</v>
      </c>
    </row>
    <row r="838" spans="1:13">
      <c r="A838" s="45" t="s">
        <v>22</v>
      </c>
      <c r="B838" s="52" t="s">
        <v>80</v>
      </c>
      <c r="C838" s="46">
        <v>43004</v>
      </c>
      <c r="D838" s="47" t="s">
        <v>14</v>
      </c>
      <c r="E838" s="48">
        <v>0.33333333333333298</v>
      </c>
      <c r="F838" s="48">
        <v>0.875</v>
      </c>
      <c r="G838" s="49">
        <v>0</v>
      </c>
      <c r="H838" s="49">
        <v>12.000000000000007</v>
      </c>
      <c r="I838" s="49">
        <v>12.000000000000007</v>
      </c>
      <c r="J838" s="50" t="s">
        <v>30</v>
      </c>
      <c r="K838" s="51" t="s">
        <v>300</v>
      </c>
      <c r="L838" s="102" t="s">
        <v>281</v>
      </c>
      <c r="M838" s="19" t="str">
        <f t="shared" si="25"/>
        <v>Sep_2017</v>
      </c>
    </row>
    <row r="839" spans="1:13">
      <c r="A839" s="45" t="s">
        <v>22</v>
      </c>
      <c r="B839" s="52" t="s">
        <v>254</v>
      </c>
      <c r="C839" s="46">
        <v>43004</v>
      </c>
      <c r="D839" s="47" t="s">
        <v>14</v>
      </c>
      <c r="E839" s="48">
        <v>0.33333333333333298</v>
      </c>
      <c r="F839" s="48">
        <v>0.875</v>
      </c>
      <c r="G839" s="49">
        <v>0</v>
      </c>
      <c r="H839" s="49">
        <v>12.000000000000007</v>
      </c>
      <c r="I839" s="49">
        <v>12.000000000000007</v>
      </c>
      <c r="J839" s="53" t="s">
        <v>30</v>
      </c>
      <c r="K839" s="51" t="s">
        <v>300</v>
      </c>
      <c r="L839" s="102" t="s">
        <v>281</v>
      </c>
      <c r="M839" s="19" t="str">
        <f t="shared" si="25"/>
        <v>Sep_2017</v>
      </c>
    </row>
    <row r="840" spans="1:13">
      <c r="A840" s="45" t="s">
        <v>11</v>
      </c>
      <c r="B840" s="52" t="s">
        <v>12</v>
      </c>
      <c r="C840" s="54">
        <v>43005</v>
      </c>
      <c r="D840" s="47" t="s">
        <v>15</v>
      </c>
      <c r="E840" s="48">
        <v>0.70833333333333304</v>
      </c>
      <c r="F840" s="48">
        <v>0.875</v>
      </c>
      <c r="G840" s="49">
        <v>8.0000000000000036</v>
      </c>
      <c r="H840" s="49">
        <v>4.0000000000000036</v>
      </c>
      <c r="I840" s="49">
        <v>4.0000000000000036</v>
      </c>
      <c r="J840" s="53" t="s">
        <v>30</v>
      </c>
      <c r="K840" s="51" t="s">
        <v>301</v>
      </c>
      <c r="L840" s="102">
        <v>1</v>
      </c>
      <c r="M840" s="19" t="str">
        <f t="shared" ref="M840:M872" si="26">IF($C840="","",TEXT(DATE(YEAR($C840),MONTH($C840),DAY($C840)),"MMM")&amp;"_"&amp;YEAR($C840))</f>
        <v>Sep_2017</v>
      </c>
    </row>
    <row r="841" spans="1:13">
      <c r="A841" s="45" t="s">
        <v>11</v>
      </c>
      <c r="B841" s="52" t="s">
        <v>19</v>
      </c>
      <c r="C841" s="46">
        <v>43005</v>
      </c>
      <c r="D841" s="47" t="s">
        <v>15</v>
      </c>
      <c r="E841" s="48">
        <v>0.70833333333333304</v>
      </c>
      <c r="F841" s="48">
        <v>0.875</v>
      </c>
      <c r="G841" s="49">
        <v>8.0000000000000036</v>
      </c>
      <c r="H841" s="49">
        <v>4.0000000000000036</v>
      </c>
      <c r="I841" s="49">
        <v>4.0000000000000036</v>
      </c>
      <c r="J841" s="53" t="s">
        <v>30</v>
      </c>
      <c r="K841" s="51" t="s">
        <v>302</v>
      </c>
      <c r="L841" s="102">
        <v>1</v>
      </c>
      <c r="M841" s="19" t="str">
        <f t="shared" si="26"/>
        <v>Sep_2017</v>
      </c>
    </row>
    <row r="842" spans="1:13">
      <c r="A842" s="45" t="s">
        <v>11</v>
      </c>
      <c r="B842" s="52" t="s">
        <v>26</v>
      </c>
      <c r="C842" s="46">
        <v>43005</v>
      </c>
      <c r="D842" s="47" t="s">
        <v>15</v>
      </c>
      <c r="E842" s="48">
        <v>0.70833333333333304</v>
      </c>
      <c r="F842" s="48">
        <v>0.875</v>
      </c>
      <c r="G842" s="49">
        <v>8.0000000000000036</v>
      </c>
      <c r="H842" s="49">
        <v>4.0000000000000036</v>
      </c>
      <c r="I842" s="49">
        <v>4.0000000000000036</v>
      </c>
      <c r="J842" s="50" t="s">
        <v>30</v>
      </c>
      <c r="K842" s="51" t="s">
        <v>302</v>
      </c>
      <c r="L842" s="102">
        <v>1</v>
      </c>
      <c r="M842" s="19" t="str">
        <f t="shared" si="26"/>
        <v>Sep_2017</v>
      </c>
    </row>
    <row r="843" spans="1:13">
      <c r="A843" s="45" t="s">
        <v>11</v>
      </c>
      <c r="B843" s="52" t="s">
        <v>149</v>
      </c>
      <c r="C843" s="46">
        <v>43005</v>
      </c>
      <c r="D843" s="47" t="s">
        <v>15</v>
      </c>
      <c r="E843" s="48">
        <v>0.70833333333333304</v>
      </c>
      <c r="F843" s="48">
        <v>0.875</v>
      </c>
      <c r="G843" s="49">
        <v>8.0000000000000036</v>
      </c>
      <c r="H843" s="49">
        <v>4.0000000000000036</v>
      </c>
      <c r="I843" s="49">
        <v>4.0000000000000036</v>
      </c>
      <c r="J843" s="53" t="s">
        <v>30</v>
      </c>
      <c r="K843" s="51" t="s">
        <v>302</v>
      </c>
      <c r="L843" s="102">
        <v>1</v>
      </c>
      <c r="M843" s="19" t="str">
        <f t="shared" si="26"/>
        <v>Sep_2017</v>
      </c>
    </row>
    <row r="844" spans="1:13">
      <c r="A844" s="45" t="s">
        <v>11</v>
      </c>
      <c r="B844" s="52" t="s">
        <v>161</v>
      </c>
      <c r="C844" s="46">
        <v>43005</v>
      </c>
      <c r="D844" s="47" t="s">
        <v>15</v>
      </c>
      <c r="E844" s="48">
        <v>0.70833333333333304</v>
      </c>
      <c r="F844" s="48">
        <v>0.875</v>
      </c>
      <c r="G844" s="49">
        <v>8.0000000000000036</v>
      </c>
      <c r="H844" s="49">
        <v>4.0000000000000036</v>
      </c>
      <c r="I844" s="49">
        <v>4.0000000000000036</v>
      </c>
      <c r="J844" s="53" t="s">
        <v>30</v>
      </c>
      <c r="K844" s="51" t="s">
        <v>302</v>
      </c>
      <c r="L844" s="102">
        <v>1</v>
      </c>
      <c r="M844" s="19" t="str">
        <f t="shared" si="26"/>
        <v>Sep_2017</v>
      </c>
    </row>
    <row r="845" spans="1:13">
      <c r="A845" s="45" t="s">
        <v>22</v>
      </c>
      <c r="B845" s="52" t="s">
        <v>23</v>
      </c>
      <c r="C845" s="46">
        <v>43005</v>
      </c>
      <c r="D845" s="47" t="s">
        <v>15</v>
      </c>
      <c r="E845" s="48">
        <v>0.33333333333333298</v>
      </c>
      <c r="F845" s="48">
        <v>0.875</v>
      </c>
      <c r="G845" s="49">
        <v>0</v>
      </c>
      <c r="H845" s="49">
        <v>12.000000000000007</v>
      </c>
      <c r="I845" s="49">
        <v>12.000000000000007</v>
      </c>
      <c r="J845" s="53" t="s">
        <v>30</v>
      </c>
      <c r="K845" s="51" t="s">
        <v>302</v>
      </c>
      <c r="L845" s="102" t="s">
        <v>281</v>
      </c>
      <c r="M845" s="19" t="str">
        <f t="shared" si="26"/>
        <v>Sep_2017</v>
      </c>
    </row>
    <row r="846" spans="1:13">
      <c r="A846" s="45" t="s">
        <v>22</v>
      </c>
      <c r="B846" s="52" t="s">
        <v>254</v>
      </c>
      <c r="C846" s="46">
        <v>43005</v>
      </c>
      <c r="D846" s="47" t="s">
        <v>15</v>
      </c>
      <c r="E846" s="48">
        <v>0.33333333333333298</v>
      </c>
      <c r="F846" s="48">
        <v>0.875</v>
      </c>
      <c r="G846" s="49">
        <v>0</v>
      </c>
      <c r="H846" s="49">
        <v>12.000000000000007</v>
      </c>
      <c r="I846" s="49">
        <v>12.000000000000007</v>
      </c>
      <c r="J846" s="53" t="s">
        <v>30</v>
      </c>
      <c r="K846" s="51" t="s">
        <v>302</v>
      </c>
      <c r="L846" s="102" t="s">
        <v>281</v>
      </c>
      <c r="M846" s="19" t="str">
        <f t="shared" si="26"/>
        <v>Sep_2017</v>
      </c>
    </row>
    <row r="847" spans="1:13">
      <c r="A847" s="45" t="s">
        <v>22</v>
      </c>
      <c r="B847" s="52" t="s">
        <v>255</v>
      </c>
      <c r="C847" s="46">
        <v>43005</v>
      </c>
      <c r="D847" s="47" t="s">
        <v>15</v>
      </c>
      <c r="E847" s="48">
        <v>0.33333333333333298</v>
      </c>
      <c r="F847" s="48">
        <v>0.70833333333333304</v>
      </c>
      <c r="G847" s="49">
        <v>0</v>
      </c>
      <c r="H847" s="49">
        <v>8.0000000000000018</v>
      </c>
      <c r="I847" s="49">
        <v>8.0000000000000018</v>
      </c>
      <c r="J847" s="50" t="s">
        <v>30</v>
      </c>
      <c r="K847" s="51" t="s">
        <v>302</v>
      </c>
      <c r="L847" s="102" t="s">
        <v>281</v>
      </c>
      <c r="M847" s="19" t="str">
        <f t="shared" si="26"/>
        <v>Sep_2017</v>
      </c>
    </row>
    <row r="848" spans="1:13">
      <c r="A848" s="45" t="s">
        <v>11</v>
      </c>
      <c r="B848" s="52" t="s">
        <v>12</v>
      </c>
      <c r="C848" s="54">
        <v>43006</v>
      </c>
      <c r="D848" s="47" t="s">
        <v>25</v>
      </c>
      <c r="E848" s="48">
        <v>0.70833333333333304</v>
      </c>
      <c r="F848" s="48">
        <v>0.875</v>
      </c>
      <c r="G848" s="49">
        <v>8.0000000000000036</v>
      </c>
      <c r="H848" s="49">
        <v>4.0000000000000036</v>
      </c>
      <c r="I848" s="49">
        <v>4.0000000000000036</v>
      </c>
      <c r="J848" s="53" t="s">
        <v>30</v>
      </c>
      <c r="K848" s="51" t="s">
        <v>303</v>
      </c>
      <c r="L848" s="102">
        <v>1</v>
      </c>
      <c r="M848" s="19" t="str">
        <f t="shared" si="26"/>
        <v>Sep_2017</v>
      </c>
    </row>
    <row r="849" spans="1:13">
      <c r="A849" s="45" t="s">
        <v>11</v>
      </c>
      <c r="B849" s="52" t="s">
        <v>19</v>
      </c>
      <c r="C849" s="46">
        <v>43006</v>
      </c>
      <c r="D849" s="47" t="s">
        <v>25</v>
      </c>
      <c r="E849" s="48">
        <v>0.70833333333333304</v>
      </c>
      <c r="F849" s="48">
        <v>0.88541666666666696</v>
      </c>
      <c r="G849" s="49">
        <v>8.0000000000000036</v>
      </c>
      <c r="H849" s="49">
        <v>4.2500000000000107</v>
      </c>
      <c r="I849" s="49">
        <v>4.2500000000000107</v>
      </c>
      <c r="J849" s="53" t="s">
        <v>30</v>
      </c>
      <c r="K849" s="51" t="s">
        <v>303</v>
      </c>
      <c r="L849" s="102">
        <v>1</v>
      </c>
      <c r="M849" s="19" t="str">
        <f t="shared" si="26"/>
        <v>Sep_2017</v>
      </c>
    </row>
    <row r="850" spans="1:13">
      <c r="A850" s="45" t="s">
        <v>11</v>
      </c>
      <c r="B850" s="52" t="s">
        <v>26</v>
      </c>
      <c r="C850" s="46">
        <v>43006</v>
      </c>
      <c r="D850" s="47" t="s">
        <v>25</v>
      </c>
      <c r="E850" s="48">
        <v>0.70833333333333304</v>
      </c>
      <c r="F850" s="48">
        <v>0.875</v>
      </c>
      <c r="G850" s="49">
        <v>8.0000000000000036</v>
      </c>
      <c r="H850" s="49">
        <v>4.0000000000000036</v>
      </c>
      <c r="I850" s="49">
        <v>4.0000000000000036</v>
      </c>
      <c r="J850" s="53" t="s">
        <v>30</v>
      </c>
      <c r="K850" s="51" t="s">
        <v>303</v>
      </c>
      <c r="L850" s="102">
        <v>1</v>
      </c>
      <c r="M850" s="19" t="str">
        <f t="shared" si="26"/>
        <v>Sep_2017</v>
      </c>
    </row>
    <row r="851" spans="1:13">
      <c r="A851" s="45" t="s">
        <v>11</v>
      </c>
      <c r="B851" s="52" t="s">
        <v>149</v>
      </c>
      <c r="C851" s="46">
        <v>43006</v>
      </c>
      <c r="D851" s="47" t="s">
        <v>25</v>
      </c>
      <c r="E851" s="48">
        <v>0.70833333333333304</v>
      </c>
      <c r="F851" s="48">
        <v>0.88541666666666696</v>
      </c>
      <c r="G851" s="49">
        <v>8.0000000000000036</v>
      </c>
      <c r="H851" s="49">
        <v>4.2500000000000107</v>
      </c>
      <c r="I851" s="49">
        <v>4.2500000000000107</v>
      </c>
      <c r="J851" s="53" t="s">
        <v>30</v>
      </c>
      <c r="K851" s="51" t="s">
        <v>303</v>
      </c>
      <c r="L851" s="102">
        <v>1</v>
      </c>
      <c r="M851" s="19" t="str">
        <f t="shared" si="26"/>
        <v>Sep_2017</v>
      </c>
    </row>
    <row r="852" spans="1:13">
      <c r="A852" s="45" t="s">
        <v>11</v>
      </c>
      <c r="B852" s="52" t="s">
        <v>161</v>
      </c>
      <c r="C852" s="46">
        <v>43006</v>
      </c>
      <c r="D852" s="47" t="s">
        <v>25</v>
      </c>
      <c r="E852" s="48">
        <v>0.70833333333333304</v>
      </c>
      <c r="F852" s="48">
        <v>0.88541666666666696</v>
      </c>
      <c r="G852" s="49">
        <v>8.0000000000000036</v>
      </c>
      <c r="H852" s="49">
        <v>4.2500000000000107</v>
      </c>
      <c r="I852" s="49">
        <v>4.2500000000000107</v>
      </c>
      <c r="J852" s="53" t="s">
        <v>30</v>
      </c>
      <c r="K852" s="51" t="s">
        <v>303</v>
      </c>
      <c r="L852" s="102">
        <v>1</v>
      </c>
      <c r="M852" s="19" t="str">
        <f t="shared" si="26"/>
        <v>Sep_2017</v>
      </c>
    </row>
    <row r="853" spans="1:13">
      <c r="A853" s="45" t="s">
        <v>22</v>
      </c>
      <c r="B853" s="52" t="s">
        <v>23</v>
      </c>
      <c r="C853" s="46">
        <v>43006</v>
      </c>
      <c r="D853" s="47" t="s">
        <v>25</v>
      </c>
      <c r="E853" s="48">
        <v>0.33333333333333298</v>
      </c>
      <c r="F853" s="48">
        <v>0.875</v>
      </c>
      <c r="G853" s="49">
        <v>0</v>
      </c>
      <c r="H853" s="49">
        <v>12.000000000000007</v>
      </c>
      <c r="I853" s="49">
        <v>12.000000000000007</v>
      </c>
      <c r="J853" s="53" t="s">
        <v>30</v>
      </c>
      <c r="K853" s="51" t="s">
        <v>303</v>
      </c>
      <c r="L853" s="102" t="s">
        <v>281</v>
      </c>
      <c r="M853" s="19" t="str">
        <f t="shared" si="26"/>
        <v>Sep_2017</v>
      </c>
    </row>
    <row r="854" spans="1:13">
      <c r="A854" s="45" t="s">
        <v>22</v>
      </c>
      <c r="B854" s="52" t="s">
        <v>77</v>
      </c>
      <c r="C854" s="46">
        <v>43006</v>
      </c>
      <c r="D854" s="47" t="s">
        <v>25</v>
      </c>
      <c r="E854" s="48">
        <v>0.77083333333333304</v>
      </c>
      <c r="F854" s="48">
        <v>0.875</v>
      </c>
      <c r="G854" s="49">
        <v>0</v>
      </c>
      <c r="H854" s="49">
        <v>2.5000000000000071</v>
      </c>
      <c r="I854" s="49">
        <v>2.5000000000000071</v>
      </c>
      <c r="J854" s="50" t="s">
        <v>30</v>
      </c>
      <c r="K854" s="51" t="s">
        <v>303</v>
      </c>
      <c r="L854" s="102" t="s">
        <v>281</v>
      </c>
      <c r="M854" s="19" t="str">
        <f t="shared" si="26"/>
        <v>Sep_2017</v>
      </c>
    </row>
    <row r="855" spans="1:13">
      <c r="A855" s="45" t="s">
        <v>22</v>
      </c>
      <c r="B855" s="52" t="s">
        <v>254</v>
      </c>
      <c r="C855" s="46">
        <v>43006</v>
      </c>
      <c r="D855" s="47" t="s">
        <v>25</v>
      </c>
      <c r="E855" s="48">
        <v>0.33333333333333298</v>
      </c>
      <c r="F855" s="48">
        <v>0.625</v>
      </c>
      <c r="G855" s="49">
        <v>0</v>
      </c>
      <c r="H855" s="49">
        <v>6.0000000000000089</v>
      </c>
      <c r="I855" s="49">
        <v>6.0000000000000089</v>
      </c>
      <c r="J855" s="53" t="s">
        <v>30</v>
      </c>
      <c r="K855" s="51" t="s">
        <v>303</v>
      </c>
      <c r="L855" s="102" t="s">
        <v>281</v>
      </c>
      <c r="M855" s="19" t="str">
        <f t="shared" si="26"/>
        <v>Sep_2017</v>
      </c>
    </row>
    <row r="856" spans="1:13">
      <c r="A856" s="45" t="s">
        <v>22</v>
      </c>
      <c r="B856" s="52" t="s">
        <v>255</v>
      </c>
      <c r="C856" s="46">
        <v>43006</v>
      </c>
      <c r="D856" s="47" t="s">
        <v>25</v>
      </c>
      <c r="E856" s="48">
        <v>0.33333333333333298</v>
      </c>
      <c r="F856" s="48">
        <v>0.875</v>
      </c>
      <c r="G856" s="49">
        <v>0</v>
      </c>
      <c r="H856" s="49">
        <v>12.000000000000007</v>
      </c>
      <c r="I856" s="49">
        <v>12.000000000000007</v>
      </c>
      <c r="J856" s="50" t="s">
        <v>30</v>
      </c>
      <c r="K856" s="51" t="s">
        <v>303</v>
      </c>
      <c r="L856" s="102" t="s">
        <v>281</v>
      </c>
      <c r="M856" s="19" t="str">
        <f t="shared" si="26"/>
        <v>Sep_2017</v>
      </c>
    </row>
    <row r="857" spans="1:13">
      <c r="A857" s="45" t="s">
        <v>22</v>
      </c>
      <c r="B857" s="52" t="s">
        <v>23</v>
      </c>
      <c r="C857" s="46">
        <v>43007</v>
      </c>
      <c r="D857" s="47" t="s">
        <v>17</v>
      </c>
      <c r="E857" s="48">
        <v>0.29166666666666702</v>
      </c>
      <c r="F857" s="48">
        <v>0.91666666666666696</v>
      </c>
      <c r="G857" s="49">
        <v>0</v>
      </c>
      <c r="H857" s="49">
        <v>14</v>
      </c>
      <c r="I857" s="49">
        <v>14</v>
      </c>
      <c r="J857" s="53" t="s">
        <v>30</v>
      </c>
      <c r="K857" s="51" t="s">
        <v>304</v>
      </c>
      <c r="L857" s="102" t="s">
        <v>281</v>
      </c>
      <c r="M857" s="19" t="str">
        <f t="shared" si="26"/>
        <v>Sep_2017</v>
      </c>
    </row>
    <row r="858" spans="1:13">
      <c r="A858" s="45" t="s">
        <v>22</v>
      </c>
      <c r="B858" s="52" t="s">
        <v>80</v>
      </c>
      <c r="C858" s="46">
        <v>43007</v>
      </c>
      <c r="D858" s="47" t="s">
        <v>17</v>
      </c>
      <c r="E858" s="48">
        <v>0.54166666666666696</v>
      </c>
      <c r="F858" s="48">
        <v>0.91666666666666696</v>
      </c>
      <c r="G858" s="49">
        <v>0</v>
      </c>
      <c r="H858" s="49">
        <v>8</v>
      </c>
      <c r="I858" s="49">
        <v>8</v>
      </c>
      <c r="J858" s="50" t="s">
        <v>30</v>
      </c>
      <c r="K858" s="51" t="s">
        <v>304</v>
      </c>
      <c r="L858" s="102" t="s">
        <v>281</v>
      </c>
      <c r="M858" s="19" t="str">
        <f t="shared" si="26"/>
        <v>Sep_2017</v>
      </c>
    </row>
    <row r="859" spans="1:13">
      <c r="A859" s="45" t="s">
        <v>22</v>
      </c>
      <c r="B859" s="52" t="s">
        <v>78</v>
      </c>
      <c r="C859" s="46">
        <v>43007</v>
      </c>
      <c r="D859" s="47" t="s">
        <v>17</v>
      </c>
      <c r="E859" s="48">
        <v>0.5625</v>
      </c>
      <c r="F859" s="48">
        <v>0.91666666666666696</v>
      </c>
      <c r="G859" s="49">
        <v>0</v>
      </c>
      <c r="H859" s="49">
        <v>7.5000000000000071</v>
      </c>
      <c r="I859" s="49">
        <v>7.5000000000000071</v>
      </c>
      <c r="J859" s="53" t="s">
        <v>30</v>
      </c>
      <c r="K859" s="51" t="s">
        <v>304</v>
      </c>
      <c r="L859" s="102" t="s">
        <v>281</v>
      </c>
      <c r="M859" s="19" t="str">
        <f t="shared" si="26"/>
        <v>Sep_2017</v>
      </c>
    </row>
    <row r="860" spans="1:13">
      <c r="A860" s="45" t="s">
        <v>22</v>
      </c>
      <c r="B860" s="52" t="s">
        <v>254</v>
      </c>
      <c r="C860" s="46">
        <v>43007</v>
      </c>
      <c r="D860" s="47" t="s">
        <v>17</v>
      </c>
      <c r="E860" s="48">
        <v>0.29166666666666702</v>
      </c>
      <c r="F860" s="48">
        <v>0.66666666666666696</v>
      </c>
      <c r="G860" s="49">
        <v>0</v>
      </c>
      <c r="H860" s="49">
        <v>7.9999999999999982</v>
      </c>
      <c r="I860" s="49">
        <v>7.9999999999999982</v>
      </c>
      <c r="J860" s="53" t="s">
        <v>30</v>
      </c>
      <c r="K860" s="51" t="s">
        <v>304</v>
      </c>
      <c r="L860" s="102" t="s">
        <v>281</v>
      </c>
      <c r="M860" s="19" t="str">
        <f t="shared" si="26"/>
        <v>Sep_2017</v>
      </c>
    </row>
    <row r="861" spans="1:13">
      <c r="A861" s="45" t="s">
        <v>22</v>
      </c>
      <c r="B861" s="52" t="s">
        <v>255</v>
      </c>
      <c r="C861" s="46">
        <v>43007</v>
      </c>
      <c r="D861" s="47" t="s">
        <v>17</v>
      </c>
      <c r="E861" s="48">
        <v>0.29166666666666702</v>
      </c>
      <c r="F861" s="48">
        <v>0.66666666666666696</v>
      </c>
      <c r="G861" s="49">
        <v>0</v>
      </c>
      <c r="H861" s="49">
        <v>7.9999999999999982</v>
      </c>
      <c r="I861" s="49">
        <v>7.9999999999999982</v>
      </c>
      <c r="J861" s="50" t="s">
        <v>30</v>
      </c>
      <c r="K861" s="51" t="s">
        <v>304</v>
      </c>
      <c r="L861" s="102" t="s">
        <v>281</v>
      </c>
      <c r="M861" s="19" t="str">
        <f t="shared" si="26"/>
        <v>Sep_2017</v>
      </c>
    </row>
    <row r="862" spans="1:13">
      <c r="A862" s="45" t="s">
        <v>11</v>
      </c>
      <c r="B862" s="52" t="s">
        <v>19</v>
      </c>
      <c r="C862" s="46">
        <v>43008</v>
      </c>
      <c r="D862" s="47" t="s">
        <v>24</v>
      </c>
      <c r="E862" s="48">
        <v>0.54166666666666696</v>
      </c>
      <c r="F862" s="48">
        <v>0.91666666666666696</v>
      </c>
      <c r="G862" s="49">
        <v>8.0000000000000036</v>
      </c>
      <c r="H862" s="49">
        <v>0</v>
      </c>
      <c r="I862" s="49">
        <v>8.0000000000000036</v>
      </c>
      <c r="J862" s="68" t="s">
        <v>52</v>
      </c>
      <c r="K862" s="51" t="s">
        <v>305</v>
      </c>
      <c r="L862" s="102" t="s">
        <v>281</v>
      </c>
      <c r="M862" s="19" t="str">
        <f t="shared" si="26"/>
        <v>Sep_2017</v>
      </c>
    </row>
    <row r="863" spans="1:13">
      <c r="A863" s="45" t="s">
        <v>11</v>
      </c>
      <c r="B863" s="52" t="s">
        <v>26</v>
      </c>
      <c r="C863" s="46">
        <v>43008</v>
      </c>
      <c r="D863" s="47" t="s">
        <v>24</v>
      </c>
      <c r="E863" s="48">
        <v>0.29166666666666702</v>
      </c>
      <c r="F863" s="48">
        <v>0.66666666666666696</v>
      </c>
      <c r="G863" s="49">
        <v>8.0000000000000036</v>
      </c>
      <c r="H863" s="49">
        <v>0</v>
      </c>
      <c r="I863" s="49">
        <v>8.0000000000000036</v>
      </c>
      <c r="J863" s="68" t="s">
        <v>52</v>
      </c>
      <c r="K863" s="51" t="s">
        <v>305</v>
      </c>
      <c r="L863" s="102" t="s">
        <v>281</v>
      </c>
      <c r="M863" s="19" t="str">
        <f t="shared" si="26"/>
        <v>Sep_2017</v>
      </c>
    </row>
    <row r="864" spans="1:13">
      <c r="A864" s="45" t="s">
        <v>11</v>
      </c>
      <c r="B864" s="52" t="s">
        <v>149</v>
      </c>
      <c r="C864" s="46">
        <v>43008</v>
      </c>
      <c r="D864" s="47" t="s">
        <v>24</v>
      </c>
      <c r="E864" s="48">
        <v>0.54166666666666696</v>
      </c>
      <c r="F864" s="48">
        <v>0.91666666666666696</v>
      </c>
      <c r="G864" s="49">
        <v>8.0000000000000036</v>
      </c>
      <c r="H864" s="49">
        <v>0</v>
      </c>
      <c r="I864" s="49">
        <v>8.0000000000000036</v>
      </c>
      <c r="J864" s="68" t="s">
        <v>52</v>
      </c>
      <c r="K864" s="51" t="s">
        <v>305</v>
      </c>
      <c r="L864" s="102" t="s">
        <v>281</v>
      </c>
      <c r="M864" s="19" t="str">
        <f t="shared" si="26"/>
        <v>Sep_2017</v>
      </c>
    </row>
    <row r="865" spans="1:13">
      <c r="A865" s="45" t="s">
        <v>11</v>
      </c>
      <c r="B865" s="52" t="s">
        <v>161</v>
      </c>
      <c r="C865" s="46">
        <v>43008</v>
      </c>
      <c r="D865" s="47" t="s">
        <v>24</v>
      </c>
      <c r="E865" s="48">
        <v>0.54166666666666696</v>
      </c>
      <c r="F865" s="48">
        <v>0.91666666666666696</v>
      </c>
      <c r="G865" s="49">
        <v>8.0000000000000036</v>
      </c>
      <c r="H865" s="49">
        <v>0</v>
      </c>
      <c r="I865" s="49">
        <v>8.0000000000000036</v>
      </c>
      <c r="J865" s="68" t="s">
        <v>52</v>
      </c>
      <c r="K865" s="51" t="s">
        <v>305</v>
      </c>
      <c r="L865" s="102" t="s">
        <v>281</v>
      </c>
      <c r="M865" s="19" t="str">
        <f t="shared" si="26"/>
        <v>Sep_2017</v>
      </c>
    </row>
    <row r="866" spans="1:13">
      <c r="A866" s="45" t="s">
        <v>22</v>
      </c>
      <c r="B866" s="52" t="s">
        <v>23</v>
      </c>
      <c r="C866" s="46">
        <v>43008</v>
      </c>
      <c r="D866" s="47" t="s">
        <v>24</v>
      </c>
      <c r="E866" s="48">
        <v>0.29166666666666702</v>
      </c>
      <c r="F866" s="48">
        <v>0.91666666666666696</v>
      </c>
      <c r="G866" s="49">
        <v>0</v>
      </c>
      <c r="H866" s="49">
        <v>14</v>
      </c>
      <c r="I866" s="49">
        <v>14</v>
      </c>
      <c r="J866" s="53" t="s">
        <v>52</v>
      </c>
      <c r="K866" s="51" t="s">
        <v>305</v>
      </c>
      <c r="L866" s="102" t="s">
        <v>281</v>
      </c>
      <c r="M866" s="19" t="str">
        <f t="shared" si="26"/>
        <v>Sep_2017</v>
      </c>
    </row>
    <row r="867" spans="1:13">
      <c r="A867" s="45" t="s">
        <v>22</v>
      </c>
      <c r="B867" s="52" t="s">
        <v>77</v>
      </c>
      <c r="C867" s="46">
        <v>43008</v>
      </c>
      <c r="D867" s="47" t="s">
        <v>24</v>
      </c>
      <c r="E867" s="48">
        <v>0.54166666666666696</v>
      </c>
      <c r="F867" s="48">
        <v>0.91666666666666696</v>
      </c>
      <c r="G867" s="49">
        <v>0</v>
      </c>
      <c r="H867" s="49">
        <v>8</v>
      </c>
      <c r="I867" s="49">
        <v>8</v>
      </c>
      <c r="J867" s="53" t="s">
        <v>52</v>
      </c>
      <c r="K867" s="51" t="s">
        <v>305</v>
      </c>
      <c r="L867" s="102" t="s">
        <v>281</v>
      </c>
      <c r="M867" s="19" t="str">
        <f t="shared" si="26"/>
        <v>Sep_2017</v>
      </c>
    </row>
    <row r="868" spans="1:13">
      <c r="A868" s="45" t="s">
        <v>22</v>
      </c>
      <c r="B868" s="52" t="s">
        <v>80</v>
      </c>
      <c r="C868" s="46">
        <v>43008</v>
      </c>
      <c r="D868" s="47" t="s">
        <v>24</v>
      </c>
      <c r="E868" s="48">
        <v>0.54166666666666696</v>
      </c>
      <c r="F868" s="48">
        <v>0.91666666666666696</v>
      </c>
      <c r="G868" s="49">
        <v>0</v>
      </c>
      <c r="H868" s="49">
        <v>8</v>
      </c>
      <c r="I868" s="49">
        <v>8</v>
      </c>
      <c r="J868" s="50" t="s">
        <v>52</v>
      </c>
      <c r="K868" s="51" t="s">
        <v>305</v>
      </c>
      <c r="L868" s="102" t="s">
        <v>281</v>
      </c>
      <c r="M868" s="19" t="str">
        <f t="shared" si="26"/>
        <v>Sep_2017</v>
      </c>
    </row>
    <row r="869" spans="1:13">
      <c r="A869" s="45" t="s">
        <v>22</v>
      </c>
      <c r="B869" s="52" t="s">
        <v>78</v>
      </c>
      <c r="C869" s="46">
        <v>43008</v>
      </c>
      <c r="D869" s="47" t="s">
        <v>24</v>
      </c>
      <c r="E869" s="48">
        <v>0.29166666666666702</v>
      </c>
      <c r="F869" s="48">
        <v>0.66666666666666696</v>
      </c>
      <c r="G869" s="49">
        <v>0</v>
      </c>
      <c r="H869" s="49">
        <v>7.9999999999999982</v>
      </c>
      <c r="I869" s="49">
        <v>7.9999999999999982</v>
      </c>
      <c r="J869" s="53" t="s">
        <v>52</v>
      </c>
      <c r="K869" s="51" t="s">
        <v>305</v>
      </c>
      <c r="L869" s="102" t="s">
        <v>281</v>
      </c>
      <c r="M869" s="19" t="str">
        <f t="shared" si="26"/>
        <v>Sep_2017</v>
      </c>
    </row>
    <row r="870" spans="1:13">
      <c r="A870" s="45" t="s">
        <v>22</v>
      </c>
      <c r="B870" s="52" t="s">
        <v>27</v>
      </c>
      <c r="C870" s="46">
        <v>43008</v>
      </c>
      <c r="D870" s="47" t="s">
        <v>24</v>
      </c>
      <c r="E870" s="48">
        <v>0.34375</v>
      </c>
      <c r="F870" s="48">
        <v>0.6875</v>
      </c>
      <c r="G870" s="49">
        <v>0</v>
      </c>
      <c r="H870" s="49">
        <v>7.25</v>
      </c>
      <c r="I870" s="49">
        <v>7.25</v>
      </c>
      <c r="J870" s="50" t="s">
        <v>52</v>
      </c>
      <c r="K870" s="51" t="s">
        <v>305</v>
      </c>
      <c r="L870" s="102" t="s">
        <v>281</v>
      </c>
      <c r="M870" s="19" t="str">
        <f t="shared" si="26"/>
        <v>Sep_2017</v>
      </c>
    </row>
    <row r="871" spans="1:13">
      <c r="A871" s="45" t="s">
        <v>22</v>
      </c>
      <c r="B871" s="52" t="s">
        <v>254</v>
      </c>
      <c r="C871" s="46">
        <v>43008</v>
      </c>
      <c r="D871" s="47" t="s">
        <v>24</v>
      </c>
      <c r="E871" s="48">
        <v>0.29166666666666702</v>
      </c>
      <c r="F871" s="48">
        <v>0.66666666666666696</v>
      </c>
      <c r="G871" s="49">
        <v>0</v>
      </c>
      <c r="H871" s="49">
        <v>7.9999999999999982</v>
      </c>
      <c r="I871" s="49">
        <v>7.9999999999999982</v>
      </c>
      <c r="J871" s="53" t="s">
        <v>52</v>
      </c>
      <c r="K871" s="51" t="s">
        <v>305</v>
      </c>
      <c r="L871" s="102" t="s">
        <v>281</v>
      </c>
      <c r="M871" s="19" t="str">
        <f t="shared" si="26"/>
        <v>Sep_2017</v>
      </c>
    </row>
    <row r="872" spans="1:13">
      <c r="A872" s="45" t="s">
        <v>22</v>
      </c>
      <c r="B872" s="52" t="s">
        <v>255</v>
      </c>
      <c r="C872" s="46">
        <v>43008</v>
      </c>
      <c r="D872" s="47" t="s">
        <v>24</v>
      </c>
      <c r="E872" s="48">
        <v>0.29166666666666702</v>
      </c>
      <c r="F872" s="48">
        <v>0.66666666666666696</v>
      </c>
      <c r="G872" s="49">
        <v>0</v>
      </c>
      <c r="H872" s="49">
        <v>7.9999999999999982</v>
      </c>
      <c r="I872" s="49">
        <v>7.9999999999999982</v>
      </c>
      <c r="J872" s="50" t="s">
        <v>52</v>
      </c>
      <c r="K872" s="51" t="s">
        <v>305</v>
      </c>
      <c r="L872" s="102" t="s">
        <v>281</v>
      </c>
      <c r="M872" s="19" t="str">
        <f t="shared" si="26"/>
        <v>Sep_2017</v>
      </c>
    </row>
    <row r="873" spans="1:13">
      <c r="A873" s="45" t="s">
        <v>11</v>
      </c>
      <c r="B873" s="52" t="s">
        <v>19</v>
      </c>
      <c r="C873" s="46">
        <v>43009</v>
      </c>
      <c r="D873" s="47" t="s">
        <v>13</v>
      </c>
      <c r="E873" s="48">
        <v>0.54166666666666696</v>
      </c>
      <c r="F873" s="48">
        <v>0.91666666666666696</v>
      </c>
      <c r="G873" s="49" t="s">
        <v>281</v>
      </c>
      <c r="H873" s="49">
        <v>8</v>
      </c>
      <c r="I873" s="49">
        <v>8</v>
      </c>
      <c r="J873" s="50" t="s">
        <v>52</v>
      </c>
      <c r="K873" s="51" t="s">
        <v>306</v>
      </c>
      <c r="L873" s="102" t="s">
        <v>281</v>
      </c>
      <c r="M873" s="19" t="str">
        <f>IF($C873="","",TEXT(DATE(YEAR($C873),MONTH($C873),DAY($C873)),"MMM")&amp;"_"&amp;YEAR($C873))</f>
        <v>Oct_2017</v>
      </c>
    </row>
    <row r="874" spans="1:13">
      <c r="A874" s="45" t="s">
        <v>11</v>
      </c>
      <c r="B874" s="52" t="s">
        <v>26</v>
      </c>
      <c r="C874" s="46">
        <v>43009</v>
      </c>
      <c r="D874" s="47" t="s">
        <v>13</v>
      </c>
      <c r="E874" s="48">
        <v>0.29166666666666702</v>
      </c>
      <c r="F874" s="48">
        <v>0.66666666666666696</v>
      </c>
      <c r="G874" s="49" t="s">
        <v>281</v>
      </c>
      <c r="H874" s="49">
        <v>7.9999999999999982</v>
      </c>
      <c r="I874" s="49">
        <v>7.9999999999999982</v>
      </c>
      <c r="J874" s="50" t="s">
        <v>52</v>
      </c>
      <c r="K874" s="51" t="s">
        <v>306</v>
      </c>
      <c r="L874" s="102" t="s">
        <v>281</v>
      </c>
      <c r="M874" s="19" t="str">
        <f t="shared" ref="M874:M937" si="27">IF($C874="","",TEXT(DATE(YEAR($C874),MONTH($C874),DAY($C874)),"MMM")&amp;"_"&amp;YEAR($C874))</f>
        <v>Oct_2017</v>
      </c>
    </row>
    <row r="875" spans="1:13">
      <c r="A875" s="45" t="s">
        <v>11</v>
      </c>
      <c r="B875" s="52" t="s">
        <v>149</v>
      </c>
      <c r="C875" s="46">
        <v>43009</v>
      </c>
      <c r="D875" s="47" t="s">
        <v>13</v>
      </c>
      <c r="E875" s="48">
        <v>0.54166666666666696</v>
      </c>
      <c r="F875" s="48">
        <v>0.91666666666666696</v>
      </c>
      <c r="G875" s="49" t="s">
        <v>281</v>
      </c>
      <c r="H875" s="49">
        <v>8</v>
      </c>
      <c r="I875" s="49">
        <v>8</v>
      </c>
      <c r="J875" s="53" t="s">
        <v>52</v>
      </c>
      <c r="K875" s="51" t="s">
        <v>306</v>
      </c>
      <c r="L875" s="102" t="s">
        <v>281</v>
      </c>
      <c r="M875" s="19" t="str">
        <f t="shared" si="27"/>
        <v>Oct_2017</v>
      </c>
    </row>
    <row r="876" spans="1:13">
      <c r="A876" s="45" t="s">
        <v>11</v>
      </c>
      <c r="B876" s="52" t="s">
        <v>161</v>
      </c>
      <c r="C876" s="46">
        <v>43009</v>
      </c>
      <c r="D876" s="47" t="s">
        <v>13</v>
      </c>
      <c r="E876" s="48">
        <v>0.54166666666666696</v>
      </c>
      <c r="F876" s="48">
        <v>0.91666666666666696</v>
      </c>
      <c r="G876" s="49" t="s">
        <v>281</v>
      </c>
      <c r="H876" s="49">
        <v>8</v>
      </c>
      <c r="I876" s="49">
        <v>8</v>
      </c>
      <c r="J876" s="53" t="s">
        <v>52</v>
      </c>
      <c r="K876" s="51" t="s">
        <v>306</v>
      </c>
      <c r="L876" s="102" t="s">
        <v>281</v>
      </c>
      <c r="M876" s="19" t="str">
        <f t="shared" si="27"/>
        <v>Oct_2017</v>
      </c>
    </row>
    <row r="877" spans="1:13">
      <c r="A877" s="45" t="s">
        <v>22</v>
      </c>
      <c r="B877" s="52" t="s">
        <v>23</v>
      </c>
      <c r="C877" s="46">
        <v>43009</v>
      </c>
      <c r="D877" s="47" t="s">
        <v>13</v>
      </c>
      <c r="E877" s="48">
        <v>0.29166666666666702</v>
      </c>
      <c r="F877" s="48">
        <v>0.91666666666666696</v>
      </c>
      <c r="G877" s="49" t="s">
        <v>281</v>
      </c>
      <c r="H877" s="49">
        <v>14</v>
      </c>
      <c r="I877" s="49">
        <v>14</v>
      </c>
      <c r="J877" s="50" t="s">
        <v>52</v>
      </c>
      <c r="K877" s="51" t="s">
        <v>306</v>
      </c>
      <c r="L877" s="102" t="s">
        <v>281</v>
      </c>
      <c r="M877" s="19" t="str">
        <f t="shared" si="27"/>
        <v>Oct_2017</v>
      </c>
    </row>
    <row r="878" spans="1:13">
      <c r="A878" s="45" t="s">
        <v>22</v>
      </c>
      <c r="B878" s="52" t="s">
        <v>77</v>
      </c>
      <c r="C878" s="46">
        <v>43009</v>
      </c>
      <c r="D878" s="47" t="s">
        <v>13</v>
      </c>
      <c r="E878" s="48">
        <v>0.54166666666666696</v>
      </c>
      <c r="F878" s="48">
        <v>0.91666666666666696</v>
      </c>
      <c r="G878" s="49" t="s">
        <v>281</v>
      </c>
      <c r="H878" s="49">
        <v>8</v>
      </c>
      <c r="I878" s="49">
        <v>8</v>
      </c>
      <c r="J878" s="50" t="s">
        <v>52</v>
      </c>
      <c r="K878" s="51" t="s">
        <v>306</v>
      </c>
      <c r="L878" s="102" t="s">
        <v>281</v>
      </c>
      <c r="M878" s="19" t="str">
        <f t="shared" si="27"/>
        <v>Oct_2017</v>
      </c>
    </row>
    <row r="879" spans="1:13">
      <c r="A879" s="45" t="s">
        <v>22</v>
      </c>
      <c r="B879" s="52" t="s">
        <v>80</v>
      </c>
      <c r="C879" s="46">
        <v>43009</v>
      </c>
      <c r="D879" s="47" t="s">
        <v>13</v>
      </c>
      <c r="E879" s="48">
        <v>0.54166666666666696</v>
      </c>
      <c r="F879" s="48">
        <v>0.91666666666666696</v>
      </c>
      <c r="G879" s="49" t="s">
        <v>281</v>
      </c>
      <c r="H879" s="49">
        <v>8</v>
      </c>
      <c r="I879" s="49">
        <v>8</v>
      </c>
      <c r="J879" s="50" t="s">
        <v>52</v>
      </c>
      <c r="K879" s="51" t="s">
        <v>306</v>
      </c>
      <c r="L879" s="102" t="s">
        <v>281</v>
      </c>
      <c r="M879" s="19" t="str">
        <f t="shared" si="27"/>
        <v>Oct_2017</v>
      </c>
    </row>
    <row r="880" spans="1:13">
      <c r="A880" s="45" t="s">
        <v>22</v>
      </c>
      <c r="B880" s="52" t="s">
        <v>78</v>
      </c>
      <c r="C880" s="46">
        <v>43009</v>
      </c>
      <c r="D880" s="47" t="s">
        <v>13</v>
      </c>
      <c r="E880" s="48">
        <v>0.29166666666666702</v>
      </c>
      <c r="F880" s="48">
        <v>0.66666666666666696</v>
      </c>
      <c r="G880" s="49" t="s">
        <v>281</v>
      </c>
      <c r="H880" s="49">
        <v>7.9999999999999982</v>
      </c>
      <c r="I880" s="49">
        <v>7.9999999999999982</v>
      </c>
      <c r="J880" s="53" t="s">
        <v>52</v>
      </c>
      <c r="K880" s="51" t="s">
        <v>306</v>
      </c>
      <c r="L880" s="102" t="s">
        <v>281</v>
      </c>
      <c r="M880" s="19" t="str">
        <f t="shared" si="27"/>
        <v>Oct_2017</v>
      </c>
    </row>
    <row r="881" spans="1:13">
      <c r="A881" s="45" t="s">
        <v>22</v>
      </c>
      <c r="B881" s="52" t="s">
        <v>254</v>
      </c>
      <c r="C881" s="46">
        <v>43009</v>
      </c>
      <c r="D881" s="47" t="s">
        <v>13</v>
      </c>
      <c r="E881" s="48">
        <v>0.29166666666666702</v>
      </c>
      <c r="F881" s="48">
        <v>0.66666666666666696</v>
      </c>
      <c r="G881" s="49" t="s">
        <v>281</v>
      </c>
      <c r="H881" s="49">
        <v>7.9999999999999982</v>
      </c>
      <c r="I881" s="49">
        <v>7.9999999999999982</v>
      </c>
      <c r="J881" s="50" t="s">
        <v>52</v>
      </c>
      <c r="K881" s="51" t="s">
        <v>306</v>
      </c>
      <c r="L881" s="102" t="s">
        <v>281</v>
      </c>
      <c r="M881" s="19" t="str">
        <f t="shared" si="27"/>
        <v>Oct_2017</v>
      </c>
    </row>
    <row r="882" spans="1:13">
      <c r="A882" s="45" t="s">
        <v>22</v>
      </c>
      <c r="B882" s="52" t="s">
        <v>255</v>
      </c>
      <c r="C882" s="46">
        <v>43009</v>
      </c>
      <c r="D882" s="47" t="s">
        <v>13</v>
      </c>
      <c r="E882" s="48">
        <v>0.29166666666666702</v>
      </c>
      <c r="F882" s="48">
        <v>0.66666666666666696</v>
      </c>
      <c r="G882" s="49" t="s">
        <v>281</v>
      </c>
      <c r="H882" s="49">
        <v>7.9999999999999982</v>
      </c>
      <c r="I882" s="49">
        <v>7.9999999999999982</v>
      </c>
      <c r="J882" s="50" t="s">
        <v>52</v>
      </c>
      <c r="K882" s="51" t="s">
        <v>306</v>
      </c>
      <c r="L882" s="102" t="s">
        <v>281</v>
      </c>
      <c r="M882" s="19" t="str">
        <f t="shared" si="27"/>
        <v>Oct_2017</v>
      </c>
    </row>
    <row r="883" spans="1:13">
      <c r="A883" s="45" t="s">
        <v>22</v>
      </c>
      <c r="B883" s="52" t="s">
        <v>27</v>
      </c>
      <c r="C883" s="46">
        <v>43009</v>
      </c>
      <c r="D883" s="47" t="s">
        <v>13</v>
      </c>
      <c r="E883" s="48">
        <v>0.29166666666666702</v>
      </c>
      <c r="F883" s="48">
        <v>0.66666666666666696</v>
      </c>
      <c r="G883" s="49" t="s">
        <v>281</v>
      </c>
      <c r="H883" s="49">
        <v>7.9999999999999982</v>
      </c>
      <c r="I883" s="49">
        <v>7.9999999999999982</v>
      </c>
      <c r="J883" s="50" t="s">
        <v>52</v>
      </c>
      <c r="K883" s="51" t="s">
        <v>306</v>
      </c>
      <c r="L883" s="102" t="s">
        <v>281</v>
      </c>
      <c r="M883" s="19" t="str">
        <f t="shared" si="27"/>
        <v>Oct_2017</v>
      </c>
    </row>
    <row r="884" spans="1:13">
      <c r="A884" s="45" t="s">
        <v>22</v>
      </c>
      <c r="B884" s="52" t="s">
        <v>23</v>
      </c>
      <c r="C884" s="46">
        <v>43010</v>
      </c>
      <c r="D884" s="47" t="s">
        <v>16</v>
      </c>
      <c r="E884" s="48">
        <v>0.29166666666666702</v>
      </c>
      <c r="F884" s="48">
        <v>0.66666666666666696</v>
      </c>
      <c r="G884" s="49">
        <v>0</v>
      </c>
      <c r="H884" s="49">
        <v>7.9999999999999982</v>
      </c>
      <c r="I884" s="49">
        <v>7.9999999999999982</v>
      </c>
      <c r="J884" s="53" t="s">
        <v>30</v>
      </c>
      <c r="K884" s="51" t="s">
        <v>307</v>
      </c>
      <c r="L884" s="102" t="s">
        <v>281</v>
      </c>
      <c r="M884" s="19" t="str">
        <f t="shared" si="27"/>
        <v>Oct_2017</v>
      </c>
    </row>
    <row r="885" spans="1:13">
      <c r="A885" s="45" t="s">
        <v>22</v>
      </c>
      <c r="B885" s="52" t="s">
        <v>77</v>
      </c>
      <c r="C885" s="46">
        <v>43010</v>
      </c>
      <c r="D885" s="47" t="s">
        <v>16</v>
      </c>
      <c r="E885" s="48">
        <v>0.54166666666666696</v>
      </c>
      <c r="F885" s="48">
        <v>0.91666666666666696</v>
      </c>
      <c r="G885" s="49">
        <v>0</v>
      </c>
      <c r="H885" s="49">
        <v>8</v>
      </c>
      <c r="I885" s="49">
        <v>8</v>
      </c>
      <c r="J885" s="50" t="s">
        <v>30</v>
      </c>
      <c r="K885" s="51" t="s">
        <v>307</v>
      </c>
      <c r="L885" s="102" t="s">
        <v>281</v>
      </c>
      <c r="M885" s="19" t="str">
        <f t="shared" si="27"/>
        <v>Oct_2017</v>
      </c>
    </row>
    <row r="886" spans="1:13">
      <c r="A886" s="45" t="s">
        <v>22</v>
      </c>
      <c r="B886" s="52" t="s">
        <v>80</v>
      </c>
      <c r="C886" s="46">
        <v>43010</v>
      </c>
      <c r="D886" s="47" t="s">
        <v>16</v>
      </c>
      <c r="E886" s="48">
        <v>0.54166666666666696</v>
      </c>
      <c r="F886" s="48">
        <v>0.91666666666666696</v>
      </c>
      <c r="G886" s="49">
        <v>0</v>
      </c>
      <c r="H886" s="49">
        <v>8</v>
      </c>
      <c r="I886" s="49">
        <v>8</v>
      </c>
      <c r="J886" s="50" t="s">
        <v>30</v>
      </c>
      <c r="K886" s="51" t="s">
        <v>307</v>
      </c>
      <c r="L886" s="102" t="s">
        <v>281</v>
      </c>
      <c r="M886" s="19" t="str">
        <f t="shared" si="27"/>
        <v>Oct_2017</v>
      </c>
    </row>
    <row r="887" spans="1:13">
      <c r="A887" s="45" t="s">
        <v>22</v>
      </c>
      <c r="B887" s="52" t="s">
        <v>78</v>
      </c>
      <c r="C887" s="46">
        <v>43010</v>
      </c>
      <c r="D887" s="47" t="s">
        <v>16</v>
      </c>
      <c r="E887" s="48">
        <v>0.54166666666666696</v>
      </c>
      <c r="F887" s="48">
        <v>0.91666666666666696</v>
      </c>
      <c r="G887" s="49">
        <v>0</v>
      </c>
      <c r="H887" s="49">
        <v>8</v>
      </c>
      <c r="I887" s="49">
        <v>8</v>
      </c>
      <c r="J887" s="53" t="s">
        <v>30</v>
      </c>
      <c r="K887" s="51" t="s">
        <v>307</v>
      </c>
      <c r="L887" s="102" t="s">
        <v>281</v>
      </c>
      <c r="M887" s="19" t="str">
        <f t="shared" si="27"/>
        <v>Oct_2017</v>
      </c>
    </row>
    <row r="888" spans="1:13">
      <c r="A888" s="45" t="s">
        <v>22</v>
      </c>
      <c r="B888" s="52" t="s">
        <v>254</v>
      </c>
      <c r="C888" s="46">
        <v>43010</v>
      </c>
      <c r="D888" s="47" t="s">
        <v>16</v>
      </c>
      <c r="E888" s="48">
        <v>0.29166666666666702</v>
      </c>
      <c r="F888" s="48">
        <v>0.66666666666666696</v>
      </c>
      <c r="G888" s="49">
        <v>0</v>
      </c>
      <c r="H888" s="49">
        <v>7.9999999999999982</v>
      </c>
      <c r="I888" s="49">
        <v>7.9999999999999982</v>
      </c>
      <c r="J888" s="50" t="s">
        <v>30</v>
      </c>
      <c r="K888" s="51" t="s">
        <v>307</v>
      </c>
      <c r="L888" s="102" t="s">
        <v>281</v>
      </c>
      <c r="M888" s="19" t="str">
        <f t="shared" si="27"/>
        <v>Oct_2017</v>
      </c>
    </row>
    <row r="889" spans="1:13">
      <c r="A889" s="45" t="s">
        <v>22</v>
      </c>
      <c r="B889" s="52" t="s">
        <v>255</v>
      </c>
      <c r="C889" s="46">
        <v>43010</v>
      </c>
      <c r="D889" s="47" t="s">
        <v>16</v>
      </c>
      <c r="E889" s="48">
        <v>0.29166666666666702</v>
      </c>
      <c r="F889" s="48">
        <v>0.66666666666666696</v>
      </c>
      <c r="G889" s="49">
        <v>0</v>
      </c>
      <c r="H889" s="49">
        <v>7.9999999999999982</v>
      </c>
      <c r="I889" s="49">
        <v>7.9999999999999982</v>
      </c>
      <c r="J889" s="50" t="s">
        <v>30</v>
      </c>
      <c r="K889" s="51" t="s">
        <v>307</v>
      </c>
      <c r="L889" s="102" t="s">
        <v>281</v>
      </c>
      <c r="M889" s="19" t="str">
        <f t="shared" si="27"/>
        <v>Oct_2017</v>
      </c>
    </row>
    <row r="890" spans="1:13">
      <c r="A890" s="45" t="s">
        <v>11</v>
      </c>
      <c r="B890" s="52" t="s">
        <v>26</v>
      </c>
      <c r="C890" s="46">
        <v>43011</v>
      </c>
      <c r="D890" s="47" t="s">
        <v>14</v>
      </c>
      <c r="E890" s="48">
        <v>0.66666666666666696</v>
      </c>
      <c r="F890" s="48">
        <v>0.91666666666666696</v>
      </c>
      <c r="G890" s="49">
        <v>8.0000000000000036</v>
      </c>
      <c r="H890" s="49">
        <v>5.9999999999999964</v>
      </c>
      <c r="I890" s="49">
        <v>5.9999999999999964</v>
      </c>
      <c r="J890" s="53" t="s">
        <v>30</v>
      </c>
      <c r="K890" s="51" t="s">
        <v>308</v>
      </c>
      <c r="L890" s="102">
        <v>1</v>
      </c>
      <c r="M890" s="19" t="str">
        <f t="shared" si="27"/>
        <v>Oct_2017</v>
      </c>
    </row>
    <row r="891" spans="1:13">
      <c r="A891" s="45" t="s">
        <v>11</v>
      </c>
      <c r="B891" s="52" t="s">
        <v>149</v>
      </c>
      <c r="C891" s="46">
        <v>43011</v>
      </c>
      <c r="D891" s="47" t="s">
        <v>14</v>
      </c>
      <c r="E891" s="48">
        <v>0.66666666666666696</v>
      </c>
      <c r="F891" s="48">
        <v>0.91666666666666696</v>
      </c>
      <c r="G891" s="49">
        <v>8.0000000000000036</v>
      </c>
      <c r="H891" s="49">
        <v>5.9999999999999964</v>
      </c>
      <c r="I891" s="49">
        <v>5.9999999999999964</v>
      </c>
      <c r="J891" s="53" t="s">
        <v>30</v>
      </c>
      <c r="K891" s="51" t="s">
        <v>308</v>
      </c>
      <c r="L891" s="102">
        <v>1</v>
      </c>
      <c r="M891" s="19" t="str">
        <f t="shared" si="27"/>
        <v>Oct_2017</v>
      </c>
    </row>
    <row r="892" spans="1:13">
      <c r="A892" s="45" t="s">
        <v>11</v>
      </c>
      <c r="B892" s="52" t="s">
        <v>161</v>
      </c>
      <c r="C892" s="46">
        <v>43011</v>
      </c>
      <c r="D892" s="47" t="s">
        <v>14</v>
      </c>
      <c r="E892" s="48">
        <v>0.66666666666666696</v>
      </c>
      <c r="F892" s="48">
        <v>0.91666666666666696</v>
      </c>
      <c r="G892" s="49">
        <v>8.0000000000000036</v>
      </c>
      <c r="H892" s="49">
        <v>5.9999999999999964</v>
      </c>
      <c r="I892" s="49">
        <v>5.9999999999999964</v>
      </c>
      <c r="J892" s="53" t="s">
        <v>30</v>
      </c>
      <c r="K892" s="51" t="s">
        <v>308</v>
      </c>
      <c r="L892" s="102">
        <v>1</v>
      </c>
      <c r="M892" s="19" t="str">
        <f t="shared" si="27"/>
        <v>Oct_2017</v>
      </c>
    </row>
    <row r="893" spans="1:13">
      <c r="A893" s="45" t="s">
        <v>22</v>
      </c>
      <c r="B893" s="52" t="s">
        <v>23</v>
      </c>
      <c r="C893" s="46">
        <v>43011</v>
      </c>
      <c r="D893" s="47" t="s">
        <v>14</v>
      </c>
      <c r="E893" s="48">
        <v>0.29166666666666702</v>
      </c>
      <c r="F893" s="48">
        <v>0.91666666666666696</v>
      </c>
      <c r="G893" s="49">
        <v>0</v>
      </c>
      <c r="H893" s="49">
        <v>14</v>
      </c>
      <c r="I893" s="49">
        <v>14</v>
      </c>
      <c r="J893" s="53" t="s">
        <v>30</v>
      </c>
      <c r="K893" s="51" t="s">
        <v>308</v>
      </c>
      <c r="L893" s="102" t="s">
        <v>281</v>
      </c>
      <c r="M893" s="19" t="str">
        <f t="shared" si="27"/>
        <v>Oct_2017</v>
      </c>
    </row>
    <row r="894" spans="1:13">
      <c r="A894" s="45" t="s">
        <v>22</v>
      </c>
      <c r="B894" s="52" t="s">
        <v>77</v>
      </c>
      <c r="C894" s="46">
        <v>43011</v>
      </c>
      <c r="D894" s="47" t="s">
        <v>14</v>
      </c>
      <c r="E894" s="48">
        <v>0.54166666666666696</v>
      </c>
      <c r="F894" s="48">
        <v>0.91666666666666696</v>
      </c>
      <c r="G894" s="49">
        <v>0</v>
      </c>
      <c r="H894" s="49">
        <v>8</v>
      </c>
      <c r="I894" s="49">
        <v>8</v>
      </c>
      <c r="J894" s="50" t="s">
        <v>30</v>
      </c>
      <c r="K894" s="51" t="s">
        <v>308</v>
      </c>
      <c r="L894" s="102" t="s">
        <v>281</v>
      </c>
      <c r="M894" s="19" t="str">
        <f t="shared" si="27"/>
        <v>Oct_2017</v>
      </c>
    </row>
    <row r="895" spans="1:13">
      <c r="A895" s="45" t="s">
        <v>22</v>
      </c>
      <c r="B895" s="52" t="s">
        <v>80</v>
      </c>
      <c r="C895" s="46">
        <v>43011</v>
      </c>
      <c r="D895" s="47" t="s">
        <v>14</v>
      </c>
      <c r="E895" s="48">
        <v>0.29166666666666702</v>
      </c>
      <c r="F895" s="48">
        <v>0.66666666666666696</v>
      </c>
      <c r="G895" s="49">
        <v>0</v>
      </c>
      <c r="H895" s="49">
        <v>7.9999999999999982</v>
      </c>
      <c r="I895" s="49">
        <v>7.9999999999999982</v>
      </c>
      <c r="J895" s="50" t="s">
        <v>30</v>
      </c>
      <c r="K895" s="51" t="s">
        <v>308</v>
      </c>
      <c r="L895" s="102" t="s">
        <v>281</v>
      </c>
      <c r="M895" s="19" t="str">
        <f t="shared" si="27"/>
        <v>Oct_2017</v>
      </c>
    </row>
    <row r="896" spans="1:13">
      <c r="A896" s="45" t="s">
        <v>22</v>
      </c>
      <c r="B896" s="52" t="s">
        <v>78</v>
      </c>
      <c r="C896" s="46">
        <v>43011</v>
      </c>
      <c r="D896" s="47" t="s">
        <v>14</v>
      </c>
      <c r="E896" s="48">
        <v>0.35416666666666702</v>
      </c>
      <c r="F896" s="48">
        <v>0.66666666666666696</v>
      </c>
      <c r="G896" s="49">
        <v>0</v>
      </c>
      <c r="H896" s="49">
        <v>6.4999999999999982</v>
      </c>
      <c r="I896" s="49">
        <v>6.4999999999999982</v>
      </c>
      <c r="J896" s="53" t="s">
        <v>30</v>
      </c>
      <c r="K896" s="51" t="s">
        <v>308</v>
      </c>
      <c r="L896" s="102" t="s">
        <v>281</v>
      </c>
      <c r="M896" s="19" t="str">
        <f t="shared" si="27"/>
        <v>Oct_2017</v>
      </c>
    </row>
    <row r="897" spans="1:13">
      <c r="A897" s="45" t="s">
        <v>22</v>
      </c>
      <c r="B897" s="52" t="s">
        <v>254</v>
      </c>
      <c r="C897" s="46">
        <v>43011</v>
      </c>
      <c r="D897" s="47" t="s">
        <v>14</v>
      </c>
      <c r="E897" s="48">
        <v>0.625</v>
      </c>
      <c r="F897" s="48">
        <v>0.91666666666666696</v>
      </c>
      <c r="G897" s="49">
        <v>0</v>
      </c>
      <c r="H897" s="49">
        <v>6.0000000000000071</v>
      </c>
      <c r="I897" s="49">
        <v>6.0000000000000071</v>
      </c>
      <c r="J897" s="50" t="s">
        <v>30</v>
      </c>
      <c r="K897" s="51" t="s">
        <v>308</v>
      </c>
      <c r="L897" s="102" t="s">
        <v>281</v>
      </c>
      <c r="M897" s="19" t="str">
        <f t="shared" si="27"/>
        <v>Oct_2017</v>
      </c>
    </row>
    <row r="898" spans="1:13">
      <c r="A898" s="45" t="s">
        <v>22</v>
      </c>
      <c r="B898" s="52" t="s">
        <v>255</v>
      </c>
      <c r="C898" s="46">
        <v>43011</v>
      </c>
      <c r="D898" s="47" t="s">
        <v>14</v>
      </c>
      <c r="E898" s="48">
        <v>0.29166666666666702</v>
      </c>
      <c r="F898" s="48">
        <v>0.66666666666666696</v>
      </c>
      <c r="G898" s="49">
        <v>0</v>
      </c>
      <c r="H898" s="49">
        <v>7.9999999999999982</v>
      </c>
      <c r="I898" s="49">
        <v>7.9999999999999982</v>
      </c>
      <c r="J898" s="50" t="s">
        <v>30</v>
      </c>
      <c r="K898" s="51" t="s">
        <v>308</v>
      </c>
      <c r="L898" s="102" t="s">
        <v>281</v>
      </c>
      <c r="M898" s="19" t="str">
        <f t="shared" si="27"/>
        <v>Oct_2017</v>
      </c>
    </row>
    <row r="899" spans="1:13">
      <c r="A899" s="45" t="s">
        <v>22</v>
      </c>
      <c r="B899" s="52" t="s">
        <v>23</v>
      </c>
      <c r="C899" s="46">
        <v>43012</v>
      </c>
      <c r="D899" s="47" t="s">
        <v>15</v>
      </c>
      <c r="E899" s="48">
        <v>0.35416666666666702</v>
      </c>
      <c r="F899" s="48">
        <v>0.72916666666666696</v>
      </c>
      <c r="G899" s="49">
        <v>0</v>
      </c>
      <c r="H899" s="49">
        <v>7.9999999999999982</v>
      </c>
      <c r="I899" s="49">
        <v>7.9999999999999982</v>
      </c>
      <c r="J899" s="53" t="s">
        <v>30</v>
      </c>
      <c r="K899" s="51" t="s">
        <v>309</v>
      </c>
      <c r="L899" s="102" t="s">
        <v>281</v>
      </c>
      <c r="M899" s="19" t="str">
        <f t="shared" si="27"/>
        <v>Oct_2017</v>
      </c>
    </row>
    <row r="900" spans="1:13">
      <c r="A900" s="45" t="s">
        <v>22</v>
      </c>
      <c r="B900" s="52" t="s">
        <v>80</v>
      </c>
      <c r="C900" s="46">
        <v>43012</v>
      </c>
      <c r="D900" s="47" t="s">
        <v>15</v>
      </c>
      <c r="E900" s="48">
        <v>0.35416666666666702</v>
      </c>
      <c r="F900" s="48">
        <v>0.47916666666666702</v>
      </c>
      <c r="G900" s="49">
        <v>0</v>
      </c>
      <c r="H900" s="49">
        <v>3</v>
      </c>
      <c r="I900" s="49">
        <v>3</v>
      </c>
      <c r="J900" s="50" t="s">
        <v>30</v>
      </c>
      <c r="K900" s="51" t="s">
        <v>309</v>
      </c>
      <c r="L900" s="102" t="s">
        <v>281</v>
      </c>
      <c r="M900" s="19" t="str">
        <f t="shared" si="27"/>
        <v>Oct_2017</v>
      </c>
    </row>
    <row r="901" spans="1:13">
      <c r="A901" s="45" t="s">
        <v>22</v>
      </c>
      <c r="B901" s="52" t="s">
        <v>23</v>
      </c>
      <c r="C901" s="46">
        <v>43013</v>
      </c>
      <c r="D901" s="47" t="s">
        <v>25</v>
      </c>
      <c r="E901" s="48">
        <v>0.35416666666666702</v>
      </c>
      <c r="F901" s="48">
        <v>0.72916666666666696</v>
      </c>
      <c r="G901" s="49">
        <v>0</v>
      </c>
      <c r="H901" s="49">
        <v>7.9999999999999982</v>
      </c>
      <c r="I901" s="49">
        <v>7.9999999999999982</v>
      </c>
      <c r="J901" s="50" t="s">
        <v>30</v>
      </c>
      <c r="K901" s="51" t="s">
        <v>310</v>
      </c>
      <c r="L901" s="102" t="s">
        <v>281</v>
      </c>
      <c r="M901" s="19" t="str">
        <f t="shared" si="27"/>
        <v>Oct_2017</v>
      </c>
    </row>
    <row r="902" spans="1:13">
      <c r="A902" s="45" t="s">
        <v>22</v>
      </c>
      <c r="B902" s="52" t="s">
        <v>23</v>
      </c>
      <c r="C902" s="46">
        <v>43014</v>
      </c>
      <c r="D902" s="47" t="s">
        <v>17</v>
      </c>
      <c r="E902" s="48">
        <v>0.35416666666666702</v>
      </c>
      <c r="F902" s="48">
        <v>0.72916666666666696</v>
      </c>
      <c r="G902" s="49">
        <v>0</v>
      </c>
      <c r="H902" s="49">
        <v>7.9999999999999982</v>
      </c>
      <c r="I902" s="49">
        <v>7.9999999999999982</v>
      </c>
      <c r="J902" s="50" t="s">
        <v>30</v>
      </c>
      <c r="K902" s="51" t="s">
        <v>311</v>
      </c>
      <c r="L902" s="102" t="s">
        <v>281</v>
      </c>
      <c r="M902" s="19" t="str">
        <f t="shared" si="27"/>
        <v>Oct_2017</v>
      </c>
    </row>
    <row r="903" spans="1:13">
      <c r="A903" s="45" t="s">
        <v>22</v>
      </c>
      <c r="B903" s="52" t="s">
        <v>23</v>
      </c>
      <c r="C903" s="46">
        <v>43017</v>
      </c>
      <c r="D903" s="47" t="s">
        <v>16</v>
      </c>
      <c r="E903" s="48">
        <v>0.35416666666666702</v>
      </c>
      <c r="F903" s="48">
        <v>0.72916666666666696</v>
      </c>
      <c r="G903" s="49">
        <v>0</v>
      </c>
      <c r="H903" s="49">
        <v>7.9999999999999982</v>
      </c>
      <c r="I903" s="49">
        <v>7.9999999999999982</v>
      </c>
      <c r="J903" s="50" t="s">
        <v>30</v>
      </c>
      <c r="K903" s="51" t="s">
        <v>312</v>
      </c>
      <c r="L903" s="102" t="s">
        <v>281</v>
      </c>
      <c r="M903" s="19" t="str">
        <f t="shared" si="27"/>
        <v>Oct_2017</v>
      </c>
    </row>
    <row r="904" spans="1:13">
      <c r="A904" s="45" t="s">
        <v>22</v>
      </c>
      <c r="B904" s="52" t="s">
        <v>23</v>
      </c>
      <c r="C904" s="46">
        <v>43018</v>
      </c>
      <c r="D904" s="47" t="s">
        <v>14</v>
      </c>
      <c r="E904" s="48">
        <v>0.35416666666666702</v>
      </c>
      <c r="F904" s="48">
        <v>0.72916666666666696</v>
      </c>
      <c r="G904" s="49">
        <v>0</v>
      </c>
      <c r="H904" s="49">
        <v>7.9999999999999982</v>
      </c>
      <c r="I904" s="49">
        <v>7.9999999999999982</v>
      </c>
      <c r="J904" s="50" t="s">
        <v>30</v>
      </c>
      <c r="K904" s="51" t="s">
        <v>313</v>
      </c>
      <c r="L904" s="102" t="s">
        <v>281</v>
      </c>
      <c r="M904" s="19" t="str">
        <f t="shared" si="27"/>
        <v>Oct_2017</v>
      </c>
    </row>
    <row r="905" spans="1:13">
      <c r="A905" s="45" t="s">
        <v>22</v>
      </c>
      <c r="B905" s="52" t="s">
        <v>23</v>
      </c>
      <c r="C905" s="46">
        <v>43019</v>
      </c>
      <c r="D905" s="47" t="s">
        <v>15</v>
      </c>
      <c r="E905" s="48">
        <v>0.35416666666666702</v>
      </c>
      <c r="F905" s="48">
        <v>0.72916666666666696</v>
      </c>
      <c r="G905" s="49">
        <v>0</v>
      </c>
      <c r="H905" s="49">
        <v>7.9999999999999982</v>
      </c>
      <c r="I905" s="49">
        <v>7.9999999999999982</v>
      </c>
      <c r="J905" s="50" t="s">
        <v>30</v>
      </c>
      <c r="K905" s="51" t="s">
        <v>314</v>
      </c>
      <c r="L905" s="102" t="s">
        <v>281</v>
      </c>
      <c r="M905" s="19" t="str">
        <f t="shared" si="27"/>
        <v>Oct_2017</v>
      </c>
    </row>
    <row r="906" spans="1:13">
      <c r="A906" s="45" t="s">
        <v>22</v>
      </c>
      <c r="B906" s="52" t="s">
        <v>23</v>
      </c>
      <c r="C906" s="46">
        <v>43020</v>
      </c>
      <c r="D906" s="47" t="s">
        <v>25</v>
      </c>
      <c r="E906" s="48">
        <v>0.35416666666666702</v>
      </c>
      <c r="F906" s="48">
        <v>0.72916666666666696</v>
      </c>
      <c r="G906" s="49">
        <v>0</v>
      </c>
      <c r="H906" s="49">
        <v>7.9999999999999982</v>
      </c>
      <c r="I906" s="49">
        <v>7.9999999999999982</v>
      </c>
      <c r="J906" s="50" t="s">
        <v>30</v>
      </c>
      <c r="K906" s="51" t="s">
        <v>315</v>
      </c>
      <c r="L906" s="102" t="s">
        <v>281</v>
      </c>
      <c r="M906" s="19" t="str">
        <f t="shared" si="27"/>
        <v>Oct_2017</v>
      </c>
    </row>
    <row r="907" spans="1:13">
      <c r="A907" s="45" t="s">
        <v>22</v>
      </c>
      <c r="B907" s="52" t="s">
        <v>23</v>
      </c>
      <c r="C907" s="46">
        <v>43021</v>
      </c>
      <c r="D907" s="47" t="s">
        <v>17</v>
      </c>
      <c r="E907" s="48">
        <v>0.35416666666666702</v>
      </c>
      <c r="F907" s="48">
        <v>0.72916666666666696</v>
      </c>
      <c r="G907" s="49">
        <v>0</v>
      </c>
      <c r="H907" s="49">
        <v>7.9999999999999982</v>
      </c>
      <c r="I907" s="49">
        <v>7.9999999999999982</v>
      </c>
      <c r="J907" s="50" t="s">
        <v>30</v>
      </c>
      <c r="K907" s="51" t="s">
        <v>316</v>
      </c>
      <c r="L907" s="102" t="s">
        <v>281</v>
      </c>
      <c r="M907" s="19" t="str">
        <f t="shared" si="27"/>
        <v>Oct_2017</v>
      </c>
    </row>
    <row r="908" spans="1:13">
      <c r="A908" s="45" t="s">
        <v>22</v>
      </c>
      <c r="B908" s="52" t="s">
        <v>23</v>
      </c>
      <c r="C908" s="46">
        <v>43024</v>
      </c>
      <c r="D908" s="47" t="s">
        <v>16</v>
      </c>
      <c r="E908" s="48">
        <v>0.35416666666666702</v>
      </c>
      <c r="F908" s="48">
        <v>0.72916666666666696</v>
      </c>
      <c r="G908" s="49">
        <v>0</v>
      </c>
      <c r="H908" s="49">
        <v>7.9999999999999982</v>
      </c>
      <c r="I908" s="49">
        <v>7.9999999999999982</v>
      </c>
      <c r="J908" s="50" t="s">
        <v>30</v>
      </c>
      <c r="K908" s="51" t="s">
        <v>317</v>
      </c>
      <c r="L908" s="102" t="s">
        <v>281</v>
      </c>
      <c r="M908" s="19" t="str">
        <f t="shared" si="27"/>
        <v>Oct_2017</v>
      </c>
    </row>
    <row r="909" spans="1:13">
      <c r="A909" s="45" t="s">
        <v>11</v>
      </c>
      <c r="B909" s="52" t="s">
        <v>12</v>
      </c>
      <c r="C909" s="54">
        <v>43025</v>
      </c>
      <c r="D909" s="47" t="s">
        <v>14</v>
      </c>
      <c r="E909" s="48">
        <v>0.72916666666666696</v>
      </c>
      <c r="F909" s="48">
        <v>0.8125</v>
      </c>
      <c r="G909" s="49">
        <v>8.0000000000000036</v>
      </c>
      <c r="H909" s="49">
        <v>1.9999999999999876</v>
      </c>
      <c r="I909" s="49">
        <v>1.9999999999999876</v>
      </c>
      <c r="J909" s="50" t="s">
        <v>30</v>
      </c>
      <c r="K909" s="51" t="s">
        <v>318</v>
      </c>
      <c r="L909" s="102" t="s">
        <v>281</v>
      </c>
      <c r="M909" s="19" t="str">
        <f t="shared" si="27"/>
        <v>Oct_2017</v>
      </c>
    </row>
    <row r="910" spans="1:13">
      <c r="A910" s="45" t="s">
        <v>11</v>
      </c>
      <c r="B910" s="52" t="s">
        <v>26</v>
      </c>
      <c r="C910" s="46">
        <v>43025</v>
      </c>
      <c r="D910" s="47" t="s">
        <v>14</v>
      </c>
      <c r="E910" s="48">
        <v>0.72916666666666696</v>
      </c>
      <c r="F910" s="48">
        <v>0.8125</v>
      </c>
      <c r="G910" s="49">
        <v>8.0000000000000036</v>
      </c>
      <c r="H910" s="49">
        <v>1.9999999999999876</v>
      </c>
      <c r="I910" s="49">
        <v>1.9999999999999876</v>
      </c>
      <c r="J910" s="50" t="s">
        <v>30</v>
      </c>
      <c r="K910" s="51" t="s">
        <v>318</v>
      </c>
      <c r="L910" s="102" t="s">
        <v>281</v>
      </c>
      <c r="M910" s="19" t="str">
        <f t="shared" si="27"/>
        <v>Oct_2017</v>
      </c>
    </row>
    <row r="911" spans="1:13">
      <c r="A911" s="45" t="s">
        <v>11</v>
      </c>
      <c r="B911" s="52" t="s">
        <v>149</v>
      </c>
      <c r="C911" s="46">
        <v>43025</v>
      </c>
      <c r="D911" s="47" t="s">
        <v>14</v>
      </c>
      <c r="E911" s="48">
        <v>0.72916666666666696</v>
      </c>
      <c r="F911" s="48">
        <v>0.8125</v>
      </c>
      <c r="G911" s="49">
        <v>8.0000000000000036</v>
      </c>
      <c r="H911" s="49">
        <v>1.9999999999999876</v>
      </c>
      <c r="I911" s="49">
        <v>1.9999999999999876</v>
      </c>
      <c r="J911" s="50" t="s">
        <v>30</v>
      </c>
      <c r="K911" s="51" t="s">
        <v>318</v>
      </c>
      <c r="L911" s="102" t="s">
        <v>281</v>
      </c>
      <c r="M911" s="19" t="str">
        <f t="shared" si="27"/>
        <v>Oct_2017</v>
      </c>
    </row>
    <row r="912" spans="1:13">
      <c r="A912" s="45" t="s">
        <v>11</v>
      </c>
      <c r="B912" s="52" t="s">
        <v>161</v>
      </c>
      <c r="C912" s="46">
        <v>43025</v>
      </c>
      <c r="D912" s="47" t="s">
        <v>14</v>
      </c>
      <c r="E912" s="48">
        <v>0.72916666666666696</v>
      </c>
      <c r="F912" s="48">
        <v>0.8125</v>
      </c>
      <c r="G912" s="49">
        <v>8.0000000000000036</v>
      </c>
      <c r="H912" s="49">
        <v>1.9999999999999876</v>
      </c>
      <c r="I912" s="49">
        <v>1.9999999999999876</v>
      </c>
      <c r="J912" s="53" t="s">
        <v>30</v>
      </c>
      <c r="K912" s="51" t="s">
        <v>318</v>
      </c>
      <c r="L912" s="102" t="s">
        <v>281</v>
      </c>
      <c r="M912" s="19" t="str">
        <f t="shared" si="27"/>
        <v>Oct_2017</v>
      </c>
    </row>
    <row r="913" spans="1:13">
      <c r="A913" s="45" t="s">
        <v>22</v>
      </c>
      <c r="B913" s="52" t="s">
        <v>23</v>
      </c>
      <c r="C913" s="46">
        <v>43025</v>
      </c>
      <c r="D913" s="47" t="s">
        <v>14</v>
      </c>
      <c r="E913" s="48">
        <v>0.35416666666666702</v>
      </c>
      <c r="F913" s="48">
        <v>0.8125</v>
      </c>
      <c r="G913" s="49">
        <v>0</v>
      </c>
      <c r="H913" s="49">
        <v>9.9999999999999911</v>
      </c>
      <c r="I913" s="49">
        <v>9.9999999999999911</v>
      </c>
      <c r="J913" s="50" t="s">
        <v>30</v>
      </c>
      <c r="K913" s="51" t="s">
        <v>318</v>
      </c>
      <c r="L913" s="102" t="s">
        <v>281</v>
      </c>
      <c r="M913" s="19" t="str">
        <f t="shared" si="27"/>
        <v>Oct_2017</v>
      </c>
    </row>
    <row r="914" spans="1:13">
      <c r="A914" s="45" t="s">
        <v>11</v>
      </c>
      <c r="B914" s="52" t="s">
        <v>19</v>
      </c>
      <c r="C914" s="46">
        <v>43026</v>
      </c>
      <c r="D914" s="47" t="s">
        <v>15</v>
      </c>
      <c r="E914" s="48">
        <v>0.72916666666666696</v>
      </c>
      <c r="F914" s="48">
        <v>0.8125</v>
      </c>
      <c r="G914" s="49">
        <v>8.0000000000000036</v>
      </c>
      <c r="H914" s="49">
        <v>1.9999999999999876</v>
      </c>
      <c r="I914" s="49">
        <v>1.9999999999999876</v>
      </c>
      <c r="J914" s="50" t="s">
        <v>30</v>
      </c>
      <c r="K914" s="51" t="s">
        <v>319</v>
      </c>
      <c r="L914" s="102" t="s">
        <v>281</v>
      </c>
      <c r="M914" s="19" t="str">
        <f t="shared" si="27"/>
        <v>Oct_2017</v>
      </c>
    </row>
    <row r="915" spans="1:13">
      <c r="A915" s="45" t="s">
        <v>11</v>
      </c>
      <c r="B915" s="52" t="s">
        <v>26</v>
      </c>
      <c r="C915" s="46">
        <v>43026</v>
      </c>
      <c r="D915" s="47" t="s">
        <v>15</v>
      </c>
      <c r="E915" s="48">
        <v>0.72916666666666696</v>
      </c>
      <c r="F915" s="48">
        <v>0.8125</v>
      </c>
      <c r="G915" s="49">
        <v>8.0000000000000036</v>
      </c>
      <c r="H915" s="49">
        <v>1.9999999999999876</v>
      </c>
      <c r="I915" s="49">
        <v>1.9999999999999876</v>
      </c>
      <c r="J915" s="53" t="s">
        <v>30</v>
      </c>
      <c r="K915" s="51" t="s">
        <v>319</v>
      </c>
      <c r="L915" s="102" t="s">
        <v>281</v>
      </c>
      <c r="M915" s="19" t="str">
        <f t="shared" si="27"/>
        <v>Oct_2017</v>
      </c>
    </row>
    <row r="916" spans="1:13">
      <c r="A916" s="45" t="s">
        <v>11</v>
      </c>
      <c r="B916" s="52" t="s">
        <v>149</v>
      </c>
      <c r="C916" s="46">
        <v>43026</v>
      </c>
      <c r="D916" s="47" t="s">
        <v>15</v>
      </c>
      <c r="E916" s="48">
        <v>0.72916666666666696</v>
      </c>
      <c r="F916" s="48">
        <v>0.8125</v>
      </c>
      <c r="G916" s="49">
        <v>8.0000000000000036</v>
      </c>
      <c r="H916" s="49">
        <v>1.9999999999999876</v>
      </c>
      <c r="I916" s="49">
        <v>1.9999999999999876</v>
      </c>
      <c r="J916" s="50" t="s">
        <v>30</v>
      </c>
      <c r="K916" s="51" t="s">
        <v>319</v>
      </c>
      <c r="L916" s="102" t="s">
        <v>281</v>
      </c>
      <c r="M916" s="19" t="str">
        <f t="shared" si="27"/>
        <v>Oct_2017</v>
      </c>
    </row>
    <row r="917" spans="1:13">
      <c r="A917" s="45" t="s">
        <v>11</v>
      </c>
      <c r="B917" s="52" t="s">
        <v>161</v>
      </c>
      <c r="C917" s="46">
        <v>43026</v>
      </c>
      <c r="D917" s="47" t="s">
        <v>15</v>
      </c>
      <c r="E917" s="48">
        <v>0.72916666666666696</v>
      </c>
      <c r="F917" s="48">
        <v>0.8125</v>
      </c>
      <c r="G917" s="49">
        <v>8.0000000000000036</v>
      </c>
      <c r="H917" s="49">
        <v>1.9999999999999876</v>
      </c>
      <c r="I917" s="49">
        <v>1.9999999999999876</v>
      </c>
      <c r="J917" s="53" t="s">
        <v>30</v>
      </c>
      <c r="K917" s="51" t="s">
        <v>319</v>
      </c>
      <c r="L917" s="102" t="s">
        <v>281</v>
      </c>
      <c r="M917" s="19" t="str">
        <f t="shared" si="27"/>
        <v>Oct_2017</v>
      </c>
    </row>
    <row r="918" spans="1:13">
      <c r="A918" s="45" t="s">
        <v>22</v>
      </c>
      <c r="B918" s="52" t="s">
        <v>23</v>
      </c>
      <c r="C918" s="46">
        <v>43026</v>
      </c>
      <c r="D918" s="47" t="s">
        <v>15</v>
      </c>
      <c r="E918" s="48">
        <v>0.35416666666666702</v>
      </c>
      <c r="F918" s="48">
        <v>0.8125</v>
      </c>
      <c r="G918" s="49">
        <v>0</v>
      </c>
      <c r="H918" s="49">
        <v>9.9999999999999911</v>
      </c>
      <c r="I918" s="49">
        <v>9.9999999999999911</v>
      </c>
      <c r="J918" s="50" t="s">
        <v>30</v>
      </c>
      <c r="K918" s="51" t="s">
        <v>319</v>
      </c>
      <c r="L918" s="102" t="s">
        <v>281</v>
      </c>
      <c r="M918" s="19" t="str">
        <f t="shared" si="27"/>
        <v>Oct_2017</v>
      </c>
    </row>
    <row r="919" spans="1:13">
      <c r="A919" s="45" t="s">
        <v>22</v>
      </c>
      <c r="B919" s="52" t="s">
        <v>254</v>
      </c>
      <c r="C919" s="46">
        <v>43026</v>
      </c>
      <c r="D919" s="47" t="s">
        <v>15</v>
      </c>
      <c r="E919" s="48">
        <v>0.35416666666666702</v>
      </c>
      <c r="F919" s="48">
        <v>0.8125</v>
      </c>
      <c r="G919" s="49">
        <v>0</v>
      </c>
      <c r="H919" s="49">
        <v>9.9999999999999911</v>
      </c>
      <c r="I919" s="49">
        <v>9.9999999999999911</v>
      </c>
      <c r="J919" s="50" t="s">
        <v>30</v>
      </c>
      <c r="K919" s="51" t="s">
        <v>319</v>
      </c>
      <c r="L919" s="102" t="s">
        <v>281</v>
      </c>
      <c r="M919" s="19" t="str">
        <f t="shared" si="27"/>
        <v>Oct_2017</v>
      </c>
    </row>
    <row r="920" spans="1:13">
      <c r="A920" s="45" t="s">
        <v>22</v>
      </c>
      <c r="B920" s="52" t="s">
        <v>23</v>
      </c>
      <c r="C920" s="46">
        <v>43027</v>
      </c>
      <c r="D920" s="47" t="s">
        <v>25</v>
      </c>
      <c r="E920" s="48">
        <v>0.35416666666666702</v>
      </c>
      <c r="F920" s="48">
        <v>0.72916666666666696</v>
      </c>
      <c r="G920" s="49">
        <v>0</v>
      </c>
      <c r="H920" s="49">
        <v>7.9999999999999982</v>
      </c>
      <c r="I920" s="49">
        <v>7.9999999999999982</v>
      </c>
      <c r="J920" s="53" t="s">
        <v>30</v>
      </c>
      <c r="K920" s="51" t="s">
        <v>320</v>
      </c>
      <c r="L920" s="102" t="s">
        <v>281</v>
      </c>
      <c r="M920" s="19" t="str">
        <f t="shared" si="27"/>
        <v>Oct_2017</v>
      </c>
    </row>
    <row r="921" spans="1:13">
      <c r="A921" s="45" t="s">
        <v>22</v>
      </c>
      <c r="B921" s="52" t="s">
        <v>23</v>
      </c>
      <c r="C921" s="46">
        <v>43028</v>
      </c>
      <c r="D921" s="47" t="s">
        <v>17</v>
      </c>
      <c r="E921" s="48">
        <v>0.35416666666666702</v>
      </c>
      <c r="F921" s="48">
        <v>0.6875</v>
      </c>
      <c r="G921" s="49">
        <v>0</v>
      </c>
      <c r="H921" s="49">
        <v>6.9999999999999911</v>
      </c>
      <c r="I921" s="49">
        <v>6.9999999999999911</v>
      </c>
      <c r="J921" s="50" t="s">
        <v>30</v>
      </c>
      <c r="K921" s="51" t="s">
        <v>321</v>
      </c>
      <c r="L921" s="102" t="s">
        <v>281</v>
      </c>
      <c r="M921" s="19" t="str">
        <f t="shared" si="27"/>
        <v>Oct_2017</v>
      </c>
    </row>
    <row r="922" spans="1:13">
      <c r="A922" s="45" t="s">
        <v>11</v>
      </c>
      <c r="B922" s="52" t="s">
        <v>12</v>
      </c>
      <c r="C922" s="54">
        <v>43031</v>
      </c>
      <c r="D922" s="47" t="s">
        <v>16</v>
      </c>
      <c r="E922" s="48">
        <v>0.72916666666666696</v>
      </c>
      <c r="F922" s="48">
        <v>0.89583333333333304</v>
      </c>
      <c r="G922" s="49">
        <v>8.0000000000000036</v>
      </c>
      <c r="H922" s="49">
        <v>3.9999999999999822</v>
      </c>
      <c r="I922" s="49">
        <v>3.9999999999999822</v>
      </c>
      <c r="J922" s="50" t="s">
        <v>30</v>
      </c>
      <c r="K922" s="51" t="s">
        <v>322</v>
      </c>
      <c r="L922" s="102">
        <v>1</v>
      </c>
      <c r="M922" s="19" t="str">
        <f t="shared" si="27"/>
        <v>Oct_2017</v>
      </c>
    </row>
    <row r="923" spans="1:13">
      <c r="A923" s="45" t="s">
        <v>11</v>
      </c>
      <c r="B923" s="52" t="s">
        <v>19</v>
      </c>
      <c r="C923" s="46">
        <v>43031</v>
      </c>
      <c r="D923" s="47" t="s">
        <v>16</v>
      </c>
      <c r="E923" s="48">
        <v>0.72916666666666696</v>
      </c>
      <c r="F923" s="48">
        <v>0.89583333333333304</v>
      </c>
      <c r="G923" s="49">
        <v>8.0000000000000036</v>
      </c>
      <c r="H923" s="49">
        <v>3.9999999999999822</v>
      </c>
      <c r="I923" s="49">
        <v>3.9999999999999822</v>
      </c>
      <c r="J923" s="50" t="s">
        <v>30</v>
      </c>
      <c r="K923" s="51" t="s">
        <v>322</v>
      </c>
      <c r="L923" s="102">
        <v>1</v>
      </c>
      <c r="M923" s="19" t="str">
        <f t="shared" si="27"/>
        <v>Oct_2017</v>
      </c>
    </row>
    <row r="924" spans="1:13">
      <c r="A924" s="45" t="s">
        <v>11</v>
      </c>
      <c r="B924" s="52" t="s">
        <v>149</v>
      </c>
      <c r="C924" s="46">
        <v>43031</v>
      </c>
      <c r="D924" s="47" t="s">
        <v>16</v>
      </c>
      <c r="E924" s="48">
        <v>0.72916666666666696</v>
      </c>
      <c r="F924" s="48">
        <v>0.89583333333333304</v>
      </c>
      <c r="G924" s="49">
        <v>8.0000000000000036</v>
      </c>
      <c r="H924" s="49">
        <v>3.9999999999999822</v>
      </c>
      <c r="I924" s="49">
        <v>3.9999999999999822</v>
      </c>
      <c r="J924" s="50" t="s">
        <v>30</v>
      </c>
      <c r="K924" s="51" t="s">
        <v>322</v>
      </c>
      <c r="L924" s="102">
        <v>1</v>
      </c>
      <c r="M924" s="19" t="str">
        <f t="shared" si="27"/>
        <v>Oct_2017</v>
      </c>
    </row>
    <row r="925" spans="1:13">
      <c r="A925" s="45" t="s">
        <v>11</v>
      </c>
      <c r="B925" s="52" t="s">
        <v>161</v>
      </c>
      <c r="C925" s="46">
        <v>43031</v>
      </c>
      <c r="D925" s="47" t="s">
        <v>16</v>
      </c>
      <c r="E925" s="48">
        <v>0.72916666666666696</v>
      </c>
      <c r="F925" s="48">
        <v>0.89583333333333304</v>
      </c>
      <c r="G925" s="49">
        <v>8.0000000000000036</v>
      </c>
      <c r="H925" s="49">
        <v>3.9999999999999822</v>
      </c>
      <c r="I925" s="49">
        <v>3.9999999999999822</v>
      </c>
      <c r="J925" s="50" t="s">
        <v>30</v>
      </c>
      <c r="K925" s="51" t="s">
        <v>322</v>
      </c>
      <c r="L925" s="102">
        <v>1</v>
      </c>
      <c r="M925" s="19" t="str">
        <f t="shared" si="27"/>
        <v>Oct_2017</v>
      </c>
    </row>
    <row r="926" spans="1:13">
      <c r="A926" s="45" t="s">
        <v>22</v>
      </c>
      <c r="B926" s="52" t="s">
        <v>23</v>
      </c>
      <c r="C926" s="46">
        <v>43031</v>
      </c>
      <c r="D926" s="47" t="s">
        <v>16</v>
      </c>
      <c r="E926" s="48">
        <v>0.35416666666666702</v>
      </c>
      <c r="F926" s="48">
        <v>0.88541666666666696</v>
      </c>
      <c r="G926" s="49">
        <v>0</v>
      </c>
      <c r="H926" s="49">
        <v>11.75</v>
      </c>
      <c r="I926" s="49">
        <v>11.75</v>
      </c>
      <c r="J926" s="50" t="s">
        <v>30</v>
      </c>
      <c r="K926" s="51" t="s">
        <v>322</v>
      </c>
      <c r="L926" s="102" t="s">
        <v>281</v>
      </c>
      <c r="M926" s="19" t="str">
        <f t="shared" si="27"/>
        <v>Oct_2017</v>
      </c>
    </row>
    <row r="927" spans="1:13">
      <c r="A927" s="45" t="s">
        <v>22</v>
      </c>
      <c r="B927" s="52" t="s">
        <v>254</v>
      </c>
      <c r="C927" s="46">
        <v>43031</v>
      </c>
      <c r="D927" s="47" t="s">
        <v>16</v>
      </c>
      <c r="E927" s="48">
        <v>0.52083333333333304</v>
      </c>
      <c r="F927" s="48">
        <v>0.88541666666666696</v>
      </c>
      <c r="G927" s="49">
        <v>0</v>
      </c>
      <c r="H927" s="49">
        <v>8.7500000000000142</v>
      </c>
      <c r="I927" s="49">
        <v>8.7500000000000142</v>
      </c>
      <c r="J927" s="50" t="s">
        <v>30</v>
      </c>
      <c r="K927" s="51" t="s">
        <v>322</v>
      </c>
      <c r="L927" s="102" t="s">
        <v>281</v>
      </c>
      <c r="M927" s="19" t="str">
        <f t="shared" si="27"/>
        <v>Oct_2017</v>
      </c>
    </row>
    <row r="928" spans="1:13">
      <c r="A928" s="45" t="s">
        <v>11</v>
      </c>
      <c r="B928" s="52" t="s">
        <v>12</v>
      </c>
      <c r="C928" s="54">
        <v>43032</v>
      </c>
      <c r="D928" s="47" t="s">
        <v>14</v>
      </c>
      <c r="E928" s="48">
        <v>0.72916666666666696</v>
      </c>
      <c r="F928" s="48">
        <v>0.89583333333333304</v>
      </c>
      <c r="G928" s="49">
        <v>8.0000000000000036</v>
      </c>
      <c r="H928" s="49">
        <v>3.9999999999999822</v>
      </c>
      <c r="I928" s="49">
        <v>3.9999999999999822</v>
      </c>
      <c r="J928" s="50" t="s">
        <v>30</v>
      </c>
      <c r="K928" s="51" t="s">
        <v>323</v>
      </c>
      <c r="L928" s="102">
        <v>1</v>
      </c>
      <c r="M928" s="19" t="str">
        <f t="shared" si="27"/>
        <v>Oct_2017</v>
      </c>
    </row>
    <row r="929" spans="1:13">
      <c r="A929" s="45" t="s">
        <v>11</v>
      </c>
      <c r="B929" s="52" t="s">
        <v>19</v>
      </c>
      <c r="C929" s="46">
        <v>43032</v>
      </c>
      <c r="D929" s="47" t="s">
        <v>14</v>
      </c>
      <c r="E929" s="48">
        <v>0.72916666666666696</v>
      </c>
      <c r="F929" s="48">
        <v>0.89583333333333304</v>
      </c>
      <c r="G929" s="49">
        <v>8.0000000000000036</v>
      </c>
      <c r="H929" s="49">
        <v>3.9999999999999822</v>
      </c>
      <c r="I929" s="49">
        <v>3.9999999999999822</v>
      </c>
      <c r="J929" s="50" t="s">
        <v>30</v>
      </c>
      <c r="K929" s="51" t="s">
        <v>323</v>
      </c>
      <c r="L929" s="102">
        <v>1</v>
      </c>
      <c r="M929" s="19" t="str">
        <f t="shared" si="27"/>
        <v>Oct_2017</v>
      </c>
    </row>
    <row r="930" spans="1:13">
      <c r="A930" s="45" t="s">
        <v>11</v>
      </c>
      <c r="B930" s="52" t="s">
        <v>26</v>
      </c>
      <c r="C930" s="46">
        <v>43032</v>
      </c>
      <c r="D930" s="47" t="s">
        <v>14</v>
      </c>
      <c r="E930" s="48">
        <v>0.72916666666666696</v>
      </c>
      <c r="F930" s="48">
        <v>0.89583333333333304</v>
      </c>
      <c r="G930" s="49">
        <v>8.0000000000000036</v>
      </c>
      <c r="H930" s="49">
        <v>3.9999999999999822</v>
      </c>
      <c r="I930" s="49">
        <v>3.9999999999999822</v>
      </c>
      <c r="J930" s="50" t="s">
        <v>30</v>
      </c>
      <c r="K930" s="51" t="s">
        <v>323</v>
      </c>
      <c r="L930" s="102">
        <v>1</v>
      </c>
      <c r="M930" s="19" t="str">
        <f t="shared" si="27"/>
        <v>Oct_2017</v>
      </c>
    </row>
    <row r="931" spans="1:13">
      <c r="A931" s="45" t="s">
        <v>11</v>
      </c>
      <c r="B931" s="52" t="s">
        <v>149</v>
      </c>
      <c r="C931" s="46">
        <v>43032</v>
      </c>
      <c r="D931" s="47" t="s">
        <v>14</v>
      </c>
      <c r="E931" s="48">
        <v>0.72916666666666696</v>
      </c>
      <c r="F931" s="48">
        <v>0.89583333333333304</v>
      </c>
      <c r="G931" s="49">
        <v>8.0000000000000036</v>
      </c>
      <c r="H931" s="49">
        <v>3.9999999999999822</v>
      </c>
      <c r="I931" s="49">
        <v>3.9999999999999822</v>
      </c>
      <c r="J931" s="50" t="s">
        <v>30</v>
      </c>
      <c r="K931" s="51" t="s">
        <v>323</v>
      </c>
      <c r="L931" s="102">
        <v>1</v>
      </c>
      <c r="M931" s="19" t="str">
        <f t="shared" si="27"/>
        <v>Oct_2017</v>
      </c>
    </row>
    <row r="932" spans="1:13">
      <c r="A932" s="45" t="s">
        <v>11</v>
      </c>
      <c r="B932" s="52" t="s">
        <v>161</v>
      </c>
      <c r="C932" s="46">
        <v>43032</v>
      </c>
      <c r="D932" s="47" t="s">
        <v>14</v>
      </c>
      <c r="E932" s="48">
        <v>0.72916666666666696</v>
      </c>
      <c r="F932" s="48">
        <v>0.89583333333333304</v>
      </c>
      <c r="G932" s="49">
        <v>8.0000000000000036</v>
      </c>
      <c r="H932" s="49">
        <v>3.9999999999999822</v>
      </c>
      <c r="I932" s="49">
        <v>3.9999999999999822</v>
      </c>
      <c r="J932" s="50" t="s">
        <v>30</v>
      </c>
      <c r="K932" s="51" t="s">
        <v>323</v>
      </c>
      <c r="L932" s="102">
        <v>1</v>
      </c>
      <c r="M932" s="19" t="str">
        <f t="shared" si="27"/>
        <v>Oct_2017</v>
      </c>
    </row>
    <row r="933" spans="1:13">
      <c r="A933" s="45" t="s">
        <v>22</v>
      </c>
      <c r="B933" s="52" t="s">
        <v>23</v>
      </c>
      <c r="C933" s="46">
        <v>43032</v>
      </c>
      <c r="D933" s="47" t="s">
        <v>14</v>
      </c>
      <c r="E933" s="48">
        <v>0.35416666666666702</v>
      </c>
      <c r="F933" s="48">
        <v>0.89583333333333304</v>
      </c>
      <c r="G933" s="49">
        <v>0</v>
      </c>
      <c r="H933" s="49">
        <v>11.999999999999986</v>
      </c>
      <c r="I933" s="49">
        <v>11.999999999999986</v>
      </c>
      <c r="J933" s="50" t="s">
        <v>30</v>
      </c>
      <c r="K933" s="51" t="s">
        <v>323</v>
      </c>
      <c r="L933" s="102" t="s">
        <v>281</v>
      </c>
      <c r="M933" s="19" t="str">
        <f t="shared" si="27"/>
        <v>Oct_2017</v>
      </c>
    </row>
    <row r="934" spans="1:13">
      <c r="A934" s="45" t="s">
        <v>11</v>
      </c>
      <c r="B934" s="52" t="s">
        <v>12</v>
      </c>
      <c r="C934" s="54">
        <v>43033</v>
      </c>
      <c r="D934" s="47" t="s">
        <v>15</v>
      </c>
      <c r="E934" s="48">
        <v>0.72916666666666696</v>
      </c>
      <c r="F934" s="48">
        <v>0.89583333333333304</v>
      </c>
      <c r="G934" s="49">
        <v>8.0000000000000036</v>
      </c>
      <c r="H934" s="49">
        <v>3.9999999999999822</v>
      </c>
      <c r="I934" s="49">
        <v>3.9999999999999822</v>
      </c>
      <c r="J934" s="50" t="s">
        <v>30</v>
      </c>
      <c r="K934" s="51" t="s">
        <v>324</v>
      </c>
      <c r="L934" s="102">
        <v>1</v>
      </c>
      <c r="M934" s="19" t="str">
        <f t="shared" si="27"/>
        <v>Oct_2017</v>
      </c>
    </row>
    <row r="935" spans="1:13">
      <c r="A935" s="45" t="s">
        <v>11</v>
      </c>
      <c r="B935" s="52" t="s">
        <v>19</v>
      </c>
      <c r="C935" s="46">
        <v>43033</v>
      </c>
      <c r="D935" s="47" t="s">
        <v>15</v>
      </c>
      <c r="E935" s="48">
        <v>0.72916666666666696</v>
      </c>
      <c r="F935" s="48">
        <v>0.89583333333333304</v>
      </c>
      <c r="G935" s="49">
        <v>8.0000000000000036</v>
      </c>
      <c r="H935" s="49">
        <v>3.9999999999999822</v>
      </c>
      <c r="I935" s="49">
        <v>3.9999999999999822</v>
      </c>
      <c r="J935" s="50" t="s">
        <v>30</v>
      </c>
      <c r="K935" s="51" t="s">
        <v>324</v>
      </c>
      <c r="L935" s="102">
        <v>1</v>
      </c>
      <c r="M935" s="19" t="str">
        <f t="shared" si="27"/>
        <v>Oct_2017</v>
      </c>
    </row>
    <row r="936" spans="1:13">
      <c r="A936" s="45" t="s">
        <v>11</v>
      </c>
      <c r="B936" s="52" t="s">
        <v>26</v>
      </c>
      <c r="C936" s="46">
        <v>43033</v>
      </c>
      <c r="D936" s="47" t="s">
        <v>15</v>
      </c>
      <c r="E936" s="48">
        <v>0.72916666666666696</v>
      </c>
      <c r="F936" s="48">
        <v>0.89583333333333304</v>
      </c>
      <c r="G936" s="49">
        <v>8.0000000000000036</v>
      </c>
      <c r="H936" s="49">
        <v>3.9999999999999822</v>
      </c>
      <c r="I936" s="49">
        <v>3.9999999999999822</v>
      </c>
      <c r="J936" s="50" t="s">
        <v>30</v>
      </c>
      <c r="K936" s="51" t="s">
        <v>324</v>
      </c>
      <c r="L936" s="102">
        <v>1</v>
      </c>
      <c r="M936" s="19" t="str">
        <f t="shared" si="27"/>
        <v>Oct_2017</v>
      </c>
    </row>
    <row r="937" spans="1:13">
      <c r="A937" s="45" t="s">
        <v>11</v>
      </c>
      <c r="B937" s="52" t="s">
        <v>149</v>
      </c>
      <c r="C937" s="46">
        <v>43033</v>
      </c>
      <c r="D937" s="47" t="s">
        <v>15</v>
      </c>
      <c r="E937" s="48">
        <v>0.72916666666666696</v>
      </c>
      <c r="F937" s="48">
        <v>0.89583333333333304</v>
      </c>
      <c r="G937" s="49">
        <v>8.0000000000000036</v>
      </c>
      <c r="H937" s="49">
        <v>3.9999999999999822</v>
      </c>
      <c r="I937" s="49">
        <v>3.9999999999999822</v>
      </c>
      <c r="J937" s="50" t="s">
        <v>30</v>
      </c>
      <c r="K937" s="51" t="s">
        <v>324</v>
      </c>
      <c r="L937" s="102">
        <v>1</v>
      </c>
      <c r="M937" s="19" t="str">
        <f t="shared" si="27"/>
        <v>Oct_2017</v>
      </c>
    </row>
    <row r="938" spans="1:13">
      <c r="A938" s="45" t="s">
        <v>11</v>
      </c>
      <c r="B938" s="52" t="s">
        <v>161</v>
      </c>
      <c r="C938" s="46">
        <v>43033</v>
      </c>
      <c r="D938" s="47" t="s">
        <v>15</v>
      </c>
      <c r="E938" s="48">
        <v>0.72916666666666696</v>
      </c>
      <c r="F938" s="48">
        <v>0.83333333333333304</v>
      </c>
      <c r="G938" s="49">
        <v>8.0000000000000036</v>
      </c>
      <c r="H938" s="49">
        <v>2.4999999999999805</v>
      </c>
      <c r="I938" s="49">
        <v>2.4999999999999805</v>
      </c>
      <c r="J938" s="53" t="s">
        <v>30</v>
      </c>
      <c r="K938" s="51" t="s">
        <v>324</v>
      </c>
      <c r="L938" s="102">
        <v>1</v>
      </c>
      <c r="M938" s="19" t="str">
        <f t="shared" ref="M938:M979" si="28">IF($C938="","",TEXT(DATE(YEAR($C938),MONTH($C938),DAY($C938)),"MMM")&amp;"_"&amp;YEAR($C938))</f>
        <v>Oct_2017</v>
      </c>
    </row>
    <row r="939" spans="1:13">
      <c r="A939" s="45" t="s">
        <v>22</v>
      </c>
      <c r="B939" s="52" t="s">
        <v>23</v>
      </c>
      <c r="C939" s="46">
        <v>43033</v>
      </c>
      <c r="D939" s="47" t="s">
        <v>15</v>
      </c>
      <c r="E939" s="48">
        <v>0.35416666666666702</v>
      </c>
      <c r="F939" s="48">
        <v>0.89583333333333304</v>
      </c>
      <c r="G939" s="49">
        <v>0</v>
      </c>
      <c r="H939" s="49">
        <v>11.999999999999986</v>
      </c>
      <c r="I939" s="49">
        <v>11.999999999999986</v>
      </c>
      <c r="J939" s="50" t="s">
        <v>30</v>
      </c>
      <c r="K939" s="51" t="s">
        <v>324</v>
      </c>
      <c r="L939" s="102" t="s">
        <v>281</v>
      </c>
      <c r="M939" s="19" t="str">
        <f t="shared" si="28"/>
        <v>Oct_2017</v>
      </c>
    </row>
    <row r="940" spans="1:13">
      <c r="A940" s="45" t="s">
        <v>22</v>
      </c>
      <c r="B940" s="52" t="s">
        <v>254</v>
      </c>
      <c r="C940" s="46">
        <v>43033</v>
      </c>
      <c r="D940" s="47" t="s">
        <v>15</v>
      </c>
      <c r="E940" s="48">
        <v>0.52083333333333304</v>
      </c>
      <c r="F940" s="48">
        <v>0.89583333333333304</v>
      </c>
      <c r="G940" s="49">
        <v>0</v>
      </c>
      <c r="H940" s="49">
        <v>9</v>
      </c>
      <c r="I940" s="49">
        <v>9</v>
      </c>
      <c r="J940" s="50" t="s">
        <v>30</v>
      </c>
      <c r="K940" s="51" t="s">
        <v>324</v>
      </c>
      <c r="L940" s="102" t="s">
        <v>281</v>
      </c>
      <c r="M940" s="19" t="str">
        <f t="shared" si="28"/>
        <v>Oct_2017</v>
      </c>
    </row>
    <row r="941" spans="1:13">
      <c r="A941" s="45" t="s">
        <v>11</v>
      </c>
      <c r="B941" s="52" t="s">
        <v>12</v>
      </c>
      <c r="C941" s="54">
        <v>43034</v>
      </c>
      <c r="D941" s="47" t="s">
        <v>25</v>
      </c>
      <c r="E941" s="48">
        <v>0.70833333333333304</v>
      </c>
      <c r="F941" s="48">
        <v>0.875</v>
      </c>
      <c r="G941" s="49">
        <v>8.0000000000000036</v>
      </c>
      <c r="H941" s="49">
        <v>4.0000000000000036</v>
      </c>
      <c r="I941" s="49">
        <v>4.0000000000000036</v>
      </c>
      <c r="J941" s="53" t="s">
        <v>30</v>
      </c>
      <c r="K941" s="51" t="s">
        <v>325</v>
      </c>
      <c r="L941" s="102">
        <v>1</v>
      </c>
      <c r="M941" s="19" t="str">
        <f t="shared" si="28"/>
        <v>Oct_2017</v>
      </c>
    </row>
    <row r="942" spans="1:13">
      <c r="A942" s="45" t="s">
        <v>11</v>
      </c>
      <c r="B942" s="52" t="s">
        <v>19</v>
      </c>
      <c r="C942" s="46">
        <v>43034</v>
      </c>
      <c r="D942" s="47" t="s">
        <v>25</v>
      </c>
      <c r="E942" s="48">
        <v>0.70833333333333304</v>
      </c>
      <c r="F942" s="48">
        <v>0.875</v>
      </c>
      <c r="G942" s="49">
        <v>8.0000000000000036</v>
      </c>
      <c r="H942" s="49">
        <v>4.0000000000000036</v>
      </c>
      <c r="I942" s="49">
        <v>4.0000000000000036</v>
      </c>
      <c r="J942" s="50" t="s">
        <v>30</v>
      </c>
      <c r="K942" s="51" t="s">
        <v>325</v>
      </c>
      <c r="L942" s="102">
        <v>1</v>
      </c>
      <c r="M942" s="19" t="str">
        <f t="shared" si="28"/>
        <v>Oct_2017</v>
      </c>
    </row>
    <row r="943" spans="1:13">
      <c r="A943" s="45" t="s">
        <v>11</v>
      </c>
      <c r="B943" s="52" t="s">
        <v>26</v>
      </c>
      <c r="C943" s="46">
        <v>43034</v>
      </c>
      <c r="D943" s="47" t="s">
        <v>25</v>
      </c>
      <c r="E943" s="48">
        <v>0.70833333333333304</v>
      </c>
      <c r="F943" s="48">
        <v>0.875</v>
      </c>
      <c r="G943" s="49">
        <v>8.0000000000000036</v>
      </c>
      <c r="H943" s="49">
        <v>4.0000000000000036</v>
      </c>
      <c r="I943" s="49">
        <v>4.0000000000000036</v>
      </c>
      <c r="J943" s="53" t="s">
        <v>30</v>
      </c>
      <c r="K943" s="51" t="s">
        <v>325</v>
      </c>
      <c r="L943" s="102">
        <v>1</v>
      </c>
      <c r="M943" s="19" t="str">
        <f t="shared" si="28"/>
        <v>Oct_2017</v>
      </c>
    </row>
    <row r="944" spans="1:13">
      <c r="A944" s="45" t="s">
        <v>11</v>
      </c>
      <c r="B944" s="52" t="s">
        <v>149</v>
      </c>
      <c r="C944" s="46">
        <v>43034</v>
      </c>
      <c r="D944" s="47" t="s">
        <v>25</v>
      </c>
      <c r="E944" s="48">
        <v>0.70833333333333304</v>
      </c>
      <c r="F944" s="48">
        <v>0.875</v>
      </c>
      <c r="G944" s="49">
        <v>8.0000000000000036</v>
      </c>
      <c r="H944" s="49">
        <v>4.0000000000000036</v>
      </c>
      <c r="I944" s="49">
        <v>4.0000000000000036</v>
      </c>
      <c r="J944" s="53" t="s">
        <v>30</v>
      </c>
      <c r="K944" s="51" t="s">
        <v>325</v>
      </c>
      <c r="L944" s="102">
        <v>1</v>
      </c>
      <c r="M944" s="19" t="str">
        <f t="shared" si="28"/>
        <v>Oct_2017</v>
      </c>
    </row>
    <row r="945" spans="1:13">
      <c r="A945" s="45" t="s">
        <v>11</v>
      </c>
      <c r="B945" s="52" t="s">
        <v>161</v>
      </c>
      <c r="C945" s="46">
        <v>43034</v>
      </c>
      <c r="D945" s="47" t="s">
        <v>25</v>
      </c>
      <c r="E945" s="48">
        <v>0.70833333333333304</v>
      </c>
      <c r="F945" s="48">
        <v>0.875</v>
      </c>
      <c r="G945" s="49">
        <v>8.0000000000000036</v>
      </c>
      <c r="H945" s="49">
        <v>4.0000000000000036</v>
      </c>
      <c r="I945" s="49">
        <v>4.0000000000000036</v>
      </c>
      <c r="J945" s="53" t="s">
        <v>30</v>
      </c>
      <c r="K945" s="51" t="s">
        <v>325</v>
      </c>
      <c r="L945" s="102">
        <v>1</v>
      </c>
      <c r="M945" s="19" t="str">
        <f t="shared" si="28"/>
        <v>Oct_2017</v>
      </c>
    </row>
    <row r="946" spans="1:13">
      <c r="A946" s="45" t="s">
        <v>22</v>
      </c>
      <c r="B946" s="52" t="s">
        <v>23</v>
      </c>
      <c r="C946" s="46">
        <v>43034</v>
      </c>
      <c r="D946" s="47" t="s">
        <v>25</v>
      </c>
      <c r="E946" s="48">
        <v>0.33333333333333298</v>
      </c>
      <c r="F946" s="48">
        <v>0.875</v>
      </c>
      <c r="G946" s="49">
        <v>0</v>
      </c>
      <c r="H946" s="49">
        <v>12.000000000000007</v>
      </c>
      <c r="I946" s="49">
        <v>12.000000000000007</v>
      </c>
      <c r="J946" s="50" t="s">
        <v>30</v>
      </c>
      <c r="K946" s="51" t="s">
        <v>325</v>
      </c>
      <c r="L946" s="102" t="s">
        <v>281</v>
      </c>
      <c r="M946" s="19" t="str">
        <f t="shared" si="28"/>
        <v>Oct_2017</v>
      </c>
    </row>
    <row r="947" spans="1:13">
      <c r="A947" s="45" t="s">
        <v>22</v>
      </c>
      <c r="B947" s="52" t="s">
        <v>255</v>
      </c>
      <c r="C947" s="46">
        <v>43034</v>
      </c>
      <c r="D947" s="47" t="s">
        <v>25</v>
      </c>
      <c r="E947" s="48">
        <v>0.33333333333333298</v>
      </c>
      <c r="F947" s="48">
        <v>0.875</v>
      </c>
      <c r="G947" s="49">
        <v>0</v>
      </c>
      <c r="H947" s="49">
        <v>12.000000000000007</v>
      </c>
      <c r="I947" s="49">
        <v>12.000000000000007</v>
      </c>
      <c r="J947" s="50" t="s">
        <v>30</v>
      </c>
      <c r="K947" s="51" t="s">
        <v>325</v>
      </c>
      <c r="L947" s="102" t="s">
        <v>281</v>
      </c>
      <c r="M947" s="19" t="str">
        <f t="shared" si="28"/>
        <v>Oct_2017</v>
      </c>
    </row>
    <row r="948" spans="1:13">
      <c r="A948" s="45" t="s">
        <v>22</v>
      </c>
      <c r="B948" s="52" t="s">
        <v>27</v>
      </c>
      <c r="C948" s="46">
        <v>43034</v>
      </c>
      <c r="D948" s="47" t="s">
        <v>25</v>
      </c>
      <c r="E948" s="48">
        <v>0.39583333333333298</v>
      </c>
      <c r="F948" s="48">
        <v>0.79166666666666696</v>
      </c>
      <c r="G948" s="49">
        <v>0</v>
      </c>
      <c r="H948" s="49">
        <v>8.500000000000016</v>
      </c>
      <c r="I948" s="49">
        <v>8.500000000000016</v>
      </c>
      <c r="J948" s="53" t="s">
        <v>30</v>
      </c>
      <c r="K948" s="51" t="s">
        <v>325</v>
      </c>
      <c r="L948" s="102" t="s">
        <v>281</v>
      </c>
      <c r="M948" s="19" t="str">
        <f t="shared" si="28"/>
        <v>Oct_2017</v>
      </c>
    </row>
    <row r="949" spans="1:13">
      <c r="A949" s="45" t="s">
        <v>11</v>
      </c>
      <c r="B949" s="52" t="s">
        <v>12</v>
      </c>
      <c r="C949" s="54">
        <v>43035</v>
      </c>
      <c r="D949" s="47" t="s">
        <v>17</v>
      </c>
      <c r="E949" s="48">
        <v>0.70833333333333304</v>
      </c>
      <c r="F949" s="48">
        <v>0.8125</v>
      </c>
      <c r="G949" s="49">
        <v>8.0000000000000036</v>
      </c>
      <c r="H949" s="49">
        <v>2.5000000000000053</v>
      </c>
      <c r="I949" s="49">
        <v>2.5000000000000053</v>
      </c>
      <c r="J949" s="53" t="s">
        <v>30</v>
      </c>
      <c r="K949" s="51" t="s">
        <v>326</v>
      </c>
      <c r="L949" s="102">
        <v>1</v>
      </c>
      <c r="M949" s="19" t="str">
        <f t="shared" si="28"/>
        <v>Oct_2017</v>
      </c>
    </row>
    <row r="950" spans="1:13">
      <c r="A950" s="45" t="s">
        <v>11</v>
      </c>
      <c r="B950" s="52" t="s">
        <v>19</v>
      </c>
      <c r="C950" s="46">
        <v>43035</v>
      </c>
      <c r="D950" s="47" t="s">
        <v>17</v>
      </c>
      <c r="E950" s="48">
        <v>0.70833333333333304</v>
      </c>
      <c r="F950" s="48">
        <v>0.8125</v>
      </c>
      <c r="G950" s="49">
        <v>8.0000000000000036</v>
      </c>
      <c r="H950" s="49">
        <v>2.5000000000000053</v>
      </c>
      <c r="I950" s="49">
        <v>2.5000000000000053</v>
      </c>
      <c r="J950" s="53" t="s">
        <v>30</v>
      </c>
      <c r="K950" s="51" t="s">
        <v>326</v>
      </c>
      <c r="L950" s="102">
        <v>1</v>
      </c>
      <c r="M950" s="19" t="str">
        <f t="shared" si="28"/>
        <v>Oct_2017</v>
      </c>
    </row>
    <row r="951" spans="1:13">
      <c r="A951" s="45" t="s">
        <v>11</v>
      </c>
      <c r="B951" s="52" t="s">
        <v>26</v>
      </c>
      <c r="C951" s="46">
        <v>43035</v>
      </c>
      <c r="D951" s="47" t="s">
        <v>17</v>
      </c>
      <c r="E951" s="48">
        <v>0.70833333333333304</v>
      </c>
      <c r="F951" s="48">
        <v>0.8125</v>
      </c>
      <c r="G951" s="49">
        <v>8.0000000000000036</v>
      </c>
      <c r="H951" s="49">
        <v>2.5000000000000053</v>
      </c>
      <c r="I951" s="49">
        <v>2.5000000000000053</v>
      </c>
      <c r="J951" s="50" t="s">
        <v>30</v>
      </c>
      <c r="K951" s="51" t="s">
        <v>326</v>
      </c>
      <c r="L951" s="102">
        <v>1</v>
      </c>
      <c r="M951" s="19" t="str">
        <f t="shared" si="28"/>
        <v>Oct_2017</v>
      </c>
    </row>
    <row r="952" spans="1:13">
      <c r="A952" s="45" t="s">
        <v>11</v>
      </c>
      <c r="B952" s="52" t="s">
        <v>149</v>
      </c>
      <c r="C952" s="46">
        <v>43035</v>
      </c>
      <c r="D952" s="47" t="s">
        <v>17</v>
      </c>
      <c r="E952" s="48">
        <v>0.70833333333333304</v>
      </c>
      <c r="F952" s="48">
        <v>0.8125</v>
      </c>
      <c r="G952" s="49">
        <v>8.0000000000000036</v>
      </c>
      <c r="H952" s="49">
        <v>2.5000000000000053</v>
      </c>
      <c r="I952" s="49">
        <v>2.5000000000000053</v>
      </c>
      <c r="J952" s="53" t="s">
        <v>30</v>
      </c>
      <c r="K952" s="51" t="s">
        <v>326</v>
      </c>
      <c r="L952" s="102">
        <v>1</v>
      </c>
      <c r="M952" s="19" t="str">
        <f t="shared" si="28"/>
        <v>Oct_2017</v>
      </c>
    </row>
    <row r="953" spans="1:13">
      <c r="A953" s="45" t="s">
        <v>11</v>
      </c>
      <c r="B953" s="52" t="s">
        <v>161</v>
      </c>
      <c r="C953" s="46">
        <v>43035</v>
      </c>
      <c r="D953" s="47" t="s">
        <v>17</v>
      </c>
      <c r="E953" s="48">
        <v>0.70833333333333304</v>
      </c>
      <c r="F953" s="48">
        <v>0.8125</v>
      </c>
      <c r="G953" s="49">
        <v>8.0000000000000036</v>
      </c>
      <c r="H953" s="49">
        <v>2.5000000000000053</v>
      </c>
      <c r="I953" s="49">
        <v>2.5000000000000053</v>
      </c>
      <c r="J953" s="53" t="s">
        <v>30</v>
      </c>
      <c r="K953" s="51" t="s">
        <v>326</v>
      </c>
      <c r="L953" s="102">
        <v>1</v>
      </c>
      <c r="M953" s="19" t="str">
        <f t="shared" si="28"/>
        <v>Oct_2017</v>
      </c>
    </row>
    <row r="954" spans="1:13">
      <c r="A954" s="45" t="s">
        <v>22</v>
      </c>
      <c r="B954" s="52" t="s">
        <v>23</v>
      </c>
      <c r="C954" s="46">
        <v>43035</v>
      </c>
      <c r="D954" s="47" t="s">
        <v>17</v>
      </c>
      <c r="E954" s="48">
        <v>0.33333333333333298</v>
      </c>
      <c r="F954" s="48">
        <v>0.8125</v>
      </c>
      <c r="G954" s="49">
        <v>0</v>
      </c>
      <c r="H954" s="49">
        <v>10.500000000000009</v>
      </c>
      <c r="I954" s="49">
        <v>10.500000000000009</v>
      </c>
      <c r="J954" s="53" t="s">
        <v>30</v>
      </c>
      <c r="K954" s="51" t="s">
        <v>326</v>
      </c>
      <c r="L954" s="102" t="s">
        <v>281</v>
      </c>
      <c r="M954" s="19" t="str">
        <f t="shared" si="28"/>
        <v>Oct_2017</v>
      </c>
    </row>
    <row r="955" spans="1:13">
      <c r="A955" s="45" t="s">
        <v>22</v>
      </c>
      <c r="B955" s="52" t="s">
        <v>254</v>
      </c>
      <c r="C955" s="46">
        <v>43035</v>
      </c>
      <c r="D955" s="47" t="s">
        <v>17</v>
      </c>
      <c r="E955" s="48">
        <v>0.33333333333333298</v>
      </c>
      <c r="F955" s="48">
        <v>0.8125</v>
      </c>
      <c r="G955" s="49">
        <v>0</v>
      </c>
      <c r="H955" s="49">
        <v>10.500000000000009</v>
      </c>
      <c r="I955" s="49">
        <v>10.500000000000009</v>
      </c>
      <c r="J955" s="50" t="s">
        <v>30</v>
      </c>
      <c r="K955" s="51" t="s">
        <v>326</v>
      </c>
      <c r="L955" s="102" t="s">
        <v>281</v>
      </c>
      <c r="M955" s="19" t="str">
        <f t="shared" si="28"/>
        <v>Oct_2017</v>
      </c>
    </row>
    <row r="956" spans="1:13">
      <c r="A956" s="45" t="s">
        <v>11</v>
      </c>
      <c r="B956" s="52" t="s">
        <v>12</v>
      </c>
      <c r="C956" s="54">
        <v>43036</v>
      </c>
      <c r="D956" s="47" t="s">
        <v>24</v>
      </c>
      <c r="E956" s="48">
        <v>0.33333333333333298</v>
      </c>
      <c r="F956" s="48">
        <v>0.70833333333333304</v>
      </c>
      <c r="G956" s="49">
        <v>8.0000000000000036</v>
      </c>
      <c r="H956" s="49">
        <v>0</v>
      </c>
      <c r="I956" s="49">
        <v>8.0000000000000036</v>
      </c>
      <c r="J956" s="53" t="s">
        <v>52</v>
      </c>
      <c r="K956" s="51" t="s">
        <v>327</v>
      </c>
      <c r="L956" s="102" t="s">
        <v>281</v>
      </c>
      <c r="M956" s="19" t="str">
        <f t="shared" si="28"/>
        <v>Oct_2017</v>
      </c>
    </row>
    <row r="957" spans="1:13">
      <c r="A957" s="45" t="s">
        <v>11</v>
      </c>
      <c r="B957" s="52" t="s">
        <v>19</v>
      </c>
      <c r="C957" s="46">
        <v>43036</v>
      </c>
      <c r="D957" s="47" t="s">
        <v>24</v>
      </c>
      <c r="E957" s="48">
        <v>0.70833333333333304</v>
      </c>
      <c r="F957" s="48">
        <v>0.79166666666666696</v>
      </c>
      <c r="G957" s="49">
        <v>8.0000000000000036</v>
      </c>
      <c r="H957" s="49">
        <v>2.0000000000000124</v>
      </c>
      <c r="I957" s="49">
        <v>10.000000000000016</v>
      </c>
      <c r="J957" s="53" t="s">
        <v>52</v>
      </c>
      <c r="K957" s="51" t="s">
        <v>327</v>
      </c>
      <c r="L957" s="102">
        <v>1</v>
      </c>
      <c r="M957" s="19" t="str">
        <f t="shared" si="28"/>
        <v>Oct_2017</v>
      </c>
    </row>
    <row r="958" spans="1:13">
      <c r="A958" s="45" t="s">
        <v>11</v>
      </c>
      <c r="B958" s="52" t="s">
        <v>26</v>
      </c>
      <c r="C958" s="46">
        <v>43036</v>
      </c>
      <c r="D958" s="47" t="s">
        <v>24</v>
      </c>
      <c r="E958" s="48">
        <v>0.70833333333333304</v>
      </c>
      <c r="F958" s="48">
        <v>0.79166666666666696</v>
      </c>
      <c r="G958" s="49">
        <v>8.0000000000000036</v>
      </c>
      <c r="H958" s="49">
        <v>2.0000000000000124</v>
      </c>
      <c r="I958" s="49">
        <v>10.000000000000016</v>
      </c>
      <c r="J958" s="53" t="s">
        <v>52</v>
      </c>
      <c r="K958" s="51" t="s">
        <v>327</v>
      </c>
      <c r="L958" s="102">
        <v>1</v>
      </c>
      <c r="M958" s="19" t="str">
        <f t="shared" si="28"/>
        <v>Oct_2017</v>
      </c>
    </row>
    <row r="959" spans="1:13">
      <c r="A959" s="45" t="s">
        <v>11</v>
      </c>
      <c r="B959" s="52" t="s">
        <v>149</v>
      </c>
      <c r="C959" s="46">
        <v>43036</v>
      </c>
      <c r="D959" s="47" t="s">
        <v>24</v>
      </c>
      <c r="E959" s="48">
        <v>0.70833333333333304</v>
      </c>
      <c r="F959" s="48">
        <v>0.79166666666666696</v>
      </c>
      <c r="G959" s="49">
        <v>8.0000000000000036</v>
      </c>
      <c r="H959" s="49">
        <v>2.0000000000000124</v>
      </c>
      <c r="I959" s="49">
        <v>10.000000000000016</v>
      </c>
      <c r="J959" s="53" t="s">
        <v>52</v>
      </c>
      <c r="K959" s="51" t="s">
        <v>327</v>
      </c>
      <c r="L959" s="102">
        <v>1</v>
      </c>
      <c r="M959" s="19" t="str">
        <f t="shared" si="28"/>
        <v>Oct_2017</v>
      </c>
    </row>
    <row r="960" spans="1:13">
      <c r="A960" s="45" t="s">
        <v>11</v>
      </c>
      <c r="B960" s="52" t="s">
        <v>161</v>
      </c>
      <c r="C960" s="46">
        <v>43036</v>
      </c>
      <c r="D960" s="47" t="s">
        <v>24</v>
      </c>
      <c r="E960" s="48">
        <v>0.70833333333333304</v>
      </c>
      <c r="F960" s="48">
        <v>0.79166666666666696</v>
      </c>
      <c r="G960" s="49">
        <v>8.0000000000000036</v>
      </c>
      <c r="H960" s="49">
        <v>2.0000000000000124</v>
      </c>
      <c r="I960" s="49">
        <v>10.000000000000016</v>
      </c>
      <c r="J960" s="53" t="s">
        <v>52</v>
      </c>
      <c r="K960" s="51" t="s">
        <v>327</v>
      </c>
      <c r="L960" s="102">
        <v>1</v>
      </c>
      <c r="M960" s="19" t="str">
        <f t="shared" si="28"/>
        <v>Oct_2017</v>
      </c>
    </row>
    <row r="961" spans="1:13">
      <c r="A961" s="45" t="s">
        <v>22</v>
      </c>
      <c r="B961" s="52" t="s">
        <v>23</v>
      </c>
      <c r="C961" s="46">
        <v>43036</v>
      </c>
      <c r="D961" s="47" t="s">
        <v>24</v>
      </c>
      <c r="E961" s="48">
        <v>0.33333333333333298</v>
      </c>
      <c r="F961" s="48">
        <v>0.79166666666666696</v>
      </c>
      <c r="G961" s="49">
        <v>0</v>
      </c>
      <c r="H961" s="49">
        <v>10.000000000000016</v>
      </c>
      <c r="I961" s="49">
        <v>10.000000000000016</v>
      </c>
      <c r="J961" s="53" t="s">
        <v>52</v>
      </c>
      <c r="K961" s="51" t="s">
        <v>327</v>
      </c>
      <c r="L961" s="102" t="s">
        <v>281</v>
      </c>
      <c r="M961" s="19" t="str">
        <f t="shared" si="28"/>
        <v>Oct_2017</v>
      </c>
    </row>
    <row r="962" spans="1:13">
      <c r="A962" s="45" t="s">
        <v>22</v>
      </c>
      <c r="B962" s="52" t="s">
        <v>254</v>
      </c>
      <c r="C962" s="46">
        <v>43036</v>
      </c>
      <c r="D962" s="47" t="s">
        <v>24</v>
      </c>
      <c r="E962" s="48">
        <v>0.33333333333333298</v>
      </c>
      <c r="F962" s="48">
        <v>0.79166666666666696</v>
      </c>
      <c r="G962" s="49">
        <v>0</v>
      </c>
      <c r="H962" s="49">
        <v>10.000000000000016</v>
      </c>
      <c r="I962" s="49">
        <v>10.000000000000016</v>
      </c>
      <c r="J962" s="50" t="s">
        <v>52</v>
      </c>
      <c r="K962" s="51" t="s">
        <v>327</v>
      </c>
      <c r="L962" s="102" t="s">
        <v>281</v>
      </c>
      <c r="M962" s="19" t="str">
        <f t="shared" si="28"/>
        <v>Oct_2017</v>
      </c>
    </row>
    <row r="963" spans="1:13">
      <c r="A963" s="45" t="s">
        <v>22</v>
      </c>
      <c r="B963" s="52" t="s">
        <v>255</v>
      </c>
      <c r="C963" s="46">
        <v>43036</v>
      </c>
      <c r="D963" s="47" t="s">
        <v>24</v>
      </c>
      <c r="E963" s="48">
        <v>0.33333333333333298</v>
      </c>
      <c r="F963" s="48">
        <v>0.79166666666666696</v>
      </c>
      <c r="G963" s="49">
        <v>0</v>
      </c>
      <c r="H963" s="49">
        <v>10.000000000000016</v>
      </c>
      <c r="I963" s="49">
        <v>10.000000000000016</v>
      </c>
      <c r="J963" s="50" t="s">
        <v>52</v>
      </c>
      <c r="K963" s="51" t="s">
        <v>327</v>
      </c>
      <c r="L963" s="102" t="s">
        <v>281</v>
      </c>
      <c r="M963" s="19" t="str">
        <f t="shared" si="28"/>
        <v>Oct_2017</v>
      </c>
    </row>
    <row r="964" spans="1:13">
      <c r="A964" s="45" t="s">
        <v>11</v>
      </c>
      <c r="B964" s="52" t="s">
        <v>12</v>
      </c>
      <c r="C964" s="54">
        <v>43038</v>
      </c>
      <c r="D964" s="47" t="s">
        <v>16</v>
      </c>
      <c r="E964" s="48">
        <v>0.70833333333333304</v>
      </c>
      <c r="F964" s="48">
        <v>0.91666666666666696</v>
      </c>
      <c r="G964" s="49">
        <v>8.0000000000000036</v>
      </c>
      <c r="H964" s="49">
        <v>5.0000000000000107</v>
      </c>
      <c r="I964" s="49">
        <v>5.0000000000000107</v>
      </c>
      <c r="J964" s="53" t="s">
        <v>30</v>
      </c>
      <c r="K964" s="51" t="s">
        <v>328</v>
      </c>
      <c r="L964" s="102">
        <v>1</v>
      </c>
      <c r="M964" s="19" t="str">
        <f t="shared" si="28"/>
        <v>Oct_2017</v>
      </c>
    </row>
    <row r="965" spans="1:13">
      <c r="A965" s="45" t="s">
        <v>11</v>
      </c>
      <c r="B965" s="52" t="s">
        <v>26</v>
      </c>
      <c r="C965" s="46">
        <v>43038</v>
      </c>
      <c r="D965" s="47" t="s">
        <v>16</v>
      </c>
      <c r="E965" s="48">
        <v>0.70833333333333304</v>
      </c>
      <c r="F965" s="48">
        <v>0.91666666666666696</v>
      </c>
      <c r="G965" s="49">
        <v>8.0000000000000036</v>
      </c>
      <c r="H965" s="49">
        <v>5.0000000000000107</v>
      </c>
      <c r="I965" s="49">
        <v>5.0000000000000107</v>
      </c>
      <c r="J965" s="50" t="s">
        <v>30</v>
      </c>
      <c r="K965" s="51" t="s">
        <v>328</v>
      </c>
      <c r="L965" s="102">
        <v>1</v>
      </c>
      <c r="M965" s="19" t="str">
        <f t="shared" si="28"/>
        <v>Oct_2017</v>
      </c>
    </row>
    <row r="966" spans="1:13">
      <c r="A966" s="45" t="s">
        <v>11</v>
      </c>
      <c r="B966" s="52" t="s">
        <v>149</v>
      </c>
      <c r="C966" s="46">
        <v>43038</v>
      </c>
      <c r="D966" s="47" t="s">
        <v>16</v>
      </c>
      <c r="E966" s="48">
        <v>0.70833333333333304</v>
      </c>
      <c r="F966" s="48">
        <v>0.91666666666666696</v>
      </c>
      <c r="G966" s="49">
        <v>8.0000000000000036</v>
      </c>
      <c r="H966" s="49">
        <v>5.0000000000000107</v>
      </c>
      <c r="I966" s="49">
        <v>5.0000000000000107</v>
      </c>
      <c r="J966" s="53" t="s">
        <v>30</v>
      </c>
      <c r="K966" s="51" t="s">
        <v>328</v>
      </c>
      <c r="L966" s="102">
        <v>1</v>
      </c>
      <c r="M966" s="19" t="str">
        <f t="shared" si="28"/>
        <v>Oct_2017</v>
      </c>
    </row>
    <row r="967" spans="1:13">
      <c r="A967" s="45" t="s">
        <v>11</v>
      </c>
      <c r="B967" s="52" t="s">
        <v>161</v>
      </c>
      <c r="C967" s="46">
        <v>43038</v>
      </c>
      <c r="D967" s="47" t="s">
        <v>16</v>
      </c>
      <c r="E967" s="48">
        <v>0.70833333333333304</v>
      </c>
      <c r="F967" s="48">
        <v>0.91666666666666696</v>
      </c>
      <c r="G967" s="49">
        <v>8.0000000000000036</v>
      </c>
      <c r="H967" s="49">
        <v>5.0000000000000107</v>
      </c>
      <c r="I967" s="49">
        <v>5.0000000000000107</v>
      </c>
      <c r="J967" s="53" t="s">
        <v>30</v>
      </c>
      <c r="K967" s="51" t="s">
        <v>328</v>
      </c>
      <c r="L967" s="102">
        <v>1</v>
      </c>
      <c r="M967" s="19" t="str">
        <f t="shared" si="28"/>
        <v>Oct_2017</v>
      </c>
    </row>
    <row r="968" spans="1:13">
      <c r="A968" s="45" t="s">
        <v>22</v>
      </c>
      <c r="B968" s="52" t="s">
        <v>23</v>
      </c>
      <c r="C968" s="46">
        <v>43038</v>
      </c>
      <c r="D968" s="47" t="s">
        <v>16</v>
      </c>
      <c r="E968" s="48">
        <v>0.33333333333333298</v>
      </c>
      <c r="F968" s="48">
        <v>0.91666666666666696</v>
      </c>
      <c r="G968" s="49">
        <v>0</v>
      </c>
      <c r="H968" s="49">
        <v>13.000000000000014</v>
      </c>
      <c r="I968" s="49">
        <v>13.000000000000014</v>
      </c>
      <c r="J968" s="53" t="s">
        <v>30</v>
      </c>
      <c r="K968" s="51" t="s">
        <v>328</v>
      </c>
      <c r="L968" s="102" t="s">
        <v>281</v>
      </c>
      <c r="M968" s="19" t="str">
        <f t="shared" si="28"/>
        <v>Oct_2017</v>
      </c>
    </row>
    <row r="969" spans="1:13">
      <c r="A969" s="45" t="s">
        <v>22</v>
      </c>
      <c r="B969" s="52" t="s">
        <v>78</v>
      </c>
      <c r="C969" s="46">
        <v>43038</v>
      </c>
      <c r="D969" s="47" t="s">
        <v>16</v>
      </c>
      <c r="E969" s="48">
        <v>0.33333333333333298</v>
      </c>
      <c r="F969" s="48">
        <v>0.91666666666666696</v>
      </c>
      <c r="G969" s="49">
        <v>0</v>
      </c>
      <c r="H969" s="49">
        <v>13.000000000000014</v>
      </c>
      <c r="I969" s="49">
        <v>13.000000000000014</v>
      </c>
      <c r="J969" s="53" t="s">
        <v>30</v>
      </c>
      <c r="K969" s="51" t="s">
        <v>328</v>
      </c>
      <c r="L969" s="102" t="s">
        <v>281</v>
      </c>
      <c r="M969" s="19" t="str">
        <f t="shared" si="28"/>
        <v>Oct_2017</v>
      </c>
    </row>
    <row r="970" spans="1:13">
      <c r="A970" s="45" t="s">
        <v>22</v>
      </c>
      <c r="B970" s="52" t="s">
        <v>254</v>
      </c>
      <c r="C970" s="46">
        <v>43038</v>
      </c>
      <c r="D970" s="47" t="s">
        <v>16</v>
      </c>
      <c r="E970" s="48">
        <v>0.375</v>
      </c>
      <c r="F970" s="48">
        <v>0.91666666666666696</v>
      </c>
      <c r="G970" s="49">
        <v>0</v>
      </c>
      <c r="H970" s="49">
        <v>12.000000000000007</v>
      </c>
      <c r="I970" s="49">
        <v>12.000000000000007</v>
      </c>
      <c r="J970" s="50" t="s">
        <v>30</v>
      </c>
      <c r="K970" s="51" t="s">
        <v>328</v>
      </c>
      <c r="L970" s="102" t="s">
        <v>281</v>
      </c>
      <c r="M970" s="19" t="str">
        <f t="shared" si="28"/>
        <v>Oct_2017</v>
      </c>
    </row>
    <row r="971" spans="1:13">
      <c r="A971" s="45" t="s">
        <v>22</v>
      </c>
      <c r="B971" s="52" t="s">
        <v>255</v>
      </c>
      <c r="C971" s="46">
        <v>43038</v>
      </c>
      <c r="D971" s="47" t="s">
        <v>16</v>
      </c>
      <c r="E971" s="48">
        <v>0.33333333333333298</v>
      </c>
      <c r="F971" s="48">
        <v>0.66666666666666696</v>
      </c>
      <c r="G971" s="49">
        <v>0</v>
      </c>
      <c r="H971" s="49">
        <v>7.000000000000016</v>
      </c>
      <c r="I971" s="49">
        <v>7.000000000000016</v>
      </c>
      <c r="J971" s="50" t="s">
        <v>30</v>
      </c>
      <c r="K971" s="51" t="s">
        <v>328</v>
      </c>
      <c r="L971" s="102" t="s">
        <v>281</v>
      </c>
      <c r="M971" s="19" t="str">
        <f t="shared" si="28"/>
        <v>Oct_2017</v>
      </c>
    </row>
    <row r="972" spans="1:13">
      <c r="A972" s="45" t="s">
        <v>11</v>
      </c>
      <c r="B972" s="52" t="s">
        <v>12</v>
      </c>
      <c r="C972" s="54">
        <v>43039</v>
      </c>
      <c r="D972" s="47" t="s">
        <v>14</v>
      </c>
      <c r="E972" s="48">
        <v>0.70833333333333304</v>
      </c>
      <c r="F972" s="48">
        <v>0.875</v>
      </c>
      <c r="G972" s="49">
        <v>8.0000000000000036</v>
      </c>
      <c r="H972" s="49">
        <v>4.0000000000000036</v>
      </c>
      <c r="I972" s="49">
        <v>4.0000000000000036</v>
      </c>
      <c r="J972" s="50" t="s">
        <v>30</v>
      </c>
      <c r="K972" s="51" t="s">
        <v>329</v>
      </c>
      <c r="L972" s="102">
        <v>1</v>
      </c>
      <c r="M972" s="19" t="str">
        <f t="shared" si="28"/>
        <v>Oct_2017</v>
      </c>
    </row>
    <row r="973" spans="1:13">
      <c r="A973" s="45" t="s">
        <v>11</v>
      </c>
      <c r="B973" s="52" t="s">
        <v>19</v>
      </c>
      <c r="C973" s="46">
        <v>43039</v>
      </c>
      <c r="D973" s="47" t="s">
        <v>14</v>
      </c>
      <c r="E973" s="48">
        <v>0.70833333333333304</v>
      </c>
      <c r="F973" s="48">
        <v>0.875</v>
      </c>
      <c r="G973" s="49">
        <v>8.0000000000000036</v>
      </c>
      <c r="H973" s="49">
        <v>4.0000000000000036</v>
      </c>
      <c r="I973" s="49">
        <v>4.0000000000000036</v>
      </c>
      <c r="J973" s="50" t="s">
        <v>30</v>
      </c>
      <c r="K973" s="51" t="s">
        <v>329</v>
      </c>
      <c r="L973" s="102">
        <v>1</v>
      </c>
      <c r="M973" s="19" t="str">
        <f t="shared" si="28"/>
        <v>Oct_2017</v>
      </c>
    </row>
    <row r="974" spans="1:13">
      <c r="A974" s="45" t="s">
        <v>11</v>
      </c>
      <c r="B974" s="52" t="s">
        <v>26</v>
      </c>
      <c r="C974" s="46">
        <v>43039</v>
      </c>
      <c r="D974" s="47" t="s">
        <v>14</v>
      </c>
      <c r="E974" s="48">
        <v>0.70833333333333304</v>
      </c>
      <c r="F974" s="48">
        <v>0.875</v>
      </c>
      <c r="G974" s="49">
        <v>8.0000000000000036</v>
      </c>
      <c r="H974" s="49">
        <v>4.0000000000000036</v>
      </c>
      <c r="I974" s="49">
        <v>4.0000000000000036</v>
      </c>
      <c r="J974" s="50" t="s">
        <v>30</v>
      </c>
      <c r="K974" s="51" t="s">
        <v>329</v>
      </c>
      <c r="L974" s="102">
        <v>1</v>
      </c>
      <c r="M974" s="19" t="str">
        <f t="shared" si="28"/>
        <v>Oct_2017</v>
      </c>
    </row>
    <row r="975" spans="1:13">
      <c r="A975" s="45" t="s">
        <v>11</v>
      </c>
      <c r="B975" s="52" t="s">
        <v>149</v>
      </c>
      <c r="C975" s="46">
        <v>43039</v>
      </c>
      <c r="D975" s="47" t="s">
        <v>14</v>
      </c>
      <c r="E975" s="48">
        <v>0.70833333333333304</v>
      </c>
      <c r="F975" s="48">
        <v>0.875</v>
      </c>
      <c r="G975" s="49">
        <v>8.0000000000000036</v>
      </c>
      <c r="H975" s="49">
        <v>4.0000000000000036</v>
      </c>
      <c r="I975" s="49">
        <v>4.0000000000000036</v>
      </c>
      <c r="J975" s="50" t="s">
        <v>30</v>
      </c>
      <c r="K975" s="51" t="s">
        <v>329</v>
      </c>
      <c r="L975" s="102">
        <v>1</v>
      </c>
      <c r="M975" s="19" t="str">
        <f t="shared" si="28"/>
        <v>Oct_2017</v>
      </c>
    </row>
    <row r="976" spans="1:13">
      <c r="A976" s="45" t="s">
        <v>22</v>
      </c>
      <c r="B976" s="52" t="s">
        <v>23</v>
      </c>
      <c r="C976" s="46">
        <v>43039</v>
      </c>
      <c r="D976" s="47" t="s">
        <v>14</v>
      </c>
      <c r="E976" s="48">
        <v>0.33333333333333298</v>
      </c>
      <c r="F976" s="48">
        <v>0.875</v>
      </c>
      <c r="G976" s="49">
        <v>0</v>
      </c>
      <c r="H976" s="49">
        <v>12.000000000000007</v>
      </c>
      <c r="I976" s="49">
        <v>12.000000000000007</v>
      </c>
      <c r="J976" s="50" t="s">
        <v>30</v>
      </c>
      <c r="K976" s="51" t="s">
        <v>329</v>
      </c>
      <c r="L976" s="102" t="s">
        <v>281</v>
      </c>
      <c r="M976" s="19" t="str">
        <f t="shared" si="28"/>
        <v>Oct_2017</v>
      </c>
    </row>
    <row r="977" spans="1:13">
      <c r="A977" s="45" t="s">
        <v>22</v>
      </c>
      <c r="B977" s="52" t="s">
        <v>78</v>
      </c>
      <c r="C977" s="46">
        <v>43039</v>
      </c>
      <c r="D977" s="47" t="s">
        <v>14</v>
      </c>
      <c r="E977" s="48">
        <v>0.33333333333333298</v>
      </c>
      <c r="F977" s="48">
        <v>0.875</v>
      </c>
      <c r="G977" s="49">
        <v>0</v>
      </c>
      <c r="H977" s="49">
        <v>12.000000000000007</v>
      </c>
      <c r="I977" s="49">
        <v>12.000000000000007</v>
      </c>
      <c r="J977" s="50" t="s">
        <v>30</v>
      </c>
      <c r="K977" s="51" t="s">
        <v>329</v>
      </c>
      <c r="L977" s="102" t="s">
        <v>281</v>
      </c>
      <c r="M977" s="19" t="str">
        <f t="shared" si="28"/>
        <v>Oct_2017</v>
      </c>
    </row>
    <row r="978" spans="1:13">
      <c r="A978" s="45" t="s">
        <v>22</v>
      </c>
      <c r="B978" s="52" t="s">
        <v>254</v>
      </c>
      <c r="C978" s="46">
        <v>43039</v>
      </c>
      <c r="D978" s="47" t="s">
        <v>14</v>
      </c>
      <c r="E978" s="48">
        <v>0.35416666666666702</v>
      </c>
      <c r="F978" s="48">
        <v>0.875</v>
      </c>
      <c r="G978" s="49">
        <v>0</v>
      </c>
      <c r="H978" s="49">
        <v>11.499999999999993</v>
      </c>
      <c r="I978" s="49">
        <v>11.499999999999993</v>
      </c>
      <c r="J978" s="50" t="s">
        <v>30</v>
      </c>
      <c r="K978" s="51" t="s">
        <v>329</v>
      </c>
      <c r="L978" s="102" t="s">
        <v>281</v>
      </c>
      <c r="M978" s="19" t="str">
        <f t="shared" si="28"/>
        <v>Oct_2017</v>
      </c>
    </row>
    <row r="979" spans="1:13">
      <c r="A979" s="45" t="s">
        <v>22</v>
      </c>
      <c r="B979" s="52" t="s">
        <v>255</v>
      </c>
      <c r="C979" s="46">
        <v>43039</v>
      </c>
      <c r="D979" s="47" t="s">
        <v>14</v>
      </c>
      <c r="E979" s="48">
        <v>0.33333333333333298</v>
      </c>
      <c r="F979" s="48">
        <v>0.875</v>
      </c>
      <c r="G979" s="49">
        <v>0</v>
      </c>
      <c r="H979" s="49">
        <v>12.000000000000007</v>
      </c>
      <c r="I979" s="49">
        <v>12.000000000000007</v>
      </c>
      <c r="J979" s="50" t="s">
        <v>30</v>
      </c>
      <c r="K979" s="51" t="s">
        <v>329</v>
      </c>
      <c r="L979" s="102" t="s">
        <v>281</v>
      </c>
      <c r="M979" s="19" t="str">
        <f t="shared" si="28"/>
        <v>Oct_2017</v>
      </c>
    </row>
    <row r="980" spans="1:13">
      <c r="A980" s="45" t="s">
        <v>11</v>
      </c>
      <c r="B980" s="52" t="s">
        <v>12</v>
      </c>
      <c r="C980" s="54">
        <v>43040</v>
      </c>
      <c r="D980" s="47" t="s">
        <v>15</v>
      </c>
      <c r="E980" s="48">
        <v>0.70833333333333304</v>
      </c>
      <c r="F980" s="48">
        <v>0.875</v>
      </c>
      <c r="G980" s="49">
        <v>8.0000000000000036</v>
      </c>
      <c r="H980" s="49">
        <v>4.0000000000000036</v>
      </c>
      <c r="I980" s="49">
        <v>4.0000000000000036</v>
      </c>
      <c r="J980" s="53" t="s">
        <v>30</v>
      </c>
      <c r="K980" s="51" t="s">
        <v>330</v>
      </c>
      <c r="L980" s="102">
        <v>1</v>
      </c>
      <c r="M980" s="19" t="str">
        <f>IF($C980="","",TEXT(DATE(YEAR($C980),MONTH($C980),DAY($C980)),"MMM")&amp;"_"&amp;YEAR($C980))</f>
        <v>Nov_2017</v>
      </c>
    </row>
    <row r="981" spans="1:13">
      <c r="A981" s="45" t="s">
        <v>11</v>
      </c>
      <c r="B981" s="52" t="s">
        <v>19</v>
      </c>
      <c r="C981" s="46">
        <v>43040</v>
      </c>
      <c r="D981" s="47" t="s">
        <v>15</v>
      </c>
      <c r="E981" s="48">
        <v>0.70833333333333304</v>
      </c>
      <c r="F981" s="48">
        <v>0.875</v>
      </c>
      <c r="G981" s="49">
        <v>8.0000000000000036</v>
      </c>
      <c r="H981" s="49">
        <v>4.0000000000000036</v>
      </c>
      <c r="I981" s="49">
        <v>4.0000000000000036</v>
      </c>
      <c r="J981" s="50" t="s">
        <v>30</v>
      </c>
      <c r="K981" s="51" t="s">
        <v>330</v>
      </c>
      <c r="L981" s="102">
        <v>1</v>
      </c>
      <c r="M981" s="19" t="str">
        <f t="shared" ref="M981:M1044" si="29">IF($C981="","",TEXT(DATE(YEAR($C981),MONTH($C981),DAY($C981)),"MMM")&amp;"_"&amp;YEAR($C981))</f>
        <v>Nov_2017</v>
      </c>
    </row>
    <row r="982" spans="1:13">
      <c r="A982" s="45" t="s">
        <v>11</v>
      </c>
      <c r="B982" s="52" t="s">
        <v>149</v>
      </c>
      <c r="C982" s="46">
        <v>43040</v>
      </c>
      <c r="D982" s="47" t="s">
        <v>15</v>
      </c>
      <c r="E982" s="48">
        <v>0.70833333333333304</v>
      </c>
      <c r="F982" s="48">
        <v>0.875</v>
      </c>
      <c r="G982" s="49">
        <v>8.0000000000000036</v>
      </c>
      <c r="H982" s="49">
        <v>4.0000000000000036</v>
      </c>
      <c r="I982" s="49">
        <v>4.0000000000000036</v>
      </c>
      <c r="J982" s="53" t="s">
        <v>30</v>
      </c>
      <c r="K982" s="51" t="s">
        <v>330</v>
      </c>
      <c r="L982" s="102">
        <v>1</v>
      </c>
      <c r="M982" s="19" t="str">
        <f t="shared" si="29"/>
        <v>Nov_2017</v>
      </c>
    </row>
    <row r="983" spans="1:13">
      <c r="A983" s="45" t="s">
        <v>11</v>
      </c>
      <c r="B983" s="52" t="s">
        <v>161</v>
      </c>
      <c r="C983" s="46">
        <v>43040</v>
      </c>
      <c r="D983" s="47" t="s">
        <v>15</v>
      </c>
      <c r="E983" s="48">
        <v>0.70833333333333304</v>
      </c>
      <c r="F983" s="48">
        <v>0.875</v>
      </c>
      <c r="G983" s="49">
        <v>8.0000000000000036</v>
      </c>
      <c r="H983" s="49">
        <v>4.0000000000000036</v>
      </c>
      <c r="I983" s="49">
        <v>4.0000000000000036</v>
      </c>
      <c r="J983" s="53" t="s">
        <v>30</v>
      </c>
      <c r="K983" s="51" t="s">
        <v>330</v>
      </c>
      <c r="L983" s="102">
        <v>1</v>
      </c>
      <c r="M983" s="19" t="str">
        <f t="shared" si="29"/>
        <v>Nov_2017</v>
      </c>
    </row>
    <row r="984" spans="1:13">
      <c r="A984" s="45" t="s">
        <v>22</v>
      </c>
      <c r="B984" s="52" t="s">
        <v>23</v>
      </c>
      <c r="C984" s="46">
        <v>43040</v>
      </c>
      <c r="D984" s="47" t="s">
        <v>15</v>
      </c>
      <c r="E984" s="48">
        <v>0.33333333333333298</v>
      </c>
      <c r="F984" s="48">
        <v>0.875</v>
      </c>
      <c r="G984" s="49">
        <v>0</v>
      </c>
      <c r="H984" s="49">
        <v>12.000000000000007</v>
      </c>
      <c r="I984" s="49">
        <v>12.000000000000007</v>
      </c>
      <c r="J984" s="50" t="s">
        <v>30</v>
      </c>
      <c r="K984" s="51" t="s">
        <v>330</v>
      </c>
      <c r="L984" s="102" t="s">
        <v>281</v>
      </c>
      <c r="M984" s="19" t="str">
        <f t="shared" si="29"/>
        <v>Nov_2017</v>
      </c>
    </row>
    <row r="985" spans="1:13">
      <c r="A985" s="45" t="s">
        <v>22</v>
      </c>
      <c r="B985" s="52" t="s">
        <v>78</v>
      </c>
      <c r="C985" s="46">
        <v>43040</v>
      </c>
      <c r="D985" s="47" t="s">
        <v>15</v>
      </c>
      <c r="E985" s="48">
        <v>0.33333333333333298</v>
      </c>
      <c r="F985" s="48">
        <v>0.875</v>
      </c>
      <c r="G985" s="49">
        <v>0</v>
      </c>
      <c r="H985" s="49">
        <v>12.000000000000007</v>
      </c>
      <c r="I985" s="49">
        <v>12.000000000000007</v>
      </c>
      <c r="J985" s="53" t="s">
        <v>30</v>
      </c>
      <c r="K985" s="51" t="s">
        <v>330</v>
      </c>
      <c r="L985" s="102" t="s">
        <v>281</v>
      </c>
      <c r="M985" s="19" t="str">
        <f t="shared" si="29"/>
        <v>Nov_2017</v>
      </c>
    </row>
    <row r="986" spans="1:13">
      <c r="A986" s="45" t="s">
        <v>22</v>
      </c>
      <c r="B986" s="52" t="s">
        <v>254</v>
      </c>
      <c r="C986" s="46">
        <v>43040</v>
      </c>
      <c r="D986" s="47" t="s">
        <v>15</v>
      </c>
      <c r="E986" s="48">
        <v>0.33333333333333298</v>
      </c>
      <c r="F986" s="48">
        <v>0.875</v>
      </c>
      <c r="G986" s="49">
        <v>0</v>
      </c>
      <c r="H986" s="49">
        <v>12.000000000000007</v>
      </c>
      <c r="I986" s="49">
        <v>12.000000000000007</v>
      </c>
      <c r="J986" s="50" t="s">
        <v>30</v>
      </c>
      <c r="K986" s="51" t="s">
        <v>330</v>
      </c>
      <c r="L986" s="102" t="s">
        <v>281</v>
      </c>
      <c r="M986" s="19" t="str">
        <f t="shared" si="29"/>
        <v>Nov_2017</v>
      </c>
    </row>
    <row r="987" spans="1:13">
      <c r="A987" s="45" t="s">
        <v>22</v>
      </c>
      <c r="B987" s="52" t="s">
        <v>255</v>
      </c>
      <c r="C987" s="46">
        <v>43040</v>
      </c>
      <c r="D987" s="47" t="s">
        <v>15</v>
      </c>
      <c r="E987" s="48">
        <v>0.33333333333333298</v>
      </c>
      <c r="F987" s="48">
        <v>0.66666666666666696</v>
      </c>
      <c r="G987" s="49">
        <v>0</v>
      </c>
      <c r="H987" s="49">
        <v>7.000000000000016</v>
      </c>
      <c r="I987" s="49">
        <v>7.000000000000016</v>
      </c>
      <c r="J987" s="50" t="s">
        <v>30</v>
      </c>
      <c r="K987" s="51" t="s">
        <v>330</v>
      </c>
      <c r="L987" s="102" t="s">
        <v>281</v>
      </c>
      <c r="M987" s="19" t="str">
        <f t="shared" si="29"/>
        <v>Nov_2017</v>
      </c>
    </row>
    <row r="988" spans="1:13">
      <c r="A988" s="45" t="s">
        <v>11</v>
      </c>
      <c r="B988" s="52" t="s">
        <v>12</v>
      </c>
      <c r="C988" s="54">
        <v>43041</v>
      </c>
      <c r="D988" s="47" t="s">
        <v>25</v>
      </c>
      <c r="E988" s="48">
        <v>0.70833333333333304</v>
      </c>
      <c r="F988" s="48">
        <v>0.91666666666666696</v>
      </c>
      <c r="G988" s="49">
        <v>8.0000000000000036</v>
      </c>
      <c r="H988" s="49">
        <v>5.0000000000000107</v>
      </c>
      <c r="I988" s="49">
        <v>5.0000000000000107</v>
      </c>
      <c r="J988" s="53" t="s">
        <v>30</v>
      </c>
      <c r="K988" s="51" t="s">
        <v>331</v>
      </c>
      <c r="L988" s="102">
        <v>1</v>
      </c>
      <c r="M988" s="19" t="str">
        <f t="shared" si="29"/>
        <v>Nov_2017</v>
      </c>
    </row>
    <row r="989" spans="1:13">
      <c r="A989" s="45" t="s">
        <v>11</v>
      </c>
      <c r="B989" s="52" t="s">
        <v>19</v>
      </c>
      <c r="C989" s="46">
        <v>43041</v>
      </c>
      <c r="D989" s="47" t="s">
        <v>25</v>
      </c>
      <c r="E989" s="48">
        <v>0.70833333333333304</v>
      </c>
      <c r="F989" s="48">
        <v>0.91666666666666696</v>
      </c>
      <c r="G989" s="49">
        <v>8.0000000000000036</v>
      </c>
      <c r="H989" s="49">
        <v>5.0000000000000107</v>
      </c>
      <c r="I989" s="49">
        <v>5.0000000000000107</v>
      </c>
      <c r="J989" s="53" t="s">
        <v>30</v>
      </c>
      <c r="K989" s="51" t="s">
        <v>331</v>
      </c>
      <c r="L989" s="102">
        <v>1</v>
      </c>
      <c r="M989" s="19" t="str">
        <f t="shared" si="29"/>
        <v>Nov_2017</v>
      </c>
    </row>
    <row r="990" spans="1:13">
      <c r="A990" s="45" t="s">
        <v>11</v>
      </c>
      <c r="B990" s="52" t="s">
        <v>26</v>
      </c>
      <c r="C990" s="46">
        <v>43041</v>
      </c>
      <c r="D990" s="47" t="s">
        <v>25</v>
      </c>
      <c r="E990" s="48">
        <v>0.70833333333333304</v>
      </c>
      <c r="F990" s="48">
        <v>0.91666666666666696</v>
      </c>
      <c r="G990" s="49">
        <v>8.0000000000000036</v>
      </c>
      <c r="H990" s="49">
        <v>5.0000000000000107</v>
      </c>
      <c r="I990" s="49">
        <v>5.0000000000000107</v>
      </c>
      <c r="J990" s="50" t="s">
        <v>30</v>
      </c>
      <c r="K990" s="51" t="s">
        <v>331</v>
      </c>
      <c r="L990" s="102">
        <v>1</v>
      </c>
      <c r="M990" s="19" t="str">
        <f t="shared" si="29"/>
        <v>Nov_2017</v>
      </c>
    </row>
    <row r="991" spans="1:13">
      <c r="A991" s="45" t="s">
        <v>11</v>
      </c>
      <c r="B991" s="52" t="s">
        <v>149</v>
      </c>
      <c r="C991" s="46">
        <v>43041</v>
      </c>
      <c r="D991" s="47" t="s">
        <v>25</v>
      </c>
      <c r="E991" s="48">
        <v>0.70833333333333304</v>
      </c>
      <c r="F991" s="48">
        <v>0.91666666666666696</v>
      </c>
      <c r="G991" s="49">
        <v>8.0000000000000036</v>
      </c>
      <c r="H991" s="49">
        <v>5.0000000000000107</v>
      </c>
      <c r="I991" s="49">
        <v>5.0000000000000107</v>
      </c>
      <c r="J991" s="53" t="s">
        <v>30</v>
      </c>
      <c r="K991" s="51" t="s">
        <v>331</v>
      </c>
      <c r="L991" s="102">
        <v>1</v>
      </c>
      <c r="M991" s="19" t="str">
        <f t="shared" si="29"/>
        <v>Nov_2017</v>
      </c>
    </row>
    <row r="992" spans="1:13">
      <c r="A992" s="45" t="s">
        <v>11</v>
      </c>
      <c r="B992" s="52" t="s">
        <v>161</v>
      </c>
      <c r="C992" s="46">
        <v>43041</v>
      </c>
      <c r="D992" s="47" t="s">
        <v>25</v>
      </c>
      <c r="E992" s="48">
        <v>0.70833333333333304</v>
      </c>
      <c r="F992" s="48">
        <v>0.91666666666666696</v>
      </c>
      <c r="G992" s="49">
        <v>8.0000000000000036</v>
      </c>
      <c r="H992" s="49">
        <v>5.0000000000000107</v>
      </c>
      <c r="I992" s="49">
        <v>5.0000000000000107</v>
      </c>
      <c r="J992" s="53" t="s">
        <v>30</v>
      </c>
      <c r="K992" s="51" t="s">
        <v>331</v>
      </c>
      <c r="L992" s="102">
        <v>1</v>
      </c>
      <c r="M992" s="19" t="str">
        <f t="shared" si="29"/>
        <v>Nov_2017</v>
      </c>
    </row>
    <row r="993" spans="1:13">
      <c r="A993" s="45" t="s">
        <v>22</v>
      </c>
      <c r="B993" s="52" t="s">
        <v>23</v>
      </c>
      <c r="C993" s="46">
        <v>43041</v>
      </c>
      <c r="D993" s="47" t="s">
        <v>25</v>
      </c>
      <c r="E993" s="48">
        <v>0.33333333333333298</v>
      </c>
      <c r="F993" s="48">
        <v>0.875</v>
      </c>
      <c r="G993" s="49">
        <v>0</v>
      </c>
      <c r="H993" s="49">
        <v>12.000000000000007</v>
      </c>
      <c r="I993" s="49">
        <v>12.000000000000007</v>
      </c>
      <c r="J993" s="53" t="s">
        <v>30</v>
      </c>
      <c r="K993" s="51" t="s">
        <v>331</v>
      </c>
      <c r="L993" s="102" t="s">
        <v>281</v>
      </c>
      <c r="M993" s="19" t="str">
        <f t="shared" si="29"/>
        <v>Nov_2017</v>
      </c>
    </row>
    <row r="994" spans="1:13">
      <c r="A994" s="45" t="s">
        <v>22</v>
      </c>
      <c r="B994" s="52" t="s">
        <v>78</v>
      </c>
      <c r="C994" s="46">
        <v>43041</v>
      </c>
      <c r="D994" s="47" t="s">
        <v>25</v>
      </c>
      <c r="E994" s="48">
        <v>0.35416666666666702</v>
      </c>
      <c r="F994" s="48">
        <v>0.875</v>
      </c>
      <c r="G994" s="49">
        <v>0</v>
      </c>
      <c r="H994" s="49">
        <v>11.499999999999993</v>
      </c>
      <c r="I994" s="49">
        <v>11.499999999999993</v>
      </c>
      <c r="J994" s="53" t="s">
        <v>30</v>
      </c>
      <c r="K994" s="51" t="s">
        <v>331</v>
      </c>
      <c r="L994" s="102" t="s">
        <v>281</v>
      </c>
      <c r="M994" s="19" t="str">
        <f t="shared" si="29"/>
        <v>Nov_2017</v>
      </c>
    </row>
    <row r="995" spans="1:13">
      <c r="A995" s="45" t="s">
        <v>22</v>
      </c>
      <c r="B995" s="52" t="s">
        <v>254</v>
      </c>
      <c r="C995" s="46">
        <v>43041</v>
      </c>
      <c r="D995" s="47" t="s">
        <v>25</v>
      </c>
      <c r="E995" s="48">
        <v>0.375</v>
      </c>
      <c r="F995" s="48">
        <v>0.875</v>
      </c>
      <c r="G995" s="49">
        <v>0</v>
      </c>
      <c r="H995" s="49">
        <v>11</v>
      </c>
      <c r="I995" s="49">
        <v>11</v>
      </c>
      <c r="J995" s="50" t="s">
        <v>30</v>
      </c>
      <c r="K995" s="51" t="s">
        <v>331</v>
      </c>
      <c r="L995" s="102" t="s">
        <v>281</v>
      </c>
      <c r="M995" s="19" t="str">
        <f t="shared" si="29"/>
        <v>Nov_2017</v>
      </c>
    </row>
    <row r="996" spans="1:13">
      <c r="A996" s="45" t="s">
        <v>22</v>
      </c>
      <c r="B996" s="52" t="s">
        <v>255</v>
      </c>
      <c r="C996" s="46">
        <v>43041</v>
      </c>
      <c r="D996" s="47" t="s">
        <v>25</v>
      </c>
      <c r="E996" s="48">
        <v>0.33333333333333298</v>
      </c>
      <c r="F996" s="48">
        <v>0.91666666666666696</v>
      </c>
      <c r="G996" s="49">
        <v>0</v>
      </c>
      <c r="H996" s="49">
        <v>13.000000000000014</v>
      </c>
      <c r="I996" s="49">
        <v>13.000000000000014</v>
      </c>
      <c r="J996" s="50" t="s">
        <v>30</v>
      </c>
      <c r="K996" s="51" t="s">
        <v>331</v>
      </c>
      <c r="L996" s="102" t="s">
        <v>281</v>
      </c>
      <c r="M996" s="19" t="str">
        <f t="shared" si="29"/>
        <v>Nov_2017</v>
      </c>
    </row>
    <row r="997" spans="1:13">
      <c r="A997" s="45" t="s">
        <v>11</v>
      </c>
      <c r="B997" s="52" t="s">
        <v>12</v>
      </c>
      <c r="C997" s="54">
        <v>43042</v>
      </c>
      <c r="D997" s="47" t="s">
        <v>17</v>
      </c>
      <c r="E997" s="48">
        <v>0.70833333333333304</v>
      </c>
      <c r="F997" s="48">
        <v>0.86458333333333304</v>
      </c>
      <c r="G997" s="49">
        <v>8.0000000000000036</v>
      </c>
      <c r="H997" s="49">
        <v>3.7499999999999964</v>
      </c>
      <c r="I997" s="49">
        <v>3.7499999999999964</v>
      </c>
      <c r="J997" s="53" t="s">
        <v>30</v>
      </c>
      <c r="K997" s="51" t="s">
        <v>332</v>
      </c>
      <c r="L997" s="102">
        <v>1</v>
      </c>
      <c r="M997" s="19" t="str">
        <f t="shared" si="29"/>
        <v>Nov_2017</v>
      </c>
    </row>
    <row r="998" spans="1:13">
      <c r="A998" s="45" t="s">
        <v>11</v>
      </c>
      <c r="B998" s="52" t="s">
        <v>26</v>
      </c>
      <c r="C998" s="46">
        <v>43042</v>
      </c>
      <c r="D998" s="47" t="s">
        <v>17</v>
      </c>
      <c r="E998" s="48">
        <v>0.70833333333333304</v>
      </c>
      <c r="F998" s="48">
        <v>0.86458333333333304</v>
      </c>
      <c r="G998" s="49">
        <v>8.0000000000000036</v>
      </c>
      <c r="H998" s="49">
        <v>3.7499999999999964</v>
      </c>
      <c r="I998" s="49">
        <v>3.7499999999999964</v>
      </c>
      <c r="J998" s="53" t="s">
        <v>30</v>
      </c>
      <c r="K998" s="51" t="s">
        <v>332</v>
      </c>
      <c r="L998" s="102">
        <v>1</v>
      </c>
      <c r="M998" s="19" t="str">
        <f t="shared" si="29"/>
        <v>Nov_2017</v>
      </c>
    </row>
    <row r="999" spans="1:13">
      <c r="A999" s="45" t="s">
        <v>11</v>
      </c>
      <c r="B999" s="52" t="s">
        <v>149</v>
      </c>
      <c r="C999" s="46">
        <v>43042</v>
      </c>
      <c r="D999" s="47" t="s">
        <v>17</v>
      </c>
      <c r="E999" s="48">
        <v>0.70833333333333304</v>
      </c>
      <c r="F999" s="48">
        <v>0.86458333333333304</v>
      </c>
      <c r="G999" s="49">
        <v>8.0000000000000036</v>
      </c>
      <c r="H999" s="49">
        <v>3.7499999999999964</v>
      </c>
      <c r="I999" s="49">
        <v>3.7499999999999964</v>
      </c>
      <c r="J999" s="53" t="s">
        <v>30</v>
      </c>
      <c r="K999" s="51" t="s">
        <v>332</v>
      </c>
      <c r="L999" s="102">
        <v>1</v>
      </c>
      <c r="M999" s="19" t="str">
        <f t="shared" si="29"/>
        <v>Nov_2017</v>
      </c>
    </row>
    <row r="1000" spans="1:13">
      <c r="A1000" s="45" t="s">
        <v>11</v>
      </c>
      <c r="B1000" s="52" t="s">
        <v>161</v>
      </c>
      <c r="C1000" s="46">
        <v>43042</v>
      </c>
      <c r="D1000" s="47" t="s">
        <v>17</v>
      </c>
      <c r="E1000" s="48">
        <v>0.70833333333333304</v>
      </c>
      <c r="F1000" s="48">
        <v>0.86458333333333304</v>
      </c>
      <c r="G1000" s="49">
        <v>8.0000000000000036</v>
      </c>
      <c r="H1000" s="49">
        <v>3.7499999999999964</v>
      </c>
      <c r="I1000" s="49">
        <v>3.7499999999999964</v>
      </c>
      <c r="J1000" s="53" t="s">
        <v>30</v>
      </c>
      <c r="K1000" s="51" t="s">
        <v>332</v>
      </c>
      <c r="L1000" s="102">
        <v>1</v>
      </c>
      <c r="M1000" s="19" t="str">
        <f t="shared" si="29"/>
        <v>Nov_2017</v>
      </c>
    </row>
    <row r="1001" spans="1:13">
      <c r="A1001" s="45" t="s">
        <v>22</v>
      </c>
      <c r="B1001" s="52" t="s">
        <v>23</v>
      </c>
      <c r="C1001" s="46">
        <v>43042</v>
      </c>
      <c r="D1001" s="47" t="s">
        <v>17</v>
      </c>
      <c r="E1001" s="48">
        <v>0.35416666666666702</v>
      </c>
      <c r="F1001" s="48">
        <v>0.86458333333333304</v>
      </c>
      <c r="G1001" s="49">
        <v>0</v>
      </c>
      <c r="H1001" s="49">
        <v>11.249999999999986</v>
      </c>
      <c r="I1001" s="49">
        <v>11.249999999999986</v>
      </c>
      <c r="J1001" s="53" t="s">
        <v>30</v>
      </c>
      <c r="K1001" s="51" t="s">
        <v>332</v>
      </c>
      <c r="L1001" s="102" t="s">
        <v>281</v>
      </c>
      <c r="M1001" s="19" t="str">
        <f t="shared" si="29"/>
        <v>Nov_2017</v>
      </c>
    </row>
    <row r="1002" spans="1:13">
      <c r="A1002" s="45" t="s">
        <v>22</v>
      </c>
      <c r="B1002" s="52" t="s">
        <v>78</v>
      </c>
      <c r="C1002" s="46">
        <v>43042</v>
      </c>
      <c r="D1002" s="47" t="s">
        <v>17</v>
      </c>
      <c r="E1002" s="48">
        <v>0.35416666666666702</v>
      </c>
      <c r="F1002" s="48">
        <v>0.86458333333333304</v>
      </c>
      <c r="G1002" s="49">
        <v>0</v>
      </c>
      <c r="H1002" s="49">
        <v>11.249999999999986</v>
      </c>
      <c r="I1002" s="49">
        <v>11.249999999999986</v>
      </c>
      <c r="J1002" s="53" t="s">
        <v>30</v>
      </c>
      <c r="K1002" s="51" t="s">
        <v>332</v>
      </c>
      <c r="L1002" s="102" t="s">
        <v>281</v>
      </c>
      <c r="M1002" s="19" t="str">
        <f t="shared" si="29"/>
        <v>Nov_2017</v>
      </c>
    </row>
    <row r="1003" spans="1:13">
      <c r="A1003" s="45" t="s">
        <v>22</v>
      </c>
      <c r="B1003" s="52" t="s">
        <v>254</v>
      </c>
      <c r="C1003" s="46">
        <v>43042</v>
      </c>
      <c r="D1003" s="47" t="s">
        <v>17</v>
      </c>
      <c r="E1003" s="48">
        <v>0.33333333333333298</v>
      </c>
      <c r="F1003" s="48">
        <v>0.86458333333333304</v>
      </c>
      <c r="G1003" s="49">
        <v>0</v>
      </c>
      <c r="H1003" s="49">
        <v>11.75</v>
      </c>
      <c r="I1003" s="49">
        <v>11.75</v>
      </c>
      <c r="J1003" s="50" t="s">
        <v>30</v>
      </c>
      <c r="K1003" s="51" t="s">
        <v>332</v>
      </c>
      <c r="L1003" s="102" t="s">
        <v>281</v>
      </c>
      <c r="M1003" s="19" t="str">
        <f t="shared" si="29"/>
        <v>Nov_2017</v>
      </c>
    </row>
    <row r="1004" spans="1:13">
      <c r="A1004" s="45" t="s">
        <v>22</v>
      </c>
      <c r="B1004" s="52" t="s">
        <v>255</v>
      </c>
      <c r="C1004" s="46">
        <v>43042</v>
      </c>
      <c r="D1004" s="47" t="s">
        <v>17</v>
      </c>
      <c r="E1004" s="48">
        <v>0.33333333333333298</v>
      </c>
      <c r="F1004" s="48">
        <v>0.66666666666666696</v>
      </c>
      <c r="G1004" s="49">
        <v>0</v>
      </c>
      <c r="H1004" s="49">
        <v>7.000000000000016</v>
      </c>
      <c r="I1004" s="49">
        <v>7.000000000000016</v>
      </c>
      <c r="J1004" s="50" t="s">
        <v>30</v>
      </c>
      <c r="K1004" s="51" t="s">
        <v>332</v>
      </c>
      <c r="L1004" s="102" t="s">
        <v>281</v>
      </c>
      <c r="M1004" s="19" t="str">
        <f t="shared" si="29"/>
        <v>Nov_2017</v>
      </c>
    </row>
    <row r="1005" spans="1:13">
      <c r="A1005" s="45" t="s">
        <v>22</v>
      </c>
      <c r="B1005" s="52" t="s">
        <v>23</v>
      </c>
      <c r="C1005" s="46">
        <v>43045</v>
      </c>
      <c r="D1005" s="47" t="s">
        <v>16</v>
      </c>
      <c r="E1005" s="48">
        <v>0.35416666666666702</v>
      </c>
      <c r="F1005" s="48">
        <v>0.72916666666666696</v>
      </c>
      <c r="G1005" s="49">
        <v>0</v>
      </c>
      <c r="H1005" s="49">
        <v>7.9999999999999982</v>
      </c>
      <c r="I1005" s="49">
        <v>7.9999999999999982</v>
      </c>
      <c r="J1005" s="50" t="s">
        <v>30</v>
      </c>
      <c r="K1005" s="51" t="s">
        <v>333</v>
      </c>
      <c r="L1005" s="102" t="s">
        <v>281</v>
      </c>
      <c r="M1005" s="19" t="str">
        <f t="shared" si="29"/>
        <v>Nov_2017</v>
      </c>
    </row>
    <row r="1006" spans="1:13">
      <c r="A1006" s="45" t="s">
        <v>11</v>
      </c>
      <c r="B1006" s="52" t="s">
        <v>161</v>
      </c>
      <c r="C1006" s="46">
        <v>43046</v>
      </c>
      <c r="D1006" s="47" t="s">
        <v>14</v>
      </c>
      <c r="E1006" s="48">
        <v>0.72916666666666696</v>
      </c>
      <c r="F1006" s="48">
        <v>0.89583333333333304</v>
      </c>
      <c r="G1006" s="49">
        <v>8.0000000000000036</v>
      </c>
      <c r="H1006" s="49">
        <v>3.9999999999999822</v>
      </c>
      <c r="I1006" s="49">
        <v>3.9999999999999822</v>
      </c>
      <c r="J1006" s="53" t="s">
        <v>30</v>
      </c>
      <c r="K1006" s="51" t="s">
        <v>334</v>
      </c>
      <c r="L1006" s="102">
        <v>1</v>
      </c>
      <c r="M1006" s="19" t="str">
        <f t="shared" si="29"/>
        <v>Nov_2017</v>
      </c>
    </row>
    <row r="1007" spans="1:13">
      <c r="A1007" s="45" t="s">
        <v>22</v>
      </c>
      <c r="B1007" s="52" t="s">
        <v>23</v>
      </c>
      <c r="C1007" s="46">
        <v>43046</v>
      </c>
      <c r="D1007" s="47" t="s">
        <v>14</v>
      </c>
      <c r="E1007" s="48">
        <v>0.35416666666666702</v>
      </c>
      <c r="F1007" s="48">
        <v>0.72916666666666696</v>
      </c>
      <c r="G1007" s="49">
        <v>0</v>
      </c>
      <c r="H1007" s="49">
        <v>7.9999999999999982</v>
      </c>
      <c r="I1007" s="49">
        <v>7.9999999999999982</v>
      </c>
      <c r="J1007" s="50" t="s">
        <v>30</v>
      </c>
      <c r="K1007" s="51" t="s">
        <v>335</v>
      </c>
      <c r="L1007" s="102" t="s">
        <v>281</v>
      </c>
      <c r="M1007" s="19" t="str">
        <f t="shared" si="29"/>
        <v>Nov_2017</v>
      </c>
    </row>
    <row r="1008" spans="1:13">
      <c r="A1008" s="45" t="s">
        <v>11</v>
      </c>
      <c r="B1008" s="52" t="s">
        <v>161</v>
      </c>
      <c r="C1008" s="46">
        <v>43047</v>
      </c>
      <c r="D1008" s="47" t="s">
        <v>15</v>
      </c>
      <c r="E1008" s="48">
        <v>0.72916666666666696</v>
      </c>
      <c r="F1008" s="48">
        <v>0.89583333333333304</v>
      </c>
      <c r="G1008" s="49">
        <v>8.0000000000000036</v>
      </c>
      <c r="H1008" s="49">
        <v>3.9999999999999822</v>
      </c>
      <c r="I1008" s="49">
        <v>3.9999999999999822</v>
      </c>
      <c r="J1008" s="50" t="s">
        <v>30</v>
      </c>
      <c r="K1008" s="51" t="s">
        <v>336</v>
      </c>
      <c r="L1008" s="102">
        <v>1</v>
      </c>
      <c r="M1008" s="19" t="str">
        <f t="shared" si="29"/>
        <v>Nov_2017</v>
      </c>
    </row>
    <row r="1009" spans="1:13">
      <c r="A1009" s="45" t="s">
        <v>22</v>
      </c>
      <c r="B1009" s="52" t="s">
        <v>23</v>
      </c>
      <c r="C1009" s="46">
        <v>43047</v>
      </c>
      <c r="D1009" s="47" t="s">
        <v>15</v>
      </c>
      <c r="E1009" s="48">
        <v>0.35416666666666702</v>
      </c>
      <c r="F1009" s="48">
        <v>0.72916666666666696</v>
      </c>
      <c r="G1009" s="49">
        <v>0</v>
      </c>
      <c r="H1009" s="49">
        <v>7.9999999999999982</v>
      </c>
      <c r="I1009" s="49">
        <v>7.9999999999999982</v>
      </c>
      <c r="J1009" s="50" t="s">
        <v>30</v>
      </c>
      <c r="K1009" s="51" t="s">
        <v>337</v>
      </c>
      <c r="L1009" s="102" t="s">
        <v>281</v>
      </c>
      <c r="M1009" s="19" t="str">
        <f t="shared" si="29"/>
        <v>Nov_2017</v>
      </c>
    </row>
    <row r="1010" spans="1:13">
      <c r="A1010" s="45" t="s">
        <v>22</v>
      </c>
      <c r="B1010" s="52" t="s">
        <v>23</v>
      </c>
      <c r="C1010" s="46">
        <v>43048</v>
      </c>
      <c r="D1010" s="47" t="s">
        <v>25</v>
      </c>
      <c r="E1010" s="48">
        <v>0.35416666666666702</v>
      </c>
      <c r="F1010" s="48">
        <v>0.72916666666666696</v>
      </c>
      <c r="G1010" s="49">
        <v>0</v>
      </c>
      <c r="H1010" s="49">
        <v>7.9999999999999982</v>
      </c>
      <c r="I1010" s="49">
        <v>7.9999999999999982</v>
      </c>
      <c r="J1010" s="50" t="s">
        <v>30</v>
      </c>
      <c r="K1010" s="51" t="s">
        <v>338</v>
      </c>
      <c r="L1010" s="102" t="s">
        <v>281</v>
      </c>
      <c r="M1010" s="19" t="str">
        <f t="shared" si="29"/>
        <v>Nov_2017</v>
      </c>
    </row>
    <row r="1011" spans="1:13">
      <c r="A1011" s="45" t="s">
        <v>22</v>
      </c>
      <c r="B1011" s="52" t="s">
        <v>23</v>
      </c>
      <c r="C1011" s="46">
        <v>43049</v>
      </c>
      <c r="D1011" s="47" t="s">
        <v>17</v>
      </c>
      <c r="E1011" s="48">
        <v>0.35416666666666702</v>
      </c>
      <c r="F1011" s="48">
        <v>0.72916666666666696</v>
      </c>
      <c r="G1011" s="49">
        <v>0</v>
      </c>
      <c r="H1011" s="49">
        <v>7.9999999999999982</v>
      </c>
      <c r="I1011" s="49">
        <v>7.9999999999999982</v>
      </c>
      <c r="J1011" s="50" t="s">
        <v>30</v>
      </c>
      <c r="K1011" s="51" t="s">
        <v>339</v>
      </c>
      <c r="L1011" s="102" t="s">
        <v>281</v>
      </c>
      <c r="M1011" s="19" t="str">
        <f t="shared" si="29"/>
        <v>Nov_2017</v>
      </c>
    </row>
    <row r="1012" spans="1:13">
      <c r="A1012" s="45" t="s">
        <v>11</v>
      </c>
      <c r="B1012" s="52" t="s">
        <v>12</v>
      </c>
      <c r="C1012" s="54">
        <v>43052</v>
      </c>
      <c r="D1012" s="47" t="s">
        <v>16</v>
      </c>
      <c r="E1012" s="48">
        <v>0.72916666666666696</v>
      </c>
      <c r="F1012" s="48">
        <v>0.83333333333333304</v>
      </c>
      <c r="G1012" s="49">
        <v>8.0000000000000036</v>
      </c>
      <c r="H1012" s="49">
        <v>2.4999999999999805</v>
      </c>
      <c r="I1012" s="49">
        <v>2.4999999999999805</v>
      </c>
      <c r="J1012" s="50" t="s">
        <v>30</v>
      </c>
      <c r="K1012" s="51" t="s">
        <v>340</v>
      </c>
      <c r="L1012" s="102">
        <v>1</v>
      </c>
      <c r="M1012" s="19" t="str">
        <f t="shared" si="29"/>
        <v>Nov_2017</v>
      </c>
    </row>
    <row r="1013" spans="1:13">
      <c r="A1013" s="45" t="s">
        <v>11</v>
      </c>
      <c r="B1013" s="52" t="s">
        <v>19</v>
      </c>
      <c r="C1013" s="46">
        <v>43052</v>
      </c>
      <c r="D1013" s="47" t="s">
        <v>16</v>
      </c>
      <c r="E1013" s="48">
        <v>0.72916666666666696</v>
      </c>
      <c r="F1013" s="48">
        <v>0.83333333333333304</v>
      </c>
      <c r="G1013" s="49">
        <v>8.0000000000000036</v>
      </c>
      <c r="H1013" s="49">
        <v>2.4999999999999805</v>
      </c>
      <c r="I1013" s="49">
        <v>2.4999999999999805</v>
      </c>
      <c r="J1013" s="50" t="s">
        <v>30</v>
      </c>
      <c r="K1013" s="51" t="s">
        <v>340</v>
      </c>
      <c r="L1013" s="102">
        <v>1</v>
      </c>
      <c r="M1013" s="19" t="str">
        <f t="shared" si="29"/>
        <v>Nov_2017</v>
      </c>
    </row>
    <row r="1014" spans="1:13">
      <c r="A1014" s="45" t="s">
        <v>11</v>
      </c>
      <c r="B1014" s="52" t="s">
        <v>149</v>
      </c>
      <c r="C1014" s="46">
        <v>43052</v>
      </c>
      <c r="D1014" s="47" t="s">
        <v>16</v>
      </c>
      <c r="E1014" s="48">
        <v>0.72916666666666696</v>
      </c>
      <c r="F1014" s="48">
        <v>0.83333333333333304</v>
      </c>
      <c r="G1014" s="49">
        <v>8.0000000000000036</v>
      </c>
      <c r="H1014" s="49">
        <v>2.4999999999999805</v>
      </c>
      <c r="I1014" s="49">
        <v>2.4999999999999805</v>
      </c>
      <c r="J1014" s="50" t="s">
        <v>30</v>
      </c>
      <c r="K1014" s="51" t="s">
        <v>340</v>
      </c>
      <c r="L1014" s="102">
        <v>1</v>
      </c>
      <c r="M1014" s="19" t="str">
        <f t="shared" si="29"/>
        <v>Nov_2017</v>
      </c>
    </row>
    <row r="1015" spans="1:13">
      <c r="A1015" s="45" t="s">
        <v>11</v>
      </c>
      <c r="B1015" s="52" t="s">
        <v>161</v>
      </c>
      <c r="C1015" s="46">
        <v>43052</v>
      </c>
      <c r="D1015" s="47" t="s">
        <v>16</v>
      </c>
      <c r="E1015" s="48">
        <v>0.72916666666666696</v>
      </c>
      <c r="F1015" s="48">
        <v>0.83333333333333304</v>
      </c>
      <c r="G1015" s="49">
        <v>8.0000000000000036</v>
      </c>
      <c r="H1015" s="49">
        <v>2.4999999999999805</v>
      </c>
      <c r="I1015" s="49">
        <v>2.4999999999999805</v>
      </c>
      <c r="J1015" s="53" t="s">
        <v>30</v>
      </c>
      <c r="K1015" s="51" t="s">
        <v>340</v>
      </c>
      <c r="L1015" s="102">
        <v>1</v>
      </c>
      <c r="M1015" s="19" t="str">
        <f t="shared" si="29"/>
        <v>Nov_2017</v>
      </c>
    </row>
    <row r="1016" spans="1:13">
      <c r="A1016" s="45" t="s">
        <v>22</v>
      </c>
      <c r="B1016" s="52" t="s">
        <v>23</v>
      </c>
      <c r="C1016" s="46">
        <v>43052</v>
      </c>
      <c r="D1016" s="47" t="s">
        <v>16</v>
      </c>
      <c r="E1016" s="48">
        <v>0.35416666666666702</v>
      </c>
      <c r="F1016" s="48">
        <v>0.83333333333333304</v>
      </c>
      <c r="G1016" s="49">
        <v>0</v>
      </c>
      <c r="H1016" s="49">
        <v>10.499999999999984</v>
      </c>
      <c r="I1016" s="49">
        <v>10.499999999999984</v>
      </c>
      <c r="J1016" s="50" t="s">
        <v>30</v>
      </c>
      <c r="K1016" s="51" t="s">
        <v>340</v>
      </c>
      <c r="L1016" s="102" t="s">
        <v>281</v>
      </c>
      <c r="M1016" s="19" t="str">
        <f t="shared" si="29"/>
        <v>Nov_2017</v>
      </c>
    </row>
    <row r="1017" spans="1:13">
      <c r="A1017" s="45" t="s">
        <v>11</v>
      </c>
      <c r="B1017" s="52" t="s">
        <v>12</v>
      </c>
      <c r="C1017" s="54">
        <v>43053</v>
      </c>
      <c r="D1017" s="47" t="s">
        <v>14</v>
      </c>
      <c r="E1017" s="48">
        <v>0.72916666666666696</v>
      </c>
      <c r="F1017" s="48">
        <v>0.875</v>
      </c>
      <c r="G1017" s="49">
        <v>8.0000000000000036</v>
      </c>
      <c r="H1017" s="49">
        <v>3.4999999999999893</v>
      </c>
      <c r="I1017" s="49">
        <v>3.4999999999999893</v>
      </c>
      <c r="J1017" s="50" t="s">
        <v>30</v>
      </c>
      <c r="K1017" s="51" t="s">
        <v>341</v>
      </c>
      <c r="L1017" s="102">
        <v>1</v>
      </c>
      <c r="M1017" s="19" t="str">
        <f t="shared" si="29"/>
        <v>Nov_2017</v>
      </c>
    </row>
    <row r="1018" spans="1:13">
      <c r="A1018" s="45" t="s">
        <v>11</v>
      </c>
      <c r="B1018" s="52" t="s">
        <v>19</v>
      </c>
      <c r="C1018" s="46">
        <v>43053</v>
      </c>
      <c r="D1018" s="47" t="s">
        <v>14</v>
      </c>
      <c r="E1018" s="48">
        <v>0.72916666666666696</v>
      </c>
      <c r="F1018" s="48">
        <v>0.8125</v>
      </c>
      <c r="G1018" s="49">
        <v>8.0000000000000036</v>
      </c>
      <c r="H1018" s="49">
        <v>1.9999999999999876</v>
      </c>
      <c r="I1018" s="49">
        <v>1.9999999999999876</v>
      </c>
      <c r="J1018" s="50" t="s">
        <v>30</v>
      </c>
      <c r="K1018" s="51" t="s">
        <v>341</v>
      </c>
      <c r="L1018" s="102" t="s">
        <v>281</v>
      </c>
      <c r="M1018" s="19" t="str">
        <f t="shared" si="29"/>
        <v>Nov_2017</v>
      </c>
    </row>
    <row r="1019" spans="1:13">
      <c r="A1019" s="45" t="s">
        <v>11</v>
      </c>
      <c r="B1019" s="52" t="s">
        <v>26</v>
      </c>
      <c r="C1019" s="46">
        <v>43053</v>
      </c>
      <c r="D1019" s="47" t="s">
        <v>14</v>
      </c>
      <c r="E1019" s="48">
        <v>0.72916666666666696</v>
      </c>
      <c r="F1019" s="48">
        <v>0.875</v>
      </c>
      <c r="G1019" s="49">
        <v>8.0000000000000036</v>
      </c>
      <c r="H1019" s="49">
        <v>3.4999999999999893</v>
      </c>
      <c r="I1019" s="49">
        <v>3.4999999999999893</v>
      </c>
      <c r="J1019" s="50" t="s">
        <v>30</v>
      </c>
      <c r="K1019" s="51" t="s">
        <v>341</v>
      </c>
      <c r="L1019" s="102">
        <v>1</v>
      </c>
      <c r="M1019" s="19" t="str">
        <f t="shared" si="29"/>
        <v>Nov_2017</v>
      </c>
    </row>
    <row r="1020" spans="1:13">
      <c r="A1020" s="45" t="s">
        <v>11</v>
      </c>
      <c r="B1020" s="52" t="s">
        <v>149</v>
      </c>
      <c r="C1020" s="46">
        <v>43053</v>
      </c>
      <c r="D1020" s="47" t="s">
        <v>14</v>
      </c>
      <c r="E1020" s="48">
        <v>0.72916666666666696</v>
      </c>
      <c r="F1020" s="48">
        <v>0.875</v>
      </c>
      <c r="G1020" s="49">
        <v>8.0000000000000036</v>
      </c>
      <c r="H1020" s="49">
        <v>3.4999999999999893</v>
      </c>
      <c r="I1020" s="49">
        <v>3.4999999999999893</v>
      </c>
      <c r="J1020" s="50" t="s">
        <v>30</v>
      </c>
      <c r="K1020" s="51" t="s">
        <v>341</v>
      </c>
      <c r="L1020" s="102">
        <v>1</v>
      </c>
      <c r="M1020" s="19" t="str">
        <f t="shared" si="29"/>
        <v>Nov_2017</v>
      </c>
    </row>
    <row r="1021" spans="1:13">
      <c r="A1021" s="45" t="s">
        <v>11</v>
      </c>
      <c r="B1021" s="52" t="s">
        <v>161</v>
      </c>
      <c r="C1021" s="46">
        <v>43053</v>
      </c>
      <c r="D1021" s="47" t="s">
        <v>14</v>
      </c>
      <c r="E1021" s="48">
        <v>0.72916666666666696</v>
      </c>
      <c r="F1021" s="48">
        <v>0.875</v>
      </c>
      <c r="G1021" s="49">
        <v>8.0000000000000036</v>
      </c>
      <c r="H1021" s="49">
        <v>3.4999999999999893</v>
      </c>
      <c r="I1021" s="49">
        <v>3.4999999999999893</v>
      </c>
      <c r="J1021" s="53" t="s">
        <v>30</v>
      </c>
      <c r="K1021" s="51" t="s">
        <v>341</v>
      </c>
      <c r="L1021" s="102">
        <v>1</v>
      </c>
      <c r="M1021" s="19" t="str">
        <f t="shared" si="29"/>
        <v>Nov_2017</v>
      </c>
    </row>
    <row r="1022" spans="1:13">
      <c r="A1022" s="45" t="s">
        <v>22</v>
      </c>
      <c r="B1022" s="52" t="s">
        <v>23</v>
      </c>
      <c r="C1022" s="46">
        <v>43053</v>
      </c>
      <c r="D1022" s="47" t="s">
        <v>14</v>
      </c>
      <c r="E1022" s="48">
        <v>0.35416666666666702</v>
      </c>
      <c r="F1022" s="48">
        <v>0.875</v>
      </c>
      <c r="G1022" s="49">
        <v>0</v>
      </c>
      <c r="H1022" s="49">
        <v>11.499999999999993</v>
      </c>
      <c r="I1022" s="49">
        <v>11.499999999999993</v>
      </c>
      <c r="J1022" s="50" t="s">
        <v>30</v>
      </c>
      <c r="K1022" s="51" t="s">
        <v>341</v>
      </c>
      <c r="L1022" s="102" t="s">
        <v>281</v>
      </c>
      <c r="M1022" s="19" t="str">
        <f t="shared" si="29"/>
        <v>Nov_2017</v>
      </c>
    </row>
    <row r="1023" spans="1:13">
      <c r="A1023" s="45" t="s">
        <v>11</v>
      </c>
      <c r="B1023" s="52" t="s">
        <v>12</v>
      </c>
      <c r="C1023" s="54">
        <v>43054</v>
      </c>
      <c r="D1023" s="47" t="s">
        <v>15</v>
      </c>
      <c r="E1023" s="48">
        <v>0.77083333333333304</v>
      </c>
      <c r="F1023" s="48">
        <v>0.89583333333333304</v>
      </c>
      <c r="G1023" s="49">
        <v>0</v>
      </c>
      <c r="H1023" s="49">
        <v>3</v>
      </c>
      <c r="I1023" s="49">
        <v>3</v>
      </c>
      <c r="J1023" s="50" t="s">
        <v>30</v>
      </c>
      <c r="K1023" s="51" t="s">
        <v>342</v>
      </c>
      <c r="L1023" s="102" t="s">
        <v>281</v>
      </c>
      <c r="M1023" s="19" t="str">
        <f t="shared" si="29"/>
        <v>Nov_2017</v>
      </c>
    </row>
    <row r="1024" spans="1:13">
      <c r="A1024" s="45" t="s">
        <v>11</v>
      </c>
      <c r="B1024" s="52" t="s">
        <v>19</v>
      </c>
      <c r="C1024" s="46">
        <v>43054</v>
      </c>
      <c r="D1024" s="47" t="s">
        <v>15</v>
      </c>
      <c r="E1024" s="48">
        <v>0.72916666666666696</v>
      </c>
      <c r="F1024" s="48">
        <v>0.89583333333333304</v>
      </c>
      <c r="G1024" s="49">
        <v>8.0000000000000036</v>
      </c>
      <c r="H1024" s="49">
        <v>3.9999999999999822</v>
      </c>
      <c r="I1024" s="49">
        <v>3.9999999999999822</v>
      </c>
      <c r="J1024" s="50" t="s">
        <v>30</v>
      </c>
      <c r="K1024" s="51" t="s">
        <v>342</v>
      </c>
      <c r="L1024" s="102">
        <v>1</v>
      </c>
      <c r="M1024" s="19" t="str">
        <f t="shared" si="29"/>
        <v>Nov_2017</v>
      </c>
    </row>
    <row r="1025" spans="1:13">
      <c r="A1025" s="45" t="s">
        <v>11</v>
      </c>
      <c r="B1025" s="52" t="s">
        <v>26</v>
      </c>
      <c r="C1025" s="46">
        <v>43054</v>
      </c>
      <c r="D1025" s="47" t="s">
        <v>15</v>
      </c>
      <c r="E1025" s="48">
        <v>0.72916666666666696</v>
      </c>
      <c r="F1025" s="48">
        <v>0.89583333333333304</v>
      </c>
      <c r="G1025" s="49">
        <v>8.0000000000000036</v>
      </c>
      <c r="H1025" s="49">
        <v>3.9999999999999822</v>
      </c>
      <c r="I1025" s="49">
        <v>3.9999999999999822</v>
      </c>
      <c r="J1025" s="50" t="s">
        <v>30</v>
      </c>
      <c r="K1025" s="51" t="s">
        <v>342</v>
      </c>
      <c r="L1025" s="102">
        <v>1</v>
      </c>
      <c r="M1025" s="19" t="str">
        <f t="shared" si="29"/>
        <v>Nov_2017</v>
      </c>
    </row>
    <row r="1026" spans="1:13">
      <c r="A1026" s="45" t="s">
        <v>11</v>
      </c>
      <c r="B1026" s="52" t="s">
        <v>149</v>
      </c>
      <c r="C1026" s="46">
        <v>43054</v>
      </c>
      <c r="D1026" s="47" t="s">
        <v>15</v>
      </c>
      <c r="E1026" s="48">
        <v>0.72916666666666696</v>
      </c>
      <c r="F1026" s="48">
        <v>0.89583333333333304</v>
      </c>
      <c r="G1026" s="49">
        <v>8.0000000000000036</v>
      </c>
      <c r="H1026" s="49">
        <v>3.9999999999999822</v>
      </c>
      <c r="I1026" s="49">
        <v>3.9999999999999822</v>
      </c>
      <c r="J1026" s="50" t="s">
        <v>30</v>
      </c>
      <c r="K1026" s="51" t="s">
        <v>342</v>
      </c>
      <c r="L1026" s="102">
        <v>1</v>
      </c>
      <c r="M1026" s="19" t="str">
        <f t="shared" si="29"/>
        <v>Nov_2017</v>
      </c>
    </row>
    <row r="1027" spans="1:13">
      <c r="A1027" s="45" t="s">
        <v>11</v>
      </c>
      <c r="B1027" s="52" t="s">
        <v>161</v>
      </c>
      <c r="C1027" s="46">
        <v>43054</v>
      </c>
      <c r="D1027" s="47" t="s">
        <v>15</v>
      </c>
      <c r="E1027" s="48">
        <v>0.72916666666666696</v>
      </c>
      <c r="F1027" s="48">
        <v>0.89583333333333304</v>
      </c>
      <c r="G1027" s="49">
        <v>8.0000000000000036</v>
      </c>
      <c r="H1027" s="49">
        <v>3.9999999999999822</v>
      </c>
      <c r="I1027" s="49">
        <v>3.9999999999999822</v>
      </c>
      <c r="J1027" s="50" t="s">
        <v>30</v>
      </c>
      <c r="K1027" s="51" t="s">
        <v>342</v>
      </c>
      <c r="L1027" s="102">
        <v>1</v>
      </c>
      <c r="M1027" s="19" t="str">
        <f t="shared" si="29"/>
        <v>Nov_2017</v>
      </c>
    </row>
    <row r="1028" spans="1:13">
      <c r="A1028" s="45" t="s">
        <v>22</v>
      </c>
      <c r="B1028" s="52" t="s">
        <v>23</v>
      </c>
      <c r="C1028" s="46">
        <v>43054</v>
      </c>
      <c r="D1028" s="47" t="s">
        <v>15</v>
      </c>
      <c r="E1028" s="48">
        <v>0.35416666666666702</v>
      </c>
      <c r="F1028" s="48">
        <v>0.89583333333333304</v>
      </c>
      <c r="G1028" s="49">
        <v>0</v>
      </c>
      <c r="H1028" s="49">
        <v>11.999999999999986</v>
      </c>
      <c r="I1028" s="49">
        <v>11.999999999999986</v>
      </c>
      <c r="J1028" s="50" t="s">
        <v>30</v>
      </c>
      <c r="K1028" s="51" t="s">
        <v>342</v>
      </c>
      <c r="L1028" s="102" t="s">
        <v>281</v>
      </c>
      <c r="M1028" s="19" t="str">
        <f t="shared" si="29"/>
        <v>Nov_2017</v>
      </c>
    </row>
    <row r="1029" spans="1:13">
      <c r="A1029" s="45" t="s">
        <v>22</v>
      </c>
      <c r="B1029" s="52" t="s">
        <v>78</v>
      </c>
      <c r="C1029" s="46">
        <v>43054</v>
      </c>
      <c r="D1029" s="47" t="s">
        <v>15</v>
      </c>
      <c r="E1029" s="48">
        <v>0.77083333333333304</v>
      </c>
      <c r="F1029" s="48">
        <v>0.89583333333333304</v>
      </c>
      <c r="G1029" s="49">
        <v>0</v>
      </c>
      <c r="H1029" s="49">
        <v>3</v>
      </c>
      <c r="I1029" s="49">
        <v>3</v>
      </c>
      <c r="J1029" s="50" t="s">
        <v>30</v>
      </c>
      <c r="K1029" s="51" t="s">
        <v>342</v>
      </c>
      <c r="L1029" s="102" t="s">
        <v>281</v>
      </c>
      <c r="M1029" s="19" t="str">
        <f t="shared" si="29"/>
        <v>Nov_2017</v>
      </c>
    </row>
    <row r="1030" spans="1:13">
      <c r="A1030" s="45" t="s">
        <v>22</v>
      </c>
      <c r="B1030" s="52" t="s">
        <v>23</v>
      </c>
      <c r="C1030" s="46">
        <v>43055</v>
      </c>
      <c r="D1030" s="47" t="s">
        <v>25</v>
      </c>
      <c r="E1030" s="48">
        <v>0.35416666666666702</v>
      </c>
      <c r="F1030" s="48">
        <v>0.72916666666666696</v>
      </c>
      <c r="G1030" s="49">
        <v>0</v>
      </c>
      <c r="H1030" s="49">
        <v>7.9999999999999982</v>
      </c>
      <c r="I1030" s="49">
        <v>7.9999999999999982</v>
      </c>
      <c r="J1030" s="50" t="s">
        <v>30</v>
      </c>
      <c r="K1030" s="51" t="s">
        <v>343</v>
      </c>
      <c r="L1030" s="102" t="s">
        <v>281</v>
      </c>
      <c r="M1030" s="19" t="str">
        <f t="shared" si="29"/>
        <v>Nov_2017</v>
      </c>
    </row>
    <row r="1031" spans="1:13">
      <c r="A1031" s="45" t="s">
        <v>22</v>
      </c>
      <c r="B1031" s="52" t="s">
        <v>23</v>
      </c>
      <c r="C1031" s="46">
        <v>43056</v>
      </c>
      <c r="D1031" s="47" t="s">
        <v>17</v>
      </c>
      <c r="E1031" s="48">
        <v>0.35416666666666702</v>
      </c>
      <c r="F1031" s="48">
        <v>0.72916666666666696</v>
      </c>
      <c r="G1031" s="49">
        <v>0</v>
      </c>
      <c r="H1031" s="49">
        <v>7.9999999999999982</v>
      </c>
      <c r="I1031" s="49">
        <v>7.9999999999999982</v>
      </c>
      <c r="J1031" s="50" t="s">
        <v>30</v>
      </c>
      <c r="K1031" s="51" t="s">
        <v>344</v>
      </c>
      <c r="L1031" s="102" t="s">
        <v>281</v>
      </c>
      <c r="M1031" s="19" t="str">
        <f t="shared" si="29"/>
        <v>Nov_2017</v>
      </c>
    </row>
    <row r="1032" spans="1:13">
      <c r="A1032" s="45" t="s">
        <v>22</v>
      </c>
      <c r="B1032" s="52" t="s">
        <v>254</v>
      </c>
      <c r="C1032" s="46">
        <v>43056</v>
      </c>
      <c r="D1032" s="47" t="s">
        <v>17</v>
      </c>
      <c r="E1032" s="48">
        <v>0.35416666666666702</v>
      </c>
      <c r="F1032" s="48">
        <v>0.72916666666666696</v>
      </c>
      <c r="G1032" s="49">
        <v>0</v>
      </c>
      <c r="H1032" s="49">
        <v>7.9999999999999982</v>
      </c>
      <c r="I1032" s="49">
        <v>7.9999999999999982</v>
      </c>
      <c r="J1032" s="50" t="s">
        <v>30</v>
      </c>
      <c r="K1032" s="51" t="s">
        <v>344</v>
      </c>
      <c r="L1032" s="102" t="s">
        <v>281</v>
      </c>
      <c r="M1032" s="19" t="str">
        <f t="shared" si="29"/>
        <v>Nov_2017</v>
      </c>
    </row>
    <row r="1033" spans="1:13">
      <c r="A1033" s="45" t="s">
        <v>22</v>
      </c>
      <c r="B1033" s="52" t="s">
        <v>23</v>
      </c>
      <c r="C1033" s="46">
        <v>43059</v>
      </c>
      <c r="D1033" s="47" t="s">
        <v>16</v>
      </c>
      <c r="E1033" s="48">
        <v>0.35416666666666702</v>
      </c>
      <c r="F1033" s="48">
        <v>0.72916666666666696</v>
      </c>
      <c r="G1033" s="49">
        <v>0</v>
      </c>
      <c r="H1033" s="49">
        <v>7.9999999999999982</v>
      </c>
      <c r="I1033" s="49">
        <v>7.9999999999999982</v>
      </c>
      <c r="J1033" s="50" t="s">
        <v>30</v>
      </c>
      <c r="K1033" s="51" t="s">
        <v>345</v>
      </c>
      <c r="L1033" s="102" t="s">
        <v>281</v>
      </c>
      <c r="M1033" s="19" t="str">
        <f t="shared" si="29"/>
        <v>Nov_2017</v>
      </c>
    </row>
    <row r="1034" spans="1:13">
      <c r="A1034" s="45" t="s">
        <v>22</v>
      </c>
      <c r="B1034" s="52" t="s">
        <v>346</v>
      </c>
      <c r="C1034" s="46">
        <v>43059</v>
      </c>
      <c r="D1034" s="47" t="s">
        <v>16</v>
      </c>
      <c r="E1034" s="48">
        <v>0.35416666666666702</v>
      </c>
      <c r="F1034" s="48">
        <v>0.72916666666666696</v>
      </c>
      <c r="G1034" s="49">
        <v>0</v>
      </c>
      <c r="H1034" s="49">
        <v>7.9999999999999982</v>
      </c>
      <c r="I1034" s="49">
        <v>7.9999999999999982</v>
      </c>
      <c r="J1034" s="50" t="s">
        <v>30</v>
      </c>
      <c r="K1034" s="51" t="s">
        <v>348</v>
      </c>
      <c r="L1034" s="102" t="s">
        <v>281</v>
      </c>
      <c r="M1034" s="19" t="str">
        <f t="shared" si="29"/>
        <v>Nov_2017</v>
      </c>
    </row>
    <row r="1035" spans="1:13">
      <c r="A1035" s="45" t="s">
        <v>22</v>
      </c>
      <c r="B1035" s="52" t="s">
        <v>347</v>
      </c>
      <c r="C1035" s="46">
        <v>43059</v>
      </c>
      <c r="D1035" s="47" t="s">
        <v>16</v>
      </c>
      <c r="E1035" s="48">
        <v>0.35416666666666702</v>
      </c>
      <c r="F1035" s="48">
        <v>0.72916666666666696</v>
      </c>
      <c r="G1035" s="49">
        <v>0</v>
      </c>
      <c r="H1035" s="49">
        <v>7.9999999999999982</v>
      </c>
      <c r="I1035" s="49">
        <v>7.9999999999999982</v>
      </c>
      <c r="J1035" s="50" t="s">
        <v>30</v>
      </c>
      <c r="K1035" s="51" t="s">
        <v>348</v>
      </c>
      <c r="L1035" s="102" t="s">
        <v>281</v>
      </c>
      <c r="M1035" s="19" t="str">
        <f t="shared" si="29"/>
        <v>Nov_2017</v>
      </c>
    </row>
    <row r="1036" spans="1:13">
      <c r="A1036" s="45" t="s">
        <v>11</v>
      </c>
      <c r="B1036" s="52" t="s">
        <v>12</v>
      </c>
      <c r="C1036" s="54">
        <v>43060</v>
      </c>
      <c r="D1036" s="47" t="s">
        <v>14</v>
      </c>
      <c r="E1036" s="48">
        <v>0.72916666666666696</v>
      </c>
      <c r="F1036" s="48">
        <v>0.85416666666666696</v>
      </c>
      <c r="G1036" s="49">
        <v>8.0000000000000036</v>
      </c>
      <c r="H1036" s="49">
        <v>2.9999999999999947</v>
      </c>
      <c r="I1036" s="49">
        <v>2.9999999999999947</v>
      </c>
      <c r="J1036" s="50" t="s">
        <v>30</v>
      </c>
      <c r="K1036" s="51" t="s">
        <v>349</v>
      </c>
      <c r="L1036" s="102">
        <v>1</v>
      </c>
      <c r="M1036" s="19" t="str">
        <f t="shared" si="29"/>
        <v>Nov_2017</v>
      </c>
    </row>
    <row r="1037" spans="1:13">
      <c r="A1037" s="45" t="s">
        <v>11</v>
      </c>
      <c r="B1037" s="52" t="s">
        <v>26</v>
      </c>
      <c r="C1037" s="46">
        <v>43060</v>
      </c>
      <c r="D1037" s="47" t="s">
        <v>14</v>
      </c>
      <c r="E1037" s="48">
        <v>0.72916666666666696</v>
      </c>
      <c r="F1037" s="48">
        <v>0.85416666666666696</v>
      </c>
      <c r="G1037" s="49">
        <v>8.0000000000000036</v>
      </c>
      <c r="H1037" s="49">
        <v>2.9999999999999947</v>
      </c>
      <c r="I1037" s="49">
        <v>2.9999999999999947</v>
      </c>
      <c r="J1037" s="50" t="s">
        <v>30</v>
      </c>
      <c r="K1037" s="51" t="s">
        <v>349</v>
      </c>
      <c r="L1037" s="102">
        <v>1</v>
      </c>
      <c r="M1037" s="19" t="str">
        <f t="shared" si="29"/>
        <v>Nov_2017</v>
      </c>
    </row>
    <row r="1038" spans="1:13">
      <c r="A1038" s="45" t="s">
        <v>11</v>
      </c>
      <c r="B1038" s="52" t="s">
        <v>149</v>
      </c>
      <c r="C1038" s="46">
        <v>43060</v>
      </c>
      <c r="D1038" s="47" t="s">
        <v>14</v>
      </c>
      <c r="E1038" s="48">
        <v>0.72916666666666696</v>
      </c>
      <c r="F1038" s="48">
        <v>0.85416666666666696</v>
      </c>
      <c r="G1038" s="49">
        <v>8.0000000000000036</v>
      </c>
      <c r="H1038" s="49">
        <v>2.9999999999999947</v>
      </c>
      <c r="I1038" s="49">
        <v>2.9999999999999947</v>
      </c>
      <c r="J1038" s="50" t="s">
        <v>30</v>
      </c>
      <c r="K1038" s="51" t="s">
        <v>349</v>
      </c>
      <c r="L1038" s="102">
        <v>1</v>
      </c>
      <c r="M1038" s="19" t="str">
        <f t="shared" si="29"/>
        <v>Nov_2017</v>
      </c>
    </row>
    <row r="1039" spans="1:13">
      <c r="A1039" s="45" t="s">
        <v>11</v>
      </c>
      <c r="B1039" s="52" t="s">
        <v>161</v>
      </c>
      <c r="C1039" s="46">
        <v>43060</v>
      </c>
      <c r="D1039" s="47" t="s">
        <v>14</v>
      </c>
      <c r="E1039" s="48">
        <v>0.72916666666666696</v>
      </c>
      <c r="F1039" s="48">
        <v>0.85416666666666696</v>
      </c>
      <c r="G1039" s="49">
        <v>8.0000000000000036</v>
      </c>
      <c r="H1039" s="49">
        <v>2.9999999999999947</v>
      </c>
      <c r="I1039" s="49">
        <v>2.9999999999999947</v>
      </c>
      <c r="J1039" s="53" t="s">
        <v>30</v>
      </c>
      <c r="K1039" s="51" t="s">
        <v>349</v>
      </c>
      <c r="L1039" s="102">
        <v>1</v>
      </c>
      <c r="M1039" s="19" t="str">
        <f t="shared" si="29"/>
        <v>Nov_2017</v>
      </c>
    </row>
    <row r="1040" spans="1:13">
      <c r="A1040" s="45" t="s">
        <v>22</v>
      </c>
      <c r="B1040" s="52" t="s">
        <v>23</v>
      </c>
      <c r="C1040" s="46">
        <v>43060</v>
      </c>
      <c r="D1040" s="47" t="s">
        <v>14</v>
      </c>
      <c r="E1040" s="48">
        <v>0.35416666666666702</v>
      </c>
      <c r="F1040" s="48">
        <v>0.85416666666666696</v>
      </c>
      <c r="G1040" s="49">
        <v>0</v>
      </c>
      <c r="H1040" s="49">
        <v>10.999999999999998</v>
      </c>
      <c r="I1040" s="49">
        <v>10.999999999999998</v>
      </c>
      <c r="J1040" s="50" t="s">
        <v>30</v>
      </c>
      <c r="K1040" s="51" t="s">
        <v>349</v>
      </c>
      <c r="L1040" s="102" t="s">
        <v>281</v>
      </c>
      <c r="M1040" s="19" t="str">
        <f t="shared" si="29"/>
        <v>Nov_2017</v>
      </c>
    </row>
    <row r="1041" spans="1:13">
      <c r="A1041" s="45" t="s">
        <v>22</v>
      </c>
      <c r="B1041" s="52" t="s">
        <v>346</v>
      </c>
      <c r="C1041" s="46">
        <v>43060</v>
      </c>
      <c r="D1041" s="47" t="s">
        <v>14</v>
      </c>
      <c r="E1041" s="48">
        <v>0.35416666666666702</v>
      </c>
      <c r="F1041" s="48">
        <v>0.8125</v>
      </c>
      <c r="G1041" s="49">
        <v>0</v>
      </c>
      <c r="H1041" s="49">
        <v>9.9999999999999911</v>
      </c>
      <c r="I1041" s="49">
        <v>9.9999999999999911</v>
      </c>
      <c r="J1041" s="50" t="s">
        <v>30</v>
      </c>
      <c r="K1041" s="51" t="s">
        <v>350</v>
      </c>
      <c r="L1041" s="102" t="s">
        <v>281</v>
      </c>
      <c r="M1041" s="19" t="str">
        <f t="shared" si="29"/>
        <v>Nov_2017</v>
      </c>
    </row>
    <row r="1042" spans="1:13">
      <c r="A1042" s="45" t="s">
        <v>22</v>
      </c>
      <c r="B1042" s="52" t="s">
        <v>347</v>
      </c>
      <c r="C1042" s="46">
        <v>43060</v>
      </c>
      <c r="D1042" s="47" t="s">
        <v>14</v>
      </c>
      <c r="E1042" s="48">
        <v>0.35416666666666702</v>
      </c>
      <c r="F1042" s="48">
        <v>0.72916666666666696</v>
      </c>
      <c r="G1042" s="49">
        <v>0</v>
      </c>
      <c r="H1042" s="49">
        <v>7.9999999999999982</v>
      </c>
      <c r="I1042" s="49">
        <v>7.9999999999999982</v>
      </c>
      <c r="J1042" s="50" t="s">
        <v>30</v>
      </c>
      <c r="K1042" s="51" t="s">
        <v>350</v>
      </c>
      <c r="L1042" s="102" t="s">
        <v>281</v>
      </c>
      <c r="M1042" s="19" t="str">
        <f t="shared" si="29"/>
        <v>Nov_2017</v>
      </c>
    </row>
    <row r="1043" spans="1:13">
      <c r="A1043" s="45" t="s">
        <v>22</v>
      </c>
      <c r="B1043" s="52" t="s">
        <v>23</v>
      </c>
      <c r="C1043" s="46">
        <v>43061</v>
      </c>
      <c r="D1043" s="47" t="s">
        <v>15</v>
      </c>
      <c r="E1043" s="48">
        <v>0.35416666666666702</v>
      </c>
      <c r="F1043" s="48">
        <v>0.72916666666666696</v>
      </c>
      <c r="G1043" s="49">
        <v>0</v>
      </c>
      <c r="H1043" s="49">
        <v>7.9999999999999982</v>
      </c>
      <c r="I1043" s="49">
        <v>7.9999999999999982</v>
      </c>
      <c r="J1043" s="50" t="s">
        <v>30</v>
      </c>
      <c r="K1043" s="51" t="s">
        <v>351</v>
      </c>
      <c r="L1043" s="102" t="s">
        <v>281</v>
      </c>
      <c r="M1043" s="19" t="str">
        <f t="shared" si="29"/>
        <v>Nov_2017</v>
      </c>
    </row>
    <row r="1044" spans="1:13">
      <c r="A1044" s="45" t="s">
        <v>22</v>
      </c>
      <c r="B1044" s="52" t="s">
        <v>346</v>
      </c>
      <c r="C1044" s="46">
        <v>43061</v>
      </c>
      <c r="D1044" s="47" t="s">
        <v>15</v>
      </c>
      <c r="E1044" s="48">
        <v>0.35416666666666702</v>
      </c>
      <c r="F1044" s="48">
        <v>0.72916666666666696</v>
      </c>
      <c r="G1044" s="49">
        <v>0</v>
      </c>
      <c r="H1044" s="49">
        <v>7.9999999999999982</v>
      </c>
      <c r="I1044" s="49">
        <v>7.9999999999999982</v>
      </c>
      <c r="J1044" s="50" t="s">
        <v>30</v>
      </c>
      <c r="K1044" s="51" t="s">
        <v>352</v>
      </c>
      <c r="L1044" s="102" t="s">
        <v>281</v>
      </c>
      <c r="M1044" s="19" t="str">
        <f t="shared" si="29"/>
        <v>Nov_2017</v>
      </c>
    </row>
    <row r="1045" spans="1:13">
      <c r="A1045" s="45" t="s">
        <v>22</v>
      </c>
      <c r="B1045" s="52" t="s">
        <v>347</v>
      </c>
      <c r="C1045" s="46">
        <v>43061</v>
      </c>
      <c r="D1045" s="47" t="s">
        <v>15</v>
      </c>
      <c r="E1045" s="48">
        <v>0.35416666666666702</v>
      </c>
      <c r="F1045" s="48">
        <v>0.72916666666666696</v>
      </c>
      <c r="G1045" s="49">
        <v>0</v>
      </c>
      <c r="H1045" s="49">
        <v>7.9999999999999982</v>
      </c>
      <c r="I1045" s="49">
        <v>7.9999999999999982</v>
      </c>
      <c r="J1045" s="50" t="s">
        <v>30</v>
      </c>
      <c r="K1045" s="51" t="s">
        <v>352</v>
      </c>
      <c r="L1045" s="102" t="s">
        <v>281</v>
      </c>
      <c r="M1045" s="19" t="str">
        <f t="shared" ref="M1045:M1076" si="30">IF($C1045="","",TEXT(DATE(YEAR($C1045),MONTH($C1045),DAY($C1045)),"MMM")&amp;"_"&amp;YEAR($C1045))</f>
        <v>Nov_2017</v>
      </c>
    </row>
    <row r="1046" spans="1:13">
      <c r="A1046" s="45" t="s">
        <v>22</v>
      </c>
      <c r="B1046" s="52" t="s">
        <v>23</v>
      </c>
      <c r="C1046" s="46">
        <v>43062</v>
      </c>
      <c r="D1046" s="47" t="s">
        <v>25</v>
      </c>
      <c r="E1046" s="48">
        <v>0.35416666666666702</v>
      </c>
      <c r="F1046" s="48">
        <v>0.72916666666666696</v>
      </c>
      <c r="G1046" s="49">
        <v>0</v>
      </c>
      <c r="H1046" s="49">
        <v>7.9999999999999982</v>
      </c>
      <c r="I1046" s="49">
        <v>7.9999999999999982</v>
      </c>
      <c r="J1046" s="50" t="s">
        <v>30</v>
      </c>
      <c r="K1046" s="51" t="s">
        <v>353</v>
      </c>
      <c r="L1046" s="102" t="s">
        <v>281</v>
      </c>
      <c r="M1046" s="19" t="str">
        <f t="shared" si="30"/>
        <v>Nov_2017</v>
      </c>
    </row>
    <row r="1047" spans="1:13">
      <c r="A1047" s="45" t="s">
        <v>22</v>
      </c>
      <c r="B1047" s="52" t="s">
        <v>346</v>
      </c>
      <c r="C1047" s="46">
        <v>43062</v>
      </c>
      <c r="D1047" s="47" t="s">
        <v>25</v>
      </c>
      <c r="E1047" s="48">
        <v>0.35416666666666702</v>
      </c>
      <c r="F1047" s="48">
        <v>0.72916666666666696</v>
      </c>
      <c r="G1047" s="49">
        <v>0</v>
      </c>
      <c r="H1047" s="49">
        <v>7.9999999999999982</v>
      </c>
      <c r="I1047" s="49">
        <v>7.9999999999999982</v>
      </c>
      <c r="J1047" s="50" t="s">
        <v>30</v>
      </c>
      <c r="K1047" s="51" t="s">
        <v>353</v>
      </c>
      <c r="L1047" s="102" t="s">
        <v>281</v>
      </c>
      <c r="M1047" s="19" t="str">
        <f t="shared" si="30"/>
        <v>Nov_2017</v>
      </c>
    </row>
    <row r="1048" spans="1:13">
      <c r="A1048" s="45" t="s">
        <v>22</v>
      </c>
      <c r="B1048" s="52" t="s">
        <v>23</v>
      </c>
      <c r="C1048" s="46">
        <v>43063</v>
      </c>
      <c r="D1048" s="47" t="s">
        <v>17</v>
      </c>
      <c r="E1048" s="48">
        <v>0.35416666666666702</v>
      </c>
      <c r="F1048" s="48">
        <v>0.72916666666666696</v>
      </c>
      <c r="G1048" s="49">
        <v>0</v>
      </c>
      <c r="H1048" s="49">
        <v>7.9999999999999982</v>
      </c>
      <c r="I1048" s="49">
        <v>7.9999999999999982</v>
      </c>
      <c r="J1048" s="50" t="s">
        <v>30</v>
      </c>
      <c r="K1048" s="51" t="s">
        <v>354</v>
      </c>
      <c r="L1048" s="102" t="s">
        <v>281</v>
      </c>
      <c r="M1048" s="19" t="str">
        <f t="shared" si="30"/>
        <v>Nov_2017</v>
      </c>
    </row>
    <row r="1049" spans="1:13">
      <c r="A1049" s="45" t="s">
        <v>22</v>
      </c>
      <c r="B1049" s="52" t="s">
        <v>347</v>
      </c>
      <c r="C1049" s="46">
        <v>43063</v>
      </c>
      <c r="D1049" s="47" t="s">
        <v>17</v>
      </c>
      <c r="E1049" s="48">
        <v>0.35416666666666702</v>
      </c>
      <c r="F1049" s="48">
        <v>0.72916666666666696</v>
      </c>
      <c r="G1049" s="49">
        <v>0</v>
      </c>
      <c r="H1049" s="49">
        <v>7.9999999999999982</v>
      </c>
      <c r="I1049" s="49">
        <v>7.9999999999999982</v>
      </c>
      <c r="J1049" s="50" t="s">
        <v>30</v>
      </c>
      <c r="K1049" s="51" t="s">
        <v>354</v>
      </c>
      <c r="L1049" s="102" t="s">
        <v>281</v>
      </c>
      <c r="M1049" s="19" t="str">
        <f t="shared" si="30"/>
        <v>Nov_2017</v>
      </c>
    </row>
    <row r="1050" spans="1:13">
      <c r="A1050" s="45" t="s">
        <v>22</v>
      </c>
      <c r="B1050" s="52" t="s">
        <v>23</v>
      </c>
      <c r="C1050" s="46">
        <v>43066</v>
      </c>
      <c r="D1050" s="47" t="s">
        <v>16</v>
      </c>
      <c r="E1050" s="48">
        <v>0.35416666666666702</v>
      </c>
      <c r="F1050" s="48">
        <v>0.72916666666666696</v>
      </c>
      <c r="G1050" s="49">
        <v>0</v>
      </c>
      <c r="H1050" s="49">
        <v>7.9999999999999982</v>
      </c>
      <c r="I1050" s="49">
        <v>7.9999999999999982</v>
      </c>
      <c r="J1050" s="53" t="s">
        <v>30</v>
      </c>
      <c r="K1050" s="51" t="s">
        <v>355</v>
      </c>
      <c r="L1050" s="102" t="s">
        <v>281</v>
      </c>
      <c r="M1050" s="19" t="str">
        <f t="shared" si="30"/>
        <v>Nov_2017</v>
      </c>
    </row>
    <row r="1051" spans="1:13">
      <c r="A1051" s="45" t="s">
        <v>22</v>
      </c>
      <c r="B1051" s="52" t="s">
        <v>346</v>
      </c>
      <c r="C1051" s="46">
        <v>43066</v>
      </c>
      <c r="D1051" s="47" t="s">
        <v>16</v>
      </c>
      <c r="E1051" s="48">
        <v>0.35416666666666702</v>
      </c>
      <c r="F1051" s="48">
        <v>0.72916666666666696</v>
      </c>
      <c r="G1051" s="49">
        <v>0</v>
      </c>
      <c r="H1051" s="49">
        <v>7.9999999999999982</v>
      </c>
      <c r="I1051" s="49">
        <v>7.9999999999999982</v>
      </c>
      <c r="J1051" s="50" t="s">
        <v>30</v>
      </c>
      <c r="K1051" s="51" t="s">
        <v>355</v>
      </c>
      <c r="L1051" s="102" t="s">
        <v>281</v>
      </c>
      <c r="M1051" s="19" t="str">
        <f t="shared" si="30"/>
        <v>Nov_2017</v>
      </c>
    </row>
    <row r="1052" spans="1:13">
      <c r="A1052" s="45" t="s">
        <v>22</v>
      </c>
      <c r="B1052" s="52" t="s">
        <v>347</v>
      </c>
      <c r="C1052" s="46">
        <v>43066</v>
      </c>
      <c r="D1052" s="47" t="s">
        <v>16</v>
      </c>
      <c r="E1052" s="48">
        <v>0.35416666666666702</v>
      </c>
      <c r="F1052" s="48">
        <v>0.72916666666666696</v>
      </c>
      <c r="G1052" s="49">
        <v>0</v>
      </c>
      <c r="H1052" s="49">
        <v>7.9999999999999982</v>
      </c>
      <c r="I1052" s="49">
        <v>7.9999999999999982</v>
      </c>
      <c r="J1052" s="53" t="s">
        <v>30</v>
      </c>
      <c r="K1052" s="51" t="s">
        <v>355</v>
      </c>
      <c r="L1052" s="102" t="s">
        <v>281</v>
      </c>
      <c r="M1052" s="19" t="str">
        <f t="shared" si="30"/>
        <v>Nov_2017</v>
      </c>
    </row>
    <row r="1053" spans="1:13">
      <c r="A1053" s="45" t="s">
        <v>11</v>
      </c>
      <c r="B1053" s="52" t="s">
        <v>19</v>
      </c>
      <c r="C1053" s="46">
        <v>43067</v>
      </c>
      <c r="D1053" s="47" t="s">
        <v>14</v>
      </c>
      <c r="E1053" s="48">
        <v>0.70833333333333304</v>
      </c>
      <c r="F1053" s="48">
        <v>0.875</v>
      </c>
      <c r="G1053" s="49">
        <v>8.0000000000000036</v>
      </c>
      <c r="H1053" s="49">
        <v>4.0000000000000036</v>
      </c>
      <c r="I1053" s="49">
        <v>4.0000000000000036</v>
      </c>
      <c r="J1053" s="53" t="s">
        <v>30</v>
      </c>
      <c r="K1053" s="51" t="s">
        <v>356</v>
      </c>
      <c r="L1053" s="102">
        <v>1</v>
      </c>
      <c r="M1053" s="19" t="str">
        <f t="shared" si="30"/>
        <v>Nov_2017</v>
      </c>
    </row>
    <row r="1054" spans="1:13">
      <c r="A1054" s="45" t="s">
        <v>11</v>
      </c>
      <c r="B1054" s="52" t="s">
        <v>149</v>
      </c>
      <c r="C1054" s="46">
        <v>43067</v>
      </c>
      <c r="D1054" s="47" t="s">
        <v>14</v>
      </c>
      <c r="E1054" s="48">
        <v>0.70833333333333304</v>
      </c>
      <c r="F1054" s="48">
        <v>0.875</v>
      </c>
      <c r="G1054" s="49">
        <v>8.0000000000000036</v>
      </c>
      <c r="H1054" s="49">
        <v>4.0000000000000036</v>
      </c>
      <c r="I1054" s="49">
        <v>4.0000000000000036</v>
      </c>
      <c r="J1054" s="53" t="s">
        <v>30</v>
      </c>
      <c r="K1054" s="51" t="s">
        <v>356</v>
      </c>
      <c r="L1054" s="102">
        <v>1</v>
      </c>
      <c r="M1054" s="19" t="str">
        <f t="shared" si="30"/>
        <v>Nov_2017</v>
      </c>
    </row>
    <row r="1055" spans="1:13">
      <c r="A1055" s="45" t="s">
        <v>11</v>
      </c>
      <c r="B1055" s="52" t="s">
        <v>161</v>
      </c>
      <c r="C1055" s="46">
        <v>43067</v>
      </c>
      <c r="D1055" s="47" t="s">
        <v>14</v>
      </c>
      <c r="E1055" s="48">
        <v>0.70833333333333304</v>
      </c>
      <c r="F1055" s="48">
        <v>0.875</v>
      </c>
      <c r="G1055" s="49">
        <v>8.0000000000000036</v>
      </c>
      <c r="H1055" s="49">
        <v>4.0000000000000036</v>
      </c>
      <c r="I1055" s="49">
        <v>4.0000000000000036</v>
      </c>
      <c r="J1055" s="53" t="s">
        <v>30</v>
      </c>
      <c r="K1055" s="51" t="s">
        <v>356</v>
      </c>
      <c r="L1055" s="102">
        <v>1</v>
      </c>
      <c r="M1055" s="19" t="str">
        <f t="shared" si="30"/>
        <v>Nov_2017</v>
      </c>
    </row>
    <row r="1056" spans="1:13">
      <c r="A1056" s="45" t="s">
        <v>22</v>
      </c>
      <c r="B1056" s="52" t="s">
        <v>23</v>
      </c>
      <c r="C1056" s="46">
        <v>43067</v>
      </c>
      <c r="D1056" s="47" t="s">
        <v>14</v>
      </c>
      <c r="E1056" s="48">
        <v>0.33333333333333298</v>
      </c>
      <c r="F1056" s="48">
        <v>0.875</v>
      </c>
      <c r="G1056" s="49">
        <v>0</v>
      </c>
      <c r="H1056" s="49">
        <v>12.000000000000007</v>
      </c>
      <c r="I1056" s="49">
        <v>12.000000000000007</v>
      </c>
      <c r="J1056" s="53" t="s">
        <v>30</v>
      </c>
      <c r="K1056" s="51" t="s">
        <v>356</v>
      </c>
      <c r="L1056" s="102" t="s">
        <v>281</v>
      </c>
      <c r="M1056" s="19" t="str">
        <f t="shared" si="30"/>
        <v>Nov_2017</v>
      </c>
    </row>
    <row r="1057" spans="1:13">
      <c r="A1057" s="45" t="s">
        <v>22</v>
      </c>
      <c r="B1057" s="52" t="s">
        <v>80</v>
      </c>
      <c r="C1057" s="46">
        <v>43067</v>
      </c>
      <c r="D1057" s="47" t="s">
        <v>14</v>
      </c>
      <c r="E1057" s="48">
        <v>0.33333333333333298</v>
      </c>
      <c r="F1057" s="48">
        <v>0.52083333333333304</v>
      </c>
      <c r="G1057" s="49">
        <v>0</v>
      </c>
      <c r="H1057" s="49">
        <v>4.5000000000000018</v>
      </c>
      <c r="I1057" s="49">
        <v>4.5000000000000018</v>
      </c>
      <c r="J1057" s="50" t="s">
        <v>30</v>
      </c>
      <c r="K1057" s="51" t="s">
        <v>356</v>
      </c>
      <c r="L1057" s="102" t="s">
        <v>281</v>
      </c>
      <c r="M1057" s="19" t="str">
        <f t="shared" si="30"/>
        <v>Nov_2017</v>
      </c>
    </row>
    <row r="1058" spans="1:13">
      <c r="A1058" s="45" t="s">
        <v>22</v>
      </c>
      <c r="B1058" s="52" t="s">
        <v>254</v>
      </c>
      <c r="C1058" s="46">
        <v>43067</v>
      </c>
      <c r="D1058" s="47" t="s">
        <v>14</v>
      </c>
      <c r="E1058" s="48">
        <v>0.33333333333333298</v>
      </c>
      <c r="F1058" s="48">
        <v>0.875</v>
      </c>
      <c r="G1058" s="49">
        <v>0</v>
      </c>
      <c r="H1058" s="49">
        <v>12.000000000000007</v>
      </c>
      <c r="I1058" s="49">
        <v>12.000000000000007</v>
      </c>
      <c r="J1058" s="50" t="s">
        <v>30</v>
      </c>
      <c r="K1058" s="51" t="s">
        <v>356</v>
      </c>
      <c r="L1058" s="102" t="s">
        <v>281</v>
      </c>
      <c r="M1058" s="19" t="str">
        <f t="shared" si="30"/>
        <v>Nov_2017</v>
      </c>
    </row>
    <row r="1059" spans="1:13">
      <c r="A1059" s="45" t="s">
        <v>22</v>
      </c>
      <c r="B1059" s="52" t="s">
        <v>255</v>
      </c>
      <c r="C1059" s="46">
        <v>43067</v>
      </c>
      <c r="D1059" s="47" t="s">
        <v>14</v>
      </c>
      <c r="E1059" s="48">
        <v>0.33333333333333298</v>
      </c>
      <c r="F1059" s="48">
        <v>0.875</v>
      </c>
      <c r="G1059" s="49">
        <v>0</v>
      </c>
      <c r="H1059" s="49">
        <v>12.000000000000007</v>
      </c>
      <c r="I1059" s="49">
        <v>12.000000000000007</v>
      </c>
      <c r="J1059" s="50" t="s">
        <v>30</v>
      </c>
      <c r="K1059" s="51" t="s">
        <v>356</v>
      </c>
      <c r="L1059" s="102" t="s">
        <v>281</v>
      </c>
      <c r="M1059" s="19" t="str">
        <f t="shared" si="30"/>
        <v>Nov_2017</v>
      </c>
    </row>
    <row r="1060" spans="1:13">
      <c r="A1060" s="45" t="s">
        <v>22</v>
      </c>
      <c r="B1060" s="52" t="s">
        <v>346</v>
      </c>
      <c r="C1060" s="46">
        <v>43067</v>
      </c>
      <c r="D1060" s="47" t="s">
        <v>14</v>
      </c>
      <c r="E1060" s="48">
        <v>0.54166666666666696</v>
      </c>
      <c r="F1060" s="48">
        <v>0.875</v>
      </c>
      <c r="G1060" s="49">
        <v>0</v>
      </c>
      <c r="H1060" s="49">
        <v>7.9999999999999929</v>
      </c>
      <c r="I1060" s="49">
        <v>7.9999999999999929</v>
      </c>
      <c r="J1060" s="50" t="s">
        <v>30</v>
      </c>
      <c r="K1060" s="51" t="s">
        <v>356</v>
      </c>
      <c r="L1060" s="102" t="s">
        <v>281</v>
      </c>
      <c r="M1060" s="19" t="str">
        <f t="shared" si="30"/>
        <v>Nov_2017</v>
      </c>
    </row>
    <row r="1061" spans="1:13">
      <c r="A1061" s="45" t="s">
        <v>11</v>
      </c>
      <c r="B1061" s="52" t="s">
        <v>12</v>
      </c>
      <c r="C1061" s="54">
        <v>43068</v>
      </c>
      <c r="D1061" s="47" t="s">
        <v>15</v>
      </c>
      <c r="E1061" s="48">
        <v>0.70833333333333304</v>
      </c>
      <c r="F1061" s="48">
        <v>0.875</v>
      </c>
      <c r="G1061" s="49">
        <v>8.0000000000000036</v>
      </c>
      <c r="H1061" s="49">
        <v>4.0000000000000036</v>
      </c>
      <c r="I1061" s="49">
        <v>4.0000000000000036</v>
      </c>
      <c r="J1061" s="50" t="s">
        <v>30</v>
      </c>
      <c r="K1061" s="51" t="s">
        <v>357</v>
      </c>
      <c r="L1061" s="102">
        <v>1</v>
      </c>
      <c r="M1061" s="19" t="str">
        <f t="shared" si="30"/>
        <v>Nov_2017</v>
      </c>
    </row>
    <row r="1062" spans="1:13">
      <c r="A1062" s="45" t="s">
        <v>11</v>
      </c>
      <c r="B1062" s="52" t="s">
        <v>26</v>
      </c>
      <c r="C1062" s="46">
        <v>43068</v>
      </c>
      <c r="D1062" s="47" t="s">
        <v>15</v>
      </c>
      <c r="E1062" s="48">
        <v>0.70833333333333304</v>
      </c>
      <c r="F1062" s="48">
        <v>0.875</v>
      </c>
      <c r="G1062" s="49">
        <v>8.0000000000000036</v>
      </c>
      <c r="H1062" s="49">
        <v>4.0000000000000036</v>
      </c>
      <c r="I1062" s="49">
        <v>4.0000000000000036</v>
      </c>
      <c r="J1062" s="53" t="s">
        <v>30</v>
      </c>
      <c r="K1062" s="51" t="s">
        <v>357</v>
      </c>
      <c r="L1062" s="102">
        <v>1</v>
      </c>
      <c r="M1062" s="19" t="str">
        <f t="shared" si="30"/>
        <v>Nov_2017</v>
      </c>
    </row>
    <row r="1063" spans="1:13">
      <c r="A1063" s="45" t="s">
        <v>11</v>
      </c>
      <c r="B1063" s="52" t="s">
        <v>149</v>
      </c>
      <c r="C1063" s="46">
        <v>43068</v>
      </c>
      <c r="D1063" s="47" t="s">
        <v>15</v>
      </c>
      <c r="E1063" s="48">
        <v>0.70833333333333304</v>
      </c>
      <c r="F1063" s="48">
        <v>0.875</v>
      </c>
      <c r="G1063" s="49">
        <v>8.0000000000000036</v>
      </c>
      <c r="H1063" s="49">
        <v>4.0000000000000036</v>
      </c>
      <c r="I1063" s="49">
        <v>4.0000000000000036</v>
      </c>
      <c r="J1063" s="50" t="s">
        <v>30</v>
      </c>
      <c r="K1063" s="51" t="s">
        <v>357</v>
      </c>
      <c r="L1063" s="102">
        <v>1</v>
      </c>
      <c r="M1063" s="19" t="str">
        <f t="shared" si="30"/>
        <v>Nov_2017</v>
      </c>
    </row>
    <row r="1064" spans="1:13">
      <c r="A1064" s="45" t="s">
        <v>11</v>
      </c>
      <c r="B1064" s="52" t="s">
        <v>161</v>
      </c>
      <c r="C1064" s="46">
        <v>43068</v>
      </c>
      <c r="D1064" s="47" t="s">
        <v>15</v>
      </c>
      <c r="E1064" s="48">
        <v>0.70833333333333304</v>
      </c>
      <c r="F1064" s="48">
        <v>0.875</v>
      </c>
      <c r="G1064" s="49">
        <v>8.0000000000000036</v>
      </c>
      <c r="H1064" s="49">
        <v>4.0000000000000036</v>
      </c>
      <c r="I1064" s="49">
        <v>4.0000000000000036</v>
      </c>
      <c r="J1064" s="53" t="s">
        <v>30</v>
      </c>
      <c r="K1064" s="51" t="s">
        <v>357</v>
      </c>
      <c r="L1064" s="102">
        <v>1</v>
      </c>
      <c r="M1064" s="19" t="str">
        <f t="shared" si="30"/>
        <v>Nov_2017</v>
      </c>
    </row>
    <row r="1065" spans="1:13">
      <c r="A1065" s="45" t="s">
        <v>22</v>
      </c>
      <c r="B1065" s="52" t="s">
        <v>23</v>
      </c>
      <c r="C1065" s="46">
        <v>43068</v>
      </c>
      <c r="D1065" s="47" t="s">
        <v>15</v>
      </c>
      <c r="E1065" s="48">
        <v>0.33333333333333298</v>
      </c>
      <c r="F1065" s="48">
        <v>0.875</v>
      </c>
      <c r="G1065" s="49">
        <v>0</v>
      </c>
      <c r="H1065" s="49">
        <v>12.000000000000007</v>
      </c>
      <c r="I1065" s="49">
        <v>12.000000000000007</v>
      </c>
      <c r="J1065" s="53" t="s">
        <v>30</v>
      </c>
      <c r="K1065" s="51" t="s">
        <v>357</v>
      </c>
      <c r="L1065" s="102" t="s">
        <v>281</v>
      </c>
      <c r="M1065" s="19" t="str">
        <f t="shared" si="30"/>
        <v>Nov_2017</v>
      </c>
    </row>
    <row r="1066" spans="1:13">
      <c r="A1066" s="45" t="s">
        <v>22</v>
      </c>
      <c r="B1066" s="52" t="s">
        <v>80</v>
      </c>
      <c r="C1066" s="46">
        <v>43068</v>
      </c>
      <c r="D1066" s="47" t="s">
        <v>15</v>
      </c>
      <c r="E1066" s="48">
        <v>0.33333333333333298</v>
      </c>
      <c r="F1066" s="48">
        <v>0.875</v>
      </c>
      <c r="G1066" s="49">
        <v>0</v>
      </c>
      <c r="H1066" s="49">
        <v>12.000000000000007</v>
      </c>
      <c r="I1066" s="49">
        <v>12.000000000000007</v>
      </c>
      <c r="J1066" s="50" t="s">
        <v>30</v>
      </c>
      <c r="K1066" s="51" t="s">
        <v>357</v>
      </c>
      <c r="L1066" s="102" t="s">
        <v>281</v>
      </c>
      <c r="M1066" s="19" t="str">
        <f t="shared" si="30"/>
        <v>Nov_2017</v>
      </c>
    </row>
    <row r="1067" spans="1:13">
      <c r="A1067" s="45" t="s">
        <v>22</v>
      </c>
      <c r="B1067" s="52" t="s">
        <v>78</v>
      </c>
      <c r="C1067" s="46">
        <v>43068</v>
      </c>
      <c r="D1067" s="47" t="s">
        <v>15</v>
      </c>
      <c r="E1067" s="48">
        <v>0.33333333333333298</v>
      </c>
      <c r="F1067" s="48">
        <v>0.875</v>
      </c>
      <c r="G1067" s="49">
        <v>0</v>
      </c>
      <c r="H1067" s="49">
        <v>12.000000000000007</v>
      </c>
      <c r="I1067" s="49">
        <v>12.000000000000007</v>
      </c>
      <c r="J1067" s="53" t="s">
        <v>30</v>
      </c>
      <c r="K1067" s="51" t="s">
        <v>357</v>
      </c>
      <c r="L1067" s="102" t="s">
        <v>281</v>
      </c>
      <c r="M1067" s="19" t="str">
        <f t="shared" si="30"/>
        <v>Nov_2017</v>
      </c>
    </row>
    <row r="1068" spans="1:13">
      <c r="A1068" s="45" t="s">
        <v>22</v>
      </c>
      <c r="B1068" s="52" t="s">
        <v>254</v>
      </c>
      <c r="C1068" s="46">
        <v>43068</v>
      </c>
      <c r="D1068" s="47" t="s">
        <v>15</v>
      </c>
      <c r="E1068" s="48">
        <v>0.375</v>
      </c>
      <c r="F1068" s="48">
        <v>0.875</v>
      </c>
      <c r="G1068" s="49">
        <v>0</v>
      </c>
      <c r="H1068" s="49">
        <v>11</v>
      </c>
      <c r="I1068" s="49">
        <v>11</v>
      </c>
      <c r="J1068" s="50" t="s">
        <v>30</v>
      </c>
      <c r="K1068" s="51" t="s">
        <v>357</v>
      </c>
      <c r="L1068" s="102" t="s">
        <v>281</v>
      </c>
      <c r="M1068" s="19" t="str">
        <f t="shared" si="30"/>
        <v>Nov_2017</v>
      </c>
    </row>
    <row r="1069" spans="1:13">
      <c r="A1069" s="45" t="s">
        <v>11</v>
      </c>
      <c r="B1069" s="52" t="s">
        <v>12</v>
      </c>
      <c r="C1069" s="54">
        <v>43069</v>
      </c>
      <c r="D1069" s="47" t="s">
        <v>25</v>
      </c>
      <c r="E1069" s="48">
        <v>0.70833333333333304</v>
      </c>
      <c r="F1069" s="48">
        <v>0.875</v>
      </c>
      <c r="G1069" s="49">
        <v>8.0000000000000036</v>
      </c>
      <c r="H1069" s="49">
        <v>4.0000000000000036</v>
      </c>
      <c r="I1069" s="49">
        <v>4.0000000000000036</v>
      </c>
      <c r="J1069" s="53" t="s">
        <v>30</v>
      </c>
      <c r="K1069" s="51" t="s">
        <v>358</v>
      </c>
      <c r="L1069" s="102">
        <v>1</v>
      </c>
      <c r="M1069" s="19" t="str">
        <f t="shared" si="30"/>
        <v>Nov_2017</v>
      </c>
    </row>
    <row r="1070" spans="1:13">
      <c r="A1070" s="45" t="s">
        <v>11</v>
      </c>
      <c r="B1070" s="52" t="s">
        <v>19</v>
      </c>
      <c r="C1070" s="46">
        <v>43069</v>
      </c>
      <c r="D1070" s="47" t="s">
        <v>25</v>
      </c>
      <c r="E1070" s="48">
        <v>0.70833333333333304</v>
      </c>
      <c r="F1070" s="48">
        <v>0.875</v>
      </c>
      <c r="G1070" s="49">
        <v>8.0000000000000036</v>
      </c>
      <c r="H1070" s="49">
        <v>4.0000000000000036</v>
      </c>
      <c r="I1070" s="49">
        <v>4.0000000000000036</v>
      </c>
      <c r="J1070" s="53" t="s">
        <v>30</v>
      </c>
      <c r="K1070" s="51" t="s">
        <v>358</v>
      </c>
      <c r="L1070" s="102">
        <v>1</v>
      </c>
      <c r="M1070" s="19" t="str">
        <f t="shared" si="30"/>
        <v>Nov_2017</v>
      </c>
    </row>
    <row r="1071" spans="1:13">
      <c r="A1071" s="45" t="s">
        <v>11</v>
      </c>
      <c r="B1071" s="52" t="s">
        <v>26</v>
      </c>
      <c r="C1071" s="46">
        <v>43069</v>
      </c>
      <c r="D1071" s="47" t="s">
        <v>25</v>
      </c>
      <c r="E1071" s="48">
        <v>0.70833333333333304</v>
      </c>
      <c r="F1071" s="48">
        <v>0.875</v>
      </c>
      <c r="G1071" s="49">
        <v>8.0000000000000036</v>
      </c>
      <c r="H1071" s="49">
        <v>4.0000000000000036</v>
      </c>
      <c r="I1071" s="49">
        <v>4.0000000000000036</v>
      </c>
      <c r="J1071" s="50" t="s">
        <v>30</v>
      </c>
      <c r="K1071" s="51" t="s">
        <v>358</v>
      </c>
      <c r="L1071" s="102">
        <v>1</v>
      </c>
      <c r="M1071" s="19" t="str">
        <f t="shared" si="30"/>
        <v>Nov_2017</v>
      </c>
    </row>
    <row r="1072" spans="1:13">
      <c r="A1072" s="45" t="s">
        <v>11</v>
      </c>
      <c r="B1072" s="52" t="s">
        <v>149</v>
      </c>
      <c r="C1072" s="46">
        <v>43069</v>
      </c>
      <c r="D1072" s="47" t="s">
        <v>25</v>
      </c>
      <c r="E1072" s="48">
        <v>0.70833333333333304</v>
      </c>
      <c r="F1072" s="48">
        <v>0.875</v>
      </c>
      <c r="G1072" s="49">
        <v>8.0000000000000036</v>
      </c>
      <c r="H1072" s="49">
        <v>4.0000000000000036</v>
      </c>
      <c r="I1072" s="49">
        <v>4.0000000000000036</v>
      </c>
      <c r="J1072" s="53" t="s">
        <v>30</v>
      </c>
      <c r="K1072" s="51" t="s">
        <v>358</v>
      </c>
      <c r="L1072" s="102">
        <v>1</v>
      </c>
      <c r="M1072" s="19" t="str">
        <f t="shared" si="30"/>
        <v>Nov_2017</v>
      </c>
    </row>
    <row r="1073" spans="1:13">
      <c r="A1073" s="45" t="s">
        <v>22</v>
      </c>
      <c r="B1073" s="52" t="s">
        <v>23</v>
      </c>
      <c r="C1073" s="46">
        <v>43069</v>
      </c>
      <c r="D1073" s="47" t="s">
        <v>25</v>
      </c>
      <c r="E1073" s="48">
        <v>0.33333333333333298</v>
      </c>
      <c r="F1073" s="48">
        <v>0.875</v>
      </c>
      <c r="G1073" s="49">
        <v>0</v>
      </c>
      <c r="H1073" s="49">
        <v>12.000000000000007</v>
      </c>
      <c r="I1073" s="49">
        <v>12.000000000000007</v>
      </c>
      <c r="J1073" s="53" t="s">
        <v>30</v>
      </c>
      <c r="K1073" s="51" t="s">
        <v>358</v>
      </c>
      <c r="L1073" s="102" t="s">
        <v>281</v>
      </c>
      <c r="M1073" s="19" t="str">
        <f t="shared" si="30"/>
        <v>Nov_2017</v>
      </c>
    </row>
    <row r="1074" spans="1:13">
      <c r="A1074" s="45" t="s">
        <v>22</v>
      </c>
      <c r="B1074" s="52" t="s">
        <v>77</v>
      </c>
      <c r="C1074" s="46">
        <v>43069</v>
      </c>
      <c r="D1074" s="47" t="s">
        <v>25</v>
      </c>
      <c r="E1074" s="48">
        <v>0.52083333333333304</v>
      </c>
      <c r="F1074" s="48">
        <v>0.875</v>
      </c>
      <c r="G1074" s="49">
        <v>0</v>
      </c>
      <c r="H1074" s="49">
        <v>8.5000000000000071</v>
      </c>
      <c r="I1074" s="49">
        <v>8.5000000000000071</v>
      </c>
      <c r="J1074" s="53" t="s">
        <v>30</v>
      </c>
      <c r="K1074" s="51" t="s">
        <v>358</v>
      </c>
      <c r="L1074" s="102" t="s">
        <v>281</v>
      </c>
      <c r="M1074" s="19" t="str">
        <f t="shared" si="30"/>
        <v>Nov_2017</v>
      </c>
    </row>
    <row r="1075" spans="1:13">
      <c r="A1075" s="45" t="s">
        <v>22</v>
      </c>
      <c r="B1075" s="52" t="s">
        <v>78</v>
      </c>
      <c r="C1075" s="46">
        <v>43069</v>
      </c>
      <c r="D1075" s="47" t="s">
        <v>25</v>
      </c>
      <c r="E1075" s="48">
        <v>0.33333333333333298</v>
      </c>
      <c r="F1075" s="48">
        <v>0.875</v>
      </c>
      <c r="G1075" s="49">
        <v>0</v>
      </c>
      <c r="H1075" s="49">
        <v>12.000000000000007</v>
      </c>
      <c r="I1075" s="49">
        <v>12.000000000000007</v>
      </c>
      <c r="J1075" s="53" t="s">
        <v>30</v>
      </c>
      <c r="K1075" s="51" t="s">
        <v>358</v>
      </c>
      <c r="L1075" s="102" t="s">
        <v>281</v>
      </c>
      <c r="M1075" s="19" t="str">
        <f t="shared" si="30"/>
        <v>Nov_2017</v>
      </c>
    </row>
    <row r="1076" spans="1:13">
      <c r="A1076" s="45" t="s">
        <v>22</v>
      </c>
      <c r="B1076" s="52" t="s">
        <v>255</v>
      </c>
      <c r="C1076" s="46">
        <v>43069</v>
      </c>
      <c r="D1076" s="47" t="s">
        <v>25</v>
      </c>
      <c r="E1076" s="48">
        <v>0.33333333333333298</v>
      </c>
      <c r="F1076" s="48">
        <v>0.875</v>
      </c>
      <c r="G1076" s="49">
        <v>0</v>
      </c>
      <c r="H1076" s="49">
        <v>12.000000000000007</v>
      </c>
      <c r="I1076" s="49">
        <v>12.000000000000007</v>
      </c>
      <c r="J1076" s="50" t="s">
        <v>30</v>
      </c>
      <c r="K1076" s="51" t="s">
        <v>358</v>
      </c>
      <c r="L1076" s="102" t="s">
        <v>281</v>
      </c>
      <c r="M1076" s="19" t="str">
        <f t="shared" si="30"/>
        <v>Nov_2017</v>
      </c>
    </row>
    <row r="1077" spans="1:13">
      <c r="A1077" s="45" t="s">
        <v>11</v>
      </c>
      <c r="B1077" s="52" t="s">
        <v>12</v>
      </c>
      <c r="C1077" s="54">
        <v>43070</v>
      </c>
      <c r="D1077" s="47" t="s">
        <v>17</v>
      </c>
      <c r="E1077" s="48">
        <v>0.70833333333333304</v>
      </c>
      <c r="F1077" s="48">
        <v>0.89583333333333304</v>
      </c>
      <c r="G1077" s="49">
        <v>8.0000000000000036</v>
      </c>
      <c r="H1077" s="49">
        <v>4.4999999999999964</v>
      </c>
      <c r="I1077" s="49">
        <v>4.4999999999999964</v>
      </c>
      <c r="J1077" s="53" t="s">
        <v>30</v>
      </c>
      <c r="K1077" s="51" t="s">
        <v>359</v>
      </c>
      <c r="L1077" s="102">
        <v>1</v>
      </c>
      <c r="M1077" s="19" t="str">
        <f>IF($C1077="","",TEXT(DATE(YEAR($C1077),MONTH($C1077),DAY($C1077)),"MMM")&amp;"_"&amp;YEAR($C1077))</f>
        <v>Dec_2017</v>
      </c>
    </row>
    <row r="1078" spans="1:13">
      <c r="A1078" s="45" t="s">
        <v>11</v>
      </c>
      <c r="B1078" s="52" t="s">
        <v>19</v>
      </c>
      <c r="C1078" s="46">
        <v>43070</v>
      </c>
      <c r="D1078" s="47" t="s">
        <v>17</v>
      </c>
      <c r="E1078" s="48">
        <v>0.70833333333333304</v>
      </c>
      <c r="F1078" s="48">
        <v>0.89583333333333304</v>
      </c>
      <c r="G1078" s="49">
        <v>8.0000000000000036</v>
      </c>
      <c r="H1078" s="49">
        <v>4.4999999999999964</v>
      </c>
      <c r="I1078" s="49">
        <v>4.4999999999999964</v>
      </c>
      <c r="J1078" s="50" t="s">
        <v>30</v>
      </c>
      <c r="K1078" s="51" t="s">
        <v>359</v>
      </c>
      <c r="L1078" s="102">
        <v>1</v>
      </c>
      <c r="M1078" s="19" t="str">
        <f t="shared" ref="M1078:M1141" si="31">IF($C1078="","",TEXT(DATE(YEAR($C1078),MONTH($C1078),DAY($C1078)),"MMM")&amp;"_"&amp;YEAR($C1078))</f>
        <v>Dec_2017</v>
      </c>
    </row>
    <row r="1079" spans="1:13">
      <c r="A1079" s="45" t="s">
        <v>11</v>
      </c>
      <c r="B1079" s="52" t="s">
        <v>26</v>
      </c>
      <c r="C1079" s="46">
        <v>43070</v>
      </c>
      <c r="D1079" s="47" t="s">
        <v>17</v>
      </c>
      <c r="E1079" s="48">
        <v>0.70833333333333304</v>
      </c>
      <c r="F1079" s="48">
        <v>0.89583333333333304</v>
      </c>
      <c r="G1079" s="49">
        <v>8.0000000000000036</v>
      </c>
      <c r="H1079" s="49">
        <v>4.4999999999999964</v>
      </c>
      <c r="I1079" s="49">
        <v>4.4999999999999964</v>
      </c>
      <c r="J1079" s="50" t="s">
        <v>30</v>
      </c>
      <c r="K1079" s="51" t="s">
        <v>359</v>
      </c>
      <c r="L1079" s="102">
        <v>1</v>
      </c>
      <c r="M1079" s="19" t="str">
        <f t="shared" si="31"/>
        <v>Dec_2017</v>
      </c>
    </row>
    <row r="1080" spans="1:13">
      <c r="A1080" s="45" t="s">
        <v>11</v>
      </c>
      <c r="B1080" s="52" t="s">
        <v>149</v>
      </c>
      <c r="C1080" s="46">
        <v>43070</v>
      </c>
      <c r="D1080" s="47" t="s">
        <v>17</v>
      </c>
      <c r="E1080" s="48">
        <v>0.70833333333333304</v>
      </c>
      <c r="F1080" s="48">
        <v>0.72916666666666696</v>
      </c>
      <c r="G1080" s="49">
        <v>8.0000000000000036</v>
      </c>
      <c r="H1080" s="49">
        <v>0.50000000000001243</v>
      </c>
      <c r="I1080" s="49">
        <v>0.50000000000001243</v>
      </c>
      <c r="J1080" s="53" t="s">
        <v>30</v>
      </c>
      <c r="K1080" s="51" t="s">
        <v>359</v>
      </c>
      <c r="L1080" s="102" t="s">
        <v>281</v>
      </c>
      <c r="M1080" s="19" t="str">
        <f t="shared" si="31"/>
        <v>Dec_2017</v>
      </c>
    </row>
    <row r="1081" spans="1:13">
      <c r="A1081" s="45" t="s">
        <v>11</v>
      </c>
      <c r="B1081" s="52" t="s">
        <v>161</v>
      </c>
      <c r="C1081" s="46">
        <v>43070</v>
      </c>
      <c r="D1081" s="47" t="s">
        <v>17</v>
      </c>
      <c r="E1081" s="48">
        <v>0.70833333333333304</v>
      </c>
      <c r="F1081" s="48">
        <v>0.89583333333333304</v>
      </c>
      <c r="G1081" s="49">
        <v>8.0000000000000036</v>
      </c>
      <c r="H1081" s="49">
        <v>4.4999999999999964</v>
      </c>
      <c r="I1081" s="49">
        <v>4.4999999999999964</v>
      </c>
      <c r="J1081" s="53" t="s">
        <v>30</v>
      </c>
      <c r="K1081" s="51" t="s">
        <v>359</v>
      </c>
      <c r="L1081" s="102">
        <v>1</v>
      </c>
      <c r="M1081" s="19" t="str">
        <f t="shared" si="31"/>
        <v>Dec_2017</v>
      </c>
    </row>
    <row r="1082" spans="1:13">
      <c r="A1082" s="45" t="s">
        <v>22</v>
      </c>
      <c r="B1082" s="52" t="s">
        <v>23</v>
      </c>
      <c r="C1082" s="46">
        <v>43070</v>
      </c>
      <c r="D1082" s="47" t="s">
        <v>17</v>
      </c>
      <c r="E1082" s="48">
        <v>0.33333333333333298</v>
      </c>
      <c r="F1082" s="48">
        <v>0.89583333333333304</v>
      </c>
      <c r="G1082" s="49">
        <v>0</v>
      </c>
      <c r="H1082" s="49">
        <v>12.5</v>
      </c>
      <c r="I1082" s="49">
        <v>12.5</v>
      </c>
      <c r="J1082" s="50" t="s">
        <v>30</v>
      </c>
      <c r="K1082" s="51" t="s">
        <v>359</v>
      </c>
      <c r="L1082" s="102" t="s">
        <v>281</v>
      </c>
      <c r="M1082" s="19" t="str">
        <f t="shared" si="31"/>
        <v>Dec_2017</v>
      </c>
    </row>
    <row r="1083" spans="1:13">
      <c r="A1083" s="45" t="s">
        <v>22</v>
      </c>
      <c r="B1083" s="52" t="s">
        <v>80</v>
      </c>
      <c r="C1083" s="46">
        <v>43070</v>
      </c>
      <c r="D1083" s="47" t="s">
        <v>17</v>
      </c>
      <c r="E1083" s="48">
        <v>0.58333333333333304</v>
      </c>
      <c r="F1083" s="48">
        <v>0.89583333333333304</v>
      </c>
      <c r="G1083" s="49">
        <v>0</v>
      </c>
      <c r="H1083" s="49">
        <v>7.5</v>
      </c>
      <c r="I1083" s="49">
        <v>7.5</v>
      </c>
      <c r="J1083" s="50" t="s">
        <v>30</v>
      </c>
      <c r="K1083" s="51" t="s">
        <v>359</v>
      </c>
      <c r="L1083" s="102" t="s">
        <v>281</v>
      </c>
      <c r="M1083" s="19" t="str">
        <f t="shared" si="31"/>
        <v>Dec_2017</v>
      </c>
    </row>
    <row r="1084" spans="1:13">
      <c r="A1084" s="45" t="s">
        <v>22</v>
      </c>
      <c r="B1084" s="52" t="s">
        <v>254</v>
      </c>
      <c r="C1084" s="46">
        <v>43070</v>
      </c>
      <c r="D1084" s="47" t="s">
        <v>17</v>
      </c>
      <c r="E1084" s="48">
        <v>0.33333333333333298</v>
      </c>
      <c r="F1084" s="48">
        <v>0.89583333333333304</v>
      </c>
      <c r="G1084" s="49">
        <v>0</v>
      </c>
      <c r="H1084" s="49">
        <v>12.5</v>
      </c>
      <c r="I1084" s="49">
        <v>12.5</v>
      </c>
      <c r="J1084" s="50" t="s">
        <v>30</v>
      </c>
      <c r="K1084" s="51" t="s">
        <v>359</v>
      </c>
      <c r="L1084" s="102" t="s">
        <v>281</v>
      </c>
      <c r="M1084" s="19" t="str">
        <f t="shared" si="31"/>
        <v>Dec_2017</v>
      </c>
    </row>
    <row r="1085" spans="1:13">
      <c r="A1085" s="45" t="s">
        <v>22</v>
      </c>
      <c r="B1085" s="52" t="s">
        <v>255</v>
      </c>
      <c r="C1085" s="46">
        <v>43070</v>
      </c>
      <c r="D1085" s="47" t="s">
        <v>17</v>
      </c>
      <c r="E1085" s="48">
        <v>0.33333333333333298</v>
      </c>
      <c r="F1085" s="48">
        <v>0.58333333333333304</v>
      </c>
      <c r="G1085" s="49">
        <v>0</v>
      </c>
      <c r="H1085" s="49">
        <v>5.0000000000000018</v>
      </c>
      <c r="I1085" s="49">
        <v>5.0000000000000018</v>
      </c>
      <c r="J1085" s="50" t="s">
        <v>30</v>
      </c>
      <c r="K1085" s="51" t="s">
        <v>359</v>
      </c>
      <c r="L1085" s="102" t="s">
        <v>281</v>
      </c>
      <c r="M1085" s="19" t="str">
        <f t="shared" si="31"/>
        <v>Dec_2017</v>
      </c>
    </row>
    <row r="1086" spans="1:13">
      <c r="A1086" s="45" t="s">
        <v>22</v>
      </c>
      <c r="B1086" s="69" t="s">
        <v>347</v>
      </c>
      <c r="C1086" s="46">
        <v>43070</v>
      </c>
      <c r="D1086" s="47" t="s">
        <v>17</v>
      </c>
      <c r="E1086" s="48">
        <v>0.33333333333333298</v>
      </c>
      <c r="F1086" s="48">
        <v>0.85416666666666696</v>
      </c>
      <c r="G1086" s="49">
        <v>0</v>
      </c>
      <c r="H1086" s="49">
        <v>11.500000000000014</v>
      </c>
      <c r="I1086" s="49">
        <v>11.500000000000014</v>
      </c>
      <c r="J1086" s="53" t="s">
        <v>30</v>
      </c>
      <c r="K1086" s="51" t="s">
        <v>359</v>
      </c>
      <c r="L1086" s="102" t="s">
        <v>281</v>
      </c>
      <c r="M1086" s="19" t="str">
        <f t="shared" si="31"/>
        <v>Dec_2017</v>
      </c>
    </row>
    <row r="1087" spans="1:13">
      <c r="A1087" s="45" t="s">
        <v>11</v>
      </c>
      <c r="B1087" s="52" t="s">
        <v>12</v>
      </c>
      <c r="C1087" s="54">
        <v>43071</v>
      </c>
      <c r="D1087" s="47" t="s">
        <v>24</v>
      </c>
      <c r="E1087" s="48">
        <v>0.70833333333333304</v>
      </c>
      <c r="F1087" s="48">
        <v>0.875</v>
      </c>
      <c r="G1087" s="49">
        <v>8.0000000000000036</v>
      </c>
      <c r="H1087" s="49">
        <v>4.0000000000000036</v>
      </c>
      <c r="I1087" s="49">
        <v>12.000000000000007</v>
      </c>
      <c r="J1087" s="50" t="s">
        <v>52</v>
      </c>
      <c r="K1087" s="51" t="s">
        <v>360</v>
      </c>
      <c r="L1087" s="102">
        <v>1</v>
      </c>
      <c r="M1087" s="19" t="str">
        <f t="shared" si="31"/>
        <v>Dec_2017</v>
      </c>
    </row>
    <row r="1088" spans="1:13">
      <c r="A1088" s="45" t="s">
        <v>11</v>
      </c>
      <c r="B1088" s="52" t="s">
        <v>19</v>
      </c>
      <c r="C1088" s="46">
        <v>43071</v>
      </c>
      <c r="D1088" s="47" t="s">
        <v>24</v>
      </c>
      <c r="E1088" s="48">
        <v>0.70833333333333304</v>
      </c>
      <c r="F1088" s="48">
        <v>0.875</v>
      </c>
      <c r="G1088" s="49">
        <v>8.0000000000000036</v>
      </c>
      <c r="H1088" s="49">
        <v>4.0000000000000036</v>
      </c>
      <c r="I1088" s="49">
        <v>12.000000000000007</v>
      </c>
      <c r="J1088" s="50" t="s">
        <v>52</v>
      </c>
      <c r="K1088" s="51" t="s">
        <v>360</v>
      </c>
      <c r="L1088" s="102">
        <v>1</v>
      </c>
      <c r="M1088" s="19" t="str">
        <f t="shared" si="31"/>
        <v>Dec_2017</v>
      </c>
    </row>
    <row r="1089" spans="1:13">
      <c r="A1089" s="45" t="s">
        <v>11</v>
      </c>
      <c r="B1089" s="52" t="s">
        <v>26</v>
      </c>
      <c r="C1089" s="46">
        <v>43071</v>
      </c>
      <c r="D1089" s="47" t="s">
        <v>24</v>
      </c>
      <c r="E1089" s="48">
        <v>0.33333333333333298</v>
      </c>
      <c r="F1089" s="48">
        <v>0.70833333333333304</v>
      </c>
      <c r="G1089" s="49">
        <v>8.0000000000000036</v>
      </c>
      <c r="H1089" s="49">
        <v>0</v>
      </c>
      <c r="I1089" s="49">
        <v>8.0000000000000036</v>
      </c>
      <c r="J1089" s="53" t="s">
        <v>281</v>
      </c>
      <c r="K1089" s="51" t="s">
        <v>360</v>
      </c>
      <c r="L1089" s="102" t="s">
        <v>281</v>
      </c>
      <c r="M1089" s="19" t="str">
        <f t="shared" si="31"/>
        <v>Dec_2017</v>
      </c>
    </row>
    <row r="1090" spans="1:13">
      <c r="A1090" s="45" t="s">
        <v>11</v>
      </c>
      <c r="B1090" s="52" t="s">
        <v>149</v>
      </c>
      <c r="C1090" s="46">
        <v>43071</v>
      </c>
      <c r="D1090" s="47" t="s">
        <v>24</v>
      </c>
      <c r="E1090" s="48">
        <v>0.70833333333333304</v>
      </c>
      <c r="F1090" s="48">
        <v>0.875</v>
      </c>
      <c r="G1090" s="49">
        <v>8.0000000000000036</v>
      </c>
      <c r="H1090" s="49">
        <v>4.0000000000000036</v>
      </c>
      <c r="I1090" s="49">
        <v>12.000000000000007</v>
      </c>
      <c r="J1090" s="50" t="s">
        <v>52</v>
      </c>
      <c r="K1090" s="51" t="s">
        <v>360</v>
      </c>
      <c r="L1090" s="102">
        <v>1</v>
      </c>
      <c r="M1090" s="19" t="str">
        <f t="shared" si="31"/>
        <v>Dec_2017</v>
      </c>
    </row>
    <row r="1091" spans="1:13">
      <c r="A1091" s="45" t="s">
        <v>11</v>
      </c>
      <c r="B1091" s="52" t="s">
        <v>161</v>
      </c>
      <c r="C1091" s="46">
        <v>43071</v>
      </c>
      <c r="D1091" s="47" t="s">
        <v>24</v>
      </c>
      <c r="E1091" s="48">
        <v>0.70833333333333304</v>
      </c>
      <c r="F1091" s="48">
        <v>0.875</v>
      </c>
      <c r="G1091" s="49">
        <v>8.0000000000000036</v>
      </c>
      <c r="H1091" s="49">
        <v>4.0000000000000036</v>
      </c>
      <c r="I1091" s="49">
        <v>12.000000000000007</v>
      </c>
      <c r="J1091" s="50" t="s">
        <v>52</v>
      </c>
      <c r="K1091" s="51" t="s">
        <v>360</v>
      </c>
      <c r="L1091" s="102">
        <v>1</v>
      </c>
      <c r="M1091" s="19" t="str">
        <f t="shared" si="31"/>
        <v>Dec_2017</v>
      </c>
    </row>
    <row r="1092" spans="1:13">
      <c r="A1092" s="45" t="s">
        <v>22</v>
      </c>
      <c r="B1092" s="52" t="s">
        <v>23</v>
      </c>
      <c r="C1092" s="46">
        <v>43071</v>
      </c>
      <c r="D1092" s="47" t="s">
        <v>24</v>
      </c>
      <c r="E1092" s="48">
        <v>0.33333333333333298</v>
      </c>
      <c r="F1092" s="48">
        <v>0.875</v>
      </c>
      <c r="G1092" s="49">
        <v>0</v>
      </c>
      <c r="H1092" s="49">
        <v>12.000000000000007</v>
      </c>
      <c r="I1092" s="49">
        <v>12.000000000000007</v>
      </c>
      <c r="J1092" s="50" t="s">
        <v>52</v>
      </c>
      <c r="K1092" s="51" t="s">
        <v>360</v>
      </c>
      <c r="L1092" s="102" t="s">
        <v>281</v>
      </c>
      <c r="M1092" s="19" t="str">
        <f t="shared" si="31"/>
        <v>Dec_2017</v>
      </c>
    </row>
    <row r="1093" spans="1:13">
      <c r="A1093" s="45" t="s">
        <v>22</v>
      </c>
      <c r="B1093" s="52" t="s">
        <v>77</v>
      </c>
      <c r="C1093" s="46">
        <v>43071</v>
      </c>
      <c r="D1093" s="47" t="s">
        <v>24</v>
      </c>
      <c r="E1093" s="48">
        <v>0.35416666666666702</v>
      </c>
      <c r="F1093" s="48">
        <v>0.875</v>
      </c>
      <c r="G1093" s="49">
        <v>0</v>
      </c>
      <c r="H1093" s="49">
        <v>11.499999999999993</v>
      </c>
      <c r="I1093" s="49">
        <v>11.499999999999993</v>
      </c>
      <c r="J1093" s="50" t="s">
        <v>52</v>
      </c>
      <c r="K1093" s="51" t="s">
        <v>360</v>
      </c>
      <c r="L1093" s="102" t="s">
        <v>281</v>
      </c>
      <c r="M1093" s="19" t="str">
        <f t="shared" si="31"/>
        <v>Dec_2017</v>
      </c>
    </row>
    <row r="1094" spans="1:13">
      <c r="A1094" s="45" t="s">
        <v>22</v>
      </c>
      <c r="B1094" s="52" t="s">
        <v>254</v>
      </c>
      <c r="C1094" s="46">
        <v>43071</v>
      </c>
      <c r="D1094" s="47" t="s">
        <v>24</v>
      </c>
      <c r="E1094" s="48">
        <v>0.33333333333333298</v>
      </c>
      <c r="F1094" s="48">
        <v>0.875</v>
      </c>
      <c r="G1094" s="49">
        <v>0</v>
      </c>
      <c r="H1094" s="49">
        <v>12.000000000000007</v>
      </c>
      <c r="I1094" s="49">
        <v>12.000000000000007</v>
      </c>
      <c r="J1094" s="50" t="s">
        <v>52</v>
      </c>
      <c r="K1094" s="51" t="s">
        <v>360</v>
      </c>
      <c r="L1094" s="102" t="s">
        <v>281</v>
      </c>
      <c r="M1094" s="19" t="str">
        <f t="shared" si="31"/>
        <v>Dec_2017</v>
      </c>
    </row>
    <row r="1095" spans="1:13">
      <c r="A1095" s="45" t="s">
        <v>22</v>
      </c>
      <c r="B1095" s="52" t="s">
        <v>255</v>
      </c>
      <c r="C1095" s="46">
        <v>43071</v>
      </c>
      <c r="D1095" s="47" t="s">
        <v>24</v>
      </c>
      <c r="E1095" s="48">
        <v>0.33333333333333298</v>
      </c>
      <c r="F1095" s="48">
        <v>0.875</v>
      </c>
      <c r="G1095" s="49">
        <v>0</v>
      </c>
      <c r="H1095" s="49">
        <v>12.000000000000007</v>
      </c>
      <c r="I1095" s="49">
        <v>12.000000000000007</v>
      </c>
      <c r="J1095" s="53" t="s">
        <v>52</v>
      </c>
      <c r="K1095" s="51" t="s">
        <v>360</v>
      </c>
      <c r="L1095" s="102" t="s">
        <v>281</v>
      </c>
      <c r="M1095" s="19" t="str">
        <f t="shared" si="31"/>
        <v>Dec_2017</v>
      </c>
    </row>
    <row r="1096" spans="1:13">
      <c r="A1096" s="45" t="s">
        <v>22</v>
      </c>
      <c r="B1096" s="52" t="s">
        <v>23</v>
      </c>
      <c r="C1096" s="46">
        <v>43073</v>
      </c>
      <c r="D1096" s="47" t="s">
        <v>16</v>
      </c>
      <c r="E1096" s="48">
        <v>0.35416666666666702</v>
      </c>
      <c r="F1096" s="48">
        <v>0.72916666666666696</v>
      </c>
      <c r="G1096" s="49">
        <v>0</v>
      </c>
      <c r="H1096" s="49">
        <v>7.9999999999999982</v>
      </c>
      <c r="I1096" s="49">
        <v>7.9999999999999982</v>
      </c>
      <c r="J1096" s="50" t="s">
        <v>30</v>
      </c>
      <c r="K1096" s="51" t="s">
        <v>361</v>
      </c>
      <c r="L1096" s="102" t="s">
        <v>281</v>
      </c>
      <c r="M1096" s="19" t="str">
        <f t="shared" si="31"/>
        <v>Dec_2017</v>
      </c>
    </row>
    <row r="1097" spans="1:13">
      <c r="A1097" s="45" t="s">
        <v>22</v>
      </c>
      <c r="B1097" s="52" t="s">
        <v>347</v>
      </c>
      <c r="C1097" s="46">
        <v>43073</v>
      </c>
      <c r="D1097" s="47" t="s">
        <v>16</v>
      </c>
      <c r="E1097" s="48">
        <v>0.35416666666666702</v>
      </c>
      <c r="F1097" s="48">
        <v>0.72916666666666696</v>
      </c>
      <c r="G1097" s="49">
        <v>0</v>
      </c>
      <c r="H1097" s="49">
        <v>7.9999999999999982</v>
      </c>
      <c r="I1097" s="49">
        <v>7.9999999999999982</v>
      </c>
      <c r="J1097" s="50" t="s">
        <v>30</v>
      </c>
      <c r="K1097" s="51" t="s">
        <v>361</v>
      </c>
      <c r="L1097" s="102" t="s">
        <v>281</v>
      </c>
      <c r="M1097" s="19" t="str">
        <f t="shared" si="31"/>
        <v>Dec_2017</v>
      </c>
    </row>
    <row r="1098" spans="1:13">
      <c r="A1098" s="45" t="s">
        <v>22</v>
      </c>
      <c r="B1098" s="52" t="s">
        <v>23</v>
      </c>
      <c r="C1098" s="46">
        <v>43074</v>
      </c>
      <c r="D1098" s="47" t="s">
        <v>14</v>
      </c>
      <c r="E1098" s="48">
        <v>0.35416666666666702</v>
      </c>
      <c r="F1098" s="48">
        <v>0.72916666666666696</v>
      </c>
      <c r="G1098" s="49">
        <v>0</v>
      </c>
      <c r="H1098" s="49">
        <v>7.9999999999999982</v>
      </c>
      <c r="I1098" s="49">
        <v>7.9999999999999982</v>
      </c>
      <c r="J1098" s="50" t="s">
        <v>30</v>
      </c>
      <c r="K1098" s="51" t="s">
        <v>362</v>
      </c>
      <c r="L1098" s="102" t="s">
        <v>281</v>
      </c>
      <c r="M1098" s="19" t="str">
        <f t="shared" si="31"/>
        <v>Dec_2017</v>
      </c>
    </row>
    <row r="1099" spans="1:13">
      <c r="A1099" s="45" t="s">
        <v>22</v>
      </c>
      <c r="B1099" s="52" t="s">
        <v>347</v>
      </c>
      <c r="C1099" s="46">
        <v>43074</v>
      </c>
      <c r="D1099" s="47" t="s">
        <v>14</v>
      </c>
      <c r="E1099" s="48">
        <v>0.40625</v>
      </c>
      <c r="F1099" s="48">
        <v>0.72916666666666696</v>
      </c>
      <c r="G1099" s="49">
        <v>0</v>
      </c>
      <c r="H1099" s="49">
        <v>6.7500000000000071</v>
      </c>
      <c r="I1099" s="49">
        <v>6.7500000000000071</v>
      </c>
      <c r="J1099" s="50" t="s">
        <v>30</v>
      </c>
      <c r="K1099" s="51" t="s">
        <v>362</v>
      </c>
      <c r="L1099" s="102" t="s">
        <v>281</v>
      </c>
      <c r="M1099" s="19" t="str">
        <f t="shared" si="31"/>
        <v>Dec_2017</v>
      </c>
    </row>
    <row r="1100" spans="1:13">
      <c r="A1100" s="45" t="s">
        <v>22</v>
      </c>
      <c r="B1100" s="52" t="s">
        <v>363</v>
      </c>
      <c r="C1100" s="46">
        <v>43074</v>
      </c>
      <c r="D1100" s="47" t="s">
        <v>14</v>
      </c>
      <c r="E1100" s="48">
        <v>0.45833333333333298</v>
      </c>
      <c r="F1100" s="48">
        <v>0.72916666666666696</v>
      </c>
      <c r="G1100" s="49">
        <v>0</v>
      </c>
      <c r="H1100" s="49">
        <v>5.500000000000016</v>
      </c>
      <c r="I1100" s="49">
        <v>5.500000000000016</v>
      </c>
      <c r="J1100" s="50" t="s">
        <v>30</v>
      </c>
      <c r="K1100" s="51" t="s">
        <v>362</v>
      </c>
      <c r="L1100" s="102" t="s">
        <v>281</v>
      </c>
      <c r="M1100" s="19" t="str">
        <f t="shared" si="31"/>
        <v>Dec_2017</v>
      </c>
    </row>
    <row r="1101" spans="1:13">
      <c r="A1101" s="45" t="s">
        <v>22</v>
      </c>
      <c r="B1101" s="52" t="s">
        <v>23</v>
      </c>
      <c r="C1101" s="46">
        <v>43075</v>
      </c>
      <c r="D1101" s="47" t="s">
        <v>15</v>
      </c>
      <c r="E1101" s="48">
        <v>0.35416666666666702</v>
      </c>
      <c r="F1101" s="48">
        <v>0.72916666666666696</v>
      </c>
      <c r="G1101" s="49">
        <v>0</v>
      </c>
      <c r="H1101" s="49">
        <v>7.9999999999999982</v>
      </c>
      <c r="I1101" s="49">
        <v>7.9999999999999982</v>
      </c>
      <c r="J1101" s="50" t="s">
        <v>30</v>
      </c>
      <c r="K1101" s="51" t="s">
        <v>364</v>
      </c>
      <c r="L1101" s="102" t="s">
        <v>281</v>
      </c>
      <c r="M1101" s="19" t="str">
        <f t="shared" si="31"/>
        <v>Dec_2017</v>
      </c>
    </row>
    <row r="1102" spans="1:13">
      <c r="A1102" s="45" t="s">
        <v>22</v>
      </c>
      <c r="B1102" s="52" t="s">
        <v>23</v>
      </c>
      <c r="C1102" s="46">
        <v>43076</v>
      </c>
      <c r="D1102" s="47" t="s">
        <v>25</v>
      </c>
      <c r="E1102" s="48">
        <v>0.35416666666666702</v>
      </c>
      <c r="F1102" s="48">
        <v>0.72916666666666696</v>
      </c>
      <c r="G1102" s="49">
        <v>0</v>
      </c>
      <c r="H1102" s="49">
        <v>7.9999999999999982</v>
      </c>
      <c r="I1102" s="49">
        <v>7.9999999999999982</v>
      </c>
      <c r="J1102" s="50" t="s">
        <v>30</v>
      </c>
      <c r="K1102" s="51" t="s">
        <v>365</v>
      </c>
      <c r="L1102" s="102" t="s">
        <v>281</v>
      </c>
      <c r="M1102" s="19" t="str">
        <f t="shared" si="31"/>
        <v>Dec_2017</v>
      </c>
    </row>
    <row r="1103" spans="1:13">
      <c r="A1103" s="45" t="s">
        <v>22</v>
      </c>
      <c r="B1103" s="52" t="s">
        <v>23</v>
      </c>
      <c r="C1103" s="46">
        <v>43077</v>
      </c>
      <c r="D1103" s="47" t="s">
        <v>17</v>
      </c>
      <c r="E1103" s="48">
        <v>0.35416666666666702</v>
      </c>
      <c r="F1103" s="48">
        <v>0.72916666666666696</v>
      </c>
      <c r="G1103" s="49">
        <v>0</v>
      </c>
      <c r="H1103" s="49">
        <v>7.9999999999999982</v>
      </c>
      <c r="I1103" s="49">
        <v>7.9999999999999982</v>
      </c>
      <c r="J1103" s="50" t="s">
        <v>30</v>
      </c>
      <c r="K1103" s="51" t="s">
        <v>366</v>
      </c>
      <c r="L1103" s="102" t="s">
        <v>281</v>
      </c>
      <c r="M1103" s="19" t="str">
        <f t="shared" si="31"/>
        <v>Dec_2017</v>
      </c>
    </row>
    <row r="1104" spans="1:13">
      <c r="A1104" s="45" t="s">
        <v>22</v>
      </c>
      <c r="B1104" s="52" t="s">
        <v>23</v>
      </c>
      <c r="C1104" s="46">
        <v>43080</v>
      </c>
      <c r="D1104" s="47" t="s">
        <v>16</v>
      </c>
      <c r="E1104" s="48">
        <v>0.35416666666666702</v>
      </c>
      <c r="F1104" s="48">
        <v>0.72916666666666696</v>
      </c>
      <c r="G1104" s="49">
        <v>0</v>
      </c>
      <c r="H1104" s="49">
        <v>7.9999999999999982</v>
      </c>
      <c r="I1104" s="49">
        <v>7.9999999999999982</v>
      </c>
      <c r="J1104" s="50" t="s">
        <v>30</v>
      </c>
      <c r="K1104" s="51" t="s">
        <v>367</v>
      </c>
      <c r="L1104" s="102" t="s">
        <v>281</v>
      </c>
      <c r="M1104" s="19" t="str">
        <f t="shared" si="31"/>
        <v>Dec_2017</v>
      </c>
    </row>
    <row r="1105" spans="1:13">
      <c r="A1105" s="45" t="s">
        <v>22</v>
      </c>
      <c r="B1105" s="52" t="s">
        <v>368</v>
      </c>
      <c r="C1105" s="46">
        <v>43080</v>
      </c>
      <c r="D1105" s="47" t="s">
        <v>16</v>
      </c>
      <c r="E1105" s="48">
        <v>0.35416666666666702</v>
      </c>
      <c r="F1105" s="48">
        <v>0.72916666666666696</v>
      </c>
      <c r="G1105" s="49">
        <v>0</v>
      </c>
      <c r="H1105" s="49">
        <v>7.9999999999999982</v>
      </c>
      <c r="I1105" s="49">
        <v>7.9999999999999982</v>
      </c>
      <c r="J1105" s="50" t="s">
        <v>30</v>
      </c>
      <c r="K1105" s="51" t="s">
        <v>370</v>
      </c>
      <c r="L1105" s="102" t="s">
        <v>281</v>
      </c>
      <c r="M1105" s="19" t="str">
        <f t="shared" si="31"/>
        <v>Dec_2017</v>
      </c>
    </row>
    <row r="1106" spans="1:13">
      <c r="A1106" s="45" t="s">
        <v>22</v>
      </c>
      <c r="B1106" s="52" t="s">
        <v>369</v>
      </c>
      <c r="C1106" s="46">
        <v>43080</v>
      </c>
      <c r="D1106" s="47" t="s">
        <v>16</v>
      </c>
      <c r="E1106" s="48">
        <v>0.35416666666666702</v>
      </c>
      <c r="F1106" s="48">
        <v>0.72916666666666696</v>
      </c>
      <c r="G1106" s="49">
        <v>0</v>
      </c>
      <c r="H1106" s="49">
        <v>7.9999999999999982</v>
      </c>
      <c r="I1106" s="49">
        <v>7.9999999999999982</v>
      </c>
      <c r="J1106" s="50" t="s">
        <v>30</v>
      </c>
      <c r="K1106" s="51" t="s">
        <v>370</v>
      </c>
      <c r="L1106" s="102" t="s">
        <v>281</v>
      </c>
      <c r="M1106" s="19" t="str">
        <f t="shared" si="31"/>
        <v>Dec_2017</v>
      </c>
    </row>
    <row r="1107" spans="1:13">
      <c r="A1107" s="45" t="s">
        <v>22</v>
      </c>
      <c r="B1107" s="52" t="s">
        <v>23</v>
      </c>
      <c r="C1107" s="46">
        <v>43081</v>
      </c>
      <c r="D1107" s="47" t="s">
        <v>14</v>
      </c>
      <c r="E1107" s="48">
        <v>0.35416666666666702</v>
      </c>
      <c r="F1107" s="48">
        <v>0.72916666666666696</v>
      </c>
      <c r="G1107" s="49">
        <v>0</v>
      </c>
      <c r="H1107" s="49">
        <v>7.9999999999999982</v>
      </c>
      <c r="I1107" s="49">
        <v>7.9999999999999982</v>
      </c>
      <c r="J1107" s="50" t="s">
        <v>30</v>
      </c>
      <c r="K1107" s="51" t="s">
        <v>371</v>
      </c>
      <c r="L1107" s="102" t="s">
        <v>281</v>
      </c>
      <c r="M1107" s="19" t="str">
        <f t="shared" si="31"/>
        <v>Dec_2017</v>
      </c>
    </row>
    <row r="1108" spans="1:13">
      <c r="A1108" s="45" t="s">
        <v>22</v>
      </c>
      <c r="B1108" s="52" t="s">
        <v>368</v>
      </c>
      <c r="C1108" s="46">
        <v>43081</v>
      </c>
      <c r="D1108" s="47" t="s">
        <v>14</v>
      </c>
      <c r="E1108" s="48">
        <v>0.35416666666666702</v>
      </c>
      <c r="F1108" s="48">
        <v>0.72916666666666696</v>
      </c>
      <c r="G1108" s="49">
        <v>0</v>
      </c>
      <c r="H1108" s="49">
        <v>7.9999999999999982</v>
      </c>
      <c r="I1108" s="49">
        <v>7.9999999999999982</v>
      </c>
      <c r="J1108" s="50" t="s">
        <v>30</v>
      </c>
      <c r="K1108" s="51" t="s">
        <v>372</v>
      </c>
      <c r="L1108" s="102" t="s">
        <v>281</v>
      </c>
      <c r="M1108" s="19" t="str">
        <f t="shared" si="31"/>
        <v>Dec_2017</v>
      </c>
    </row>
    <row r="1109" spans="1:13">
      <c r="A1109" s="45" t="s">
        <v>22</v>
      </c>
      <c r="B1109" s="52" t="s">
        <v>369</v>
      </c>
      <c r="C1109" s="46">
        <v>43081</v>
      </c>
      <c r="D1109" s="47" t="s">
        <v>14</v>
      </c>
      <c r="E1109" s="48">
        <v>0.35416666666666702</v>
      </c>
      <c r="F1109" s="48">
        <v>0.72916666666666696</v>
      </c>
      <c r="G1109" s="49">
        <v>0</v>
      </c>
      <c r="H1109" s="49">
        <v>7.9999999999999982</v>
      </c>
      <c r="I1109" s="49">
        <v>7.9999999999999982</v>
      </c>
      <c r="J1109" s="50" t="s">
        <v>30</v>
      </c>
      <c r="K1109" s="51" t="s">
        <v>372</v>
      </c>
      <c r="L1109" s="102" t="s">
        <v>281</v>
      </c>
      <c r="M1109" s="19" t="str">
        <f t="shared" si="31"/>
        <v>Dec_2017</v>
      </c>
    </row>
    <row r="1110" spans="1:13">
      <c r="A1110" s="45" t="s">
        <v>11</v>
      </c>
      <c r="B1110" s="52" t="s">
        <v>12</v>
      </c>
      <c r="C1110" s="54">
        <v>43082</v>
      </c>
      <c r="D1110" s="47" t="s">
        <v>15</v>
      </c>
      <c r="E1110" s="48">
        <v>0.72916666666666696</v>
      </c>
      <c r="F1110" s="48">
        <v>0.89583333333333304</v>
      </c>
      <c r="G1110" s="49">
        <v>8.0000000000000036</v>
      </c>
      <c r="H1110" s="49">
        <v>3.9999999999999822</v>
      </c>
      <c r="I1110" s="49">
        <v>3.9999999999999822</v>
      </c>
      <c r="J1110" s="53" t="s">
        <v>30</v>
      </c>
      <c r="K1110" s="51" t="s">
        <v>373</v>
      </c>
      <c r="L1110" s="102">
        <v>1</v>
      </c>
      <c r="M1110" s="19" t="str">
        <f t="shared" si="31"/>
        <v>Dec_2017</v>
      </c>
    </row>
    <row r="1111" spans="1:13">
      <c r="A1111" s="45" t="s">
        <v>11</v>
      </c>
      <c r="B1111" s="52" t="s">
        <v>19</v>
      </c>
      <c r="C1111" s="46">
        <v>43082</v>
      </c>
      <c r="D1111" s="47" t="s">
        <v>15</v>
      </c>
      <c r="E1111" s="48">
        <v>0.72916666666666696</v>
      </c>
      <c r="F1111" s="48">
        <v>0.89583333333333304</v>
      </c>
      <c r="G1111" s="49">
        <v>8.0000000000000036</v>
      </c>
      <c r="H1111" s="49">
        <v>3.9999999999999822</v>
      </c>
      <c r="I1111" s="49">
        <v>3.9999999999999822</v>
      </c>
      <c r="J1111" s="53" t="s">
        <v>30</v>
      </c>
      <c r="K1111" s="51" t="s">
        <v>373</v>
      </c>
      <c r="L1111" s="102">
        <v>1</v>
      </c>
      <c r="M1111" s="19" t="str">
        <f t="shared" si="31"/>
        <v>Dec_2017</v>
      </c>
    </row>
    <row r="1112" spans="1:13">
      <c r="A1112" s="45" t="s">
        <v>11</v>
      </c>
      <c r="B1112" s="52" t="s">
        <v>149</v>
      </c>
      <c r="C1112" s="46">
        <v>43082</v>
      </c>
      <c r="D1112" s="47" t="s">
        <v>15</v>
      </c>
      <c r="E1112" s="48">
        <v>0.72916666666666696</v>
      </c>
      <c r="F1112" s="48">
        <v>0.89583333333333304</v>
      </c>
      <c r="G1112" s="49">
        <v>8.0000000000000036</v>
      </c>
      <c r="H1112" s="49">
        <v>3.9999999999999822</v>
      </c>
      <c r="I1112" s="49">
        <v>3.9999999999999822</v>
      </c>
      <c r="J1112" s="50" t="s">
        <v>30</v>
      </c>
      <c r="K1112" s="51" t="s">
        <v>373</v>
      </c>
      <c r="L1112" s="102">
        <v>1</v>
      </c>
      <c r="M1112" s="19" t="str">
        <f t="shared" si="31"/>
        <v>Dec_2017</v>
      </c>
    </row>
    <row r="1113" spans="1:13">
      <c r="A1113" s="45" t="s">
        <v>11</v>
      </c>
      <c r="B1113" s="52" t="s">
        <v>161</v>
      </c>
      <c r="C1113" s="46">
        <v>43082</v>
      </c>
      <c r="D1113" s="47" t="s">
        <v>15</v>
      </c>
      <c r="E1113" s="48">
        <v>0.72916666666666696</v>
      </c>
      <c r="F1113" s="48">
        <v>0.89583333333333304</v>
      </c>
      <c r="G1113" s="49">
        <v>8.0000000000000036</v>
      </c>
      <c r="H1113" s="49">
        <v>3.9999999999999822</v>
      </c>
      <c r="I1113" s="49">
        <v>3.9999999999999822</v>
      </c>
      <c r="J1113" s="53" t="s">
        <v>30</v>
      </c>
      <c r="K1113" s="51" t="s">
        <v>373</v>
      </c>
      <c r="L1113" s="102">
        <v>1</v>
      </c>
      <c r="M1113" s="19" t="str">
        <f t="shared" si="31"/>
        <v>Dec_2017</v>
      </c>
    </row>
    <row r="1114" spans="1:13">
      <c r="A1114" s="45" t="s">
        <v>22</v>
      </c>
      <c r="B1114" s="52" t="s">
        <v>23</v>
      </c>
      <c r="C1114" s="46">
        <v>43082</v>
      </c>
      <c r="D1114" s="47" t="s">
        <v>15</v>
      </c>
      <c r="E1114" s="48">
        <v>0.35416666666666702</v>
      </c>
      <c r="F1114" s="48">
        <v>0.89583333333333304</v>
      </c>
      <c r="G1114" s="49">
        <v>0</v>
      </c>
      <c r="H1114" s="49">
        <v>11.999999999999986</v>
      </c>
      <c r="I1114" s="49">
        <v>11.999999999999986</v>
      </c>
      <c r="J1114" s="53" t="s">
        <v>30</v>
      </c>
      <c r="K1114" s="51" t="s">
        <v>373</v>
      </c>
      <c r="L1114" s="102" t="s">
        <v>281</v>
      </c>
      <c r="M1114" s="19" t="str">
        <f t="shared" si="31"/>
        <v>Dec_2017</v>
      </c>
    </row>
    <row r="1115" spans="1:13">
      <c r="A1115" s="45" t="s">
        <v>22</v>
      </c>
      <c r="B1115" s="52" t="s">
        <v>368</v>
      </c>
      <c r="C1115" s="46">
        <v>43082</v>
      </c>
      <c r="D1115" s="47" t="s">
        <v>15</v>
      </c>
      <c r="E1115" s="48">
        <v>0.35416666666666702</v>
      </c>
      <c r="F1115" s="48">
        <v>0.72916666666666696</v>
      </c>
      <c r="G1115" s="49">
        <v>0</v>
      </c>
      <c r="H1115" s="49">
        <v>7.9999999999999982</v>
      </c>
      <c r="I1115" s="49">
        <v>7.9999999999999982</v>
      </c>
      <c r="J1115" s="50" t="s">
        <v>30</v>
      </c>
      <c r="K1115" s="51" t="s">
        <v>374</v>
      </c>
      <c r="L1115" s="102" t="s">
        <v>281</v>
      </c>
      <c r="M1115" s="19" t="str">
        <f t="shared" si="31"/>
        <v>Dec_2017</v>
      </c>
    </row>
    <row r="1116" spans="1:13">
      <c r="A1116" s="45" t="s">
        <v>22</v>
      </c>
      <c r="B1116" s="52" t="s">
        <v>369</v>
      </c>
      <c r="C1116" s="46">
        <v>43082</v>
      </c>
      <c r="D1116" s="47" t="s">
        <v>15</v>
      </c>
      <c r="E1116" s="48">
        <v>0.35416666666666702</v>
      </c>
      <c r="F1116" s="48">
        <v>0.72916666666666696</v>
      </c>
      <c r="G1116" s="49">
        <v>0</v>
      </c>
      <c r="H1116" s="49">
        <v>7.9999999999999982</v>
      </c>
      <c r="I1116" s="49">
        <v>7.9999999999999982</v>
      </c>
      <c r="J1116" s="50" t="s">
        <v>30</v>
      </c>
      <c r="K1116" s="51" t="s">
        <v>374</v>
      </c>
      <c r="L1116" s="102" t="s">
        <v>281</v>
      </c>
      <c r="M1116" s="19" t="str">
        <f t="shared" si="31"/>
        <v>Dec_2017</v>
      </c>
    </row>
    <row r="1117" spans="1:13">
      <c r="A1117" s="45" t="s">
        <v>22</v>
      </c>
      <c r="B1117" s="52" t="s">
        <v>23</v>
      </c>
      <c r="C1117" s="46">
        <v>43083</v>
      </c>
      <c r="D1117" s="47" t="s">
        <v>25</v>
      </c>
      <c r="E1117" s="48">
        <v>0.35416666666666702</v>
      </c>
      <c r="F1117" s="48">
        <v>0.72916666666666696</v>
      </c>
      <c r="G1117" s="49">
        <v>0</v>
      </c>
      <c r="H1117" s="49">
        <v>7.9999999999999982</v>
      </c>
      <c r="I1117" s="49">
        <v>7.9999999999999982</v>
      </c>
      <c r="J1117" s="50" t="s">
        <v>30</v>
      </c>
      <c r="K1117" s="51" t="s">
        <v>375</v>
      </c>
      <c r="L1117" s="102" t="s">
        <v>281</v>
      </c>
      <c r="M1117" s="19" t="str">
        <f t="shared" si="31"/>
        <v>Dec_2017</v>
      </c>
    </row>
    <row r="1118" spans="1:13">
      <c r="A1118" s="45" t="s">
        <v>22</v>
      </c>
      <c r="B1118" s="52" t="s">
        <v>368</v>
      </c>
      <c r="C1118" s="46">
        <v>43083</v>
      </c>
      <c r="D1118" s="47" t="s">
        <v>25</v>
      </c>
      <c r="E1118" s="48">
        <v>0.35416666666666702</v>
      </c>
      <c r="F1118" s="48">
        <v>0.72916666666666696</v>
      </c>
      <c r="G1118" s="49">
        <v>0</v>
      </c>
      <c r="H1118" s="49">
        <v>7.9999999999999982</v>
      </c>
      <c r="I1118" s="49">
        <v>7.9999999999999982</v>
      </c>
      <c r="J1118" s="50" t="s">
        <v>30</v>
      </c>
      <c r="K1118" s="51" t="s">
        <v>376</v>
      </c>
      <c r="L1118" s="102" t="s">
        <v>281</v>
      </c>
      <c r="M1118" s="19" t="str">
        <f t="shared" si="31"/>
        <v>Dec_2017</v>
      </c>
    </row>
    <row r="1119" spans="1:13">
      <c r="A1119" s="45" t="s">
        <v>22</v>
      </c>
      <c r="B1119" s="52" t="s">
        <v>369</v>
      </c>
      <c r="C1119" s="46">
        <v>43083</v>
      </c>
      <c r="D1119" s="47" t="s">
        <v>25</v>
      </c>
      <c r="E1119" s="48">
        <v>0.35416666666666702</v>
      </c>
      <c r="F1119" s="48">
        <v>0.72916666666666696</v>
      </c>
      <c r="G1119" s="49">
        <v>0</v>
      </c>
      <c r="H1119" s="49">
        <v>7.9999999999999982</v>
      </c>
      <c r="I1119" s="49">
        <v>7.9999999999999982</v>
      </c>
      <c r="J1119" s="50" t="s">
        <v>30</v>
      </c>
      <c r="K1119" s="51" t="s">
        <v>376</v>
      </c>
      <c r="L1119" s="102" t="s">
        <v>281</v>
      </c>
      <c r="M1119" s="19" t="str">
        <f t="shared" si="31"/>
        <v>Dec_2017</v>
      </c>
    </row>
    <row r="1120" spans="1:13">
      <c r="A1120" s="45" t="s">
        <v>22</v>
      </c>
      <c r="B1120" s="52" t="s">
        <v>23</v>
      </c>
      <c r="C1120" s="46">
        <v>43084</v>
      </c>
      <c r="D1120" s="47" t="s">
        <v>17</v>
      </c>
      <c r="E1120" s="48">
        <v>0.35416666666666702</v>
      </c>
      <c r="F1120" s="48">
        <v>0.72916666666666696</v>
      </c>
      <c r="G1120" s="49">
        <v>0</v>
      </c>
      <c r="H1120" s="49">
        <v>7.9999999999999982</v>
      </c>
      <c r="I1120" s="49">
        <v>7.9999999999999982</v>
      </c>
      <c r="J1120" s="50" t="s">
        <v>30</v>
      </c>
      <c r="K1120" s="51" t="s">
        <v>377</v>
      </c>
      <c r="L1120" s="102" t="s">
        <v>281</v>
      </c>
      <c r="M1120" s="19" t="str">
        <f t="shared" si="31"/>
        <v>Dec_2017</v>
      </c>
    </row>
    <row r="1121" spans="1:13">
      <c r="A1121" s="45" t="s">
        <v>22</v>
      </c>
      <c r="B1121" s="52" t="s">
        <v>346</v>
      </c>
      <c r="C1121" s="46">
        <v>43084</v>
      </c>
      <c r="D1121" s="47" t="s">
        <v>17</v>
      </c>
      <c r="E1121" s="48">
        <v>0.39583333333333298</v>
      </c>
      <c r="F1121" s="48">
        <v>0.72916666666666696</v>
      </c>
      <c r="G1121" s="49">
        <v>0</v>
      </c>
      <c r="H1121" s="49">
        <v>7.000000000000016</v>
      </c>
      <c r="I1121" s="49">
        <v>7.000000000000016</v>
      </c>
      <c r="J1121" s="50" t="s">
        <v>30</v>
      </c>
      <c r="K1121" s="51" t="s">
        <v>377</v>
      </c>
      <c r="L1121" s="102" t="s">
        <v>281</v>
      </c>
      <c r="M1121" s="19" t="str">
        <f t="shared" si="31"/>
        <v>Dec_2017</v>
      </c>
    </row>
    <row r="1122" spans="1:13">
      <c r="A1122" s="45" t="s">
        <v>22</v>
      </c>
      <c r="B1122" s="52" t="s">
        <v>368</v>
      </c>
      <c r="C1122" s="46">
        <v>43084</v>
      </c>
      <c r="D1122" s="47" t="s">
        <v>17</v>
      </c>
      <c r="E1122" s="48">
        <v>0.35416666666666702</v>
      </c>
      <c r="F1122" s="48">
        <v>0.72916666666666696</v>
      </c>
      <c r="G1122" s="49">
        <v>0</v>
      </c>
      <c r="H1122" s="49">
        <v>7.9999999999999982</v>
      </c>
      <c r="I1122" s="49">
        <v>7.9999999999999982</v>
      </c>
      <c r="J1122" s="50" t="s">
        <v>30</v>
      </c>
      <c r="K1122" s="51" t="s">
        <v>378</v>
      </c>
      <c r="L1122" s="102" t="s">
        <v>281</v>
      </c>
      <c r="M1122" s="19" t="str">
        <f t="shared" si="31"/>
        <v>Dec_2017</v>
      </c>
    </row>
    <row r="1123" spans="1:13">
      <c r="A1123" s="45" t="s">
        <v>22</v>
      </c>
      <c r="B1123" s="52" t="s">
        <v>369</v>
      </c>
      <c r="C1123" s="46">
        <v>43084</v>
      </c>
      <c r="D1123" s="47" t="s">
        <v>17</v>
      </c>
      <c r="E1123" s="48">
        <v>0.35416666666666702</v>
      </c>
      <c r="F1123" s="48">
        <v>0.72916666666666696</v>
      </c>
      <c r="G1123" s="49">
        <v>0</v>
      </c>
      <c r="H1123" s="49">
        <v>7.9999999999999982</v>
      </c>
      <c r="I1123" s="49">
        <v>7.9999999999999982</v>
      </c>
      <c r="J1123" s="50" t="s">
        <v>30</v>
      </c>
      <c r="K1123" s="51" t="s">
        <v>378</v>
      </c>
      <c r="L1123" s="102" t="s">
        <v>281</v>
      </c>
      <c r="M1123" s="19" t="str">
        <f t="shared" si="31"/>
        <v>Dec_2017</v>
      </c>
    </row>
    <row r="1124" spans="1:13">
      <c r="A1124" s="45" t="s">
        <v>22</v>
      </c>
      <c r="B1124" s="52" t="s">
        <v>23</v>
      </c>
      <c r="C1124" s="46">
        <v>43087</v>
      </c>
      <c r="D1124" s="47" t="s">
        <v>16</v>
      </c>
      <c r="E1124" s="48">
        <v>0.35416666666666702</v>
      </c>
      <c r="F1124" s="48">
        <v>0.72916666666666696</v>
      </c>
      <c r="G1124" s="49">
        <v>0</v>
      </c>
      <c r="H1124" s="49">
        <v>7.9999999999999982</v>
      </c>
      <c r="I1124" s="49">
        <v>7.9999999999999982</v>
      </c>
      <c r="J1124" s="50" t="s">
        <v>30</v>
      </c>
      <c r="K1124" s="51" t="s">
        <v>379</v>
      </c>
      <c r="L1124" s="102" t="s">
        <v>281</v>
      </c>
      <c r="M1124" s="19" t="str">
        <f t="shared" si="31"/>
        <v>Dec_2017</v>
      </c>
    </row>
    <row r="1125" spans="1:13">
      <c r="A1125" s="45" t="s">
        <v>22</v>
      </c>
      <c r="B1125" s="52" t="s">
        <v>347</v>
      </c>
      <c r="C1125" s="46">
        <v>43087</v>
      </c>
      <c r="D1125" s="47" t="s">
        <v>16</v>
      </c>
      <c r="E1125" s="48">
        <v>0.35416666666666702</v>
      </c>
      <c r="F1125" s="48">
        <v>0.69791666666666696</v>
      </c>
      <c r="G1125" s="49">
        <v>0</v>
      </c>
      <c r="H1125" s="49">
        <v>7.2499999999999982</v>
      </c>
      <c r="I1125" s="49">
        <v>7.2499999999999982</v>
      </c>
      <c r="J1125" s="53" t="s">
        <v>30</v>
      </c>
      <c r="K1125" s="51" t="s">
        <v>379</v>
      </c>
      <c r="L1125" s="102" t="s">
        <v>281</v>
      </c>
      <c r="M1125" s="19" t="str">
        <f t="shared" si="31"/>
        <v>Dec_2017</v>
      </c>
    </row>
    <row r="1126" spans="1:13">
      <c r="A1126" s="45" t="s">
        <v>22</v>
      </c>
      <c r="B1126" s="52" t="s">
        <v>363</v>
      </c>
      <c r="C1126" s="46">
        <v>43087</v>
      </c>
      <c r="D1126" s="47" t="s">
        <v>16</v>
      </c>
      <c r="E1126" s="48">
        <v>0.35416666666666702</v>
      </c>
      <c r="F1126" s="48">
        <v>0.69791666666666696</v>
      </c>
      <c r="G1126" s="49">
        <v>0</v>
      </c>
      <c r="H1126" s="49">
        <v>7.2499999999999982</v>
      </c>
      <c r="I1126" s="49">
        <v>7.2499999999999982</v>
      </c>
      <c r="J1126" s="50" t="s">
        <v>30</v>
      </c>
      <c r="K1126" s="51" t="s">
        <v>380</v>
      </c>
      <c r="L1126" s="102" t="s">
        <v>281</v>
      </c>
      <c r="M1126" s="19" t="str">
        <f t="shared" si="31"/>
        <v>Dec_2017</v>
      </c>
    </row>
    <row r="1127" spans="1:13">
      <c r="A1127" s="45" t="s">
        <v>22</v>
      </c>
      <c r="B1127" s="52" t="s">
        <v>381</v>
      </c>
      <c r="C1127" s="46">
        <v>43087</v>
      </c>
      <c r="D1127" s="47" t="s">
        <v>16</v>
      </c>
      <c r="E1127" s="48">
        <v>0.35416666666666702</v>
      </c>
      <c r="F1127" s="48">
        <v>0.69791666666666696</v>
      </c>
      <c r="G1127" s="49">
        <v>0</v>
      </c>
      <c r="H1127" s="49">
        <v>7.2499999999999982</v>
      </c>
      <c r="I1127" s="49">
        <v>7.2499999999999982</v>
      </c>
      <c r="J1127" s="50" t="s">
        <v>30</v>
      </c>
      <c r="K1127" s="51" t="s">
        <v>380</v>
      </c>
      <c r="L1127" s="102" t="s">
        <v>281</v>
      </c>
      <c r="M1127" s="19" t="str">
        <f t="shared" si="31"/>
        <v>Dec_2017</v>
      </c>
    </row>
    <row r="1128" spans="1:13">
      <c r="A1128" s="45" t="s">
        <v>11</v>
      </c>
      <c r="B1128" s="52" t="s">
        <v>12</v>
      </c>
      <c r="C1128" s="54">
        <v>43088</v>
      </c>
      <c r="D1128" s="47" t="s">
        <v>14</v>
      </c>
      <c r="E1128" s="48">
        <v>0.72916666666666696</v>
      </c>
      <c r="F1128" s="48">
        <v>0.89583333333333304</v>
      </c>
      <c r="G1128" s="49">
        <v>8.0000000000000036</v>
      </c>
      <c r="H1128" s="49">
        <v>3.9999999999999822</v>
      </c>
      <c r="I1128" s="49">
        <v>3.9999999999999822</v>
      </c>
      <c r="J1128" s="53" t="s">
        <v>30</v>
      </c>
      <c r="K1128" s="51" t="s">
        <v>382</v>
      </c>
      <c r="L1128" s="102">
        <v>1</v>
      </c>
      <c r="M1128" s="19" t="str">
        <f t="shared" si="31"/>
        <v>Dec_2017</v>
      </c>
    </row>
    <row r="1129" spans="1:13">
      <c r="A1129" s="45" t="s">
        <v>11</v>
      </c>
      <c r="B1129" s="52" t="s">
        <v>19</v>
      </c>
      <c r="C1129" s="46">
        <v>43088</v>
      </c>
      <c r="D1129" s="47" t="s">
        <v>14</v>
      </c>
      <c r="E1129" s="48">
        <v>0.72916666666666696</v>
      </c>
      <c r="F1129" s="48">
        <v>0.89583333333333304</v>
      </c>
      <c r="G1129" s="49">
        <v>8.0000000000000036</v>
      </c>
      <c r="H1129" s="49">
        <v>3.9999999999999822</v>
      </c>
      <c r="I1129" s="49">
        <v>3.9999999999999822</v>
      </c>
      <c r="J1129" s="53" t="s">
        <v>30</v>
      </c>
      <c r="K1129" s="51" t="s">
        <v>382</v>
      </c>
      <c r="L1129" s="102">
        <v>1</v>
      </c>
      <c r="M1129" s="19" t="str">
        <f t="shared" si="31"/>
        <v>Dec_2017</v>
      </c>
    </row>
    <row r="1130" spans="1:13">
      <c r="A1130" s="45" t="s">
        <v>11</v>
      </c>
      <c r="B1130" s="52" t="s">
        <v>26</v>
      </c>
      <c r="C1130" s="46">
        <v>43088</v>
      </c>
      <c r="D1130" s="47" t="s">
        <v>14</v>
      </c>
      <c r="E1130" s="48">
        <v>0.72916666666666696</v>
      </c>
      <c r="F1130" s="48">
        <v>0.89583333333333304</v>
      </c>
      <c r="G1130" s="49">
        <v>8.0000000000000036</v>
      </c>
      <c r="H1130" s="49">
        <v>3.9999999999999822</v>
      </c>
      <c r="I1130" s="49">
        <v>3.9999999999999822</v>
      </c>
      <c r="J1130" s="53" t="s">
        <v>30</v>
      </c>
      <c r="K1130" s="51" t="s">
        <v>382</v>
      </c>
      <c r="L1130" s="102">
        <v>1</v>
      </c>
      <c r="M1130" s="19" t="str">
        <f t="shared" si="31"/>
        <v>Dec_2017</v>
      </c>
    </row>
    <row r="1131" spans="1:13">
      <c r="A1131" s="45" t="s">
        <v>22</v>
      </c>
      <c r="B1131" s="52" t="s">
        <v>23</v>
      </c>
      <c r="C1131" s="46">
        <v>43088</v>
      </c>
      <c r="D1131" s="47" t="s">
        <v>14</v>
      </c>
      <c r="E1131" s="48">
        <v>0.35416666666666702</v>
      </c>
      <c r="F1131" s="48">
        <v>0.89583333333333304</v>
      </c>
      <c r="G1131" s="49">
        <v>0</v>
      </c>
      <c r="H1131" s="49">
        <v>11.999999999999986</v>
      </c>
      <c r="I1131" s="49">
        <v>11.999999999999986</v>
      </c>
      <c r="J1131" s="53" t="s">
        <v>30</v>
      </c>
      <c r="K1131" s="51" t="s">
        <v>382</v>
      </c>
      <c r="L1131" s="102" t="s">
        <v>281</v>
      </c>
      <c r="M1131" s="19" t="str">
        <f t="shared" si="31"/>
        <v>Dec_2017</v>
      </c>
    </row>
    <row r="1132" spans="1:13">
      <c r="A1132" s="45" t="s">
        <v>22</v>
      </c>
      <c r="B1132" s="52" t="s">
        <v>347</v>
      </c>
      <c r="C1132" s="46">
        <v>43088</v>
      </c>
      <c r="D1132" s="47" t="s">
        <v>14</v>
      </c>
      <c r="E1132" s="48">
        <v>0.35416666666666702</v>
      </c>
      <c r="F1132" s="48">
        <v>0.89583333333333304</v>
      </c>
      <c r="G1132" s="49">
        <v>0</v>
      </c>
      <c r="H1132" s="49">
        <v>11.999999999999986</v>
      </c>
      <c r="I1132" s="49">
        <v>11.999999999999986</v>
      </c>
      <c r="J1132" s="50" t="s">
        <v>30</v>
      </c>
      <c r="K1132" s="51" t="s">
        <v>382</v>
      </c>
      <c r="L1132" s="102" t="s">
        <v>281</v>
      </c>
      <c r="M1132" s="19" t="str">
        <f t="shared" si="31"/>
        <v>Dec_2017</v>
      </c>
    </row>
    <row r="1133" spans="1:13">
      <c r="A1133" s="45" t="s">
        <v>22</v>
      </c>
      <c r="B1133" s="52" t="s">
        <v>363</v>
      </c>
      <c r="C1133" s="46">
        <v>43088</v>
      </c>
      <c r="D1133" s="47" t="s">
        <v>14</v>
      </c>
      <c r="E1133" s="48">
        <v>0.35416666666666702</v>
      </c>
      <c r="F1133" s="48">
        <v>0.89583333333333304</v>
      </c>
      <c r="G1133" s="49">
        <v>0</v>
      </c>
      <c r="H1133" s="49">
        <v>11.999999999999986</v>
      </c>
      <c r="I1133" s="49">
        <v>11.999999999999986</v>
      </c>
      <c r="J1133" s="50" t="s">
        <v>30</v>
      </c>
      <c r="K1133" s="51" t="s">
        <v>383</v>
      </c>
      <c r="L1133" s="102" t="s">
        <v>281</v>
      </c>
      <c r="M1133" s="19" t="str">
        <f t="shared" si="31"/>
        <v>Dec_2017</v>
      </c>
    </row>
    <row r="1134" spans="1:13">
      <c r="A1134" s="45" t="s">
        <v>22</v>
      </c>
      <c r="B1134" s="52" t="s">
        <v>381</v>
      </c>
      <c r="C1134" s="46">
        <v>43088</v>
      </c>
      <c r="D1134" s="47" t="s">
        <v>14</v>
      </c>
      <c r="E1134" s="48">
        <v>0.35416666666666702</v>
      </c>
      <c r="F1134" s="48">
        <v>0.89583333333333304</v>
      </c>
      <c r="G1134" s="49">
        <v>0</v>
      </c>
      <c r="H1134" s="49">
        <v>11.999999999999986</v>
      </c>
      <c r="I1134" s="49">
        <v>11.999999999999986</v>
      </c>
      <c r="J1134" s="50" t="s">
        <v>30</v>
      </c>
      <c r="K1134" s="51" t="s">
        <v>383</v>
      </c>
      <c r="L1134" s="102" t="s">
        <v>281</v>
      </c>
      <c r="M1134" s="19" t="str">
        <f t="shared" si="31"/>
        <v>Dec_2017</v>
      </c>
    </row>
    <row r="1135" spans="1:13">
      <c r="A1135" s="45" t="s">
        <v>11</v>
      </c>
      <c r="B1135" s="52" t="s">
        <v>12</v>
      </c>
      <c r="C1135" s="54">
        <v>43089</v>
      </c>
      <c r="D1135" s="47" t="s">
        <v>15</v>
      </c>
      <c r="E1135" s="48">
        <v>0.72916666666666696</v>
      </c>
      <c r="F1135" s="48">
        <v>0.89583333333333304</v>
      </c>
      <c r="G1135" s="49">
        <v>8.0000000000000036</v>
      </c>
      <c r="H1135" s="49">
        <v>3.9999999999999822</v>
      </c>
      <c r="I1135" s="49">
        <v>3.9999999999999822</v>
      </c>
      <c r="J1135" s="50" t="s">
        <v>30</v>
      </c>
      <c r="K1135" s="51" t="s">
        <v>384</v>
      </c>
      <c r="L1135" s="102">
        <v>1</v>
      </c>
      <c r="M1135" s="19" t="str">
        <f t="shared" si="31"/>
        <v>Dec_2017</v>
      </c>
    </row>
    <row r="1136" spans="1:13">
      <c r="A1136" s="45" t="s">
        <v>11</v>
      </c>
      <c r="B1136" s="52" t="s">
        <v>19</v>
      </c>
      <c r="C1136" s="46">
        <v>43089</v>
      </c>
      <c r="D1136" s="47" t="s">
        <v>15</v>
      </c>
      <c r="E1136" s="48">
        <v>0.72916666666666696</v>
      </c>
      <c r="F1136" s="48">
        <v>0.89583333333333304</v>
      </c>
      <c r="G1136" s="49">
        <v>8.0000000000000036</v>
      </c>
      <c r="H1136" s="49">
        <v>3.9999999999999822</v>
      </c>
      <c r="I1136" s="49">
        <v>3.9999999999999822</v>
      </c>
      <c r="J1136" s="50" t="s">
        <v>30</v>
      </c>
      <c r="K1136" s="51" t="s">
        <v>384</v>
      </c>
      <c r="L1136" s="102">
        <v>1</v>
      </c>
      <c r="M1136" s="19" t="str">
        <f t="shared" si="31"/>
        <v>Dec_2017</v>
      </c>
    </row>
    <row r="1137" spans="1:13">
      <c r="A1137" s="45" t="s">
        <v>11</v>
      </c>
      <c r="B1137" s="52" t="s">
        <v>26</v>
      </c>
      <c r="C1137" s="46">
        <v>43089</v>
      </c>
      <c r="D1137" s="47" t="s">
        <v>15</v>
      </c>
      <c r="E1137" s="48">
        <v>0.72916666666666696</v>
      </c>
      <c r="F1137" s="48">
        <v>0.89583333333333304</v>
      </c>
      <c r="G1137" s="49">
        <v>8.0000000000000036</v>
      </c>
      <c r="H1137" s="49">
        <v>3.9999999999999822</v>
      </c>
      <c r="I1137" s="49">
        <v>3.9999999999999822</v>
      </c>
      <c r="J1137" s="53" t="s">
        <v>30</v>
      </c>
      <c r="K1137" s="51" t="s">
        <v>384</v>
      </c>
      <c r="L1137" s="102">
        <v>1</v>
      </c>
      <c r="M1137" s="19" t="str">
        <f t="shared" si="31"/>
        <v>Dec_2017</v>
      </c>
    </row>
    <row r="1138" spans="1:13">
      <c r="A1138" s="45" t="s">
        <v>11</v>
      </c>
      <c r="B1138" s="52" t="s">
        <v>149</v>
      </c>
      <c r="C1138" s="46">
        <v>43089</v>
      </c>
      <c r="D1138" s="47" t="s">
        <v>15</v>
      </c>
      <c r="E1138" s="48">
        <v>0.72916666666666696</v>
      </c>
      <c r="F1138" s="48">
        <v>0.89583333333333304</v>
      </c>
      <c r="G1138" s="49">
        <v>8.0000000000000036</v>
      </c>
      <c r="H1138" s="49">
        <v>3.9999999999999822</v>
      </c>
      <c r="I1138" s="49">
        <v>3.9999999999999822</v>
      </c>
      <c r="J1138" s="53" t="s">
        <v>30</v>
      </c>
      <c r="K1138" s="51" t="s">
        <v>384</v>
      </c>
      <c r="L1138" s="102">
        <v>1</v>
      </c>
      <c r="M1138" s="19" t="str">
        <f t="shared" si="31"/>
        <v>Dec_2017</v>
      </c>
    </row>
    <row r="1139" spans="1:13">
      <c r="A1139" s="45" t="s">
        <v>11</v>
      </c>
      <c r="B1139" s="52" t="s">
        <v>161</v>
      </c>
      <c r="C1139" s="46">
        <v>43089</v>
      </c>
      <c r="D1139" s="47" t="s">
        <v>15</v>
      </c>
      <c r="E1139" s="48">
        <v>0.72916666666666696</v>
      </c>
      <c r="F1139" s="48">
        <v>0.89583333333333304</v>
      </c>
      <c r="G1139" s="49">
        <v>8.0000000000000036</v>
      </c>
      <c r="H1139" s="49">
        <v>3.9999999999999822</v>
      </c>
      <c r="I1139" s="49">
        <v>3.9999999999999822</v>
      </c>
      <c r="J1139" s="50" t="s">
        <v>30</v>
      </c>
      <c r="K1139" s="51" t="s">
        <v>384</v>
      </c>
      <c r="L1139" s="102">
        <v>1</v>
      </c>
      <c r="M1139" s="19" t="str">
        <f t="shared" si="31"/>
        <v>Dec_2017</v>
      </c>
    </row>
    <row r="1140" spans="1:13">
      <c r="A1140" s="45" t="s">
        <v>22</v>
      </c>
      <c r="B1140" s="52" t="s">
        <v>23</v>
      </c>
      <c r="C1140" s="46">
        <v>43089</v>
      </c>
      <c r="D1140" s="47" t="s">
        <v>15</v>
      </c>
      <c r="E1140" s="48">
        <v>0.35416666666666702</v>
      </c>
      <c r="F1140" s="48">
        <v>0.89583333333333304</v>
      </c>
      <c r="G1140" s="49">
        <v>0</v>
      </c>
      <c r="H1140" s="49">
        <v>11.999999999999986</v>
      </c>
      <c r="I1140" s="49">
        <v>11.999999999999986</v>
      </c>
      <c r="J1140" s="50" t="s">
        <v>30</v>
      </c>
      <c r="K1140" s="51" t="s">
        <v>384</v>
      </c>
      <c r="L1140" s="102" t="s">
        <v>281</v>
      </c>
      <c r="M1140" s="19" t="str">
        <f t="shared" si="31"/>
        <v>Dec_2017</v>
      </c>
    </row>
    <row r="1141" spans="1:13">
      <c r="A1141" s="45" t="s">
        <v>22</v>
      </c>
      <c r="B1141" s="52" t="s">
        <v>363</v>
      </c>
      <c r="C1141" s="46">
        <v>43089</v>
      </c>
      <c r="D1141" s="47" t="s">
        <v>15</v>
      </c>
      <c r="E1141" s="48">
        <v>0.35416666666666702</v>
      </c>
      <c r="F1141" s="48">
        <v>0.72916666666666696</v>
      </c>
      <c r="G1141" s="49">
        <v>0</v>
      </c>
      <c r="H1141" s="49">
        <v>7.9999999999999982</v>
      </c>
      <c r="I1141" s="49">
        <v>7.9999999999999982</v>
      </c>
      <c r="J1141" s="53" t="s">
        <v>30</v>
      </c>
      <c r="K1141" s="51" t="s">
        <v>385</v>
      </c>
      <c r="L1141" s="102" t="s">
        <v>281</v>
      </c>
      <c r="M1141" s="19" t="str">
        <f t="shared" si="31"/>
        <v>Dec_2017</v>
      </c>
    </row>
    <row r="1142" spans="1:13">
      <c r="A1142" s="45" t="s">
        <v>22</v>
      </c>
      <c r="B1142" s="52" t="s">
        <v>381</v>
      </c>
      <c r="C1142" s="46">
        <v>43089</v>
      </c>
      <c r="D1142" s="47" t="s">
        <v>15</v>
      </c>
      <c r="E1142" s="48">
        <v>0.35416666666666702</v>
      </c>
      <c r="F1142" s="48">
        <v>0.72916666666666696</v>
      </c>
      <c r="G1142" s="49">
        <v>0</v>
      </c>
      <c r="H1142" s="49">
        <v>7.9999999999999982</v>
      </c>
      <c r="I1142" s="49">
        <v>7.9999999999999982</v>
      </c>
      <c r="J1142" s="50" t="s">
        <v>30</v>
      </c>
      <c r="K1142" s="51" t="s">
        <v>385</v>
      </c>
      <c r="L1142" s="102" t="s">
        <v>281</v>
      </c>
      <c r="M1142" s="19" t="str">
        <f t="shared" ref="M1142:M1205" si="32">IF($C1142="","",TEXT(DATE(YEAR($C1142),MONTH($C1142),DAY($C1142)),"MMM")&amp;"_"&amp;YEAR($C1142))</f>
        <v>Dec_2017</v>
      </c>
    </row>
    <row r="1143" spans="1:13">
      <c r="A1143" s="45" t="s">
        <v>11</v>
      </c>
      <c r="B1143" s="52" t="s">
        <v>12</v>
      </c>
      <c r="C1143" s="54">
        <v>43090</v>
      </c>
      <c r="D1143" s="47" t="s">
        <v>25</v>
      </c>
      <c r="E1143" s="48">
        <v>0.72916666666666696</v>
      </c>
      <c r="F1143" s="48">
        <v>0.875</v>
      </c>
      <c r="G1143" s="49">
        <v>8.0000000000000036</v>
      </c>
      <c r="H1143" s="49">
        <v>3.4999999999999893</v>
      </c>
      <c r="I1143" s="49">
        <v>3.4999999999999893</v>
      </c>
      <c r="J1143" s="50" t="s">
        <v>30</v>
      </c>
      <c r="K1143" s="51" t="s">
        <v>386</v>
      </c>
      <c r="L1143" s="102">
        <v>1</v>
      </c>
      <c r="M1143" s="19" t="str">
        <f t="shared" si="32"/>
        <v>Dec_2017</v>
      </c>
    </row>
    <row r="1144" spans="1:13">
      <c r="A1144" s="45" t="s">
        <v>11</v>
      </c>
      <c r="B1144" s="52" t="s">
        <v>19</v>
      </c>
      <c r="C1144" s="46">
        <v>43090</v>
      </c>
      <c r="D1144" s="47" t="s">
        <v>25</v>
      </c>
      <c r="E1144" s="48">
        <v>0.72916666666666696</v>
      </c>
      <c r="F1144" s="48">
        <v>0.875</v>
      </c>
      <c r="G1144" s="49">
        <v>8.0000000000000036</v>
      </c>
      <c r="H1144" s="49">
        <v>3.4999999999999893</v>
      </c>
      <c r="I1144" s="49">
        <v>3.4999999999999893</v>
      </c>
      <c r="J1144" s="50" t="s">
        <v>30</v>
      </c>
      <c r="K1144" s="51" t="s">
        <v>386</v>
      </c>
      <c r="L1144" s="102">
        <v>1</v>
      </c>
      <c r="M1144" s="19" t="str">
        <f t="shared" si="32"/>
        <v>Dec_2017</v>
      </c>
    </row>
    <row r="1145" spans="1:13">
      <c r="A1145" s="45" t="s">
        <v>11</v>
      </c>
      <c r="B1145" s="52" t="s">
        <v>149</v>
      </c>
      <c r="C1145" s="46">
        <v>43090</v>
      </c>
      <c r="D1145" s="47" t="s">
        <v>25</v>
      </c>
      <c r="E1145" s="48">
        <v>0.72916666666666696</v>
      </c>
      <c r="F1145" s="48">
        <v>0.875</v>
      </c>
      <c r="G1145" s="49">
        <v>8.0000000000000036</v>
      </c>
      <c r="H1145" s="49">
        <v>3.4999999999999893</v>
      </c>
      <c r="I1145" s="49">
        <v>3.4999999999999893</v>
      </c>
      <c r="J1145" s="50" t="s">
        <v>30</v>
      </c>
      <c r="K1145" s="51" t="s">
        <v>386</v>
      </c>
      <c r="L1145" s="102">
        <v>1</v>
      </c>
      <c r="M1145" s="19" t="str">
        <f t="shared" si="32"/>
        <v>Dec_2017</v>
      </c>
    </row>
    <row r="1146" spans="1:13">
      <c r="A1146" s="45" t="s">
        <v>11</v>
      </c>
      <c r="B1146" s="52" t="s">
        <v>161</v>
      </c>
      <c r="C1146" s="46">
        <v>43090</v>
      </c>
      <c r="D1146" s="47" t="s">
        <v>25</v>
      </c>
      <c r="E1146" s="48">
        <v>0.72916666666666696</v>
      </c>
      <c r="F1146" s="48">
        <v>0.875</v>
      </c>
      <c r="G1146" s="49">
        <v>8.0000000000000036</v>
      </c>
      <c r="H1146" s="49">
        <v>3.4999999999999893</v>
      </c>
      <c r="I1146" s="49">
        <v>3.4999999999999893</v>
      </c>
      <c r="J1146" s="50" t="s">
        <v>30</v>
      </c>
      <c r="K1146" s="51" t="s">
        <v>386</v>
      </c>
      <c r="L1146" s="102">
        <v>1</v>
      </c>
      <c r="M1146" s="19" t="str">
        <f t="shared" si="32"/>
        <v>Dec_2017</v>
      </c>
    </row>
    <row r="1147" spans="1:13">
      <c r="A1147" s="45" t="s">
        <v>22</v>
      </c>
      <c r="B1147" s="52" t="s">
        <v>23</v>
      </c>
      <c r="C1147" s="46">
        <v>43090</v>
      </c>
      <c r="D1147" s="47" t="s">
        <v>25</v>
      </c>
      <c r="E1147" s="48">
        <v>0.35416666666666702</v>
      </c>
      <c r="F1147" s="48">
        <v>0.875</v>
      </c>
      <c r="G1147" s="49">
        <v>0</v>
      </c>
      <c r="H1147" s="49">
        <v>11.499999999999993</v>
      </c>
      <c r="I1147" s="49">
        <v>11.499999999999993</v>
      </c>
      <c r="J1147" s="50" t="s">
        <v>30</v>
      </c>
      <c r="K1147" s="51" t="s">
        <v>386</v>
      </c>
      <c r="L1147" s="102" t="s">
        <v>281</v>
      </c>
      <c r="M1147" s="19" t="str">
        <f t="shared" si="32"/>
        <v>Dec_2017</v>
      </c>
    </row>
    <row r="1148" spans="1:13">
      <c r="A1148" s="45" t="s">
        <v>22</v>
      </c>
      <c r="B1148" s="52" t="s">
        <v>363</v>
      </c>
      <c r="C1148" s="46">
        <v>43090</v>
      </c>
      <c r="D1148" s="47" t="s">
        <v>25</v>
      </c>
      <c r="E1148" s="48">
        <v>0.35416666666666702</v>
      </c>
      <c r="F1148" s="48">
        <v>0.875</v>
      </c>
      <c r="G1148" s="49">
        <v>0</v>
      </c>
      <c r="H1148" s="49">
        <v>11.499999999999993</v>
      </c>
      <c r="I1148" s="49">
        <v>11.499999999999993</v>
      </c>
      <c r="J1148" s="50" t="s">
        <v>30</v>
      </c>
      <c r="K1148" s="51" t="s">
        <v>387</v>
      </c>
      <c r="L1148" s="102" t="s">
        <v>281</v>
      </c>
      <c r="M1148" s="19" t="str">
        <f t="shared" si="32"/>
        <v>Dec_2017</v>
      </c>
    </row>
    <row r="1149" spans="1:13">
      <c r="A1149" s="45" t="s">
        <v>22</v>
      </c>
      <c r="B1149" s="52" t="s">
        <v>381</v>
      </c>
      <c r="C1149" s="46">
        <v>43090</v>
      </c>
      <c r="D1149" s="47" t="s">
        <v>25</v>
      </c>
      <c r="E1149" s="48">
        <v>0.35416666666666702</v>
      </c>
      <c r="F1149" s="48">
        <v>0.875</v>
      </c>
      <c r="G1149" s="49">
        <v>0</v>
      </c>
      <c r="H1149" s="49">
        <v>11.499999999999993</v>
      </c>
      <c r="I1149" s="49">
        <v>11.499999999999993</v>
      </c>
      <c r="J1149" s="50" t="s">
        <v>30</v>
      </c>
      <c r="K1149" s="51" t="s">
        <v>387</v>
      </c>
      <c r="L1149" s="102" t="s">
        <v>281</v>
      </c>
      <c r="M1149" s="19" t="str">
        <f t="shared" si="32"/>
        <v>Dec_2017</v>
      </c>
    </row>
    <row r="1150" spans="1:13">
      <c r="A1150" s="45" t="s">
        <v>22</v>
      </c>
      <c r="B1150" s="52" t="s">
        <v>23</v>
      </c>
      <c r="C1150" s="46">
        <v>43091</v>
      </c>
      <c r="D1150" s="47" t="s">
        <v>17</v>
      </c>
      <c r="E1150" s="48">
        <v>0.35416666666666702</v>
      </c>
      <c r="F1150" s="48">
        <v>0.72916666666666696</v>
      </c>
      <c r="G1150" s="49">
        <v>0</v>
      </c>
      <c r="H1150" s="49">
        <v>7.9999999999999982</v>
      </c>
      <c r="I1150" s="49">
        <v>7.9999999999999982</v>
      </c>
      <c r="J1150" s="50" t="s">
        <v>30</v>
      </c>
      <c r="K1150" s="51" t="s">
        <v>388</v>
      </c>
      <c r="L1150" s="102" t="s">
        <v>281</v>
      </c>
      <c r="M1150" s="19" t="str">
        <f t="shared" si="32"/>
        <v>Dec_2017</v>
      </c>
    </row>
    <row r="1151" spans="1:13">
      <c r="A1151" s="45" t="s">
        <v>22</v>
      </c>
      <c r="B1151" s="52" t="s">
        <v>363</v>
      </c>
      <c r="C1151" s="46">
        <v>43091</v>
      </c>
      <c r="D1151" s="47" t="s">
        <v>17</v>
      </c>
      <c r="E1151" s="48">
        <v>0.35416666666666702</v>
      </c>
      <c r="F1151" s="48">
        <v>0.72916666666666696</v>
      </c>
      <c r="G1151" s="49">
        <v>0</v>
      </c>
      <c r="H1151" s="49">
        <v>7.9999999999999982</v>
      </c>
      <c r="I1151" s="49">
        <v>7.9999999999999982</v>
      </c>
      <c r="J1151" s="50" t="s">
        <v>30</v>
      </c>
      <c r="K1151" s="51" t="s">
        <v>389</v>
      </c>
      <c r="L1151" s="102" t="s">
        <v>281</v>
      </c>
      <c r="M1151" s="19" t="str">
        <f t="shared" si="32"/>
        <v>Dec_2017</v>
      </c>
    </row>
    <row r="1152" spans="1:13">
      <c r="A1152" s="45" t="s">
        <v>22</v>
      </c>
      <c r="B1152" s="52" t="s">
        <v>381</v>
      </c>
      <c r="C1152" s="46">
        <v>43091</v>
      </c>
      <c r="D1152" s="47" t="s">
        <v>17</v>
      </c>
      <c r="E1152" s="48">
        <v>0.35416666666666702</v>
      </c>
      <c r="F1152" s="48">
        <v>0.72916666666666696</v>
      </c>
      <c r="G1152" s="49">
        <v>0</v>
      </c>
      <c r="H1152" s="49">
        <v>7.9999999999999982</v>
      </c>
      <c r="I1152" s="49">
        <v>7.9999999999999982</v>
      </c>
      <c r="J1152" s="50" t="s">
        <v>30</v>
      </c>
      <c r="K1152" s="51" t="s">
        <v>389</v>
      </c>
      <c r="L1152" s="102" t="s">
        <v>281</v>
      </c>
      <c r="M1152" s="19" t="str">
        <f t="shared" si="32"/>
        <v>Dec_2017</v>
      </c>
    </row>
    <row r="1153" spans="1:13">
      <c r="A1153" s="45" t="s">
        <v>11</v>
      </c>
      <c r="B1153" s="52" t="s">
        <v>12</v>
      </c>
      <c r="C1153" s="54">
        <v>43092</v>
      </c>
      <c r="D1153" s="47" t="s">
        <v>24</v>
      </c>
      <c r="E1153" s="48">
        <v>0.33333333333333298</v>
      </c>
      <c r="F1153" s="48">
        <v>0.625</v>
      </c>
      <c r="G1153" s="49">
        <v>6.0000000000000089</v>
      </c>
      <c r="H1153" s="49">
        <v>0</v>
      </c>
      <c r="I1153" s="49">
        <v>6.0000000000000089</v>
      </c>
      <c r="J1153" s="50" t="s">
        <v>52</v>
      </c>
      <c r="K1153" s="51" t="s">
        <v>390</v>
      </c>
      <c r="L1153" s="102" t="s">
        <v>281</v>
      </c>
      <c r="M1153" s="19" t="str">
        <f t="shared" si="32"/>
        <v>Dec_2017</v>
      </c>
    </row>
    <row r="1154" spans="1:13">
      <c r="A1154" s="45" t="s">
        <v>11</v>
      </c>
      <c r="B1154" s="52" t="s">
        <v>19</v>
      </c>
      <c r="C1154" s="46">
        <v>43092</v>
      </c>
      <c r="D1154" s="47" t="s">
        <v>24</v>
      </c>
      <c r="E1154" s="48">
        <v>0.33333333333333298</v>
      </c>
      <c r="F1154" s="48">
        <v>0.625</v>
      </c>
      <c r="G1154" s="49">
        <v>6.0000000000000089</v>
      </c>
      <c r="H1154" s="49">
        <v>0</v>
      </c>
      <c r="I1154" s="49">
        <v>6.0000000000000089</v>
      </c>
      <c r="J1154" s="50" t="s">
        <v>52</v>
      </c>
      <c r="K1154" s="51" t="s">
        <v>390</v>
      </c>
      <c r="L1154" s="102" t="s">
        <v>281</v>
      </c>
      <c r="M1154" s="19" t="str">
        <f t="shared" si="32"/>
        <v>Dec_2017</v>
      </c>
    </row>
    <row r="1155" spans="1:13">
      <c r="A1155" s="45" t="s">
        <v>11</v>
      </c>
      <c r="B1155" s="52" t="s">
        <v>149</v>
      </c>
      <c r="C1155" s="46">
        <v>43092</v>
      </c>
      <c r="D1155" s="47" t="s">
        <v>24</v>
      </c>
      <c r="E1155" s="48">
        <v>0.33333333333333298</v>
      </c>
      <c r="F1155" s="48">
        <v>0.625</v>
      </c>
      <c r="G1155" s="49">
        <v>6.0000000000000089</v>
      </c>
      <c r="H1155" s="49">
        <v>0</v>
      </c>
      <c r="I1155" s="49">
        <v>6.0000000000000089</v>
      </c>
      <c r="J1155" s="50" t="s">
        <v>52</v>
      </c>
      <c r="K1155" s="51" t="s">
        <v>390</v>
      </c>
      <c r="L1155" s="102" t="s">
        <v>281</v>
      </c>
      <c r="M1155" s="19" t="str">
        <f t="shared" si="32"/>
        <v>Dec_2017</v>
      </c>
    </row>
    <row r="1156" spans="1:13">
      <c r="A1156" s="45" t="s">
        <v>11</v>
      </c>
      <c r="B1156" s="52" t="s">
        <v>161</v>
      </c>
      <c r="C1156" s="46">
        <v>43092</v>
      </c>
      <c r="D1156" s="47" t="s">
        <v>24</v>
      </c>
      <c r="E1156" s="48">
        <v>0.33333333333333298</v>
      </c>
      <c r="F1156" s="48">
        <v>0.625</v>
      </c>
      <c r="G1156" s="49">
        <v>6.0000000000000089</v>
      </c>
      <c r="H1156" s="49">
        <v>0</v>
      </c>
      <c r="I1156" s="49">
        <v>6.0000000000000089</v>
      </c>
      <c r="J1156" s="50" t="s">
        <v>52</v>
      </c>
      <c r="K1156" s="51" t="s">
        <v>390</v>
      </c>
      <c r="L1156" s="102" t="s">
        <v>281</v>
      </c>
      <c r="M1156" s="19" t="str">
        <f t="shared" si="32"/>
        <v>Dec_2017</v>
      </c>
    </row>
    <row r="1157" spans="1:13">
      <c r="A1157" s="45" t="s">
        <v>22</v>
      </c>
      <c r="B1157" s="52" t="s">
        <v>23</v>
      </c>
      <c r="C1157" s="46">
        <v>43092</v>
      </c>
      <c r="D1157" s="47" t="s">
        <v>24</v>
      </c>
      <c r="E1157" s="48">
        <v>0.33333333333333298</v>
      </c>
      <c r="F1157" s="48">
        <v>0.625</v>
      </c>
      <c r="G1157" s="49">
        <v>0</v>
      </c>
      <c r="H1157" s="49">
        <v>6.0000000000000089</v>
      </c>
      <c r="I1157" s="49">
        <v>6.0000000000000089</v>
      </c>
      <c r="J1157" s="50" t="s">
        <v>52</v>
      </c>
      <c r="K1157" s="51" t="s">
        <v>390</v>
      </c>
      <c r="L1157" s="102" t="s">
        <v>281</v>
      </c>
      <c r="M1157" s="19" t="str">
        <f t="shared" si="32"/>
        <v>Dec_2017</v>
      </c>
    </row>
    <row r="1158" spans="1:13">
      <c r="A1158" s="45" t="s">
        <v>22</v>
      </c>
      <c r="B1158" s="52" t="s">
        <v>347</v>
      </c>
      <c r="C1158" s="46">
        <v>43092</v>
      </c>
      <c r="D1158" s="47" t="s">
        <v>24</v>
      </c>
      <c r="E1158" s="48">
        <v>0.33333333333333298</v>
      </c>
      <c r="F1158" s="48">
        <v>0.625</v>
      </c>
      <c r="G1158" s="49">
        <v>0</v>
      </c>
      <c r="H1158" s="49">
        <v>6.0000000000000089</v>
      </c>
      <c r="I1158" s="49">
        <v>6.0000000000000089</v>
      </c>
      <c r="J1158" s="50" t="s">
        <v>52</v>
      </c>
      <c r="K1158" s="51" t="s">
        <v>390</v>
      </c>
      <c r="L1158" s="102" t="s">
        <v>281</v>
      </c>
      <c r="M1158" s="19" t="str">
        <f t="shared" si="32"/>
        <v>Dec_2017</v>
      </c>
    </row>
    <row r="1159" spans="1:13">
      <c r="A1159" s="45" t="s">
        <v>22</v>
      </c>
      <c r="B1159" s="52" t="s">
        <v>363</v>
      </c>
      <c r="C1159" s="46">
        <v>43092</v>
      </c>
      <c r="D1159" s="47" t="s">
        <v>24</v>
      </c>
      <c r="E1159" s="48">
        <v>0.33333333333333298</v>
      </c>
      <c r="F1159" s="48">
        <v>0.625</v>
      </c>
      <c r="G1159" s="49">
        <v>0</v>
      </c>
      <c r="H1159" s="49">
        <v>6.0000000000000089</v>
      </c>
      <c r="I1159" s="49">
        <v>6.0000000000000089</v>
      </c>
      <c r="J1159" s="50" t="s">
        <v>52</v>
      </c>
      <c r="K1159" s="51" t="s">
        <v>390</v>
      </c>
      <c r="L1159" s="102" t="s">
        <v>281</v>
      </c>
      <c r="M1159" s="19" t="str">
        <f t="shared" si="32"/>
        <v>Dec_2017</v>
      </c>
    </row>
    <row r="1160" spans="1:13">
      <c r="A1160" s="45" t="s">
        <v>11</v>
      </c>
      <c r="B1160" s="52" t="s">
        <v>12</v>
      </c>
      <c r="C1160" s="54">
        <v>43094</v>
      </c>
      <c r="D1160" s="47" t="s">
        <v>16</v>
      </c>
      <c r="E1160" s="48">
        <v>0.72916666666666696</v>
      </c>
      <c r="F1160" s="48">
        <v>0.89583333333333304</v>
      </c>
      <c r="G1160" s="49">
        <v>8.0000000000000036</v>
      </c>
      <c r="H1160" s="49">
        <v>3.9999999999999822</v>
      </c>
      <c r="I1160" s="49">
        <v>3.9999999999999822</v>
      </c>
      <c r="J1160" s="50" t="s">
        <v>30</v>
      </c>
      <c r="K1160" s="51" t="s">
        <v>391</v>
      </c>
      <c r="L1160" s="102">
        <v>1</v>
      </c>
      <c r="M1160" s="19" t="str">
        <f t="shared" si="32"/>
        <v>Dec_2017</v>
      </c>
    </row>
    <row r="1161" spans="1:13">
      <c r="A1161" s="45" t="s">
        <v>11</v>
      </c>
      <c r="B1161" s="52" t="s">
        <v>19</v>
      </c>
      <c r="C1161" s="46">
        <v>43094</v>
      </c>
      <c r="D1161" s="47" t="s">
        <v>16</v>
      </c>
      <c r="E1161" s="48">
        <v>0.72916666666666663</v>
      </c>
      <c r="F1161" s="48">
        <v>0.89583333333333304</v>
      </c>
      <c r="G1161" s="49">
        <v>4</v>
      </c>
      <c r="H1161" s="49">
        <v>4</v>
      </c>
      <c r="I1161" s="49">
        <v>4</v>
      </c>
      <c r="J1161" s="50" t="s">
        <v>30</v>
      </c>
      <c r="K1161" s="51" t="s">
        <v>391</v>
      </c>
      <c r="L1161" s="102" t="s">
        <v>281</v>
      </c>
      <c r="M1161" s="19" t="str">
        <f t="shared" si="32"/>
        <v>Dec_2017</v>
      </c>
    </row>
    <row r="1162" spans="1:13">
      <c r="A1162" s="45" t="s">
        <v>11</v>
      </c>
      <c r="B1162" s="52" t="s">
        <v>26</v>
      </c>
      <c r="C1162" s="46">
        <v>43094</v>
      </c>
      <c r="D1162" s="47" t="s">
        <v>16</v>
      </c>
      <c r="E1162" s="48">
        <v>0.72916666666666663</v>
      </c>
      <c r="F1162" s="48">
        <v>0.89583333333333304</v>
      </c>
      <c r="G1162" s="49">
        <v>4</v>
      </c>
      <c r="H1162" s="49">
        <v>4</v>
      </c>
      <c r="I1162" s="49">
        <v>4</v>
      </c>
      <c r="J1162" s="50" t="s">
        <v>30</v>
      </c>
      <c r="K1162" s="51" t="s">
        <v>391</v>
      </c>
      <c r="L1162" s="102" t="s">
        <v>281</v>
      </c>
      <c r="M1162" s="19" t="str">
        <f t="shared" si="32"/>
        <v>Dec_2017</v>
      </c>
    </row>
    <row r="1163" spans="1:13">
      <c r="A1163" s="45" t="s">
        <v>11</v>
      </c>
      <c r="B1163" s="52" t="s">
        <v>149</v>
      </c>
      <c r="C1163" s="46">
        <v>43094</v>
      </c>
      <c r="D1163" s="47" t="s">
        <v>16</v>
      </c>
      <c r="E1163" s="48">
        <v>0.72916666666666663</v>
      </c>
      <c r="F1163" s="48">
        <v>0.89583333333333304</v>
      </c>
      <c r="G1163" s="49">
        <v>4</v>
      </c>
      <c r="H1163" s="49">
        <v>4</v>
      </c>
      <c r="I1163" s="49">
        <v>4</v>
      </c>
      <c r="J1163" s="50" t="s">
        <v>30</v>
      </c>
      <c r="K1163" s="51" t="s">
        <v>391</v>
      </c>
      <c r="L1163" s="102" t="s">
        <v>281</v>
      </c>
      <c r="M1163" s="19" t="str">
        <f t="shared" si="32"/>
        <v>Dec_2017</v>
      </c>
    </row>
    <row r="1164" spans="1:13">
      <c r="A1164" s="45" t="s">
        <v>11</v>
      </c>
      <c r="B1164" s="52" t="s">
        <v>161</v>
      </c>
      <c r="C1164" s="46">
        <v>43094</v>
      </c>
      <c r="D1164" s="47" t="s">
        <v>16</v>
      </c>
      <c r="E1164" s="48">
        <v>0.72916666666666663</v>
      </c>
      <c r="F1164" s="48">
        <v>0.89583333333333304</v>
      </c>
      <c r="G1164" s="49">
        <v>4</v>
      </c>
      <c r="H1164" s="49">
        <v>4</v>
      </c>
      <c r="I1164" s="49">
        <v>4</v>
      </c>
      <c r="J1164" s="50" t="s">
        <v>30</v>
      </c>
      <c r="K1164" s="51" t="s">
        <v>391</v>
      </c>
      <c r="L1164" s="102" t="s">
        <v>281</v>
      </c>
      <c r="M1164" s="19" t="str">
        <f t="shared" si="32"/>
        <v>Dec_2017</v>
      </c>
    </row>
    <row r="1165" spans="1:13">
      <c r="A1165" s="45" t="s">
        <v>22</v>
      </c>
      <c r="B1165" s="52" t="s">
        <v>23</v>
      </c>
      <c r="C1165" s="46">
        <v>43094</v>
      </c>
      <c r="D1165" s="47" t="s">
        <v>16</v>
      </c>
      <c r="E1165" s="48">
        <v>0.35416666666666702</v>
      </c>
      <c r="F1165" s="48">
        <v>0.89583333333333304</v>
      </c>
      <c r="G1165" s="49">
        <v>0</v>
      </c>
      <c r="H1165" s="49">
        <v>11.999999999999986</v>
      </c>
      <c r="I1165" s="49">
        <v>11.999999999999986</v>
      </c>
      <c r="J1165" s="50" t="s">
        <v>30</v>
      </c>
      <c r="K1165" s="51" t="s">
        <v>391</v>
      </c>
      <c r="L1165" s="102" t="s">
        <v>281</v>
      </c>
      <c r="M1165" s="19" t="str">
        <f t="shared" si="32"/>
        <v>Dec_2017</v>
      </c>
    </row>
    <row r="1166" spans="1:13">
      <c r="A1166" s="45" t="s">
        <v>22</v>
      </c>
      <c r="B1166" s="52" t="s">
        <v>78</v>
      </c>
      <c r="C1166" s="46">
        <v>43094</v>
      </c>
      <c r="D1166" s="47" t="s">
        <v>16</v>
      </c>
      <c r="E1166" s="48">
        <v>0.35416666666666702</v>
      </c>
      <c r="F1166" s="48">
        <v>0.72916666666666696</v>
      </c>
      <c r="G1166" s="49">
        <v>0</v>
      </c>
      <c r="H1166" s="49">
        <v>7.9999999999999982</v>
      </c>
      <c r="I1166" s="49">
        <v>7.9999999999999982</v>
      </c>
      <c r="J1166" s="50" t="s">
        <v>30</v>
      </c>
      <c r="K1166" s="51" t="s">
        <v>391</v>
      </c>
      <c r="L1166" s="102" t="s">
        <v>281</v>
      </c>
      <c r="M1166" s="19" t="str">
        <f t="shared" si="32"/>
        <v>Dec_2017</v>
      </c>
    </row>
    <row r="1167" spans="1:13">
      <c r="A1167" s="45" t="s">
        <v>22</v>
      </c>
      <c r="B1167" s="52" t="s">
        <v>254</v>
      </c>
      <c r="C1167" s="46">
        <v>43094</v>
      </c>
      <c r="D1167" s="47" t="s">
        <v>16</v>
      </c>
      <c r="E1167" s="48">
        <v>0.41666666666666702</v>
      </c>
      <c r="F1167" s="48">
        <v>0.875</v>
      </c>
      <c r="G1167" s="49">
        <v>0</v>
      </c>
      <c r="H1167" s="49">
        <v>9.9999999999999911</v>
      </c>
      <c r="I1167" s="49">
        <v>9.9999999999999911</v>
      </c>
      <c r="J1167" s="50" t="s">
        <v>30</v>
      </c>
      <c r="K1167" s="51" t="s">
        <v>391</v>
      </c>
      <c r="L1167" s="102" t="s">
        <v>281</v>
      </c>
      <c r="M1167" s="19" t="str">
        <f t="shared" si="32"/>
        <v>Dec_2017</v>
      </c>
    </row>
    <row r="1168" spans="1:13">
      <c r="A1168" s="45" t="s">
        <v>22</v>
      </c>
      <c r="B1168" s="52" t="s">
        <v>346</v>
      </c>
      <c r="C1168" s="46">
        <v>43094</v>
      </c>
      <c r="D1168" s="47" t="s">
        <v>16</v>
      </c>
      <c r="E1168" s="48">
        <v>0.77083333333333304</v>
      </c>
      <c r="F1168" s="48">
        <v>0.89583333333333304</v>
      </c>
      <c r="G1168" s="49">
        <v>0</v>
      </c>
      <c r="H1168" s="49">
        <v>3</v>
      </c>
      <c r="I1168" s="49">
        <v>3</v>
      </c>
      <c r="J1168" s="50" t="s">
        <v>30</v>
      </c>
      <c r="K1168" s="51" t="s">
        <v>391</v>
      </c>
      <c r="L1168" s="102" t="s">
        <v>281</v>
      </c>
      <c r="M1168" s="19" t="str">
        <f t="shared" si="32"/>
        <v>Dec_2017</v>
      </c>
    </row>
    <row r="1169" spans="1:13">
      <c r="A1169" s="45" t="s">
        <v>22</v>
      </c>
      <c r="B1169" s="52" t="s">
        <v>347</v>
      </c>
      <c r="C1169" s="46">
        <v>43094</v>
      </c>
      <c r="D1169" s="47" t="s">
        <v>16</v>
      </c>
      <c r="E1169" s="48">
        <v>0.35416666666666702</v>
      </c>
      <c r="F1169" s="48">
        <v>0.72916666666666696</v>
      </c>
      <c r="G1169" s="49">
        <v>0</v>
      </c>
      <c r="H1169" s="49">
        <v>7.9999999999999982</v>
      </c>
      <c r="I1169" s="49">
        <v>7.9999999999999982</v>
      </c>
      <c r="J1169" s="50" t="s">
        <v>30</v>
      </c>
      <c r="K1169" s="51" t="s">
        <v>391</v>
      </c>
      <c r="L1169" s="102" t="s">
        <v>281</v>
      </c>
      <c r="M1169" s="19" t="str">
        <f t="shared" si="32"/>
        <v>Dec_2017</v>
      </c>
    </row>
    <row r="1170" spans="1:13">
      <c r="A1170" s="45" t="s">
        <v>11</v>
      </c>
      <c r="B1170" s="52" t="s">
        <v>149</v>
      </c>
      <c r="C1170" s="46">
        <v>43095</v>
      </c>
      <c r="D1170" s="47" t="s">
        <v>14</v>
      </c>
      <c r="E1170" s="48">
        <v>0.625</v>
      </c>
      <c r="F1170" s="48">
        <v>0.66666666666666696</v>
      </c>
      <c r="G1170" s="49">
        <v>8.0000000000000036</v>
      </c>
      <c r="H1170" s="49">
        <v>1.0000000000000036</v>
      </c>
      <c r="I1170" s="49">
        <v>1.0000000000000036</v>
      </c>
      <c r="J1170" s="50" t="s">
        <v>30</v>
      </c>
      <c r="K1170" s="51" t="s">
        <v>392</v>
      </c>
      <c r="L1170" s="102" t="s">
        <v>281</v>
      </c>
      <c r="M1170" s="19" t="str">
        <f t="shared" si="32"/>
        <v>Dec_2017</v>
      </c>
    </row>
    <row r="1171" spans="1:13">
      <c r="A1171" s="45" t="s">
        <v>22</v>
      </c>
      <c r="B1171" s="52" t="s">
        <v>23</v>
      </c>
      <c r="C1171" s="46">
        <v>43095</v>
      </c>
      <c r="D1171" s="47" t="s">
        <v>14</v>
      </c>
      <c r="E1171" s="48">
        <v>0.54166666666666696</v>
      </c>
      <c r="F1171" s="48">
        <v>0.91666666666666696</v>
      </c>
      <c r="G1171" s="49">
        <v>0</v>
      </c>
      <c r="H1171" s="49">
        <v>8</v>
      </c>
      <c r="I1171" s="49">
        <v>8</v>
      </c>
      <c r="J1171" s="50" t="s">
        <v>30</v>
      </c>
      <c r="K1171" s="51" t="s">
        <v>392</v>
      </c>
      <c r="L1171" s="102" t="s">
        <v>281</v>
      </c>
      <c r="M1171" s="19" t="str">
        <f t="shared" si="32"/>
        <v>Dec_2017</v>
      </c>
    </row>
    <row r="1172" spans="1:13">
      <c r="A1172" s="45" t="s">
        <v>22</v>
      </c>
      <c r="B1172" s="52" t="s">
        <v>78</v>
      </c>
      <c r="C1172" s="46">
        <v>43095</v>
      </c>
      <c r="D1172" s="47" t="s">
        <v>14</v>
      </c>
      <c r="E1172" s="48">
        <v>0.25</v>
      </c>
      <c r="F1172" s="48">
        <v>0.625</v>
      </c>
      <c r="G1172" s="49">
        <v>0</v>
      </c>
      <c r="H1172" s="49">
        <v>8</v>
      </c>
      <c r="I1172" s="49">
        <v>8</v>
      </c>
      <c r="J1172" s="50" t="s">
        <v>30</v>
      </c>
      <c r="K1172" s="51" t="s">
        <v>392</v>
      </c>
      <c r="L1172" s="102" t="s">
        <v>281</v>
      </c>
      <c r="M1172" s="19" t="str">
        <f t="shared" si="32"/>
        <v>Dec_2017</v>
      </c>
    </row>
    <row r="1173" spans="1:13">
      <c r="A1173" s="45" t="s">
        <v>22</v>
      </c>
      <c r="B1173" s="52" t="s">
        <v>254</v>
      </c>
      <c r="C1173" s="46">
        <v>43095</v>
      </c>
      <c r="D1173" s="47" t="s">
        <v>14</v>
      </c>
      <c r="E1173" s="48">
        <v>0.25</v>
      </c>
      <c r="F1173" s="48">
        <v>0.45833333333333298</v>
      </c>
      <c r="G1173" s="49">
        <v>0</v>
      </c>
      <c r="H1173" s="49">
        <v>4.9999999999999911</v>
      </c>
      <c r="I1173" s="49">
        <v>4.9999999999999911</v>
      </c>
      <c r="J1173" s="50" t="s">
        <v>30</v>
      </c>
      <c r="K1173" s="51" t="s">
        <v>392</v>
      </c>
      <c r="L1173" s="102" t="s">
        <v>281</v>
      </c>
      <c r="M1173" s="19" t="str">
        <f t="shared" si="32"/>
        <v>Dec_2017</v>
      </c>
    </row>
    <row r="1174" spans="1:13">
      <c r="A1174" s="45" t="s">
        <v>22</v>
      </c>
      <c r="B1174" s="52" t="s">
        <v>255</v>
      </c>
      <c r="C1174" s="46">
        <v>43095</v>
      </c>
      <c r="D1174" s="47" t="s">
        <v>14</v>
      </c>
      <c r="E1174" s="48">
        <v>0.54166666666666696</v>
      </c>
      <c r="F1174" s="48">
        <v>0.91666666666666696</v>
      </c>
      <c r="G1174" s="49">
        <v>0</v>
      </c>
      <c r="H1174" s="49">
        <v>8</v>
      </c>
      <c r="I1174" s="49">
        <v>8</v>
      </c>
      <c r="J1174" s="50" t="s">
        <v>30</v>
      </c>
      <c r="K1174" s="51" t="s">
        <v>392</v>
      </c>
      <c r="L1174" s="102" t="s">
        <v>281</v>
      </c>
      <c r="M1174" s="19" t="str">
        <f t="shared" si="32"/>
        <v>Dec_2017</v>
      </c>
    </row>
    <row r="1175" spans="1:13">
      <c r="A1175" s="45" t="s">
        <v>22</v>
      </c>
      <c r="B1175" s="52" t="s">
        <v>27</v>
      </c>
      <c r="C1175" s="46">
        <v>43095</v>
      </c>
      <c r="D1175" s="47" t="s">
        <v>14</v>
      </c>
      <c r="E1175" s="48">
        <v>0.25</v>
      </c>
      <c r="F1175" s="48">
        <v>0.625</v>
      </c>
      <c r="G1175" s="49">
        <v>0</v>
      </c>
      <c r="H1175" s="49">
        <v>8</v>
      </c>
      <c r="I1175" s="49">
        <v>8</v>
      </c>
      <c r="J1175" s="50" t="s">
        <v>30</v>
      </c>
      <c r="K1175" s="51" t="s">
        <v>392</v>
      </c>
      <c r="L1175" s="102" t="s">
        <v>281</v>
      </c>
      <c r="M1175" s="19" t="str">
        <f t="shared" si="32"/>
        <v>Dec_2017</v>
      </c>
    </row>
    <row r="1176" spans="1:13">
      <c r="A1176" s="45" t="s">
        <v>22</v>
      </c>
      <c r="B1176" s="52" t="s">
        <v>346</v>
      </c>
      <c r="C1176" s="46">
        <v>43095</v>
      </c>
      <c r="D1176" s="47" t="s">
        <v>14</v>
      </c>
      <c r="E1176" s="48">
        <v>0.25</v>
      </c>
      <c r="F1176" s="48">
        <v>0.625</v>
      </c>
      <c r="G1176" s="49">
        <v>0</v>
      </c>
      <c r="H1176" s="49">
        <v>8</v>
      </c>
      <c r="I1176" s="49">
        <v>8</v>
      </c>
      <c r="J1176" s="50" t="s">
        <v>30</v>
      </c>
      <c r="K1176" s="51" t="s">
        <v>392</v>
      </c>
      <c r="L1176" s="102" t="s">
        <v>281</v>
      </c>
      <c r="M1176" s="19" t="str">
        <f t="shared" si="32"/>
        <v>Dec_2017</v>
      </c>
    </row>
    <row r="1177" spans="1:13">
      <c r="A1177" s="45" t="s">
        <v>22</v>
      </c>
      <c r="B1177" s="52" t="s">
        <v>347</v>
      </c>
      <c r="C1177" s="46">
        <v>43095</v>
      </c>
      <c r="D1177" s="47" t="s">
        <v>14</v>
      </c>
      <c r="E1177" s="48">
        <v>0.54166666666666696</v>
      </c>
      <c r="F1177" s="48">
        <v>0.91666666666666696</v>
      </c>
      <c r="G1177" s="49">
        <v>0</v>
      </c>
      <c r="H1177" s="49">
        <v>8</v>
      </c>
      <c r="I1177" s="49">
        <v>8</v>
      </c>
      <c r="J1177" s="50" t="s">
        <v>30</v>
      </c>
      <c r="K1177" s="51" t="s">
        <v>392</v>
      </c>
      <c r="L1177" s="102" t="s">
        <v>281</v>
      </c>
      <c r="M1177" s="19" t="str">
        <f t="shared" si="32"/>
        <v>Dec_2017</v>
      </c>
    </row>
    <row r="1178" spans="1:13">
      <c r="A1178" s="45" t="s">
        <v>22</v>
      </c>
      <c r="B1178" s="52" t="s">
        <v>363</v>
      </c>
      <c r="C1178" s="46">
        <v>43095</v>
      </c>
      <c r="D1178" s="47" t="s">
        <v>14</v>
      </c>
      <c r="E1178" s="48">
        <v>0.54166666666666696</v>
      </c>
      <c r="F1178" s="48">
        <v>0.91666666666666696</v>
      </c>
      <c r="G1178" s="49">
        <v>0</v>
      </c>
      <c r="H1178" s="49">
        <v>8</v>
      </c>
      <c r="I1178" s="49">
        <v>8</v>
      </c>
      <c r="J1178" s="50" t="s">
        <v>30</v>
      </c>
      <c r="K1178" s="51" t="s">
        <v>392</v>
      </c>
      <c r="L1178" s="102" t="s">
        <v>281</v>
      </c>
      <c r="M1178" s="19" t="str">
        <f t="shared" si="32"/>
        <v>Dec_2017</v>
      </c>
    </row>
    <row r="1179" spans="1:13">
      <c r="A1179" s="45" t="s">
        <v>22</v>
      </c>
      <c r="B1179" s="52" t="s">
        <v>381</v>
      </c>
      <c r="C1179" s="46">
        <v>43095</v>
      </c>
      <c r="D1179" s="47" t="s">
        <v>14</v>
      </c>
      <c r="E1179" s="48">
        <v>0.54166666666666696</v>
      </c>
      <c r="F1179" s="48">
        <v>0.91666666666666696</v>
      </c>
      <c r="G1179" s="49">
        <v>0</v>
      </c>
      <c r="H1179" s="49">
        <v>8</v>
      </c>
      <c r="I1179" s="49">
        <v>8</v>
      </c>
      <c r="J1179" s="50" t="s">
        <v>30</v>
      </c>
      <c r="K1179" s="51" t="s">
        <v>392</v>
      </c>
      <c r="L1179" s="102" t="s">
        <v>281</v>
      </c>
      <c r="M1179" s="19" t="str">
        <f t="shared" si="32"/>
        <v>Dec_2017</v>
      </c>
    </row>
    <row r="1180" spans="1:13">
      <c r="A1180" s="45" t="s">
        <v>22</v>
      </c>
      <c r="B1180" s="52" t="s">
        <v>190</v>
      </c>
      <c r="C1180" s="46">
        <v>43095</v>
      </c>
      <c r="D1180" s="47" t="s">
        <v>14</v>
      </c>
      <c r="E1180" s="48">
        <v>0.54166666666666696</v>
      </c>
      <c r="F1180" s="48">
        <v>0.91666666666666696</v>
      </c>
      <c r="G1180" s="49">
        <v>0</v>
      </c>
      <c r="H1180" s="49">
        <v>8</v>
      </c>
      <c r="I1180" s="49">
        <v>8</v>
      </c>
      <c r="J1180" s="50" t="s">
        <v>30</v>
      </c>
      <c r="K1180" s="51" t="s">
        <v>392</v>
      </c>
      <c r="L1180" s="102" t="s">
        <v>281</v>
      </c>
      <c r="M1180" s="19" t="str">
        <f t="shared" si="32"/>
        <v>Dec_2017</v>
      </c>
    </row>
    <row r="1181" spans="1:13">
      <c r="A1181" s="45" t="s">
        <v>11</v>
      </c>
      <c r="B1181" s="52" t="s">
        <v>12</v>
      </c>
      <c r="C1181" s="54">
        <v>43096</v>
      </c>
      <c r="D1181" s="47" t="s">
        <v>15</v>
      </c>
      <c r="E1181" s="48">
        <v>0.625</v>
      </c>
      <c r="F1181" s="48">
        <v>0.66666666666666696</v>
      </c>
      <c r="G1181" s="49">
        <v>8.0000000000000036</v>
      </c>
      <c r="H1181" s="49">
        <v>1.0000000000000036</v>
      </c>
      <c r="I1181" s="49">
        <v>1.0000000000000036</v>
      </c>
      <c r="J1181" s="50" t="s">
        <v>30</v>
      </c>
      <c r="K1181" s="51" t="s">
        <v>393</v>
      </c>
      <c r="L1181" s="102" t="s">
        <v>281</v>
      </c>
      <c r="M1181" s="19" t="str">
        <f t="shared" si="32"/>
        <v>Dec_2017</v>
      </c>
    </row>
    <row r="1182" spans="1:13">
      <c r="A1182" s="45" t="s">
        <v>11</v>
      </c>
      <c r="B1182" s="52" t="s">
        <v>19</v>
      </c>
      <c r="C1182" s="46">
        <v>43096</v>
      </c>
      <c r="D1182" s="47" t="s">
        <v>15</v>
      </c>
      <c r="E1182" s="48">
        <v>0.91666666666666696</v>
      </c>
      <c r="F1182" s="48">
        <v>0.95833333333333304</v>
      </c>
      <c r="G1182" s="49">
        <v>8.0000000000000036</v>
      </c>
      <c r="H1182" s="49">
        <v>0.99999999999998224</v>
      </c>
      <c r="I1182" s="49">
        <v>0.99999999999998224</v>
      </c>
      <c r="J1182" s="50" t="s">
        <v>56</v>
      </c>
      <c r="K1182" s="51" t="s">
        <v>393</v>
      </c>
      <c r="L1182" s="102" t="s">
        <v>281</v>
      </c>
      <c r="M1182" s="19" t="str">
        <f t="shared" si="32"/>
        <v>Dec_2017</v>
      </c>
    </row>
    <row r="1183" spans="1:13">
      <c r="A1183" s="45" t="s">
        <v>11</v>
      </c>
      <c r="B1183" s="52" t="s">
        <v>149</v>
      </c>
      <c r="C1183" s="46">
        <v>43096</v>
      </c>
      <c r="D1183" s="47" t="s">
        <v>15</v>
      </c>
      <c r="E1183" s="48">
        <v>0.625</v>
      </c>
      <c r="F1183" s="48">
        <v>0.66666666666666696</v>
      </c>
      <c r="G1183" s="49">
        <v>8.0000000000000036</v>
      </c>
      <c r="H1183" s="49">
        <v>1.0000000000000036</v>
      </c>
      <c r="I1183" s="49">
        <v>1.0000000000000036</v>
      </c>
      <c r="J1183" s="50" t="s">
        <v>30</v>
      </c>
      <c r="K1183" s="51" t="s">
        <v>393</v>
      </c>
      <c r="L1183" s="102" t="s">
        <v>281</v>
      </c>
      <c r="M1183" s="19" t="str">
        <f t="shared" si="32"/>
        <v>Dec_2017</v>
      </c>
    </row>
    <row r="1184" spans="1:13">
      <c r="A1184" s="45" t="s">
        <v>11</v>
      </c>
      <c r="B1184" s="52" t="s">
        <v>161</v>
      </c>
      <c r="C1184" s="46">
        <v>43096</v>
      </c>
      <c r="D1184" s="47" t="s">
        <v>15</v>
      </c>
      <c r="E1184" s="48">
        <v>0.91666666666666696</v>
      </c>
      <c r="F1184" s="48">
        <v>0.95833333333333304</v>
      </c>
      <c r="G1184" s="49">
        <v>8.0000000000000036</v>
      </c>
      <c r="H1184" s="49">
        <v>0.99999999999998224</v>
      </c>
      <c r="I1184" s="49">
        <v>0.99999999999998224</v>
      </c>
      <c r="J1184" s="50" t="s">
        <v>56</v>
      </c>
      <c r="K1184" s="51" t="s">
        <v>393</v>
      </c>
      <c r="L1184" s="102" t="s">
        <v>281</v>
      </c>
      <c r="M1184" s="19" t="str">
        <f t="shared" si="32"/>
        <v>Dec_2017</v>
      </c>
    </row>
    <row r="1185" spans="1:13">
      <c r="A1185" s="45" t="s">
        <v>22</v>
      </c>
      <c r="B1185" s="52" t="s">
        <v>23</v>
      </c>
      <c r="C1185" s="46">
        <v>43096</v>
      </c>
      <c r="D1185" s="47" t="s">
        <v>15</v>
      </c>
      <c r="E1185" s="48">
        <v>0.54166666666666696</v>
      </c>
      <c r="F1185" s="48">
        <v>0.91666666666666696</v>
      </c>
      <c r="G1185" s="49">
        <v>0</v>
      </c>
      <c r="H1185" s="49">
        <v>8</v>
      </c>
      <c r="I1185" s="49">
        <v>8</v>
      </c>
      <c r="J1185" s="50" t="s">
        <v>30</v>
      </c>
      <c r="K1185" s="51" t="s">
        <v>393</v>
      </c>
      <c r="L1185" s="102" t="s">
        <v>281</v>
      </c>
      <c r="M1185" s="19" t="str">
        <f t="shared" si="32"/>
        <v>Dec_2017</v>
      </c>
    </row>
    <row r="1186" spans="1:13">
      <c r="A1186" s="45" t="s">
        <v>22</v>
      </c>
      <c r="B1186" s="52" t="s">
        <v>78</v>
      </c>
      <c r="C1186" s="46">
        <v>43096</v>
      </c>
      <c r="D1186" s="47" t="s">
        <v>15</v>
      </c>
      <c r="E1186" s="48">
        <v>0.54166666666666696</v>
      </c>
      <c r="F1186" s="48">
        <v>0.91666666666666696</v>
      </c>
      <c r="G1186" s="49">
        <v>0</v>
      </c>
      <c r="H1186" s="49">
        <v>8</v>
      </c>
      <c r="I1186" s="49">
        <v>8</v>
      </c>
      <c r="J1186" s="50" t="s">
        <v>30</v>
      </c>
      <c r="K1186" s="51" t="s">
        <v>393</v>
      </c>
      <c r="L1186" s="102" t="s">
        <v>281</v>
      </c>
      <c r="M1186" s="19" t="str">
        <f t="shared" si="32"/>
        <v>Dec_2017</v>
      </c>
    </row>
    <row r="1187" spans="1:13">
      <c r="A1187" s="45" t="s">
        <v>22</v>
      </c>
      <c r="B1187" s="52" t="s">
        <v>254</v>
      </c>
      <c r="C1187" s="46">
        <v>43096</v>
      </c>
      <c r="D1187" s="47" t="s">
        <v>15</v>
      </c>
      <c r="E1187" s="48">
        <v>0.25</v>
      </c>
      <c r="F1187" s="48">
        <v>0.5625</v>
      </c>
      <c r="G1187" s="49">
        <v>0</v>
      </c>
      <c r="H1187" s="49">
        <v>6.5</v>
      </c>
      <c r="I1187" s="49">
        <v>6.5</v>
      </c>
      <c r="J1187" s="50" t="s">
        <v>30</v>
      </c>
      <c r="K1187" s="51" t="s">
        <v>393</v>
      </c>
      <c r="L1187" s="102" t="s">
        <v>281</v>
      </c>
      <c r="M1187" s="19" t="str">
        <f t="shared" si="32"/>
        <v>Dec_2017</v>
      </c>
    </row>
    <row r="1188" spans="1:13">
      <c r="A1188" s="45" t="s">
        <v>22</v>
      </c>
      <c r="B1188" s="52" t="s">
        <v>255</v>
      </c>
      <c r="C1188" s="46">
        <v>43096</v>
      </c>
      <c r="D1188" s="47" t="s">
        <v>15</v>
      </c>
      <c r="E1188" s="48">
        <v>0.25</v>
      </c>
      <c r="F1188" s="48">
        <v>0.625</v>
      </c>
      <c r="G1188" s="49">
        <v>0</v>
      </c>
      <c r="H1188" s="49">
        <v>8</v>
      </c>
      <c r="I1188" s="49">
        <v>8</v>
      </c>
      <c r="J1188" s="50" t="s">
        <v>30</v>
      </c>
      <c r="K1188" s="51" t="s">
        <v>393</v>
      </c>
      <c r="L1188" s="102" t="s">
        <v>281</v>
      </c>
      <c r="M1188" s="19" t="str">
        <f t="shared" si="32"/>
        <v>Dec_2017</v>
      </c>
    </row>
    <row r="1189" spans="1:13">
      <c r="A1189" s="45" t="s">
        <v>22</v>
      </c>
      <c r="B1189" s="52" t="s">
        <v>27</v>
      </c>
      <c r="C1189" s="46">
        <v>43096</v>
      </c>
      <c r="D1189" s="47" t="s">
        <v>15</v>
      </c>
      <c r="E1189" s="48">
        <v>0.25</v>
      </c>
      <c r="F1189" s="48">
        <v>0.625</v>
      </c>
      <c r="G1189" s="49">
        <v>0</v>
      </c>
      <c r="H1189" s="49">
        <v>8</v>
      </c>
      <c r="I1189" s="49">
        <v>8</v>
      </c>
      <c r="J1189" s="50" t="s">
        <v>30</v>
      </c>
      <c r="K1189" s="51" t="s">
        <v>393</v>
      </c>
      <c r="L1189" s="102" t="s">
        <v>281</v>
      </c>
      <c r="M1189" s="19" t="str">
        <f t="shared" si="32"/>
        <v>Dec_2017</v>
      </c>
    </row>
    <row r="1190" spans="1:13">
      <c r="A1190" s="45" t="s">
        <v>22</v>
      </c>
      <c r="B1190" s="52" t="s">
        <v>346</v>
      </c>
      <c r="C1190" s="46">
        <v>43096</v>
      </c>
      <c r="D1190" s="47" t="s">
        <v>15</v>
      </c>
      <c r="E1190" s="48">
        <v>0.54166666666666696</v>
      </c>
      <c r="F1190" s="48">
        <v>0.91666666666666696</v>
      </c>
      <c r="G1190" s="49">
        <v>0</v>
      </c>
      <c r="H1190" s="49">
        <v>8</v>
      </c>
      <c r="I1190" s="49">
        <v>8</v>
      </c>
      <c r="J1190" s="50" t="s">
        <v>30</v>
      </c>
      <c r="K1190" s="51" t="s">
        <v>393</v>
      </c>
      <c r="L1190" s="102" t="s">
        <v>281</v>
      </c>
      <c r="M1190" s="19" t="str">
        <f t="shared" si="32"/>
        <v>Dec_2017</v>
      </c>
    </row>
    <row r="1191" spans="1:13">
      <c r="A1191" s="45" t="s">
        <v>22</v>
      </c>
      <c r="B1191" s="52" t="s">
        <v>347</v>
      </c>
      <c r="C1191" s="46">
        <v>43096</v>
      </c>
      <c r="D1191" s="47" t="s">
        <v>15</v>
      </c>
      <c r="E1191" s="48">
        <v>0.54166666666666696</v>
      </c>
      <c r="F1191" s="48">
        <v>0.91666666666666696</v>
      </c>
      <c r="G1191" s="49">
        <v>0</v>
      </c>
      <c r="H1191" s="49">
        <v>8</v>
      </c>
      <c r="I1191" s="49">
        <v>8</v>
      </c>
      <c r="J1191" s="50" t="s">
        <v>30</v>
      </c>
      <c r="K1191" s="51" t="s">
        <v>393</v>
      </c>
      <c r="L1191" s="102" t="s">
        <v>281</v>
      </c>
      <c r="M1191" s="19" t="str">
        <f t="shared" si="32"/>
        <v>Dec_2017</v>
      </c>
    </row>
    <row r="1192" spans="1:13">
      <c r="A1192" s="45" t="s">
        <v>22</v>
      </c>
      <c r="B1192" s="52" t="s">
        <v>363</v>
      </c>
      <c r="C1192" s="46">
        <v>43096</v>
      </c>
      <c r="D1192" s="47" t="s">
        <v>15</v>
      </c>
      <c r="E1192" s="48">
        <v>0.54166666666666696</v>
      </c>
      <c r="F1192" s="48">
        <v>0.91666666666666696</v>
      </c>
      <c r="G1192" s="49">
        <v>0</v>
      </c>
      <c r="H1192" s="49">
        <v>8</v>
      </c>
      <c r="I1192" s="49">
        <v>8</v>
      </c>
      <c r="J1192" s="50" t="s">
        <v>30</v>
      </c>
      <c r="K1192" s="51" t="s">
        <v>393</v>
      </c>
      <c r="L1192" s="102" t="s">
        <v>281</v>
      </c>
      <c r="M1192" s="19" t="str">
        <f t="shared" si="32"/>
        <v>Dec_2017</v>
      </c>
    </row>
    <row r="1193" spans="1:13">
      <c r="A1193" s="45" t="s">
        <v>22</v>
      </c>
      <c r="B1193" s="52" t="s">
        <v>381</v>
      </c>
      <c r="C1193" s="46">
        <v>43096</v>
      </c>
      <c r="D1193" s="47" t="s">
        <v>15</v>
      </c>
      <c r="E1193" s="48">
        <v>0.54166666666666696</v>
      </c>
      <c r="F1193" s="48">
        <v>0.91666666666666696</v>
      </c>
      <c r="G1193" s="49">
        <v>0</v>
      </c>
      <c r="H1193" s="49">
        <v>8</v>
      </c>
      <c r="I1193" s="49">
        <v>8</v>
      </c>
      <c r="J1193" s="50" t="s">
        <v>30</v>
      </c>
      <c r="K1193" s="51" t="s">
        <v>393</v>
      </c>
      <c r="L1193" s="102" t="s">
        <v>281</v>
      </c>
      <c r="M1193" s="19" t="str">
        <f t="shared" si="32"/>
        <v>Dec_2017</v>
      </c>
    </row>
    <row r="1194" spans="1:13">
      <c r="A1194" s="45" t="s">
        <v>22</v>
      </c>
      <c r="B1194" s="52" t="s">
        <v>190</v>
      </c>
      <c r="C1194" s="46">
        <v>43096</v>
      </c>
      <c r="D1194" s="47" t="s">
        <v>15</v>
      </c>
      <c r="E1194" s="48">
        <v>0.25</v>
      </c>
      <c r="F1194" s="48">
        <v>0.625</v>
      </c>
      <c r="G1194" s="49">
        <v>0</v>
      </c>
      <c r="H1194" s="49">
        <v>8</v>
      </c>
      <c r="I1194" s="49">
        <v>8</v>
      </c>
      <c r="J1194" s="50" t="s">
        <v>30</v>
      </c>
      <c r="K1194" s="51" t="s">
        <v>393</v>
      </c>
      <c r="L1194" s="102" t="s">
        <v>281</v>
      </c>
      <c r="M1194" s="19" t="str">
        <f t="shared" si="32"/>
        <v>Dec_2017</v>
      </c>
    </row>
    <row r="1195" spans="1:13">
      <c r="A1195" s="45" t="s">
        <v>11</v>
      </c>
      <c r="B1195" s="52" t="s">
        <v>19</v>
      </c>
      <c r="C1195" s="46">
        <v>43097</v>
      </c>
      <c r="D1195" s="47" t="s">
        <v>25</v>
      </c>
      <c r="E1195" s="48">
        <v>0.91666666666666696</v>
      </c>
      <c r="F1195" s="48">
        <v>0.9375</v>
      </c>
      <c r="G1195" s="49">
        <v>8.0000000000000036</v>
      </c>
      <c r="H1195" s="49">
        <v>0.49999999999998934</v>
      </c>
      <c r="I1195" s="49">
        <v>0.49999999999998934</v>
      </c>
      <c r="J1195" s="50" t="s">
        <v>56</v>
      </c>
      <c r="K1195" s="51" t="s">
        <v>394</v>
      </c>
      <c r="L1195" s="102" t="s">
        <v>281</v>
      </c>
      <c r="M1195" s="19" t="str">
        <f t="shared" si="32"/>
        <v>Dec_2017</v>
      </c>
    </row>
    <row r="1196" spans="1:13">
      <c r="A1196" s="45" t="s">
        <v>11</v>
      </c>
      <c r="B1196" s="52" t="s">
        <v>161</v>
      </c>
      <c r="C1196" s="46">
        <v>43097</v>
      </c>
      <c r="D1196" s="47" t="s">
        <v>25</v>
      </c>
      <c r="E1196" s="48">
        <v>0.75</v>
      </c>
      <c r="F1196" s="48">
        <v>0.9375</v>
      </c>
      <c r="G1196" s="49">
        <v>8.0000000000000036</v>
      </c>
      <c r="H1196" s="49">
        <v>4.4999999999999964</v>
      </c>
      <c r="I1196" s="49">
        <v>4.4999999999999964</v>
      </c>
      <c r="J1196" s="50" t="s">
        <v>56</v>
      </c>
      <c r="K1196" s="51" t="s">
        <v>394</v>
      </c>
      <c r="L1196" s="102">
        <v>1</v>
      </c>
      <c r="M1196" s="19" t="str">
        <f t="shared" si="32"/>
        <v>Dec_2017</v>
      </c>
    </row>
    <row r="1197" spans="1:13">
      <c r="A1197" s="45" t="s">
        <v>22</v>
      </c>
      <c r="B1197" s="52" t="s">
        <v>23</v>
      </c>
      <c r="C1197" s="46">
        <v>43097</v>
      </c>
      <c r="D1197" s="47" t="s">
        <v>25</v>
      </c>
      <c r="E1197" s="48">
        <v>0.54166666666666696</v>
      </c>
      <c r="F1197" s="48">
        <v>0.91666666666666696</v>
      </c>
      <c r="G1197" s="49">
        <v>0</v>
      </c>
      <c r="H1197" s="49">
        <v>8</v>
      </c>
      <c r="I1197" s="49">
        <v>8</v>
      </c>
      <c r="J1197" s="50" t="s">
        <v>30</v>
      </c>
      <c r="K1197" s="51" t="s">
        <v>394</v>
      </c>
      <c r="L1197" s="102" t="s">
        <v>281</v>
      </c>
      <c r="M1197" s="19" t="str">
        <f t="shared" si="32"/>
        <v>Dec_2017</v>
      </c>
    </row>
    <row r="1198" spans="1:13">
      <c r="A1198" s="45" t="s">
        <v>22</v>
      </c>
      <c r="B1198" s="52" t="s">
        <v>78</v>
      </c>
      <c r="C1198" s="46">
        <v>43097</v>
      </c>
      <c r="D1198" s="47" t="s">
        <v>25</v>
      </c>
      <c r="E1198" s="48">
        <v>0.375</v>
      </c>
      <c r="F1198" s="48">
        <v>0.625</v>
      </c>
      <c r="G1198" s="49">
        <v>0</v>
      </c>
      <c r="H1198" s="49">
        <v>5</v>
      </c>
      <c r="I1198" s="49">
        <v>5</v>
      </c>
      <c r="J1198" s="50" t="s">
        <v>30</v>
      </c>
      <c r="K1198" s="51" t="s">
        <v>394</v>
      </c>
      <c r="L1198" s="102" t="s">
        <v>281</v>
      </c>
      <c r="M1198" s="19" t="str">
        <f t="shared" si="32"/>
        <v>Dec_2017</v>
      </c>
    </row>
    <row r="1199" spans="1:13">
      <c r="A1199" s="45" t="s">
        <v>22</v>
      </c>
      <c r="B1199" s="52" t="s">
        <v>254</v>
      </c>
      <c r="C1199" s="46">
        <v>43097</v>
      </c>
      <c r="D1199" s="47" t="s">
        <v>25</v>
      </c>
      <c r="E1199" s="48">
        <v>0.25</v>
      </c>
      <c r="F1199" s="48">
        <v>0.5625</v>
      </c>
      <c r="G1199" s="49">
        <v>0</v>
      </c>
      <c r="H1199" s="49">
        <v>6.5</v>
      </c>
      <c r="I1199" s="49">
        <v>6.5</v>
      </c>
      <c r="J1199" s="50" t="s">
        <v>30</v>
      </c>
      <c r="K1199" s="51" t="s">
        <v>394</v>
      </c>
      <c r="L1199" s="102" t="s">
        <v>281</v>
      </c>
      <c r="M1199" s="19" t="str">
        <f t="shared" si="32"/>
        <v>Dec_2017</v>
      </c>
    </row>
    <row r="1200" spans="1:13">
      <c r="A1200" s="45" t="s">
        <v>22</v>
      </c>
      <c r="B1200" s="52" t="s">
        <v>255</v>
      </c>
      <c r="C1200" s="46">
        <v>43097</v>
      </c>
      <c r="D1200" s="47" t="s">
        <v>25</v>
      </c>
      <c r="E1200" s="48">
        <v>0.25</v>
      </c>
      <c r="F1200" s="48">
        <v>0.625</v>
      </c>
      <c r="G1200" s="49">
        <v>0</v>
      </c>
      <c r="H1200" s="49">
        <v>8</v>
      </c>
      <c r="I1200" s="49">
        <v>8</v>
      </c>
      <c r="J1200" s="50" t="s">
        <v>30</v>
      </c>
      <c r="K1200" s="51" t="s">
        <v>394</v>
      </c>
      <c r="L1200" s="102" t="s">
        <v>281</v>
      </c>
      <c r="M1200" s="19" t="str">
        <f t="shared" si="32"/>
        <v>Dec_2017</v>
      </c>
    </row>
    <row r="1201" spans="1:13">
      <c r="A1201" s="45" t="s">
        <v>22</v>
      </c>
      <c r="B1201" s="52" t="s">
        <v>27</v>
      </c>
      <c r="C1201" s="46">
        <v>43097</v>
      </c>
      <c r="D1201" s="47" t="s">
        <v>25</v>
      </c>
      <c r="E1201" s="48">
        <v>0.25</v>
      </c>
      <c r="F1201" s="48">
        <v>0.625</v>
      </c>
      <c r="G1201" s="49">
        <v>0</v>
      </c>
      <c r="H1201" s="49">
        <v>8</v>
      </c>
      <c r="I1201" s="49">
        <v>8</v>
      </c>
      <c r="J1201" s="50" t="s">
        <v>30</v>
      </c>
      <c r="K1201" s="51" t="s">
        <v>394</v>
      </c>
      <c r="L1201" s="102" t="s">
        <v>281</v>
      </c>
      <c r="M1201" s="19" t="str">
        <f t="shared" si="32"/>
        <v>Dec_2017</v>
      </c>
    </row>
    <row r="1202" spans="1:13">
      <c r="A1202" s="45" t="s">
        <v>22</v>
      </c>
      <c r="B1202" s="52" t="s">
        <v>346</v>
      </c>
      <c r="C1202" s="46">
        <v>43097</v>
      </c>
      <c r="D1202" s="47" t="s">
        <v>25</v>
      </c>
      <c r="E1202" s="48">
        <v>0.54166666666666696</v>
      </c>
      <c r="F1202" s="48">
        <v>0.91666666666666696</v>
      </c>
      <c r="G1202" s="49">
        <v>0</v>
      </c>
      <c r="H1202" s="49">
        <v>8</v>
      </c>
      <c r="I1202" s="49">
        <v>8</v>
      </c>
      <c r="J1202" s="50" t="s">
        <v>30</v>
      </c>
      <c r="K1202" s="51" t="s">
        <v>394</v>
      </c>
      <c r="L1202" s="102" t="s">
        <v>281</v>
      </c>
      <c r="M1202" s="19" t="str">
        <f t="shared" si="32"/>
        <v>Dec_2017</v>
      </c>
    </row>
    <row r="1203" spans="1:13">
      <c r="A1203" s="45" t="s">
        <v>22</v>
      </c>
      <c r="B1203" s="52" t="s">
        <v>347</v>
      </c>
      <c r="C1203" s="46">
        <v>43097</v>
      </c>
      <c r="D1203" s="47" t="s">
        <v>25</v>
      </c>
      <c r="E1203" s="48">
        <v>0.54166666666666696</v>
      </c>
      <c r="F1203" s="48">
        <v>0.91666666666666696</v>
      </c>
      <c r="G1203" s="49">
        <v>0</v>
      </c>
      <c r="H1203" s="49">
        <v>8</v>
      </c>
      <c r="I1203" s="49">
        <v>8</v>
      </c>
      <c r="J1203" s="50" t="s">
        <v>30</v>
      </c>
      <c r="K1203" s="51" t="s">
        <v>394</v>
      </c>
      <c r="L1203" s="102" t="s">
        <v>281</v>
      </c>
      <c r="M1203" s="19" t="str">
        <f t="shared" si="32"/>
        <v>Dec_2017</v>
      </c>
    </row>
    <row r="1204" spans="1:13">
      <c r="A1204" s="45" t="s">
        <v>22</v>
      </c>
      <c r="B1204" s="52" t="s">
        <v>363</v>
      </c>
      <c r="C1204" s="46">
        <v>43097</v>
      </c>
      <c r="D1204" s="47" t="s">
        <v>25</v>
      </c>
      <c r="E1204" s="48">
        <v>0.54166666666666696</v>
      </c>
      <c r="F1204" s="48">
        <v>0.91666666666666696</v>
      </c>
      <c r="G1204" s="49">
        <v>0</v>
      </c>
      <c r="H1204" s="49">
        <v>8</v>
      </c>
      <c r="I1204" s="49">
        <v>8</v>
      </c>
      <c r="J1204" s="50" t="s">
        <v>30</v>
      </c>
      <c r="K1204" s="51" t="s">
        <v>394</v>
      </c>
      <c r="L1204" s="102" t="s">
        <v>281</v>
      </c>
      <c r="M1204" s="19" t="str">
        <f t="shared" si="32"/>
        <v>Dec_2017</v>
      </c>
    </row>
    <row r="1205" spans="1:13">
      <c r="A1205" s="45" t="s">
        <v>22</v>
      </c>
      <c r="B1205" s="52" t="s">
        <v>381</v>
      </c>
      <c r="C1205" s="46">
        <v>43097</v>
      </c>
      <c r="D1205" s="47" t="s">
        <v>25</v>
      </c>
      <c r="E1205" s="48">
        <v>0.54166666666666696</v>
      </c>
      <c r="F1205" s="48">
        <v>0.91666666666666696</v>
      </c>
      <c r="G1205" s="49">
        <v>0</v>
      </c>
      <c r="H1205" s="49">
        <v>8</v>
      </c>
      <c r="I1205" s="49">
        <v>8</v>
      </c>
      <c r="J1205" s="50" t="s">
        <v>30</v>
      </c>
      <c r="K1205" s="51" t="s">
        <v>394</v>
      </c>
      <c r="L1205" s="102" t="s">
        <v>281</v>
      </c>
      <c r="M1205" s="19" t="str">
        <f t="shared" si="32"/>
        <v>Dec_2017</v>
      </c>
    </row>
    <row r="1206" spans="1:13">
      <c r="A1206" s="45" t="s">
        <v>22</v>
      </c>
      <c r="B1206" s="52" t="s">
        <v>190</v>
      </c>
      <c r="C1206" s="46">
        <v>43097</v>
      </c>
      <c r="D1206" s="47" t="s">
        <v>25</v>
      </c>
      <c r="E1206" s="48">
        <v>0.54166666666666696</v>
      </c>
      <c r="F1206" s="48">
        <v>0.91666666666666696</v>
      </c>
      <c r="G1206" s="49">
        <v>0</v>
      </c>
      <c r="H1206" s="49">
        <v>8</v>
      </c>
      <c r="I1206" s="49">
        <v>8</v>
      </c>
      <c r="J1206" s="50" t="s">
        <v>30</v>
      </c>
      <c r="K1206" s="51" t="s">
        <v>394</v>
      </c>
      <c r="L1206" s="102" t="s">
        <v>281</v>
      </c>
      <c r="M1206" s="19" t="str">
        <f t="shared" ref="M1206:M1248" si="33">IF($C1206="","",TEXT(DATE(YEAR($C1206),MONTH($C1206),DAY($C1206)),"MMM")&amp;"_"&amp;YEAR($C1206))</f>
        <v>Dec_2017</v>
      </c>
    </row>
    <row r="1207" spans="1:13">
      <c r="A1207" s="45" t="s">
        <v>11</v>
      </c>
      <c r="B1207" s="52" t="s">
        <v>12</v>
      </c>
      <c r="C1207" s="54">
        <v>43098</v>
      </c>
      <c r="D1207" s="47" t="s">
        <v>17</v>
      </c>
      <c r="E1207" s="48">
        <v>0.625</v>
      </c>
      <c r="F1207" s="48">
        <v>0.6875</v>
      </c>
      <c r="G1207" s="49">
        <v>8.0000000000000036</v>
      </c>
      <c r="H1207" s="49">
        <v>1.4999999999999964</v>
      </c>
      <c r="I1207" s="49">
        <v>1.4999999999999964</v>
      </c>
      <c r="J1207" s="50" t="s">
        <v>30</v>
      </c>
      <c r="K1207" s="51" t="s">
        <v>395</v>
      </c>
      <c r="L1207" s="102" t="s">
        <v>281</v>
      </c>
      <c r="M1207" s="19" t="str">
        <f t="shared" si="33"/>
        <v>Dec_2017</v>
      </c>
    </row>
    <row r="1208" spans="1:13">
      <c r="A1208" s="45" t="s">
        <v>11</v>
      </c>
      <c r="B1208" s="52" t="s">
        <v>19</v>
      </c>
      <c r="C1208" s="46">
        <v>43098</v>
      </c>
      <c r="D1208" s="47" t="s">
        <v>17</v>
      </c>
      <c r="E1208" s="48">
        <v>0.91666666666666696</v>
      </c>
      <c r="F1208" s="48">
        <v>0.97916666666666696</v>
      </c>
      <c r="G1208" s="49">
        <v>8.0000000000000036</v>
      </c>
      <c r="H1208" s="49">
        <v>1.4999999999999964</v>
      </c>
      <c r="I1208" s="49">
        <v>1.4999999999999964</v>
      </c>
      <c r="J1208" s="50" t="s">
        <v>56</v>
      </c>
      <c r="K1208" s="51" t="s">
        <v>395</v>
      </c>
      <c r="L1208" s="102" t="s">
        <v>281</v>
      </c>
      <c r="M1208" s="19" t="str">
        <f t="shared" si="33"/>
        <v>Dec_2017</v>
      </c>
    </row>
    <row r="1209" spans="1:13">
      <c r="A1209" s="45" t="s">
        <v>11</v>
      </c>
      <c r="B1209" s="52" t="s">
        <v>149</v>
      </c>
      <c r="C1209" s="46">
        <v>43098</v>
      </c>
      <c r="D1209" s="47" t="s">
        <v>17</v>
      </c>
      <c r="E1209" s="48">
        <v>0.625</v>
      </c>
      <c r="F1209" s="48">
        <v>0.89583333333333304</v>
      </c>
      <c r="G1209" s="49">
        <v>8.0000000000000036</v>
      </c>
      <c r="H1209" s="49">
        <v>6.4999999999999893</v>
      </c>
      <c r="I1209" s="49">
        <v>6.4999999999999893</v>
      </c>
      <c r="J1209" s="50" t="s">
        <v>30</v>
      </c>
      <c r="K1209" s="51" t="s">
        <v>395</v>
      </c>
      <c r="L1209" s="102">
        <v>1</v>
      </c>
      <c r="M1209" s="19" t="str">
        <f t="shared" si="33"/>
        <v>Dec_2017</v>
      </c>
    </row>
    <row r="1210" spans="1:13">
      <c r="A1210" s="45" t="s">
        <v>11</v>
      </c>
      <c r="B1210" s="52" t="s">
        <v>161</v>
      </c>
      <c r="C1210" s="46">
        <v>43098</v>
      </c>
      <c r="D1210" s="47" t="s">
        <v>17</v>
      </c>
      <c r="E1210" s="48">
        <v>0.91666666666666696</v>
      </c>
      <c r="F1210" s="48">
        <v>0.97916666666666696</v>
      </c>
      <c r="G1210" s="49">
        <v>8.0000000000000036</v>
      </c>
      <c r="H1210" s="49">
        <v>1.4999999999999964</v>
      </c>
      <c r="I1210" s="49">
        <v>1.4999999999999964</v>
      </c>
      <c r="J1210" s="50" t="s">
        <v>56</v>
      </c>
      <c r="K1210" s="51" t="s">
        <v>395</v>
      </c>
      <c r="L1210" s="102" t="s">
        <v>281</v>
      </c>
      <c r="M1210" s="19" t="str">
        <f t="shared" si="33"/>
        <v>Dec_2017</v>
      </c>
    </row>
    <row r="1211" spans="1:13">
      <c r="A1211" s="45" t="s">
        <v>22</v>
      </c>
      <c r="B1211" s="52" t="s">
        <v>23</v>
      </c>
      <c r="C1211" s="46">
        <v>43098</v>
      </c>
      <c r="D1211" s="47" t="s">
        <v>17</v>
      </c>
      <c r="E1211" s="48">
        <v>0.375</v>
      </c>
      <c r="F1211" s="48">
        <v>0.91666666666666696</v>
      </c>
      <c r="G1211" s="49">
        <v>0</v>
      </c>
      <c r="H1211" s="49">
        <v>12.000000000000007</v>
      </c>
      <c r="I1211" s="49">
        <v>12.000000000000007</v>
      </c>
      <c r="J1211" s="50" t="s">
        <v>30</v>
      </c>
      <c r="K1211" s="51" t="s">
        <v>395</v>
      </c>
      <c r="L1211" s="102" t="s">
        <v>281</v>
      </c>
      <c r="M1211" s="19" t="str">
        <f t="shared" si="33"/>
        <v>Dec_2017</v>
      </c>
    </row>
    <row r="1212" spans="1:13">
      <c r="A1212" s="45" t="s">
        <v>22</v>
      </c>
      <c r="B1212" s="52" t="s">
        <v>78</v>
      </c>
      <c r="C1212" s="46">
        <v>43098</v>
      </c>
      <c r="D1212" s="47" t="s">
        <v>17</v>
      </c>
      <c r="E1212" s="48">
        <v>0.25</v>
      </c>
      <c r="F1212" s="48">
        <v>0.625</v>
      </c>
      <c r="G1212" s="49">
        <v>0</v>
      </c>
      <c r="H1212" s="49">
        <v>8</v>
      </c>
      <c r="I1212" s="49">
        <v>8</v>
      </c>
      <c r="J1212" s="50" t="s">
        <v>30</v>
      </c>
      <c r="K1212" s="51" t="s">
        <v>395</v>
      </c>
      <c r="L1212" s="102" t="s">
        <v>281</v>
      </c>
      <c r="M1212" s="19" t="str">
        <f t="shared" si="33"/>
        <v>Dec_2017</v>
      </c>
    </row>
    <row r="1213" spans="1:13">
      <c r="A1213" s="45" t="s">
        <v>22</v>
      </c>
      <c r="B1213" s="52" t="s">
        <v>254</v>
      </c>
      <c r="C1213" s="46">
        <v>43098</v>
      </c>
      <c r="D1213" s="47" t="s">
        <v>17</v>
      </c>
      <c r="E1213" s="48">
        <v>0.25</v>
      </c>
      <c r="F1213" s="48">
        <v>0.5625</v>
      </c>
      <c r="G1213" s="49">
        <v>0</v>
      </c>
      <c r="H1213" s="49">
        <v>6.5</v>
      </c>
      <c r="I1213" s="49">
        <v>6.5</v>
      </c>
      <c r="J1213" s="50" t="s">
        <v>30</v>
      </c>
      <c r="K1213" s="51" t="s">
        <v>395</v>
      </c>
      <c r="L1213" s="102" t="s">
        <v>281</v>
      </c>
      <c r="M1213" s="19" t="str">
        <f t="shared" si="33"/>
        <v>Dec_2017</v>
      </c>
    </row>
    <row r="1214" spans="1:13">
      <c r="A1214" s="45" t="s">
        <v>22</v>
      </c>
      <c r="B1214" s="52" t="s">
        <v>255</v>
      </c>
      <c r="C1214" s="46">
        <v>43098</v>
      </c>
      <c r="D1214" s="47" t="s">
        <v>17</v>
      </c>
      <c r="E1214" s="48">
        <v>0.25</v>
      </c>
      <c r="F1214" s="48">
        <v>0.625</v>
      </c>
      <c r="G1214" s="49">
        <v>0</v>
      </c>
      <c r="H1214" s="49">
        <v>8</v>
      </c>
      <c r="I1214" s="49">
        <v>8</v>
      </c>
      <c r="J1214" s="50" t="s">
        <v>30</v>
      </c>
      <c r="K1214" s="51" t="s">
        <v>395</v>
      </c>
      <c r="L1214" s="102" t="s">
        <v>281</v>
      </c>
      <c r="M1214" s="19" t="str">
        <f t="shared" si="33"/>
        <v>Dec_2017</v>
      </c>
    </row>
    <row r="1215" spans="1:13">
      <c r="A1215" s="45" t="s">
        <v>22</v>
      </c>
      <c r="B1215" s="52" t="s">
        <v>27</v>
      </c>
      <c r="C1215" s="46">
        <v>43098</v>
      </c>
      <c r="D1215" s="47" t="s">
        <v>17</v>
      </c>
      <c r="E1215" s="48">
        <v>0.25</v>
      </c>
      <c r="F1215" s="48">
        <v>0.625</v>
      </c>
      <c r="G1215" s="49">
        <v>0</v>
      </c>
      <c r="H1215" s="49">
        <v>8</v>
      </c>
      <c r="I1215" s="49">
        <v>8</v>
      </c>
      <c r="J1215" s="50" t="s">
        <v>30</v>
      </c>
      <c r="K1215" s="51" t="s">
        <v>395</v>
      </c>
      <c r="L1215" s="102" t="s">
        <v>281</v>
      </c>
      <c r="M1215" s="19" t="str">
        <f t="shared" si="33"/>
        <v>Dec_2017</v>
      </c>
    </row>
    <row r="1216" spans="1:13">
      <c r="A1216" s="45" t="s">
        <v>22</v>
      </c>
      <c r="B1216" s="52" t="s">
        <v>346</v>
      </c>
      <c r="C1216" s="46">
        <v>43098</v>
      </c>
      <c r="D1216" s="47" t="s">
        <v>17</v>
      </c>
      <c r="E1216" s="48">
        <v>0.75</v>
      </c>
      <c r="F1216" s="48">
        <v>0.91666666666666696</v>
      </c>
      <c r="G1216" s="49">
        <v>0</v>
      </c>
      <c r="H1216" s="49">
        <v>4.0000000000000071</v>
      </c>
      <c r="I1216" s="49">
        <v>4.0000000000000071</v>
      </c>
      <c r="J1216" s="50" t="s">
        <v>30</v>
      </c>
      <c r="K1216" s="51" t="s">
        <v>395</v>
      </c>
      <c r="L1216" s="102" t="s">
        <v>281</v>
      </c>
      <c r="M1216" s="19" t="str">
        <f t="shared" si="33"/>
        <v>Dec_2017</v>
      </c>
    </row>
    <row r="1217" spans="1:13">
      <c r="A1217" s="45" t="s">
        <v>22</v>
      </c>
      <c r="B1217" s="52" t="s">
        <v>347</v>
      </c>
      <c r="C1217" s="46">
        <v>43098</v>
      </c>
      <c r="D1217" s="47" t="s">
        <v>17</v>
      </c>
      <c r="E1217" s="48">
        <v>0.54166666666666696</v>
      </c>
      <c r="F1217" s="48">
        <v>0.91666666666666696</v>
      </c>
      <c r="G1217" s="49">
        <v>0</v>
      </c>
      <c r="H1217" s="49">
        <v>8</v>
      </c>
      <c r="I1217" s="49">
        <v>8</v>
      </c>
      <c r="J1217" s="50" t="s">
        <v>30</v>
      </c>
      <c r="K1217" s="51" t="s">
        <v>395</v>
      </c>
      <c r="L1217" s="102" t="s">
        <v>281</v>
      </c>
      <c r="M1217" s="19" t="str">
        <f t="shared" si="33"/>
        <v>Dec_2017</v>
      </c>
    </row>
    <row r="1218" spans="1:13">
      <c r="A1218" s="45" t="s">
        <v>22</v>
      </c>
      <c r="B1218" s="52" t="s">
        <v>363</v>
      </c>
      <c r="C1218" s="46">
        <v>43098</v>
      </c>
      <c r="D1218" s="47" t="s">
        <v>17</v>
      </c>
      <c r="E1218" s="48">
        <v>0.54166666666666696</v>
      </c>
      <c r="F1218" s="48">
        <v>0.91666666666666696</v>
      </c>
      <c r="G1218" s="49">
        <v>0</v>
      </c>
      <c r="H1218" s="49">
        <v>8</v>
      </c>
      <c r="I1218" s="49">
        <v>8</v>
      </c>
      <c r="J1218" s="50" t="s">
        <v>30</v>
      </c>
      <c r="K1218" s="51" t="s">
        <v>395</v>
      </c>
      <c r="L1218" s="102" t="s">
        <v>281</v>
      </c>
      <c r="M1218" s="19" t="str">
        <f t="shared" si="33"/>
        <v>Dec_2017</v>
      </c>
    </row>
    <row r="1219" spans="1:13">
      <c r="A1219" s="45" t="s">
        <v>22</v>
      </c>
      <c r="B1219" s="52" t="s">
        <v>381</v>
      </c>
      <c r="C1219" s="46">
        <v>43098</v>
      </c>
      <c r="D1219" s="47" t="s">
        <v>17</v>
      </c>
      <c r="E1219" s="48">
        <v>0.54166666666666696</v>
      </c>
      <c r="F1219" s="48">
        <v>0.91666666666666696</v>
      </c>
      <c r="G1219" s="49">
        <v>0</v>
      </c>
      <c r="H1219" s="49">
        <v>8</v>
      </c>
      <c r="I1219" s="49">
        <v>8</v>
      </c>
      <c r="J1219" s="50" t="s">
        <v>30</v>
      </c>
      <c r="K1219" s="51" t="s">
        <v>395</v>
      </c>
      <c r="L1219" s="102" t="s">
        <v>281</v>
      </c>
      <c r="M1219" s="19" t="str">
        <f t="shared" si="33"/>
        <v>Dec_2017</v>
      </c>
    </row>
    <row r="1220" spans="1:13">
      <c r="A1220" s="45" t="s">
        <v>22</v>
      </c>
      <c r="B1220" s="52" t="s">
        <v>190</v>
      </c>
      <c r="C1220" s="46">
        <v>43098</v>
      </c>
      <c r="D1220" s="47" t="s">
        <v>17</v>
      </c>
      <c r="E1220" s="48">
        <v>0.54166666666666696</v>
      </c>
      <c r="F1220" s="48">
        <v>0.91666666666666696</v>
      </c>
      <c r="G1220" s="49">
        <v>0</v>
      </c>
      <c r="H1220" s="49">
        <v>8</v>
      </c>
      <c r="I1220" s="49">
        <v>8</v>
      </c>
      <c r="J1220" s="50" t="s">
        <v>30</v>
      </c>
      <c r="K1220" s="51" t="s">
        <v>395</v>
      </c>
      <c r="L1220" s="102" t="s">
        <v>281</v>
      </c>
      <c r="M1220" s="19" t="str">
        <f t="shared" si="33"/>
        <v>Dec_2017</v>
      </c>
    </row>
    <row r="1221" spans="1:13">
      <c r="A1221" s="45" t="s">
        <v>11</v>
      </c>
      <c r="B1221" s="52" t="s">
        <v>12</v>
      </c>
      <c r="C1221" s="54">
        <v>43099</v>
      </c>
      <c r="D1221" s="47" t="s">
        <v>24</v>
      </c>
      <c r="E1221" s="48">
        <v>0.625</v>
      </c>
      <c r="F1221" s="48">
        <v>0.66666666666666696</v>
      </c>
      <c r="G1221" s="49">
        <v>8.0000000000000036</v>
      </c>
      <c r="H1221" s="49">
        <v>1.0000000000000036</v>
      </c>
      <c r="I1221" s="49">
        <v>9.0000000000000071</v>
      </c>
      <c r="J1221" s="50" t="s">
        <v>52</v>
      </c>
      <c r="K1221" s="51" t="s">
        <v>397</v>
      </c>
      <c r="L1221" s="102" t="s">
        <v>281</v>
      </c>
      <c r="M1221" s="19" t="str">
        <f t="shared" si="33"/>
        <v>Dec_2017</v>
      </c>
    </row>
    <row r="1222" spans="1:13">
      <c r="A1222" s="45" t="s">
        <v>11</v>
      </c>
      <c r="B1222" s="52" t="s">
        <v>19</v>
      </c>
      <c r="C1222" s="46">
        <v>43099</v>
      </c>
      <c r="D1222" s="47" t="s">
        <v>24</v>
      </c>
      <c r="E1222" s="48">
        <v>0.79166666666666696</v>
      </c>
      <c r="F1222" s="48">
        <v>0.95833333333333304</v>
      </c>
      <c r="G1222" s="49">
        <v>8.0000000000000036</v>
      </c>
      <c r="H1222" s="49">
        <v>3.9999999999999822</v>
      </c>
      <c r="I1222" s="49">
        <v>11.999999999999986</v>
      </c>
      <c r="J1222" s="50" t="s">
        <v>396</v>
      </c>
      <c r="K1222" s="51" t="s">
        <v>398</v>
      </c>
      <c r="L1222" s="102">
        <v>1</v>
      </c>
      <c r="M1222" s="19" t="str">
        <f t="shared" si="33"/>
        <v>Dec_2017</v>
      </c>
    </row>
    <row r="1223" spans="1:13">
      <c r="A1223" s="45" t="s">
        <v>11</v>
      </c>
      <c r="B1223" s="52" t="s">
        <v>26</v>
      </c>
      <c r="C1223" s="46">
        <v>43099</v>
      </c>
      <c r="D1223" s="47" t="s">
        <v>24</v>
      </c>
      <c r="E1223" s="48">
        <v>0.625</v>
      </c>
      <c r="F1223" s="48">
        <v>0.66666666666666696</v>
      </c>
      <c r="G1223" s="49">
        <v>8.0000000000000036</v>
      </c>
      <c r="H1223" s="49">
        <v>1.0000000000000036</v>
      </c>
      <c r="I1223" s="49">
        <v>9.0000000000000071</v>
      </c>
      <c r="J1223" s="50" t="s">
        <v>52</v>
      </c>
      <c r="K1223" s="51" t="s">
        <v>398</v>
      </c>
      <c r="L1223" s="102" t="s">
        <v>281</v>
      </c>
      <c r="M1223" s="19" t="str">
        <f t="shared" si="33"/>
        <v>Dec_2017</v>
      </c>
    </row>
    <row r="1224" spans="1:13">
      <c r="A1224" s="45" t="s">
        <v>11</v>
      </c>
      <c r="B1224" s="52" t="s">
        <v>149</v>
      </c>
      <c r="C1224" s="46">
        <v>43099</v>
      </c>
      <c r="D1224" s="47" t="s">
        <v>24</v>
      </c>
      <c r="E1224" s="48">
        <v>0.625</v>
      </c>
      <c r="F1224" s="48">
        <v>0.66666666666666696</v>
      </c>
      <c r="G1224" s="49">
        <v>8.0000000000000036</v>
      </c>
      <c r="H1224" s="49">
        <v>1.0000000000000036</v>
      </c>
      <c r="I1224" s="49">
        <v>9.0000000000000071</v>
      </c>
      <c r="J1224" s="50" t="s">
        <v>52</v>
      </c>
      <c r="K1224" s="51" t="s">
        <v>398</v>
      </c>
      <c r="L1224" s="102" t="s">
        <v>281</v>
      </c>
      <c r="M1224" s="19" t="str">
        <f t="shared" si="33"/>
        <v>Dec_2017</v>
      </c>
    </row>
    <row r="1225" spans="1:13">
      <c r="A1225" s="45" t="s">
        <v>11</v>
      </c>
      <c r="B1225" s="52" t="s">
        <v>161</v>
      </c>
      <c r="C1225" s="46">
        <v>43099</v>
      </c>
      <c r="D1225" s="47" t="s">
        <v>24</v>
      </c>
      <c r="E1225" s="48">
        <v>0.75</v>
      </c>
      <c r="F1225" s="48">
        <v>0.95833333333333304</v>
      </c>
      <c r="G1225" s="49">
        <v>8.0000000000000036</v>
      </c>
      <c r="H1225" s="49">
        <v>4.9999999999999893</v>
      </c>
      <c r="I1225" s="49">
        <v>12.999999999999993</v>
      </c>
      <c r="J1225" s="50" t="s">
        <v>396</v>
      </c>
      <c r="K1225" s="51" t="s">
        <v>398</v>
      </c>
      <c r="L1225" s="102">
        <v>1</v>
      </c>
      <c r="M1225" s="19" t="str">
        <f t="shared" si="33"/>
        <v>Dec_2017</v>
      </c>
    </row>
    <row r="1226" spans="1:13">
      <c r="A1226" s="45" t="s">
        <v>22</v>
      </c>
      <c r="B1226" s="52" t="s">
        <v>23</v>
      </c>
      <c r="C1226" s="46">
        <v>43099</v>
      </c>
      <c r="D1226" s="47" t="s">
        <v>24</v>
      </c>
      <c r="E1226" s="48">
        <v>0.54166666666666696</v>
      </c>
      <c r="F1226" s="48">
        <v>0.91666666666666696</v>
      </c>
      <c r="G1226" s="49">
        <v>0</v>
      </c>
      <c r="H1226" s="49">
        <v>8</v>
      </c>
      <c r="I1226" s="49">
        <v>8</v>
      </c>
      <c r="J1226" s="50" t="s">
        <v>52</v>
      </c>
      <c r="K1226" s="51" t="s">
        <v>398</v>
      </c>
      <c r="L1226" s="102" t="s">
        <v>281</v>
      </c>
      <c r="M1226" s="19" t="str">
        <f t="shared" si="33"/>
        <v>Dec_2017</v>
      </c>
    </row>
    <row r="1227" spans="1:13">
      <c r="A1227" s="45" t="s">
        <v>22</v>
      </c>
      <c r="B1227" s="52" t="s">
        <v>254</v>
      </c>
      <c r="C1227" s="46">
        <v>43099</v>
      </c>
      <c r="D1227" s="47" t="s">
        <v>24</v>
      </c>
      <c r="E1227" s="48">
        <v>0.29166666666666702</v>
      </c>
      <c r="F1227" s="48">
        <v>0.58333333333333304</v>
      </c>
      <c r="G1227" s="49">
        <v>0</v>
      </c>
      <c r="H1227" s="49">
        <v>5.999999999999984</v>
      </c>
      <c r="I1227" s="49">
        <v>5.999999999999984</v>
      </c>
      <c r="J1227" s="50" t="s">
        <v>52</v>
      </c>
      <c r="K1227" s="51" t="s">
        <v>398</v>
      </c>
      <c r="L1227" s="102" t="s">
        <v>281</v>
      </c>
      <c r="M1227" s="19" t="str">
        <f t="shared" si="33"/>
        <v>Dec_2017</v>
      </c>
    </row>
    <row r="1228" spans="1:13">
      <c r="A1228" s="45" t="s">
        <v>22</v>
      </c>
      <c r="B1228" s="52" t="s">
        <v>255</v>
      </c>
      <c r="C1228" s="46">
        <v>43099</v>
      </c>
      <c r="D1228" s="47" t="s">
        <v>24</v>
      </c>
      <c r="E1228" s="48">
        <v>0.54166666666666696</v>
      </c>
      <c r="F1228" s="48">
        <v>0.91666666666666696</v>
      </c>
      <c r="G1228" s="49">
        <v>0</v>
      </c>
      <c r="H1228" s="49">
        <v>8</v>
      </c>
      <c r="I1228" s="49">
        <v>8</v>
      </c>
      <c r="J1228" s="50" t="s">
        <v>52</v>
      </c>
      <c r="K1228" s="51" t="s">
        <v>398</v>
      </c>
      <c r="L1228" s="102" t="s">
        <v>281</v>
      </c>
      <c r="M1228" s="19" t="str">
        <f t="shared" si="33"/>
        <v>Dec_2017</v>
      </c>
    </row>
    <row r="1229" spans="1:13">
      <c r="A1229" s="45" t="s">
        <v>22</v>
      </c>
      <c r="B1229" s="52" t="s">
        <v>27</v>
      </c>
      <c r="C1229" s="46">
        <v>43099</v>
      </c>
      <c r="D1229" s="47" t="s">
        <v>24</v>
      </c>
      <c r="E1229" s="48">
        <v>0.54166666666666696</v>
      </c>
      <c r="F1229" s="48">
        <v>0.91666666666666696</v>
      </c>
      <c r="G1229" s="49">
        <v>0</v>
      </c>
      <c r="H1229" s="49">
        <v>8</v>
      </c>
      <c r="I1229" s="49">
        <v>8</v>
      </c>
      <c r="J1229" s="50" t="s">
        <v>52</v>
      </c>
      <c r="K1229" s="51" t="s">
        <v>398</v>
      </c>
      <c r="L1229" s="102" t="s">
        <v>281</v>
      </c>
      <c r="M1229" s="19" t="str">
        <f t="shared" si="33"/>
        <v>Dec_2017</v>
      </c>
    </row>
    <row r="1230" spans="1:13">
      <c r="A1230" s="45" t="s">
        <v>22</v>
      </c>
      <c r="B1230" s="52" t="s">
        <v>346</v>
      </c>
      <c r="C1230" s="46">
        <v>43099</v>
      </c>
      <c r="D1230" s="47" t="s">
        <v>24</v>
      </c>
      <c r="E1230" s="48">
        <v>0.25</v>
      </c>
      <c r="F1230" s="48">
        <v>0.625</v>
      </c>
      <c r="G1230" s="49">
        <v>0</v>
      </c>
      <c r="H1230" s="49">
        <v>8</v>
      </c>
      <c r="I1230" s="49">
        <v>8</v>
      </c>
      <c r="J1230" s="50" t="s">
        <v>52</v>
      </c>
      <c r="K1230" s="51" t="s">
        <v>398</v>
      </c>
      <c r="L1230" s="102" t="s">
        <v>281</v>
      </c>
      <c r="M1230" s="19" t="str">
        <f t="shared" si="33"/>
        <v>Dec_2017</v>
      </c>
    </row>
    <row r="1231" spans="1:13">
      <c r="A1231" s="45" t="s">
        <v>22</v>
      </c>
      <c r="B1231" s="52" t="s">
        <v>347</v>
      </c>
      <c r="C1231" s="46">
        <v>43099</v>
      </c>
      <c r="D1231" s="47" t="s">
        <v>24</v>
      </c>
      <c r="E1231" s="48">
        <v>0.54166666666666696</v>
      </c>
      <c r="F1231" s="48">
        <v>0.91666666666666696</v>
      </c>
      <c r="G1231" s="49">
        <v>0</v>
      </c>
      <c r="H1231" s="49">
        <v>8</v>
      </c>
      <c r="I1231" s="49">
        <v>8</v>
      </c>
      <c r="J1231" s="50" t="s">
        <v>52</v>
      </c>
      <c r="K1231" s="51" t="s">
        <v>398</v>
      </c>
      <c r="L1231" s="102" t="s">
        <v>281</v>
      </c>
      <c r="M1231" s="19" t="str">
        <f t="shared" si="33"/>
        <v>Dec_2017</v>
      </c>
    </row>
    <row r="1232" spans="1:13">
      <c r="A1232" s="45" t="s">
        <v>22</v>
      </c>
      <c r="B1232" s="52" t="s">
        <v>368</v>
      </c>
      <c r="C1232" s="46">
        <v>43099</v>
      </c>
      <c r="D1232" s="47" t="s">
        <v>24</v>
      </c>
      <c r="E1232" s="48">
        <v>0.25</v>
      </c>
      <c r="F1232" s="48">
        <v>0.625</v>
      </c>
      <c r="G1232" s="49">
        <v>0</v>
      </c>
      <c r="H1232" s="49">
        <v>8</v>
      </c>
      <c r="I1232" s="49">
        <v>8</v>
      </c>
      <c r="J1232" s="50" t="s">
        <v>52</v>
      </c>
      <c r="K1232" s="51" t="s">
        <v>398</v>
      </c>
      <c r="L1232" s="102" t="s">
        <v>281</v>
      </c>
      <c r="M1232" s="19" t="str">
        <f t="shared" si="33"/>
        <v>Dec_2017</v>
      </c>
    </row>
    <row r="1233" spans="1:13">
      <c r="A1233" s="45" t="s">
        <v>22</v>
      </c>
      <c r="B1233" s="52" t="s">
        <v>190</v>
      </c>
      <c r="C1233" s="46">
        <v>43099</v>
      </c>
      <c r="D1233" s="47" t="s">
        <v>24</v>
      </c>
      <c r="E1233" s="48">
        <v>0.54166666666666696</v>
      </c>
      <c r="F1233" s="48">
        <v>0.91666666666666696</v>
      </c>
      <c r="G1233" s="49">
        <v>0</v>
      </c>
      <c r="H1233" s="49">
        <v>8</v>
      </c>
      <c r="I1233" s="49">
        <v>8</v>
      </c>
      <c r="J1233" s="50" t="s">
        <v>52</v>
      </c>
      <c r="K1233" s="51" t="s">
        <v>398</v>
      </c>
      <c r="L1233" s="102" t="s">
        <v>281</v>
      </c>
      <c r="M1233" s="19" t="str">
        <f t="shared" si="33"/>
        <v>Dec_2017</v>
      </c>
    </row>
    <row r="1234" spans="1:13">
      <c r="A1234" s="45" t="s">
        <v>22</v>
      </c>
      <c r="B1234" s="52" t="s">
        <v>399</v>
      </c>
      <c r="C1234" s="46">
        <v>43099</v>
      </c>
      <c r="D1234" s="47" t="s">
        <v>24</v>
      </c>
      <c r="E1234" s="48">
        <v>0.54166666666666696</v>
      </c>
      <c r="F1234" s="48">
        <v>0.91666666666666696</v>
      </c>
      <c r="G1234" s="49">
        <v>0</v>
      </c>
      <c r="H1234" s="49">
        <v>8</v>
      </c>
      <c r="I1234" s="49">
        <v>8</v>
      </c>
      <c r="J1234" s="50" t="s">
        <v>52</v>
      </c>
      <c r="K1234" s="51" t="s">
        <v>398</v>
      </c>
      <c r="L1234" s="102" t="s">
        <v>281</v>
      </c>
      <c r="M1234" s="19" t="str">
        <f t="shared" si="33"/>
        <v>Dec_2017</v>
      </c>
    </row>
    <row r="1235" spans="1:13">
      <c r="A1235" s="45" t="s">
        <v>11</v>
      </c>
      <c r="B1235" s="52" t="s">
        <v>12</v>
      </c>
      <c r="C1235" s="54">
        <v>43100</v>
      </c>
      <c r="D1235" s="47" t="s">
        <v>13</v>
      </c>
      <c r="E1235" s="48">
        <v>0.45833333333333298</v>
      </c>
      <c r="F1235" s="48">
        <v>0.79166666666666696</v>
      </c>
      <c r="G1235" s="49" t="s">
        <v>281</v>
      </c>
      <c r="H1235" s="49">
        <v>7.000000000000016</v>
      </c>
      <c r="I1235" s="49">
        <v>7.000000000000016</v>
      </c>
      <c r="J1235" s="50" t="s">
        <v>52</v>
      </c>
      <c r="K1235" s="51" t="s">
        <v>400</v>
      </c>
      <c r="L1235" s="102" t="s">
        <v>281</v>
      </c>
      <c r="M1235" s="19" t="str">
        <f t="shared" si="33"/>
        <v>Dec_2017</v>
      </c>
    </row>
    <row r="1236" spans="1:13">
      <c r="A1236" s="45" t="s">
        <v>11</v>
      </c>
      <c r="B1236" s="52" t="s">
        <v>19</v>
      </c>
      <c r="C1236" s="46">
        <v>43100</v>
      </c>
      <c r="D1236" s="47" t="s">
        <v>13</v>
      </c>
      <c r="E1236" s="48">
        <v>0.41666666666666702</v>
      </c>
      <c r="F1236" s="48">
        <v>0.79166666666666696</v>
      </c>
      <c r="G1236" s="49" t="s">
        <v>281</v>
      </c>
      <c r="H1236" s="49">
        <v>7.9999999999999982</v>
      </c>
      <c r="I1236" s="49">
        <v>7.9999999999999982</v>
      </c>
      <c r="J1236" s="50" t="s">
        <v>52</v>
      </c>
      <c r="K1236" s="51" t="s">
        <v>400</v>
      </c>
      <c r="L1236" s="102" t="s">
        <v>281</v>
      </c>
      <c r="M1236" s="19" t="str">
        <f t="shared" si="33"/>
        <v>Dec_2017</v>
      </c>
    </row>
    <row r="1237" spans="1:13">
      <c r="A1237" s="45" t="s">
        <v>11</v>
      </c>
      <c r="B1237" s="52" t="s">
        <v>26</v>
      </c>
      <c r="C1237" s="46">
        <v>43100</v>
      </c>
      <c r="D1237" s="47" t="s">
        <v>13</v>
      </c>
      <c r="E1237" s="48">
        <v>0.25</v>
      </c>
      <c r="F1237" s="48">
        <v>0.79166666666666696</v>
      </c>
      <c r="G1237" s="49" t="s">
        <v>281</v>
      </c>
      <c r="H1237" s="49">
        <v>12.000000000000007</v>
      </c>
      <c r="I1237" s="49">
        <v>12.000000000000007</v>
      </c>
      <c r="J1237" s="50" t="s">
        <v>52</v>
      </c>
      <c r="K1237" s="51" t="s">
        <v>400</v>
      </c>
      <c r="L1237" s="102" t="s">
        <v>281</v>
      </c>
      <c r="M1237" s="19" t="str">
        <f t="shared" si="33"/>
        <v>Dec_2017</v>
      </c>
    </row>
    <row r="1238" spans="1:13">
      <c r="A1238" s="45" t="s">
        <v>11</v>
      </c>
      <c r="B1238" s="52" t="s">
        <v>149</v>
      </c>
      <c r="C1238" s="46">
        <v>43100</v>
      </c>
      <c r="D1238" s="47" t="s">
        <v>13</v>
      </c>
      <c r="E1238" s="48">
        <v>0.25</v>
      </c>
      <c r="F1238" s="48">
        <v>0.79166666666666696</v>
      </c>
      <c r="G1238" s="49" t="s">
        <v>281</v>
      </c>
      <c r="H1238" s="49">
        <v>12.000000000000007</v>
      </c>
      <c r="I1238" s="49">
        <v>12.000000000000007</v>
      </c>
      <c r="J1238" s="50" t="s">
        <v>52</v>
      </c>
      <c r="K1238" s="51" t="s">
        <v>400</v>
      </c>
      <c r="L1238" s="102" t="s">
        <v>281</v>
      </c>
      <c r="M1238" s="19" t="str">
        <f t="shared" si="33"/>
        <v>Dec_2017</v>
      </c>
    </row>
    <row r="1239" spans="1:13">
      <c r="A1239" s="45" t="s">
        <v>11</v>
      </c>
      <c r="B1239" s="52" t="s">
        <v>161</v>
      </c>
      <c r="C1239" s="46">
        <v>43100</v>
      </c>
      <c r="D1239" s="47" t="s">
        <v>13</v>
      </c>
      <c r="E1239" s="48">
        <v>0.375</v>
      </c>
      <c r="F1239" s="48">
        <v>0.79166666666666696</v>
      </c>
      <c r="G1239" s="49" t="s">
        <v>281</v>
      </c>
      <c r="H1239" s="49">
        <v>9.0000000000000071</v>
      </c>
      <c r="I1239" s="49">
        <v>9.0000000000000071</v>
      </c>
      <c r="J1239" s="50" t="s">
        <v>52</v>
      </c>
      <c r="K1239" s="51" t="s">
        <v>400</v>
      </c>
      <c r="L1239" s="102" t="s">
        <v>281</v>
      </c>
      <c r="M1239" s="19" t="str">
        <f t="shared" si="33"/>
        <v>Dec_2017</v>
      </c>
    </row>
    <row r="1240" spans="1:13">
      <c r="A1240" s="45" t="s">
        <v>22</v>
      </c>
      <c r="B1240" s="52" t="s">
        <v>23</v>
      </c>
      <c r="C1240" s="46">
        <v>43100</v>
      </c>
      <c r="D1240" s="47" t="s">
        <v>13</v>
      </c>
      <c r="E1240" s="48">
        <v>0.375</v>
      </c>
      <c r="F1240" s="48">
        <v>0.79166666666666696</v>
      </c>
      <c r="G1240" s="49" t="s">
        <v>281</v>
      </c>
      <c r="H1240" s="49">
        <v>9.0000000000000071</v>
      </c>
      <c r="I1240" s="49">
        <v>9.0000000000000071</v>
      </c>
      <c r="J1240" s="50" t="s">
        <v>52</v>
      </c>
      <c r="K1240" s="51" t="s">
        <v>400</v>
      </c>
      <c r="L1240" s="102" t="s">
        <v>281</v>
      </c>
      <c r="M1240" s="19" t="str">
        <f t="shared" si="33"/>
        <v>Dec_2017</v>
      </c>
    </row>
    <row r="1241" spans="1:13">
      <c r="A1241" s="45" t="s">
        <v>22</v>
      </c>
      <c r="B1241" s="52" t="s">
        <v>254</v>
      </c>
      <c r="C1241" s="46">
        <v>43100</v>
      </c>
      <c r="D1241" s="47" t="s">
        <v>13</v>
      </c>
      <c r="E1241" s="48">
        <v>0.3125</v>
      </c>
      <c r="F1241" s="48">
        <v>0.60416666666666696</v>
      </c>
      <c r="G1241" s="49" t="s">
        <v>281</v>
      </c>
      <c r="H1241" s="49">
        <v>6.0000000000000071</v>
      </c>
      <c r="I1241" s="49">
        <v>6.0000000000000071</v>
      </c>
      <c r="J1241" s="50" t="s">
        <v>52</v>
      </c>
      <c r="K1241" s="51" t="s">
        <v>400</v>
      </c>
      <c r="L1241" s="102" t="s">
        <v>281</v>
      </c>
      <c r="M1241" s="19" t="str">
        <f t="shared" si="33"/>
        <v>Dec_2017</v>
      </c>
    </row>
    <row r="1242" spans="1:13">
      <c r="A1242" s="45" t="s">
        <v>22</v>
      </c>
      <c r="B1242" s="52" t="s">
        <v>255</v>
      </c>
      <c r="C1242" s="46">
        <v>43100</v>
      </c>
      <c r="D1242" s="47" t="s">
        <v>13</v>
      </c>
      <c r="E1242" s="48">
        <v>0.54166666666666696</v>
      </c>
      <c r="F1242" s="48">
        <v>0.79166666666666696</v>
      </c>
      <c r="G1242" s="49" t="s">
        <v>281</v>
      </c>
      <c r="H1242" s="49">
        <v>5</v>
      </c>
      <c r="I1242" s="49">
        <v>5</v>
      </c>
      <c r="J1242" s="50" t="s">
        <v>52</v>
      </c>
      <c r="K1242" s="51" t="s">
        <v>400</v>
      </c>
      <c r="L1242" s="102" t="s">
        <v>281</v>
      </c>
      <c r="M1242" s="19" t="str">
        <f t="shared" si="33"/>
        <v>Dec_2017</v>
      </c>
    </row>
    <row r="1243" spans="1:13">
      <c r="A1243" s="45" t="s">
        <v>22</v>
      </c>
      <c r="B1243" s="52" t="s">
        <v>27</v>
      </c>
      <c r="C1243" s="46">
        <v>43100</v>
      </c>
      <c r="D1243" s="47" t="s">
        <v>13</v>
      </c>
      <c r="E1243" s="48">
        <v>0.25</v>
      </c>
      <c r="F1243" s="48">
        <v>0.625</v>
      </c>
      <c r="G1243" s="49" t="s">
        <v>281</v>
      </c>
      <c r="H1243" s="49">
        <v>8</v>
      </c>
      <c r="I1243" s="49">
        <v>8</v>
      </c>
      <c r="J1243" s="50" t="s">
        <v>52</v>
      </c>
      <c r="K1243" s="51" t="s">
        <v>400</v>
      </c>
      <c r="L1243" s="102" t="s">
        <v>281</v>
      </c>
      <c r="M1243" s="19" t="str">
        <f t="shared" si="33"/>
        <v>Dec_2017</v>
      </c>
    </row>
    <row r="1244" spans="1:13">
      <c r="A1244" s="45" t="s">
        <v>22</v>
      </c>
      <c r="B1244" s="52" t="s">
        <v>346</v>
      </c>
      <c r="C1244" s="46">
        <v>43100</v>
      </c>
      <c r="D1244" s="47" t="s">
        <v>13</v>
      </c>
      <c r="E1244" s="48">
        <v>0.25</v>
      </c>
      <c r="F1244" s="48">
        <v>0.625</v>
      </c>
      <c r="G1244" s="49" t="s">
        <v>281</v>
      </c>
      <c r="H1244" s="49">
        <v>8</v>
      </c>
      <c r="I1244" s="49">
        <v>8</v>
      </c>
      <c r="J1244" s="50" t="s">
        <v>52</v>
      </c>
      <c r="K1244" s="51" t="s">
        <v>400</v>
      </c>
      <c r="L1244" s="102" t="s">
        <v>281</v>
      </c>
      <c r="M1244" s="19" t="str">
        <f t="shared" si="33"/>
        <v>Dec_2017</v>
      </c>
    </row>
    <row r="1245" spans="1:13">
      <c r="A1245" s="45" t="s">
        <v>22</v>
      </c>
      <c r="B1245" s="52" t="s">
        <v>347</v>
      </c>
      <c r="C1245" s="46">
        <v>43100</v>
      </c>
      <c r="D1245" s="47" t="s">
        <v>13</v>
      </c>
      <c r="E1245" s="48">
        <v>0.54166666666666696</v>
      </c>
      <c r="F1245" s="48">
        <v>0.79166666666666696</v>
      </c>
      <c r="G1245" s="49" t="s">
        <v>281</v>
      </c>
      <c r="H1245" s="49">
        <v>5</v>
      </c>
      <c r="I1245" s="49">
        <v>5</v>
      </c>
      <c r="J1245" s="50" t="s">
        <v>52</v>
      </c>
      <c r="K1245" s="51" t="s">
        <v>400</v>
      </c>
      <c r="L1245" s="102" t="s">
        <v>281</v>
      </c>
      <c r="M1245" s="19" t="str">
        <f t="shared" si="33"/>
        <v>Dec_2017</v>
      </c>
    </row>
    <row r="1246" spans="1:13">
      <c r="A1246" s="45" t="s">
        <v>22</v>
      </c>
      <c r="B1246" s="52" t="s">
        <v>368</v>
      </c>
      <c r="C1246" s="46">
        <v>43100</v>
      </c>
      <c r="D1246" s="47" t="s">
        <v>13</v>
      </c>
      <c r="E1246" s="48">
        <v>0.54166666666666696</v>
      </c>
      <c r="F1246" s="48">
        <v>0.79166666666666696</v>
      </c>
      <c r="G1246" s="49" t="s">
        <v>281</v>
      </c>
      <c r="H1246" s="49">
        <v>5</v>
      </c>
      <c r="I1246" s="49">
        <v>5</v>
      </c>
      <c r="J1246" s="50" t="s">
        <v>52</v>
      </c>
      <c r="K1246" s="51" t="s">
        <v>400</v>
      </c>
      <c r="L1246" s="102" t="s">
        <v>281</v>
      </c>
      <c r="M1246" s="19" t="str">
        <f t="shared" si="33"/>
        <v>Dec_2017</v>
      </c>
    </row>
    <row r="1247" spans="1:13">
      <c r="A1247" s="45" t="s">
        <v>22</v>
      </c>
      <c r="B1247" s="52" t="s">
        <v>190</v>
      </c>
      <c r="C1247" s="46">
        <v>43100</v>
      </c>
      <c r="D1247" s="47" t="s">
        <v>13</v>
      </c>
      <c r="E1247" s="48">
        <v>0.54166666666666696</v>
      </c>
      <c r="F1247" s="48">
        <v>0.79166666666666696</v>
      </c>
      <c r="G1247" s="49" t="s">
        <v>281</v>
      </c>
      <c r="H1247" s="49">
        <v>5</v>
      </c>
      <c r="I1247" s="49">
        <v>5</v>
      </c>
      <c r="J1247" s="50" t="s">
        <v>52</v>
      </c>
      <c r="K1247" s="51" t="s">
        <v>400</v>
      </c>
      <c r="L1247" s="102" t="s">
        <v>281</v>
      </c>
      <c r="M1247" s="19" t="str">
        <f t="shared" si="33"/>
        <v>Dec_2017</v>
      </c>
    </row>
    <row r="1248" spans="1:13">
      <c r="A1248" s="45" t="s">
        <v>22</v>
      </c>
      <c r="B1248" s="52" t="s">
        <v>399</v>
      </c>
      <c r="C1248" s="46">
        <v>43100</v>
      </c>
      <c r="D1248" s="47" t="s">
        <v>13</v>
      </c>
      <c r="E1248" s="48">
        <v>0.54166666666666696</v>
      </c>
      <c r="F1248" s="48">
        <v>0.79166666666666696</v>
      </c>
      <c r="G1248" s="49" t="s">
        <v>281</v>
      </c>
      <c r="H1248" s="49">
        <v>5</v>
      </c>
      <c r="I1248" s="49">
        <v>5</v>
      </c>
      <c r="J1248" s="50" t="s">
        <v>52</v>
      </c>
      <c r="K1248" s="51" t="s">
        <v>400</v>
      </c>
      <c r="L1248" s="102" t="s">
        <v>281</v>
      </c>
      <c r="M1248" s="19" t="str">
        <f t="shared" si="33"/>
        <v>Dec_2017</v>
      </c>
    </row>
    <row r="1249" spans="1:13">
      <c r="A1249" s="45" t="s">
        <v>11</v>
      </c>
      <c r="B1249" s="52" t="s">
        <v>12</v>
      </c>
      <c r="C1249" s="54">
        <v>43102</v>
      </c>
      <c r="D1249" s="47" t="s">
        <v>14</v>
      </c>
      <c r="E1249" s="48">
        <v>0.91666666666666696</v>
      </c>
      <c r="F1249" s="48">
        <v>0.95833333333333304</v>
      </c>
      <c r="G1249" s="49">
        <v>8.0000000000000036</v>
      </c>
      <c r="H1249" s="49">
        <v>0.99999999999998224</v>
      </c>
      <c r="I1249" s="49">
        <v>0.99999999999998224</v>
      </c>
      <c r="J1249" s="50" t="s">
        <v>56</v>
      </c>
      <c r="K1249" s="51" t="s">
        <v>401</v>
      </c>
      <c r="L1249" s="102" t="s">
        <v>281</v>
      </c>
      <c r="M1249" s="19" t="str">
        <f>IF($C1249="","",TEXT(DATE(YEAR($C1249),MONTH($C1249),DAY($C1249)),"MMM")&amp;"_"&amp;YEAR($C1249))</f>
        <v>Jan_2018</v>
      </c>
    </row>
    <row r="1250" spans="1:13">
      <c r="A1250" s="45" t="s">
        <v>11</v>
      </c>
      <c r="B1250" s="52" t="s">
        <v>19</v>
      </c>
      <c r="C1250" s="46">
        <v>43102</v>
      </c>
      <c r="D1250" s="47" t="s">
        <v>14</v>
      </c>
      <c r="E1250" s="48">
        <v>0.625</v>
      </c>
      <c r="F1250" s="48">
        <v>0.66666666666666696</v>
      </c>
      <c r="G1250" s="49">
        <v>8.0000000000000036</v>
      </c>
      <c r="H1250" s="49">
        <v>1.0000000000000036</v>
      </c>
      <c r="I1250" s="49">
        <v>1.0000000000000036</v>
      </c>
      <c r="J1250" s="50" t="s">
        <v>30</v>
      </c>
      <c r="K1250" s="51" t="s">
        <v>401</v>
      </c>
      <c r="L1250" s="102" t="s">
        <v>281</v>
      </c>
      <c r="M1250" s="19" t="str">
        <f t="shared" ref="M1250:M1313" si="34">IF($C1250="","",TEXT(DATE(YEAR($C1250),MONTH($C1250),DAY($C1250)),"MMM")&amp;"_"&amp;YEAR($C1250))</f>
        <v>Jan_2018</v>
      </c>
    </row>
    <row r="1251" spans="1:13">
      <c r="A1251" s="45" t="s">
        <v>11</v>
      </c>
      <c r="B1251" s="52" t="s">
        <v>26</v>
      </c>
      <c r="C1251" s="46">
        <v>43102</v>
      </c>
      <c r="D1251" s="47" t="s">
        <v>14</v>
      </c>
      <c r="E1251" s="48">
        <v>0.91666666666666696</v>
      </c>
      <c r="F1251" s="48">
        <v>0.95833333333333304</v>
      </c>
      <c r="G1251" s="49">
        <v>8.0000000000000036</v>
      </c>
      <c r="H1251" s="49">
        <v>0.99999999999998224</v>
      </c>
      <c r="I1251" s="49">
        <v>0.99999999999998224</v>
      </c>
      <c r="J1251" s="53" t="s">
        <v>56</v>
      </c>
      <c r="K1251" s="51" t="s">
        <v>401</v>
      </c>
      <c r="L1251" s="102" t="s">
        <v>281</v>
      </c>
      <c r="M1251" s="19" t="str">
        <f t="shared" si="34"/>
        <v>Jan_2018</v>
      </c>
    </row>
    <row r="1252" spans="1:13">
      <c r="A1252" s="45" t="s">
        <v>11</v>
      </c>
      <c r="B1252" s="52" t="s">
        <v>161</v>
      </c>
      <c r="C1252" s="46">
        <v>43102</v>
      </c>
      <c r="D1252" s="47" t="s">
        <v>14</v>
      </c>
      <c r="E1252" s="48">
        <v>0.625</v>
      </c>
      <c r="F1252" s="48">
        <v>0.66666666666666696</v>
      </c>
      <c r="G1252" s="49">
        <v>8.0000000000000036</v>
      </c>
      <c r="H1252" s="49">
        <v>1.0000000000000036</v>
      </c>
      <c r="I1252" s="49">
        <v>1.0000000000000036</v>
      </c>
      <c r="J1252" s="50" t="s">
        <v>30</v>
      </c>
      <c r="K1252" s="51" t="s">
        <v>401</v>
      </c>
      <c r="L1252" s="102" t="s">
        <v>281</v>
      </c>
      <c r="M1252" s="19" t="str">
        <f t="shared" si="34"/>
        <v>Jan_2018</v>
      </c>
    </row>
    <row r="1253" spans="1:13">
      <c r="A1253" s="45" t="s">
        <v>22</v>
      </c>
      <c r="B1253" s="52" t="s">
        <v>23</v>
      </c>
      <c r="C1253" s="46">
        <v>43102</v>
      </c>
      <c r="D1253" s="47" t="s">
        <v>14</v>
      </c>
      <c r="E1253" s="48">
        <v>0.25</v>
      </c>
      <c r="F1253" s="48">
        <v>0.625</v>
      </c>
      <c r="G1253" s="49">
        <v>0</v>
      </c>
      <c r="H1253" s="49">
        <v>8</v>
      </c>
      <c r="I1253" s="49">
        <v>8</v>
      </c>
      <c r="J1253" s="50" t="s">
        <v>30</v>
      </c>
      <c r="K1253" s="51" t="s">
        <v>401</v>
      </c>
      <c r="L1253" s="102" t="s">
        <v>281</v>
      </c>
      <c r="M1253" s="19" t="str">
        <f t="shared" si="34"/>
        <v>Jan_2018</v>
      </c>
    </row>
    <row r="1254" spans="1:13">
      <c r="A1254" s="45" t="s">
        <v>22</v>
      </c>
      <c r="B1254" s="52" t="s">
        <v>77</v>
      </c>
      <c r="C1254" s="46">
        <v>43102</v>
      </c>
      <c r="D1254" s="47" t="s">
        <v>14</v>
      </c>
      <c r="E1254" s="48">
        <v>0.25</v>
      </c>
      <c r="F1254" s="48">
        <v>0.58333333333333304</v>
      </c>
      <c r="G1254" s="49">
        <v>0</v>
      </c>
      <c r="H1254" s="49">
        <v>7.9999999999999929</v>
      </c>
      <c r="I1254" s="49">
        <v>7.9999999999999929</v>
      </c>
      <c r="J1254" s="50" t="s">
        <v>30</v>
      </c>
      <c r="K1254" s="51" t="s">
        <v>401</v>
      </c>
      <c r="L1254" s="102" t="s">
        <v>281</v>
      </c>
      <c r="M1254" s="19" t="str">
        <f t="shared" si="34"/>
        <v>Jan_2018</v>
      </c>
    </row>
    <row r="1255" spans="1:13">
      <c r="A1255" s="45" t="s">
        <v>22</v>
      </c>
      <c r="B1255" s="52" t="s">
        <v>254</v>
      </c>
      <c r="C1255" s="46">
        <v>43102</v>
      </c>
      <c r="D1255" s="47" t="s">
        <v>14</v>
      </c>
      <c r="E1255" s="48">
        <v>0.25</v>
      </c>
      <c r="F1255" s="48">
        <v>0.58333333333333304</v>
      </c>
      <c r="G1255" s="49">
        <v>0</v>
      </c>
      <c r="H1255" s="49">
        <v>7.9999999999999929</v>
      </c>
      <c r="I1255" s="49">
        <v>7.9999999999999929</v>
      </c>
      <c r="J1255" s="50" t="s">
        <v>30</v>
      </c>
      <c r="K1255" s="51" t="s">
        <v>401</v>
      </c>
      <c r="L1255" s="102" t="s">
        <v>281</v>
      </c>
      <c r="M1255" s="19" t="str">
        <f t="shared" si="34"/>
        <v>Jan_2018</v>
      </c>
    </row>
    <row r="1256" spans="1:13">
      <c r="A1256" s="45" t="s">
        <v>22</v>
      </c>
      <c r="B1256" s="52" t="s">
        <v>255</v>
      </c>
      <c r="C1256" s="46">
        <v>43102</v>
      </c>
      <c r="D1256" s="47" t="s">
        <v>14</v>
      </c>
      <c r="E1256" s="48">
        <v>0.25</v>
      </c>
      <c r="F1256" s="48">
        <v>0.58333333333333304</v>
      </c>
      <c r="G1256" s="49">
        <v>0</v>
      </c>
      <c r="H1256" s="49">
        <v>7.9999999999999929</v>
      </c>
      <c r="I1256" s="49">
        <v>7.9999999999999929</v>
      </c>
      <c r="J1256" s="53" t="s">
        <v>30</v>
      </c>
      <c r="K1256" s="51" t="s">
        <v>401</v>
      </c>
      <c r="L1256" s="102" t="s">
        <v>281</v>
      </c>
      <c r="M1256" s="19" t="str">
        <f t="shared" si="34"/>
        <v>Jan_2018</v>
      </c>
    </row>
    <row r="1257" spans="1:13">
      <c r="A1257" s="45" t="s">
        <v>22</v>
      </c>
      <c r="B1257" s="52" t="s">
        <v>27</v>
      </c>
      <c r="C1257" s="46">
        <v>43102</v>
      </c>
      <c r="D1257" s="47" t="s">
        <v>14</v>
      </c>
      <c r="E1257" s="48">
        <v>0.54166666666666696</v>
      </c>
      <c r="F1257" s="48">
        <v>0.91666666666666696</v>
      </c>
      <c r="G1257" s="49">
        <v>0</v>
      </c>
      <c r="H1257" s="49">
        <v>8</v>
      </c>
      <c r="I1257" s="49">
        <v>8</v>
      </c>
      <c r="J1257" s="53" t="s">
        <v>30</v>
      </c>
      <c r="K1257" s="51" t="s">
        <v>401</v>
      </c>
      <c r="L1257" s="102" t="s">
        <v>281</v>
      </c>
      <c r="M1257" s="19" t="str">
        <f t="shared" si="34"/>
        <v>Jan_2018</v>
      </c>
    </row>
    <row r="1258" spans="1:13">
      <c r="A1258" s="45" t="s">
        <v>22</v>
      </c>
      <c r="B1258" s="52" t="s">
        <v>346</v>
      </c>
      <c r="C1258" s="46">
        <v>43102</v>
      </c>
      <c r="D1258" s="47" t="s">
        <v>14</v>
      </c>
      <c r="E1258" s="48">
        <v>0.54166666666666696</v>
      </c>
      <c r="F1258" s="48">
        <v>0.91666666666666696</v>
      </c>
      <c r="G1258" s="49">
        <v>0</v>
      </c>
      <c r="H1258" s="49">
        <v>8</v>
      </c>
      <c r="I1258" s="49">
        <v>8</v>
      </c>
      <c r="J1258" s="53" t="s">
        <v>30</v>
      </c>
      <c r="K1258" s="51" t="s">
        <v>401</v>
      </c>
      <c r="L1258" s="102" t="s">
        <v>281</v>
      </c>
      <c r="M1258" s="19" t="str">
        <f t="shared" si="34"/>
        <v>Jan_2018</v>
      </c>
    </row>
    <row r="1259" spans="1:13">
      <c r="A1259" s="45" t="s">
        <v>22</v>
      </c>
      <c r="B1259" s="52" t="s">
        <v>347</v>
      </c>
      <c r="C1259" s="46">
        <v>43102</v>
      </c>
      <c r="D1259" s="47" t="s">
        <v>14</v>
      </c>
      <c r="E1259" s="48">
        <v>0.54166666666666696</v>
      </c>
      <c r="F1259" s="48">
        <v>0.91666666666666696</v>
      </c>
      <c r="G1259" s="49">
        <v>0</v>
      </c>
      <c r="H1259" s="49">
        <v>8</v>
      </c>
      <c r="I1259" s="49">
        <v>8</v>
      </c>
      <c r="J1259" s="53" t="s">
        <v>30</v>
      </c>
      <c r="K1259" s="51" t="s">
        <v>401</v>
      </c>
      <c r="L1259" s="102" t="s">
        <v>281</v>
      </c>
      <c r="M1259" s="19" t="str">
        <f t="shared" si="34"/>
        <v>Jan_2018</v>
      </c>
    </row>
    <row r="1260" spans="1:13">
      <c r="A1260" s="45" t="s">
        <v>22</v>
      </c>
      <c r="B1260" s="52" t="s">
        <v>363</v>
      </c>
      <c r="C1260" s="46">
        <v>43102</v>
      </c>
      <c r="D1260" s="47" t="s">
        <v>14</v>
      </c>
      <c r="E1260" s="48">
        <v>0.25</v>
      </c>
      <c r="F1260" s="48">
        <v>0.54166666666666696</v>
      </c>
      <c r="G1260" s="49">
        <v>0</v>
      </c>
      <c r="H1260" s="49">
        <v>7.0000000000000071</v>
      </c>
      <c r="I1260" s="49">
        <v>7.0000000000000071</v>
      </c>
      <c r="J1260" s="50" t="s">
        <v>30</v>
      </c>
      <c r="K1260" s="51" t="s">
        <v>401</v>
      </c>
      <c r="L1260" s="102" t="s">
        <v>281</v>
      </c>
      <c r="M1260" s="19" t="str">
        <f t="shared" si="34"/>
        <v>Jan_2018</v>
      </c>
    </row>
    <row r="1261" spans="1:13">
      <c r="A1261" s="45" t="s">
        <v>22</v>
      </c>
      <c r="B1261" s="52" t="s">
        <v>368</v>
      </c>
      <c r="C1261" s="46">
        <v>43102</v>
      </c>
      <c r="D1261" s="47" t="s">
        <v>14</v>
      </c>
      <c r="E1261" s="48">
        <v>0.25</v>
      </c>
      <c r="F1261" s="48">
        <v>0.625</v>
      </c>
      <c r="G1261" s="49">
        <v>0</v>
      </c>
      <c r="H1261" s="49">
        <v>8</v>
      </c>
      <c r="I1261" s="49">
        <v>8</v>
      </c>
      <c r="J1261" s="50" t="s">
        <v>30</v>
      </c>
      <c r="K1261" s="51" t="s">
        <v>401</v>
      </c>
      <c r="L1261" s="102" t="s">
        <v>281</v>
      </c>
      <c r="M1261" s="19" t="str">
        <f t="shared" si="34"/>
        <v>Jan_2018</v>
      </c>
    </row>
    <row r="1262" spans="1:13">
      <c r="A1262" s="45" t="s">
        <v>22</v>
      </c>
      <c r="B1262" s="52" t="s">
        <v>190</v>
      </c>
      <c r="C1262" s="46">
        <v>43102</v>
      </c>
      <c r="D1262" s="47" t="s">
        <v>14</v>
      </c>
      <c r="E1262" s="48">
        <v>0.54166666666666696</v>
      </c>
      <c r="F1262" s="48">
        <v>0.91666666666666696</v>
      </c>
      <c r="G1262" s="49">
        <v>0</v>
      </c>
      <c r="H1262" s="49">
        <v>8</v>
      </c>
      <c r="I1262" s="49">
        <v>8</v>
      </c>
      <c r="J1262" s="50" t="s">
        <v>30</v>
      </c>
      <c r="K1262" s="51" t="s">
        <v>401</v>
      </c>
      <c r="L1262" s="102" t="s">
        <v>281</v>
      </c>
      <c r="M1262" s="19" t="str">
        <f t="shared" si="34"/>
        <v>Jan_2018</v>
      </c>
    </row>
    <row r="1263" spans="1:13">
      <c r="A1263" s="45" t="s">
        <v>22</v>
      </c>
      <c r="B1263" s="52" t="s">
        <v>399</v>
      </c>
      <c r="C1263" s="46">
        <v>43102</v>
      </c>
      <c r="D1263" s="47" t="s">
        <v>14</v>
      </c>
      <c r="E1263" s="48">
        <v>0.54166666666666696</v>
      </c>
      <c r="F1263" s="48">
        <v>0.70833333333333304</v>
      </c>
      <c r="G1263" s="49">
        <v>0</v>
      </c>
      <c r="H1263" s="49">
        <v>3.9999999999999858</v>
      </c>
      <c r="I1263" s="49">
        <v>3.9999999999999858</v>
      </c>
      <c r="J1263" s="50" t="s">
        <v>30</v>
      </c>
      <c r="K1263" s="51" t="s">
        <v>401</v>
      </c>
      <c r="L1263" s="102" t="s">
        <v>281</v>
      </c>
      <c r="M1263" s="19" t="str">
        <f t="shared" si="34"/>
        <v>Jan_2018</v>
      </c>
    </row>
    <row r="1264" spans="1:13">
      <c r="A1264" s="45" t="s">
        <v>11</v>
      </c>
      <c r="B1264" s="52" t="s">
        <v>12</v>
      </c>
      <c r="C1264" s="54">
        <v>43103</v>
      </c>
      <c r="D1264" s="47" t="s">
        <v>15</v>
      </c>
      <c r="E1264" s="48">
        <v>0.91666666666666696</v>
      </c>
      <c r="F1264" s="48">
        <v>0.95833333333333304</v>
      </c>
      <c r="G1264" s="49">
        <v>8.0000000000000036</v>
      </c>
      <c r="H1264" s="49">
        <v>0.99999999999998224</v>
      </c>
      <c r="I1264" s="49">
        <v>0.99999999999998224</v>
      </c>
      <c r="J1264" s="53" t="s">
        <v>56</v>
      </c>
      <c r="K1264" s="51" t="s">
        <v>402</v>
      </c>
      <c r="L1264" s="102" t="s">
        <v>281</v>
      </c>
      <c r="M1264" s="19" t="str">
        <f t="shared" si="34"/>
        <v>Jan_2018</v>
      </c>
    </row>
    <row r="1265" spans="1:13">
      <c r="A1265" s="45" t="s">
        <v>11</v>
      </c>
      <c r="B1265" s="52" t="s">
        <v>19</v>
      </c>
      <c r="C1265" s="46">
        <v>43103</v>
      </c>
      <c r="D1265" s="47" t="s">
        <v>15</v>
      </c>
      <c r="E1265" s="48">
        <v>0.625</v>
      </c>
      <c r="F1265" s="48">
        <v>0.66666666666666696</v>
      </c>
      <c r="G1265" s="49">
        <v>8.0000000000000036</v>
      </c>
      <c r="H1265" s="49">
        <v>1.0000000000000036</v>
      </c>
      <c r="I1265" s="49">
        <v>1.0000000000000036</v>
      </c>
      <c r="J1265" s="50" t="s">
        <v>30</v>
      </c>
      <c r="K1265" s="51" t="s">
        <v>402</v>
      </c>
      <c r="L1265" s="102" t="s">
        <v>281</v>
      </c>
      <c r="M1265" s="19" t="str">
        <f t="shared" si="34"/>
        <v>Jan_2018</v>
      </c>
    </row>
    <row r="1266" spans="1:13">
      <c r="A1266" s="45" t="s">
        <v>11</v>
      </c>
      <c r="B1266" s="52" t="s">
        <v>26</v>
      </c>
      <c r="C1266" s="46">
        <v>43103</v>
      </c>
      <c r="D1266" s="47" t="s">
        <v>15</v>
      </c>
      <c r="E1266" s="48">
        <v>0.91666666666666696</v>
      </c>
      <c r="F1266" s="48">
        <v>0.95833333333333304</v>
      </c>
      <c r="G1266" s="49">
        <v>8.0000000000000036</v>
      </c>
      <c r="H1266" s="49">
        <v>0.99999999999998224</v>
      </c>
      <c r="I1266" s="49">
        <v>0.99999999999998224</v>
      </c>
      <c r="J1266" s="53" t="s">
        <v>56</v>
      </c>
      <c r="K1266" s="51" t="s">
        <v>402</v>
      </c>
      <c r="L1266" s="102" t="s">
        <v>281</v>
      </c>
      <c r="M1266" s="19" t="str">
        <f t="shared" si="34"/>
        <v>Jan_2018</v>
      </c>
    </row>
    <row r="1267" spans="1:13">
      <c r="A1267" s="45" t="s">
        <v>11</v>
      </c>
      <c r="B1267" s="52" t="s">
        <v>161</v>
      </c>
      <c r="C1267" s="46">
        <v>43103</v>
      </c>
      <c r="D1267" s="47" t="s">
        <v>15</v>
      </c>
      <c r="E1267" s="48">
        <v>0.625</v>
      </c>
      <c r="F1267" s="48">
        <v>0.66666666666666696</v>
      </c>
      <c r="G1267" s="49">
        <v>8.0000000000000036</v>
      </c>
      <c r="H1267" s="49">
        <v>1.0000000000000036</v>
      </c>
      <c r="I1267" s="49">
        <v>1.0000000000000036</v>
      </c>
      <c r="J1267" s="53" t="s">
        <v>30</v>
      </c>
      <c r="K1267" s="51" t="s">
        <v>402</v>
      </c>
      <c r="L1267" s="102" t="s">
        <v>281</v>
      </c>
      <c r="M1267" s="19" t="str">
        <f t="shared" si="34"/>
        <v>Jan_2018</v>
      </c>
    </row>
    <row r="1268" spans="1:13">
      <c r="A1268" s="45" t="s">
        <v>22</v>
      </c>
      <c r="B1268" s="52" t="s">
        <v>23</v>
      </c>
      <c r="C1268" s="46">
        <v>43103</v>
      </c>
      <c r="D1268" s="47" t="s">
        <v>15</v>
      </c>
      <c r="E1268" s="48">
        <v>0.25</v>
      </c>
      <c r="F1268" s="48">
        <v>0.625</v>
      </c>
      <c r="G1268" s="49">
        <v>0</v>
      </c>
      <c r="H1268" s="49">
        <v>8</v>
      </c>
      <c r="I1268" s="49">
        <v>8</v>
      </c>
      <c r="J1268" s="53" t="s">
        <v>30</v>
      </c>
      <c r="K1268" s="51" t="s">
        <v>402</v>
      </c>
      <c r="L1268" s="102" t="s">
        <v>281</v>
      </c>
      <c r="M1268" s="19" t="str">
        <f t="shared" si="34"/>
        <v>Jan_2018</v>
      </c>
    </row>
    <row r="1269" spans="1:13">
      <c r="A1269" s="45" t="s">
        <v>22</v>
      </c>
      <c r="B1269" s="52" t="s">
        <v>77</v>
      </c>
      <c r="C1269" s="46">
        <v>43103</v>
      </c>
      <c r="D1269" s="47" t="s">
        <v>15</v>
      </c>
      <c r="E1269" s="48">
        <v>0.25</v>
      </c>
      <c r="F1269" s="48">
        <v>0.45833333333333298</v>
      </c>
      <c r="G1269" s="49">
        <v>0</v>
      </c>
      <c r="H1269" s="49">
        <v>4.9999999999999911</v>
      </c>
      <c r="I1269" s="49">
        <v>4.9999999999999911</v>
      </c>
      <c r="J1269" s="50" t="s">
        <v>30</v>
      </c>
      <c r="K1269" s="51" t="s">
        <v>402</v>
      </c>
      <c r="L1269" s="102" t="s">
        <v>281</v>
      </c>
      <c r="M1269" s="19" t="str">
        <f t="shared" si="34"/>
        <v>Jan_2018</v>
      </c>
    </row>
    <row r="1270" spans="1:13">
      <c r="A1270" s="45" t="s">
        <v>22</v>
      </c>
      <c r="B1270" s="52" t="s">
        <v>78</v>
      </c>
      <c r="C1270" s="46">
        <v>43103</v>
      </c>
      <c r="D1270" s="47" t="s">
        <v>15</v>
      </c>
      <c r="E1270" s="48">
        <v>0.25</v>
      </c>
      <c r="F1270" s="48">
        <v>0.58333333333333304</v>
      </c>
      <c r="G1270" s="49">
        <v>0</v>
      </c>
      <c r="H1270" s="49">
        <v>7.9999999999999929</v>
      </c>
      <c r="I1270" s="49">
        <v>7.9999999999999929</v>
      </c>
      <c r="J1270" s="53" t="s">
        <v>30</v>
      </c>
      <c r="K1270" s="51" t="s">
        <v>402</v>
      </c>
      <c r="L1270" s="102" t="s">
        <v>281</v>
      </c>
      <c r="M1270" s="19" t="str">
        <f t="shared" si="34"/>
        <v>Jan_2018</v>
      </c>
    </row>
    <row r="1271" spans="1:13">
      <c r="A1271" s="45" t="s">
        <v>22</v>
      </c>
      <c r="B1271" s="52" t="s">
        <v>254</v>
      </c>
      <c r="C1271" s="46">
        <v>43103</v>
      </c>
      <c r="D1271" s="47" t="s">
        <v>15</v>
      </c>
      <c r="E1271" s="48">
        <v>0.25</v>
      </c>
      <c r="F1271" s="48">
        <v>0.54166666666666696</v>
      </c>
      <c r="G1271" s="49">
        <v>0</v>
      </c>
      <c r="H1271" s="49">
        <v>7.0000000000000071</v>
      </c>
      <c r="I1271" s="49">
        <v>7.0000000000000071</v>
      </c>
      <c r="J1271" s="50" t="s">
        <v>30</v>
      </c>
      <c r="K1271" s="51" t="s">
        <v>402</v>
      </c>
      <c r="L1271" s="102" t="s">
        <v>281</v>
      </c>
      <c r="M1271" s="19" t="str">
        <f t="shared" si="34"/>
        <v>Jan_2018</v>
      </c>
    </row>
    <row r="1272" spans="1:13">
      <c r="A1272" s="45" t="s">
        <v>22</v>
      </c>
      <c r="B1272" s="52" t="s">
        <v>255</v>
      </c>
      <c r="C1272" s="46">
        <v>43103</v>
      </c>
      <c r="D1272" s="47" t="s">
        <v>15</v>
      </c>
      <c r="E1272" s="48">
        <v>0.25</v>
      </c>
      <c r="F1272" s="48">
        <v>0.625</v>
      </c>
      <c r="G1272" s="49">
        <v>0</v>
      </c>
      <c r="H1272" s="49">
        <v>8</v>
      </c>
      <c r="I1272" s="49">
        <v>8</v>
      </c>
      <c r="J1272" s="50" t="s">
        <v>30</v>
      </c>
      <c r="K1272" s="51" t="s">
        <v>402</v>
      </c>
      <c r="L1272" s="102" t="s">
        <v>281</v>
      </c>
      <c r="M1272" s="19" t="str">
        <f t="shared" si="34"/>
        <v>Jan_2018</v>
      </c>
    </row>
    <row r="1273" spans="1:13">
      <c r="A1273" s="45" t="s">
        <v>22</v>
      </c>
      <c r="B1273" s="52" t="s">
        <v>27</v>
      </c>
      <c r="C1273" s="46">
        <v>43103</v>
      </c>
      <c r="D1273" s="47" t="s">
        <v>15</v>
      </c>
      <c r="E1273" s="48">
        <v>0.25</v>
      </c>
      <c r="F1273" s="48">
        <v>0.625</v>
      </c>
      <c r="G1273" s="49">
        <v>0</v>
      </c>
      <c r="H1273" s="49">
        <v>8</v>
      </c>
      <c r="I1273" s="49">
        <v>8</v>
      </c>
      <c r="J1273" s="50" t="s">
        <v>30</v>
      </c>
      <c r="K1273" s="51" t="s">
        <v>402</v>
      </c>
      <c r="L1273" s="102" t="s">
        <v>281</v>
      </c>
      <c r="M1273" s="19" t="str">
        <f t="shared" si="34"/>
        <v>Jan_2018</v>
      </c>
    </row>
    <row r="1274" spans="1:13">
      <c r="A1274" s="45" t="s">
        <v>22</v>
      </c>
      <c r="B1274" s="52" t="s">
        <v>346</v>
      </c>
      <c r="C1274" s="46">
        <v>43103</v>
      </c>
      <c r="D1274" s="47" t="s">
        <v>15</v>
      </c>
      <c r="E1274" s="48">
        <v>0.54166666666666696</v>
      </c>
      <c r="F1274" s="48">
        <v>0.91666666666666696</v>
      </c>
      <c r="G1274" s="49">
        <v>0</v>
      </c>
      <c r="H1274" s="49">
        <v>8</v>
      </c>
      <c r="I1274" s="49">
        <v>8</v>
      </c>
      <c r="J1274" s="50" t="s">
        <v>30</v>
      </c>
      <c r="K1274" s="51" t="s">
        <v>402</v>
      </c>
      <c r="L1274" s="102" t="s">
        <v>281</v>
      </c>
      <c r="M1274" s="19" t="str">
        <f t="shared" si="34"/>
        <v>Jan_2018</v>
      </c>
    </row>
    <row r="1275" spans="1:13">
      <c r="A1275" s="45" t="s">
        <v>22</v>
      </c>
      <c r="B1275" s="52" t="s">
        <v>347</v>
      </c>
      <c r="C1275" s="46">
        <v>43103</v>
      </c>
      <c r="D1275" s="47" t="s">
        <v>15</v>
      </c>
      <c r="E1275" s="48">
        <v>0.54166666666666696</v>
      </c>
      <c r="F1275" s="48">
        <v>0.91666666666666696</v>
      </c>
      <c r="G1275" s="49">
        <v>0</v>
      </c>
      <c r="H1275" s="49">
        <v>8</v>
      </c>
      <c r="I1275" s="49">
        <v>8</v>
      </c>
      <c r="J1275" s="53" t="s">
        <v>30</v>
      </c>
      <c r="K1275" s="51" t="s">
        <v>402</v>
      </c>
      <c r="L1275" s="102" t="s">
        <v>281</v>
      </c>
      <c r="M1275" s="19" t="str">
        <f t="shared" si="34"/>
        <v>Jan_2018</v>
      </c>
    </row>
    <row r="1276" spans="1:13">
      <c r="A1276" s="45" t="s">
        <v>22</v>
      </c>
      <c r="B1276" s="52" t="s">
        <v>368</v>
      </c>
      <c r="C1276" s="46">
        <v>43103</v>
      </c>
      <c r="D1276" s="47" t="s">
        <v>15</v>
      </c>
      <c r="E1276" s="48">
        <v>0.54166666666666696</v>
      </c>
      <c r="F1276" s="48">
        <v>0.875</v>
      </c>
      <c r="G1276" s="49">
        <v>0</v>
      </c>
      <c r="H1276" s="49">
        <v>7.9999999999999929</v>
      </c>
      <c r="I1276" s="49">
        <v>7.9999999999999929</v>
      </c>
      <c r="J1276" s="50" t="s">
        <v>30</v>
      </c>
      <c r="K1276" s="51" t="s">
        <v>402</v>
      </c>
      <c r="L1276" s="102" t="s">
        <v>281</v>
      </c>
      <c r="M1276" s="19" t="str">
        <f t="shared" si="34"/>
        <v>Jan_2018</v>
      </c>
    </row>
    <row r="1277" spans="1:13">
      <c r="A1277" s="45" t="s">
        <v>22</v>
      </c>
      <c r="B1277" s="52" t="s">
        <v>190</v>
      </c>
      <c r="C1277" s="46">
        <v>43103</v>
      </c>
      <c r="D1277" s="47" t="s">
        <v>15</v>
      </c>
      <c r="E1277" s="48">
        <v>0.54166666666666696</v>
      </c>
      <c r="F1277" s="48">
        <v>0.91666666666666696</v>
      </c>
      <c r="G1277" s="49">
        <v>0</v>
      </c>
      <c r="H1277" s="49">
        <v>8</v>
      </c>
      <c r="I1277" s="49">
        <v>8</v>
      </c>
      <c r="J1277" s="50" t="s">
        <v>30</v>
      </c>
      <c r="K1277" s="51" t="s">
        <v>402</v>
      </c>
      <c r="L1277" s="102" t="s">
        <v>281</v>
      </c>
      <c r="M1277" s="19" t="str">
        <f t="shared" si="34"/>
        <v>Jan_2018</v>
      </c>
    </row>
    <row r="1278" spans="1:13">
      <c r="A1278" s="45" t="s">
        <v>11</v>
      </c>
      <c r="B1278" s="52" t="s">
        <v>19</v>
      </c>
      <c r="C1278" s="46">
        <v>43104</v>
      </c>
      <c r="D1278" s="47" t="s">
        <v>25</v>
      </c>
      <c r="E1278" s="48">
        <v>0.625</v>
      </c>
      <c r="F1278" s="48">
        <v>0.66666666666666696</v>
      </c>
      <c r="G1278" s="49">
        <v>8.0000000000000036</v>
      </c>
      <c r="H1278" s="49">
        <v>1.0000000000000036</v>
      </c>
      <c r="I1278" s="49">
        <v>1.0000000000000036</v>
      </c>
      <c r="J1278" s="50" t="s">
        <v>30</v>
      </c>
      <c r="K1278" s="51" t="s">
        <v>403</v>
      </c>
      <c r="L1278" s="102" t="s">
        <v>281</v>
      </c>
      <c r="M1278" s="19" t="str">
        <f t="shared" si="34"/>
        <v>Jan_2018</v>
      </c>
    </row>
    <row r="1279" spans="1:13">
      <c r="A1279" s="45" t="s">
        <v>11</v>
      </c>
      <c r="B1279" s="52" t="s">
        <v>26</v>
      </c>
      <c r="C1279" s="46">
        <v>43104</v>
      </c>
      <c r="D1279" s="47" t="s">
        <v>25</v>
      </c>
      <c r="E1279" s="48">
        <v>0.875</v>
      </c>
      <c r="F1279" s="48">
        <v>0.91666666666666696</v>
      </c>
      <c r="G1279" s="49">
        <v>8.0000000000000036</v>
      </c>
      <c r="H1279" s="49">
        <v>1.0000000000000036</v>
      </c>
      <c r="I1279" s="49">
        <v>1.0000000000000036</v>
      </c>
      <c r="J1279" s="50" t="s">
        <v>30</v>
      </c>
      <c r="K1279" s="51" t="s">
        <v>403</v>
      </c>
      <c r="L1279" s="102" t="s">
        <v>281</v>
      </c>
      <c r="M1279" s="19" t="str">
        <f t="shared" si="34"/>
        <v>Jan_2018</v>
      </c>
    </row>
    <row r="1280" spans="1:13">
      <c r="A1280" s="45" t="s">
        <v>11</v>
      </c>
      <c r="B1280" s="52" t="s">
        <v>149</v>
      </c>
      <c r="C1280" s="46">
        <v>43104</v>
      </c>
      <c r="D1280" s="47" t="s">
        <v>25</v>
      </c>
      <c r="E1280" s="48">
        <v>0.625</v>
      </c>
      <c r="F1280" s="48">
        <v>0.70833333333333304</v>
      </c>
      <c r="G1280" s="49">
        <v>8.0000000000000036</v>
      </c>
      <c r="H1280" s="49">
        <v>1.9999999999999893</v>
      </c>
      <c r="I1280" s="49">
        <v>1.9999999999999893</v>
      </c>
      <c r="J1280" s="50" t="s">
        <v>30</v>
      </c>
      <c r="K1280" s="51" t="s">
        <v>403</v>
      </c>
      <c r="L1280" s="102" t="s">
        <v>281</v>
      </c>
      <c r="M1280" s="19" t="str">
        <f t="shared" si="34"/>
        <v>Jan_2018</v>
      </c>
    </row>
    <row r="1281" spans="1:13">
      <c r="A1281" s="45" t="s">
        <v>22</v>
      </c>
      <c r="B1281" s="52" t="s">
        <v>23</v>
      </c>
      <c r="C1281" s="46">
        <v>43104</v>
      </c>
      <c r="D1281" s="47" t="s">
        <v>25</v>
      </c>
      <c r="E1281" s="48">
        <v>0.54166666666666696</v>
      </c>
      <c r="F1281" s="48">
        <v>0.91666666666666696</v>
      </c>
      <c r="G1281" s="49">
        <v>0</v>
      </c>
      <c r="H1281" s="49">
        <v>8</v>
      </c>
      <c r="I1281" s="49">
        <v>8</v>
      </c>
      <c r="J1281" s="50" t="s">
        <v>30</v>
      </c>
      <c r="K1281" s="51" t="s">
        <v>403</v>
      </c>
      <c r="L1281" s="102" t="s">
        <v>281</v>
      </c>
      <c r="M1281" s="19" t="str">
        <f t="shared" si="34"/>
        <v>Jan_2018</v>
      </c>
    </row>
    <row r="1282" spans="1:13">
      <c r="A1282" s="45" t="s">
        <v>22</v>
      </c>
      <c r="B1282" s="52" t="s">
        <v>77</v>
      </c>
      <c r="C1282" s="46">
        <v>43104</v>
      </c>
      <c r="D1282" s="47" t="s">
        <v>25</v>
      </c>
      <c r="E1282" s="48">
        <v>0.29166666666666702</v>
      </c>
      <c r="F1282" s="48">
        <v>0.58333333333333304</v>
      </c>
      <c r="G1282" s="49">
        <v>0</v>
      </c>
      <c r="H1282" s="49">
        <v>6.999999999999984</v>
      </c>
      <c r="I1282" s="49">
        <v>6.999999999999984</v>
      </c>
      <c r="J1282" s="50" t="s">
        <v>30</v>
      </c>
      <c r="K1282" s="51" t="s">
        <v>403</v>
      </c>
      <c r="L1282" s="102" t="s">
        <v>281</v>
      </c>
      <c r="M1282" s="19" t="str">
        <f t="shared" si="34"/>
        <v>Jan_2018</v>
      </c>
    </row>
    <row r="1283" spans="1:13">
      <c r="A1283" s="45" t="s">
        <v>22</v>
      </c>
      <c r="B1283" s="52" t="s">
        <v>78</v>
      </c>
      <c r="C1283" s="46">
        <v>43104</v>
      </c>
      <c r="D1283" s="47" t="s">
        <v>25</v>
      </c>
      <c r="E1283" s="48">
        <v>0.54166666666666696</v>
      </c>
      <c r="F1283" s="48">
        <v>0.91666666666666696</v>
      </c>
      <c r="G1283" s="49">
        <v>0</v>
      </c>
      <c r="H1283" s="49">
        <v>8</v>
      </c>
      <c r="I1283" s="49">
        <v>8</v>
      </c>
      <c r="J1283" s="50" t="s">
        <v>30</v>
      </c>
      <c r="K1283" s="51" t="s">
        <v>403</v>
      </c>
      <c r="L1283" s="102" t="s">
        <v>281</v>
      </c>
      <c r="M1283" s="19" t="str">
        <f t="shared" si="34"/>
        <v>Jan_2018</v>
      </c>
    </row>
    <row r="1284" spans="1:13">
      <c r="A1284" s="45" t="s">
        <v>22</v>
      </c>
      <c r="B1284" s="52" t="s">
        <v>254</v>
      </c>
      <c r="C1284" s="46">
        <v>43104</v>
      </c>
      <c r="D1284" s="47" t="s">
        <v>25</v>
      </c>
      <c r="E1284" s="48">
        <v>0.27083333333333298</v>
      </c>
      <c r="F1284" s="48">
        <v>0.41666666666666702</v>
      </c>
      <c r="G1284" s="49">
        <v>0</v>
      </c>
      <c r="H1284" s="49">
        <v>3.5000000000000169</v>
      </c>
      <c r="I1284" s="49">
        <v>3.5000000000000169</v>
      </c>
      <c r="J1284" s="50" t="s">
        <v>30</v>
      </c>
      <c r="K1284" s="51" t="s">
        <v>403</v>
      </c>
      <c r="L1284" s="102" t="s">
        <v>281</v>
      </c>
      <c r="M1284" s="19" t="str">
        <f t="shared" si="34"/>
        <v>Jan_2018</v>
      </c>
    </row>
    <row r="1285" spans="1:13">
      <c r="A1285" s="45" t="s">
        <v>22</v>
      </c>
      <c r="B1285" s="52" t="s">
        <v>255</v>
      </c>
      <c r="C1285" s="46">
        <v>43104</v>
      </c>
      <c r="D1285" s="47" t="s">
        <v>25</v>
      </c>
      <c r="E1285" s="48">
        <v>0.25</v>
      </c>
      <c r="F1285" s="48">
        <v>0.58333333333333304</v>
      </c>
      <c r="G1285" s="49">
        <v>0</v>
      </c>
      <c r="H1285" s="49">
        <v>7.9999999999999929</v>
      </c>
      <c r="I1285" s="49">
        <v>7.9999999999999929</v>
      </c>
      <c r="J1285" s="50" t="s">
        <v>30</v>
      </c>
      <c r="K1285" s="51" t="s">
        <v>403</v>
      </c>
      <c r="L1285" s="102" t="s">
        <v>281</v>
      </c>
      <c r="M1285" s="19" t="str">
        <f t="shared" si="34"/>
        <v>Jan_2018</v>
      </c>
    </row>
    <row r="1286" spans="1:13">
      <c r="A1286" s="45" t="s">
        <v>22</v>
      </c>
      <c r="B1286" s="52" t="s">
        <v>27</v>
      </c>
      <c r="C1286" s="46">
        <v>43104</v>
      </c>
      <c r="D1286" s="47" t="s">
        <v>25</v>
      </c>
      <c r="E1286" s="48">
        <v>0.25</v>
      </c>
      <c r="F1286" s="48">
        <v>0.58333333333333304</v>
      </c>
      <c r="G1286" s="49">
        <v>0</v>
      </c>
      <c r="H1286" s="49">
        <v>7.9999999999999929</v>
      </c>
      <c r="I1286" s="49">
        <v>7.9999999999999929</v>
      </c>
      <c r="J1286" s="50" t="s">
        <v>30</v>
      </c>
      <c r="K1286" s="51" t="s">
        <v>403</v>
      </c>
      <c r="L1286" s="102" t="s">
        <v>281</v>
      </c>
      <c r="M1286" s="19" t="str">
        <f t="shared" si="34"/>
        <v>Jan_2018</v>
      </c>
    </row>
    <row r="1287" spans="1:13">
      <c r="A1287" s="45" t="s">
        <v>22</v>
      </c>
      <c r="B1287" s="52" t="s">
        <v>346</v>
      </c>
      <c r="C1287" s="46">
        <v>43104</v>
      </c>
      <c r="D1287" s="47" t="s">
        <v>25</v>
      </c>
      <c r="E1287" s="48">
        <v>0.54166666666666696</v>
      </c>
      <c r="F1287" s="48">
        <v>0.91666666666666696</v>
      </c>
      <c r="G1287" s="49">
        <v>0</v>
      </c>
      <c r="H1287" s="49">
        <v>8</v>
      </c>
      <c r="I1287" s="49">
        <v>8</v>
      </c>
      <c r="J1287" s="50" t="s">
        <v>30</v>
      </c>
      <c r="K1287" s="51" t="s">
        <v>403</v>
      </c>
      <c r="L1287" s="102" t="s">
        <v>281</v>
      </c>
      <c r="M1287" s="19" t="str">
        <f t="shared" si="34"/>
        <v>Jan_2018</v>
      </c>
    </row>
    <row r="1288" spans="1:13">
      <c r="A1288" s="45" t="s">
        <v>22</v>
      </c>
      <c r="B1288" s="52" t="s">
        <v>347</v>
      </c>
      <c r="C1288" s="46">
        <v>43104</v>
      </c>
      <c r="D1288" s="47" t="s">
        <v>25</v>
      </c>
      <c r="E1288" s="48">
        <v>0.54166666666666696</v>
      </c>
      <c r="F1288" s="48">
        <v>0.91666666666666696</v>
      </c>
      <c r="G1288" s="49">
        <v>0</v>
      </c>
      <c r="H1288" s="49">
        <v>8</v>
      </c>
      <c r="I1288" s="49">
        <v>8</v>
      </c>
      <c r="J1288" s="50" t="s">
        <v>30</v>
      </c>
      <c r="K1288" s="51" t="s">
        <v>403</v>
      </c>
      <c r="L1288" s="102" t="s">
        <v>281</v>
      </c>
      <c r="M1288" s="19" t="str">
        <f t="shared" si="34"/>
        <v>Jan_2018</v>
      </c>
    </row>
    <row r="1289" spans="1:13">
      <c r="A1289" s="45" t="s">
        <v>22</v>
      </c>
      <c r="B1289" s="52" t="s">
        <v>369</v>
      </c>
      <c r="C1289" s="46">
        <v>43104</v>
      </c>
      <c r="D1289" s="47" t="s">
        <v>25</v>
      </c>
      <c r="E1289" s="48">
        <v>0.25</v>
      </c>
      <c r="F1289" s="48">
        <v>0.625</v>
      </c>
      <c r="G1289" s="49">
        <v>0</v>
      </c>
      <c r="H1289" s="49">
        <v>8</v>
      </c>
      <c r="I1289" s="49">
        <v>8</v>
      </c>
      <c r="J1289" s="50" t="s">
        <v>30</v>
      </c>
      <c r="K1289" s="51" t="s">
        <v>403</v>
      </c>
      <c r="L1289" s="102" t="s">
        <v>281</v>
      </c>
      <c r="M1289" s="19" t="str">
        <f t="shared" si="34"/>
        <v>Jan_2018</v>
      </c>
    </row>
    <row r="1290" spans="1:13">
      <c r="A1290" s="45" t="s">
        <v>22</v>
      </c>
      <c r="B1290" s="52" t="s">
        <v>381</v>
      </c>
      <c r="C1290" s="46">
        <v>43104</v>
      </c>
      <c r="D1290" s="47" t="s">
        <v>25</v>
      </c>
      <c r="E1290" s="48">
        <v>0.25</v>
      </c>
      <c r="F1290" s="48">
        <v>0.625</v>
      </c>
      <c r="G1290" s="49">
        <v>0</v>
      </c>
      <c r="H1290" s="49">
        <v>8</v>
      </c>
      <c r="I1290" s="49">
        <v>8</v>
      </c>
      <c r="J1290" s="50" t="s">
        <v>30</v>
      </c>
      <c r="K1290" s="51" t="s">
        <v>403</v>
      </c>
      <c r="L1290" s="102" t="s">
        <v>281</v>
      </c>
      <c r="M1290" s="19" t="str">
        <f t="shared" si="34"/>
        <v>Jan_2018</v>
      </c>
    </row>
    <row r="1291" spans="1:13">
      <c r="A1291" s="45" t="s">
        <v>22</v>
      </c>
      <c r="B1291" s="52" t="s">
        <v>399</v>
      </c>
      <c r="C1291" s="46">
        <v>43104</v>
      </c>
      <c r="D1291" s="47" t="s">
        <v>25</v>
      </c>
      <c r="E1291" s="48">
        <v>0.54166666666666696</v>
      </c>
      <c r="F1291" s="48">
        <v>0.91666666666666696</v>
      </c>
      <c r="G1291" s="49">
        <v>0</v>
      </c>
      <c r="H1291" s="49">
        <v>8</v>
      </c>
      <c r="I1291" s="49">
        <v>8</v>
      </c>
      <c r="J1291" s="50" t="s">
        <v>30</v>
      </c>
      <c r="K1291" s="51" t="s">
        <v>403</v>
      </c>
      <c r="L1291" s="102" t="s">
        <v>281</v>
      </c>
      <c r="M1291" s="19" t="str">
        <f t="shared" si="34"/>
        <v>Jan_2018</v>
      </c>
    </row>
    <row r="1292" spans="1:13">
      <c r="A1292" s="45" t="s">
        <v>11</v>
      </c>
      <c r="B1292" s="52" t="s">
        <v>12</v>
      </c>
      <c r="C1292" s="54">
        <v>43105</v>
      </c>
      <c r="D1292" s="47" t="s">
        <v>17</v>
      </c>
      <c r="E1292" s="48">
        <v>0.625</v>
      </c>
      <c r="F1292" s="48">
        <v>0.72916666666666696</v>
      </c>
      <c r="G1292" s="49">
        <v>8.0000000000000036</v>
      </c>
      <c r="H1292" s="49">
        <v>2.5000000000000036</v>
      </c>
      <c r="I1292" s="49">
        <v>2.5000000000000036</v>
      </c>
      <c r="J1292" s="50" t="s">
        <v>30</v>
      </c>
      <c r="K1292" s="51" t="s">
        <v>416</v>
      </c>
      <c r="L1292" s="102">
        <v>1</v>
      </c>
      <c r="M1292" s="19" t="str">
        <f t="shared" si="34"/>
        <v>Jan_2018</v>
      </c>
    </row>
    <row r="1293" spans="1:13">
      <c r="A1293" s="45" t="s">
        <v>11</v>
      </c>
      <c r="B1293" s="52" t="s">
        <v>19</v>
      </c>
      <c r="C1293" s="46">
        <v>43105</v>
      </c>
      <c r="D1293" s="47" t="s">
        <v>17</v>
      </c>
      <c r="E1293" s="48">
        <v>0.625</v>
      </c>
      <c r="F1293" s="48">
        <v>0.72916666666666696</v>
      </c>
      <c r="G1293" s="49">
        <v>8.0000000000000036</v>
      </c>
      <c r="H1293" s="49">
        <v>2.5000000000000036</v>
      </c>
      <c r="I1293" s="49">
        <v>2.5000000000000036</v>
      </c>
      <c r="J1293" s="50" t="s">
        <v>30</v>
      </c>
      <c r="K1293" s="51" t="s">
        <v>416</v>
      </c>
      <c r="L1293" s="102">
        <v>1</v>
      </c>
      <c r="M1293" s="19" t="str">
        <f t="shared" si="34"/>
        <v>Jan_2018</v>
      </c>
    </row>
    <row r="1294" spans="1:13">
      <c r="A1294" s="45" t="s">
        <v>11</v>
      </c>
      <c r="B1294" s="52" t="s">
        <v>26</v>
      </c>
      <c r="C1294" s="46">
        <v>43105</v>
      </c>
      <c r="D1294" s="47" t="s">
        <v>17</v>
      </c>
      <c r="E1294" s="48">
        <v>0.625</v>
      </c>
      <c r="F1294" s="48">
        <v>0.72916666666666696</v>
      </c>
      <c r="G1294" s="49">
        <v>8.0000000000000036</v>
      </c>
      <c r="H1294" s="49">
        <v>2.5000000000000036</v>
      </c>
      <c r="I1294" s="49">
        <v>2.5000000000000036</v>
      </c>
      <c r="J1294" s="50" t="s">
        <v>30</v>
      </c>
      <c r="K1294" s="51" t="s">
        <v>416</v>
      </c>
      <c r="L1294" s="102">
        <v>1</v>
      </c>
      <c r="M1294" s="19" t="str">
        <f t="shared" si="34"/>
        <v>Jan_2018</v>
      </c>
    </row>
    <row r="1295" spans="1:13">
      <c r="A1295" s="45" t="s">
        <v>11</v>
      </c>
      <c r="B1295" s="52" t="s">
        <v>149</v>
      </c>
      <c r="C1295" s="46">
        <v>43105</v>
      </c>
      <c r="D1295" s="47" t="s">
        <v>17</v>
      </c>
      <c r="E1295" s="48">
        <v>0.625</v>
      </c>
      <c r="F1295" s="48">
        <v>0.72916666666666696</v>
      </c>
      <c r="G1295" s="49">
        <v>8.0000000000000036</v>
      </c>
      <c r="H1295" s="49">
        <v>2.5000000000000036</v>
      </c>
      <c r="I1295" s="49">
        <v>2.5000000000000036</v>
      </c>
      <c r="J1295" s="50" t="s">
        <v>30</v>
      </c>
      <c r="K1295" s="51" t="s">
        <v>416</v>
      </c>
      <c r="L1295" s="102">
        <v>1</v>
      </c>
      <c r="M1295" s="19" t="str">
        <f t="shared" si="34"/>
        <v>Jan_2018</v>
      </c>
    </row>
    <row r="1296" spans="1:13">
      <c r="A1296" s="45" t="s">
        <v>22</v>
      </c>
      <c r="B1296" s="52" t="s">
        <v>23</v>
      </c>
      <c r="C1296" s="46">
        <v>43105</v>
      </c>
      <c r="D1296" s="47" t="s">
        <v>17</v>
      </c>
      <c r="E1296" s="48">
        <v>0.25</v>
      </c>
      <c r="F1296" s="48">
        <v>0.70833333333333304</v>
      </c>
      <c r="G1296" s="49">
        <v>0</v>
      </c>
      <c r="H1296" s="49">
        <v>9.9999999999999929</v>
      </c>
      <c r="I1296" s="49">
        <v>9.9999999999999929</v>
      </c>
      <c r="J1296" s="50" t="s">
        <v>30</v>
      </c>
      <c r="K1296" s="51" t="s">
        <v>416</v>
      </c>
      <c r="L1296" s="102" t="s">
        <v>281</v>
      </c>
      <c r="M1296" s="19" t="str">
        <f t="shared" si="34"/>
        <v>Jan_2018</v>
      </c>
    </row>
    <row r="1297" spans="1:13">
      <c r="A1297" s="45" t="s">
        <v>22</v>
      </c>
      <c r="B1297" s="52" t="s">
        <v>77</v>
      </c>
      <c r="C1297" s="46">
        <v>43105</v>
      </c>
      <c r="D1297" s="47" t="s">
        <v>17</v>
      </c>
      <c r="E1297" s="48">
        <v>0.25</v>
      </c>
      <c r="F1297" s="48">
        <v>0.52083333333333304</v>
      </c>
      <c r="G1297" s="49">
        <v>0</v>
      </c>
      <c r="H1297" s="49">
        <v>6.4999999999999929</v>
      </c>
      <c r="I1297" s="49">
        <v>6.4999999999999929</v>
      </c>
      <c r="J1297" s="50" t="s">
        <v>30</v>
      </c>
      <c r="K1297" s="51" t="s">
        <v>416</v>
      </c>
      <c r="L1297" s="102" t="s">
        <v>281</v>
      </c>
      <c r="M1297" s="19" t="str">
        <f t="shared" si="34"/>
        <v>Jan_2018</v>
      </c>
    </row>
    <row r="1298" spans="1:13">
      <c r="A1298" s="45" t="s">
        <v>22</v>
      </c>
      <c r="B1298" s="52" t="s">
        <v>346</v>
      </c>
      <c r="C1298" s="46">
        <v>43105</v>
      </c>
      <c r="D1298" s="47" t="s">
        <v>17</v>
      </c>
      <c r="E1298" s="48">
        <v>0.25</v>
      </c>
      <c r="F1298" s="48">
        <v>0.6875</v>
      </c>
      <c r="G1298" s="49">
        <v>0</v>
      </c>
      <c r="H1298" s="49">
        <v>9.5</v>
      </c>
      <c r="I1298" s="49">
        <v>9.5</v>
      </c>
      <c r="J1298" s="50" t="s">
        <v>30</v>
      </c>
      <c r="K1298" s="51" t="s">
        <v>416</v>
      </c>
      <c r="L1298" s="102" t="s">
        <v>281</v>
      </c>
      <c r="M1298" s="19" t="str">
        <f t="shared" si="34"/>
        <v>Jan_2018</v>
      </c>
    </row>
    <row r="1299" spans="1:13">
      <c r="A1299" s="45" t="s">
        <v>22</v>
      </c>
      <c r="B1299" s="52" t="s">
        <v>347</v>
      </c>
      <c r="C1299" s="46">
        <v>43105</v>
      </c>
      <c r="D1299" s="47" t="s">
        <v>17</v>
      </c>
      <c r="E1299" s="48">
        <v>0.25</v>
      </c>
      <c r="F1299" s="48">
        <v>0.6875</v>
      </c>
      <c r="G1299" s="49">
        <v>0</v>
      </c>
      <c r="H1299" s="49">
        <v>9.5</v>
      </c>
      <c r="I1299" s="49">
        <v>9.5</v>
      </c>
      <c r="J1299" s="50" t="s">
        <v>30</v>
      </c>
      <c r="K1299" s="51" t="s">
        <v>416</v>
      </c>
      <c r="L1299" s="102" t="s">
        <v>281</v>
      </c>
      <c r="M1299" s="19" t="str">
        <f t="shared" si="34"/>
        <v>Jan_2018</v>
      </c>
    </row>
    <row r="1300" spans="1:13">
      <c r="A1300" s="45" t="s">
        <v>22</v>
      </c>
      <c r="B1300" s="52" t="s">
        <v>399</v>
      </c>
      <c r="C1300" s="46">
        <v>43105</v>
      </c>
      <c r="D1300" s="47" t="s">
        <v>17</v>
      </c>
      <c r="E1300" s="48">
        <v>0.35416666666666702</v>
      </c>
      <c r="F1300" s="48">
        <v>0.6875</v>
      </c>
      <c r="G1300" s="49">
        <v>0</v>
      </c>
      <c r="H1300" s="49">
        <v>6.9999999999999911</v>
      </c>
      <c r="I1300" s="49">
        <v>6.9999999999999911</v>
      </c>
      <c r="J1300" s="50" t="s">
        <v>30</v>
      </c>
      <c r="K1300" s="51" t="s">
        <v>416</v>
      </c>
      <c r="L1300" s="102" t="s">
        <v>281</v>
      </c>
      <c r="M1300" s="19" t="str">
        <f t="shared" si="34"/>
        <v>Jan_2018</v>
      </c>
    </row>
    <row r="1301" spans="1:13">
      <c r="A1301" s="45" t="s">
        <v>22</v>
      </c>
      <c r="B1301" s="52" t="s">
        <v>23</v>
      </c>
      <c r="C1301" s="46">
        <v>43108</v>
      </c>
      <c r="D1301" s="47" t="s">
        <v>16</v>
      </c>
      <c r="E1301" s="48">
        <v>0.35416666666666702</v>
      </c>
      <c r="F1301" s="48">
        <v>0.72916666666666696</v>
      </c>
      <c r="G1301" s="49">
        <v>0</v>
      </c>
      <c r="H1301" s="49">
        <v>7.9999999999999982</v>
      </c>
      <c r="I1301" s="49">
        <v>7.9999999999999982</v>
      </c>
      <c r="J1301" s="50" t="s">
        <v>30</v>
      </c>
      <c r="K1301" s="51" t="s">
        <v>417</v>
      </c>
      <c r="L1301" s="102" t="s">
        <v>281</v>
      </c>
      <c r="M1301" s="19" t="str">
        <f t="shared" si="34"/>
        <v>Jan_2018</v>
      </c>
    </row>
    <row r="1302" spans="1:13">
      <c r="A1302" s="45" t="s">
        <v>22</v>
      </c>
      <c r="B1302" s="52" t="s">
        <v>23</v>
      </c>
      <c r="C1302" s="46">
        <v>43109</v>
      </c>
      <c r="D1302" s="47" t="s">
        <v>14</v>
      </c>
      <c r="E1302" s="48">
        <v>0.35416666666666702</v>
      </c>
      <c r="F1302" s="48">
        <v>0.72916666666666696</v>
      </c>
      <c r="G1302" s="49">
        <v>0</v>
      </c>
      <c r="H1302" s="49">
        <v>7.9999999999999982</v>
      </c>
      <c r="I1302" s="49">
        <v>7.9999999999999982</v>
      </c>
      <c r="J1302" s="50" t="s">
        <v>30</v>
      </c>
      <c r="K1302" s="51" t="s">
        <v>418</v>
      </c>
      <c r="L1302" s="102" t="s">
        <v>281</v>
      </c>
      <c r="M1302" s="19" t="str">
        <f t="shared" si="34"/>
        <v>Jan_2018</v>
      </c>
    </row>
    <row r="1303" spans="1:13">
      <c r="A1303" s="45" t="s">
        <v>22</v>
      </c>
      <c r="B1303" s="52" t="s">
        <v>23</v>
      </c>
      <c r="C1303" s="46">
        <v>43110</v>
      </c>
      <c r="D1303" s="47" t="s">
        <v>15</v>
      </c>
      <c r="E1303" s="48">
        <v>0.35416666666666702</v>
      </c>
      <c r="F1303" s="48">
        <v>0.72916666666666696</v>
      </c>
      <c r="G1303" s="49">
        <v>0</v>
      </c>
      <c r="H1303" s="49">
        <v>7.9999999999999982</v>
      </c>
      <c r="I1303" s="49">
        <v>7.9999999999999982</v>
      </c>
      <c r="J1303" s="50" t="s">
        <v>30</v>
      </c>
      <c r="K1303" s="51" t="s">
        <v>419</v>
      </c>
      <c r="L1303" s="102" t="s">
        <v>281</v>
      </c>
      <c r="M1303" s="19" t="str">
        <f t="shared" si="34"/>
        <v>Jan_2018</v>
      </c>
    </row>
    <row r="1304" spans="1:13">
      <c r="A1304" s="45" t="s">
        <v>22</v>
      </c>
      <c r="B1304" s="52" t="s">
        <v>23</v>
      </c>
      <c r="C1304" s="46">
        <v>43111</v>
      </c>
      <c r="D1304" s="47" t="s">
        <v>25</v>
      </c>
      <c r="E1304" s="48">
        <v>0.35416666666666702</v>
      </c>
      <c r="F1304" s="48">
        <v>0.72916666666666696</v>
      </c>
      <c r="G1304" s="49">
        <v>0</v>
      </c>
      <c r="H1304" s="49">
        <v>7.9999999999999982</v>
      </c>
      <c r="I1304" s="49">
        <v>7.9999999999999982</v>
      </c>
      <c r="J1304" s="50" t="s">
        <v>30</v>
      </c>
      <c r="K1304" s="51" t="s">
        <v>427</v>
      </c>
      <c r="L1304" s="102" t="s">
        <v>281</v>
      </c>
      <c r="M1304" s="19" t="str">
        <f t="shared" si="34"/>
        <v>Jan_2018</v>
      </c>
    </row>
    <row r="1305" spans="1:13">
      <c r="A1305" s="45" t="s">
        <v>22</v>
      </c>
      <c r="B1305" s="52" t="s">
        <v>27</v>
      </c>
      <c r="C1305" s="46">
        <v>43111</v>
      </c>
      <c r="D1305" s="47" t="s">
        <v>25</v>
      </c>
      <c r="E1305" s="48">
        <v>0.35416666666666702</v>
      </c>
      <c r="F1305" s="48">
        <v>0.72916666666666696</v>
      </c>
      <c r="G1305" s="49">
        <v>0</v>
      </c>
      <c r="H1305" s="49">
        <v>7.9999999999999982</v>
      </c>
      <c r="I1305" s="49">
        <v>7.9999999999999982</v>
      </c>
      <c r="J1305" s="50" t="s">
        <v>30</v>
      </c>
      <c r="K1305" s="51" t="s">
        <v>427</v>
      </c>
      <c r="L1305" s="102" t="s">
        <v>281</v>
      </c>
      <c r="M1305" s="19" t="str">
        <f t="shared" si="34"/>
        <v>Jan_2018</v>
      </c>
    </row>
    <row r="1306" spans="1:13">
      <c r="A1306" s="45" t="s">
        <v>22</v>
      </c>
      <c r="B1306" s="52" t="s">
        <v>23</v>
      </c>
      <c r="C1306" s="46">
        <v>43112</v>
      </c>
      <c r="D1306" s="47" t="s">
        <v>17</v>
      </c>
      <c r="E1306" s="48">
        <v>0.35416666666666702</v>
      </c>
      <c r="F1306" s="48">
        <v>0.72916666666666696</v>
      </c>
      <c r="G1306" s="49">
        <v>0</v>
      </c>
      <c r="H1306" s="49">
        <v>7.9999999999999982</v>
      </c>
      <c r="I1306" s="49">
        <v>7.9999999999999982</v>
      </c>
      <c r="J1306" s="50" t="s">
        <v>30</v>
      </c>
      <c r="K1306" s="51" t="s">
        <v>428</v>
      </c>
      <c r="L1306" s="102" t="s">
        <v>281</v>
      </c>
      <c r="M1306" s="19" t="str">
        <f t="shared" si="34"/>
        <v>Jan_2018</v>
      </c>
    </row>
    <row r="1307" spans="1:13">
      <c r="A1307" s="45" t="s">
        <v>22</v>
      </c>
      <c r="B1307" s="52" t="s">
        <v>23</v>
      </c>
      <c r="C1307" s="46">
        <v>43115</v>
      </c>
      <c r="D1307" s="47" t="s">
        <v>16</v>
      </c>
      <c r="E1307" s="48">
        <v>0.35416666666666702</v>
      </c>
      <c r="F1307" s="48">
        <v>0.72916666666666696</v>
      </c>
      <c r="G1307" s="49">
        <v>0</v>
      </c>
      <c r="H1307" s="49">
        <v>7.9999999999999982</v>
      </c>
      <c r="I1307" s="49">
        <v>7.9999999999999982</v>
      </c>
      <c r="J1307" s="50" t="s">
        <v>30</v>
      </c>
      <c r="K1307" s="51" t="s">
        <v>429</v>
      </c>
      <c r="L1307" s="102" t="s">
        <v>281</v>
      </c>
      <c r="M1307" s="19" t="str">
        <f t="shared" si="34"/>
        <v>Jan_2018</v>
      </c>
    </row>
    <row r="1308" spans="1:13">
      <c r="A1308" s="45" t="s">
        <v>22</v>
      </c>
      <c r="B1308" s="52" t="s">
        <v>23</v>
      </c>
      <c r="C1308" s="46">
        <v>43116</v>
      </c>
      <c r="D1308" s="47" t="s">
        <v>14</v>
      </c>
      <c r="E1308" s="48">
        <v>0.35416666666666702</v>
      </c>
      <c r="F1308" s="48">
        <v>0.72916666666666696</v>
      </c>
      <c r="G1308" s="49">
        <v>0</v>
      </c>
      <c r="H1308" s="49">
        <v>7.9999999999999982</v>
      </c>
      <c r="I1308" s="49">
        <v>7.9999999999999982</v>
      </c>
      <c r="J1308" s="50" t="s">
        <v>30</v>
      </c>
      <c r="K1308" s="51" t="s">
        <v>430</v>
      </c>
      <c r="L1308" s="102" t="s">
        <v>281</v>
      </c>
      <c r="M1308" s="19" t="str">
        <f t="shared" si="34"/>
        <v>Jan_2018</v>
      </c>
    </row>
    <row r="1309" spans="1:13">
      <c r="A1309" s="45" t="s">
        <v>22</v>
      </c>
      <c r="B1309" s="52" t="s">
        <v>23</v>
      </c>
      <c r="C1309" s="46">
        <v>43117</v>
      </c>
      <c r="D1309" s="47" t="s">
        <v>15</v>
      </c>
      <c r="E1309" s="48">
        <v>0.35416666666666702</v>
      </c>
      <c r="F1309" s="48">
        <v>0.72916666666666696</v>
      </c>
      <c r="G1309" s="49">
        <v>0</v>
      </c>
      <c r="H1309" s="49">
        <v>7.9999999999999982</v>
      </c>
      <c r="I1309" s="49">
        <v>7.9999999999999982</v>
      </c>
      <c r="J1309" s="50" t="s">
        <v>30</v>
      </c>
      <c r="K1309" s="51" t="s">
        <v>431</v>
      </c>
      <c r="L1309" s="102" t="s">
        <v>281</v>
      </c>
      <c r="M1309" s="19" t="str">
        <f t="shared" si="34"/>
        <v>Jan_2018</v>
      </c>
    </row>
    <row r="1310" spans="1:13">
      <c r="A1310" s="45" t="s">
        <v>22</v>
      </c>
      <c r="B1310" s="52" t="s">
        <v>27</v>
      </c>
      <c r="C1310" s="46">
        <v>43117</v>
      </c>
      <c r="D1310" s="47" t="s">
        <v>15</v>
      </c>
      <c r="E1310" s="48">
        <v>0.41666666666666702</v>
      </c>
      <c r="F1310" s="48">
        <v>0.66666666666666696</v>
      </c>
      <c r="G1310" s="49">
        <v>0</v>
      </c>
      <c r="H1310" s="49">
        <v>4.9999999999999982</v>
      </c>
      <c r="I1310" s="49">
        <v>4.9999999999999982</v>
      </c>
      <c r="J1310" s="50" t="s">
        <v>30</v>
      </c>
      <c r="K1310" s="51" t="s">
        <v>431</v>
      </c>
      <c r="L1310" s="102" t="s">
        <v>281</v>
      </c>
      <c r="M1310" s="19" t="str">
        <f t="shared" si="34"/>
        <v>Jan_2018</v>
      </c>
    </row>
    <row r="1311" spans="1:13">
      <c r="A1311" s="45" t="s">
        <v>22</v>
      </c>
      <c r="B1311" s="52" t="s">
        <v>23</v>
      </c>
      <c r="C1311" s="46">
        <v>43118</v>
      </c>
      <c r="D1311" s="47" t="s">
        <v>25</v>
      </c>
      <c r="E1311" s="48">
        <v>0.35416666666666702</v>
      </c>
      <c r="F1311" s="48">
        <v>0.72916666666666696</v>
      </c>
      <c r="G1311" s="49">
        <v>0</v>
      </c>
      <c r="H1311" s="49">
        <v>7.9999999999999982</v>
      </c>
      <c r="I1311" s="49">
        <v>7.9999999999999982</v>
      </c>
      <c r="J1311" s="50" t="s">
        <v>30</v>
      </c>
      <c r="K1311" s="51" t="s">
        <v>432</v>
      </c>
      <c r="L1311" s="102" t="s">
        <v>281</v>
      </c>
      <c r="M1311" s="19" t="str">
        <f t="shared" si="34"/>
        <v>Jan_2018</v>
      </c>
    </row>
    <row r="1312" spans="1:13">
      <c r="A1312" s="45" t="s">
        <v>22</v>
      </c>
      <c r="B1312" s="52" t="s">
        <v>347</v>
      </c>
      <c r="C1312" s="46">
        <v>43118</v>
      </c>
      <c r="D1312" s="47" t="s">
        <v>25</v>
      </c>
      <c r="E1312" s="48">
        <v>0.35416666666666702</v>
      </c>
      <c r="F1312" s="48">
        <v>0.72916666666666696</v>
      </c>
      <c r="G1312" s="49">
        <v>0</v>
      </c>
      <c r="H1312" s="49">
        <v>7.9999999999999982</v>
      </c>
      <c r="I1312" s="49">
        <v>7.9999999999999982</v>
      </c>
      <c r="J1312" s="53" t="s">
        <v>30</v>
      </c>
      <c r="K1312" s="51" t="s">
        <v>432</v>
      </c>
      <c r="L1312" s="102" t="s">
        <v>281</v>
      </c>
      <c r="M1312" s="19" t="str">
        <f t="shared" si="34"/>
        <v>Jan_2018</v>
      </c>
    </row>
    <row r="1313" spans="1:13">
      <c r="A1313" s="45" t="s">
        <v>22</v>
      </c>
      <c r="B1313" s="52" t="s">
        <v>23</v>
      </c>
      <c r="C1313" s="46">
        <v>43119</v>
      </c>
      <c r="D1313" s="47" t="s">
        <v>17</v>
      </c>
      <c r="E1313" s="48">
        <v>0.35416666666666702</v>
      </c>
      <c r="F1313" s="48">
        <v>0.72916666666666696</v>
      </c>
      <c r="G1313" s="49">
        <v>0</v>
      </c>
      <c r="H1313" s="49">
        <v>7.9999999999999982</v>
      </c>
      <c r="I1313" s="49">
        <v>7.9999999999999982</v>
      </c>
      <c r="J1313" s="53" t="s">
        <v>30</v>
      </c>
      <c r="K1313" s="51" t="s">
        <v>433</v>
      </c>
      <c r="L1313" s="102" t="s">
        <v>281</v>
      </c>
      <c r="M1313" s="19" t="str">
        <f t="shared" si="34"/>
        <v>Jan_2018</v>
      </c>
    </row>
    <row r="1314" spans="1:13">
      <c r="A1314" s="45" t="s">
        <v>22</v>
      </c>
      <c r="B1314" s="52" t="s">
        <v>78</v>
      </c>
      <c r="C1314" s="46">
        <v>43119</v>
      </c>
      <c r="D1314" s="47" t="s">
        <v>17</v>
      </c>
      <c r="E1314" s="48">
        <v>0.35416666666666702</v>
      </c>
      <c r="F1314" s="48">
        <v>0.72916666666666696</v>
      </c>
      <c r="G1314" s="49">
        <v>0</v>
      </c>
      <c r="H1314" s="49">
        <v>7.9999999999999982</v>
      </c>
      <c r="I1314" s="49">
        <v>7.9999999999999982</v>
      </c>
      <c r="J1314" s="50" t="s">
        <v>30</v>
      </c>
      <c r="K1314" s="51" t="s">
        <v>433</v>
      </c>
      <c r="L1314" s="102" t="s">
        <v>281</v>
      </c>
      <c r="M1314" s="19" t="str">
        <f t="shared" ref="M1314:M1362" si="35">IF($C1314="","",TEXT(DATE(YEAR($C1314),MONTH($C1314),DAY($C1314)),"MMM")&amp;"_"&amp;YEAR($C1314))</f>
        <v>Jan_2018</v>
      </c>
    </row>
    <row r="1315" spans="1:13">
      <c r="A1315" s="45" t="s">
        <v>22</v>
      </c>
      <c r="B1315" s="52" t="s">
        <v>347</v>
      </c>
      <c r="C1315" s="46">
        <v>43119</v>
      </c>
      <c r="D1315" s="47" t="s">
        <v>17</v>
      </c>
      <c r="E1315" s="48">
        <v>0.35416666666666702</v>
      </c>
      <c r="F1315" s="48">
        <v>0.72916666666666696</v>
      </c>
      <c r="G1315" s="49">
        <v>0</v>
      </c>
      <c r="H1315" s="49">
        <v>7.9999999999999982</v>
      </c>
      <c r="I1315" s="49">
        <v>7.9999999999999982</v>
      </c>
      <c r="J1315" s="50" t="s">
        <v>30</v>
      </c>
      <c r="K1315" s="51" t="s">
        <v>433</v>
      </c>
      <c r="L1315" s="102" t="s">
        <v>281</v>
      </c>
      <c r="M1315" s="19" t="str">
        <f t="shared" si="35"/>
        <v>Jan_2018</v>
      </c>
    </row>
    <row r="1316" spans="1:13">
      <c r="A1316" s="45" t="s">
        <v>22</v>
      </c>
      <c r="B1316" s="52" t="s">
        <v>23</v>
      </c>
      <c r="C1316" s="46">
        <v>43122</v>
      </c>
      <c r="D1316" s="47" t="s">
        <v>16</v>
      </c>
      <c r="E1316" s="48">
        <v>0.35416666666666702</v>
      </c>
      <c r="F1316" s="48">
        <v>0.72916666666666696</v>
      </c>
      <c r="G1316" s="49">
        <v>0</v>
      </c>
      <c r="H1316" s="49">
        <v>7.9999999999999982</v>
      </c>
      <c r="I1316" s="49">
        <v>7.9999999999999982</v>
      </c>
      <c r="J1316" s="50" t="s">
        <v>30</v>
      </c>
      <c r="K1316" s="51" t="s">
        <v>434</v>
      </c>
      <c r="L1316" s="102" t="s">
        <v>281</v>
      </c>
      <c r="M1316" s="19" t="str">
        <f t="shared" si="35"/>
        <v>Jan_2018</v>
      </c>
    </row>
    <row r="1317" spans="1:13">
      <c r="A1317" s="45" t="s">
        <v>22</v>
      </c>
      <c r="B1317" s="52" t="s">
        <v>347</v>
      </c>
      <c r="C1317" s="46">
        <v>43122</v>
      </c>
      <c r="D1317" s="47" t="s">
        <v>16</v>
      </c>
      <c r="E1317" s="48">
        <v>0.35416666666666702</v>
      </c>
      <c r="F1317" s="48">
        <v>0.72916666666666696</v>
      </c>
      <c r="G1317" s="49">
        <v>0</v>
      </c>
      <c r="H1317" s="49">
        <v>7.9999999999999982</v>
      </c>
      <c r="I1317" s="49">
        <v>7.9999999999999982</v>
      </c>
      <c r="J1317" s="50" t="s">
        <v>30</v>
      </c>
      <c r="K1317" s="51" t="s">
        <v>434</v>
      </c>
      <c r="L1317" s="102" t="s">
        <v>281</v>
      </c>
      <c r="M1317" s="19" t="str">
        <f t="shared" si="35"/>
        <v>Jan_2018</v>
      </c>
    </row>
    <row r="1318" spans="1:13">
      <c r="A1318" s="45" t="s">
        <v>22</v>
      </c>
      <c r="B1318" s="52" t="s">
        <v>363</v>
      </c>
      <c r="C1318" s="46">
        <v>43122</v>
      </c>
      <c r="D1318" s="47" t="s">
        <v>16</v>
      </c>
      <c r="E1318" s="48">
        <v>0.35416666666666702</v>
      </c>
      <c r="F1318" s="48">
        <v>0.72916666666666696</v>
      </c>
      <c r="G1318" s="49">
        <v>0</v>
      </c>
      <c r="H1318" s="49">
        <v>7.9999999999999982</v>
      </c>
      <c r="I1318" s="49">
        <v>7.9999999999999982</v>
      </c>
      <c r="J1318" s="50" t="s">
        <v>30</v>
      </c>
      <c r="K1318" s="51" t="s">
        <v>434</v>
      </c>
      <c r="L1318" s="102" t="s">
        <v>281</v>
      </c>
      <c r="M1318" s="19" t="str">
        <f t="shared" si="35"/>
        <v>Jan_2018</v>
      </c>
    </row>
    <row r="1319" spans="1:13">
      <c r="A1319" s="45" t="s">
        <v>22</v>
      </c>
      <c r="B1319" s="52" t="s">
        <v>23</v>
      </c>
      <c r="C1319" s="46">
        <v>43123</v>
      </c>
      <c r="D1319" s="47" t="s">
        <v>14</v>
      </c>
      <c r="E1319" s="48">
        <v>0.35416666666666702</v>
      </c>
      <c r="F1319" s="48">
        <v>0.72916666666666696</v>
      </c>
      <c r="G1319" s="49">
        <v>0</v>
      </c>
      <c r="H1319" s="49">
        <v>7.9999999999999982</v>
      </c>
      <c r="I1319" s="49">
        <v>7.9999999999999982</v>
      </c>
      <c r="J1319" s="50" t="s">
        <v>30</v>
      </c>
      <c r="K1319" s="51" t="s">
        <v>435</v>
      </c>
      <c r="L1319" s="102" t="s">
        <v>281</v>
      </c>
      <c r="M1319" s="19" t="str">
        <f t="shared" si="35"/>
        <v>Jan_2018</v>
      </c>
    </row>
    <row r="1320" spans="1:13">
      <c r="A1320" s="45" t="s">
        <v>22</v>
      </c>
      <c r="B1320" s="52" t="s">
        <v>347</v>
      </c>
      <c r="C1320" s="46">
        <v>43123</v>
      </c>
      <c r="D1320" s="47" t="s">
        <v>14</v>
      </c>
      <c r="E1320" s="48">
        <v>0.35416666666666702</v>
      </c>
      <c r="F1320" s="48">
        <v>0.72916666666666696</v>
      </c>
      <c r="G1320" s="49">
        <v>0</v>
      </c>
      <c r="H1320" s="49">
        <v>7.9999999999999982</v>
      </c>
      <c r="I1320" s="49">
        <v>7.9999999999999982</v>
      </c>
      <c r="J1320" s="50" t="s">
        <v>30</v>
      </c>
      <c r="K1320" s="51" t="s">
        <v>435</v>
      </c>
      <c r="L1320" s="102" t="s">
        <v>281</v>
      </c>
      <c r="M1320" s="19" t="str">
        <f t="shared" si="35"/>
        <v>Jan_2018</v>
      </c>
    </row>
    <row r="1321" spans="1:13">
      <c r="A1321" s="45" t="s">
        <v>11</v>
      </c>
      <c r="B1321" s="52" t="s">
        <v>12</v>
      </c>
      <c r="C1321" s="54">
        <v>43124</v>
      </c>
      <c r="D1321" s="47" t="s">
        <v>15</v>
      </c>
      <c r="E1321" s="48">
        <v>0.72916666666666696</v>
      </c>
      <c r="F1321" s="48">
        <v>0.85416666666666696</v>
      </c>
      <c r="G1321" s="49">
        <v>8.0000000000000036</v>
      </c>
      <c r="H1321" s="49">
        <v>2.9999999999999947</v>
      </c>
      <c r="I1321" s="49">
        <v>2.9999999999999947</v>
      </c>
      <c r="J1321" s="50" t="s">
        <v>30</v>
      </c>
      <c r="K1321" s="51" t="s">
        <v>436</v>
      </c>
      <c r="L1321" s="102">
        <v>1</v>
      </c>
      <c r="M1321" s="19" t="str">
        <f t="shared" si="35"/>
        <v>Jan_2018</v>
      </c>
    </row>
    <row r="1322" spans="1:13">
      <c r="A1322" s="45" t="s">
        <v>11</v>
      </c>
      <c r="B1322" s="52" t="s">
        <v>19</v>
      </c>
      <c r="C1322" s="46">
        <v>43124</v>
      </c>
      <c r="D1322" s="47" t="s">
        <v>15</v>
      </c>
      <c r="E1322" s="48">
        <v>0.72916666666666696</v>
      </c>
      <c r="F1322" s="48">
        <v>0.85416666666666696</v>
      </c>
      <c r="G1322" s="49">
        <v>8.0000000000000036</v>
      </c>
      <c r="H1322" s="49">
        <v>2.9999999999999947</v>
      </c>
      <c r="I1322" s="49">
        <v>2.9999999999999947</v>
      </c>
      <c r="J1322" s="50" t="s">
        <v>30</v>
      </c>
      <c r="K1322" s="51" t="s">
        <v>436</v>
      </c>
      <c r="L1322" s="102">
        <v>1</v>
      </c>
      <c r="M1322" s="19" t="str">
        <f t="shared" si="35"/>
        <v>Jan_2018</v>
      </c>
    </row>
    <row r="1323" spans="1:13">
      <c r="A1323" s="45" t="s">
        <v>11</v>
      </c>
      <c r="B1323" s="52" t="s">
        <v>26</v>
      </c>
      <c r="C1323" s="46">
        <v>43124</v>
      </c>
      <c r="D1323" s="47" t="s">
        <v>15</v>
      </c>
      <c r="E1323" s="48">
        <v>0.72916666666666696</v>
      </c>
      <c r="F1323" s="48">
        <v>0.85416666666666696</v>
      </c>
      <c r="G1323" s="49">
        <v>8.0000000000000036</v>
      </c>
      <c r="H1323" s="49">
        <v>2.9999999999999947</v>
      </c>
      <c r="I1323" s="49">
        <v>2.9999999999999947</v>
      </c>
      <c r="J1323" s="50" t="s">
        <v>30</v>
      </c>
      <c r="K1323" s="51" t="s">
        <v>436</v>
      </c>
      <c r="L1323" s="102">
        <v>1</v>
      </c>
      <c r="M1323" s="19" t="str">
        <f t="shared" si="35"/>
        <v>Jan_2018</v>
      </c>
    </row>
    <row r="1324" spans="1:13">
      <c r="A1324" s="45" t="s">
        <v>11</v>
      </c>
      <c r="B1324" s="52" t="s">
        <v>161</v>
      </c>
      <c r="C1324" s="46">
        <v>43124</v>
      </c>
      <c r="D1324" s="47" t="s">
        <v>15</v>
      </c>
      <c r="E1324" s="48">
        <v>0.72916666666666696</v>
      </c>
      <c r="F1324" s="48">
        <v>0.83333333333333304</v>
      </c>
      <c r="G1324" s="49">
        <v>8.0000000000000036</v>
      </c>
      <c r="H1324" s="49">
        <v>2.4999999999999805</v>
      </c>
      <c r="I1324" s="49">
        <v>2.4999999999999805</v>
      </c>
      <c r="J1324" s="50" t="s">
        <v>30</v>
      </c>
      <c r="K1324" s="51" t="s">
        <v>436</v>
      </c>
      <c r="L1324" s="102">
        <v>1</v>
      </c>
      <c r="M1324" s="19" t="str">
        <f t="shared" si="35"/>
        <v>Jan_2018</v>
      </c>
    </row>
    <row r="1325" spans="1:13">
      <c r="A1325" s="45" t="s">
        <v>22</v>
      </c>
      <c r="B1325" s="52" t="s">
        <v>23</v>
      </c>
      <c r="C1325" s="46">
        <v>43124</v>
      </c>
      <c r="D1325" s="47" t="s">
        <v>15</v>
      </c>
      <c r="E1325" s="48">
        <v>0.35416666666666702</v>
      </c>
      <c r="F1325" s="48">
        <v>0.85416666666666696</v>
      </c>
      <c r="G1325" s="49">
        <v>0</v>
      </c>
      <c r="H1325" s="49">
        <v>10.999999999999998</v>
      </c>
      <c r="I1325" s="49">
        <v>10.999999999999998</v>
      </c>
      <c r="J1325" s="50" t="s">
        <v>30</v>
      </c>
      <c r="K1325" s="51" t="s">
        <v>436</v>
      </c>
      <c r="L1325" s="102" t="s">
        <v>281</v>
      </c>
      <c r="M1325" s="19" t="str">
        <f t="shared" si="35"/>
        <v>Jan_2018</v>
      </c>
    </row>
    <row r="1326" spans="1:13">
      <c r="A1326" s="45" t="s">
        <v>22</v>
      </c>
      <c r="B1326" s="52" t="s">
        <v>347</v>
      </c>
      <c r="C1326" s="46">
        <v>43124</v>
      </c>
      <c r="D1326" s="47" t="s">
        <v>15</v>
      </c>
      <c r="E1326" s="48">
        <v>0.35416666666666702</v>
      </c>
      <c r="F1326" s="48">
        <v>0.85416666666666696</v>
      </c>
      <c r="G1326" s="49">
        <v>0</v>
      </c>
      <c r="H1326" s="49">
        <v>10.999999999999998</v>
      </c>
      <c r="I1326" s="49">
        <v>10.999999999999998</v>
      </c>
      <c r="J1326" s="50" t="s">
        <v>30</v>
      </c>
      <c r="K1326" s="51" t="s">
        <v>436</v>
      </c>
      <c r="L1326" s="102" t="s">
        <v>281</v>
      </c>
      <c r="M1326" s="19" t="str">
        <f t="shared" si="35"/>
        <v>Jan_2018</v>
      </c>
    </row>
    <row r="1327" spans="1:13">
      <c r="A1327" s="45" t="s">
        <v>22</v>
      </c>
      <c r="B1327" s="52" t="s">
        <v>23</v>
      </c>
      <c r="C1327" s="46">
        <v>43125</v>
      </c>
      <c r="D1327" s="47" t="s">
        <v>25</v>
      </c>
      <c r="E1327" s="48">
        <v>0.35416666666666702</v>
      </c>
      <c r="F1327" s="48">
        <v>0.72916666666666696</v>
      </c>
      <c r="G1327" s="49">
        <v>0</v>
      </c>
      <c r="H1327" s="49">
        <v>7.9999999999999982</v>
      </c>
      <c r="I1327" s="49">
        <v>7.9999999999999982</v>
      </c>
      <c r="J1327" s="50" t="s">
        <v>30</v>
      </c>
      <c r="K1327" s="51" t="s">
        <v>437</v>
      </c>
      <c r="L1327" s="102" t="s">
        <v>281</v>
      </c>
      <c r="M1327" s="19" t="str">
        <f t="shared" si="35"/>
        <v>Jan_2018</v>
      </c>
    </row>
    <row r="1328" spans="1:13">
      <c r="A1328" s="45" t="s">
        <v>22</v>
      </c>
      <c r="B1328" s="52" t="s">
        <v>347</v>
      </c>
      <c r="C1328" s="46">
        <v>43125</v>
      </c>
      <c r="D1328" s="47" t="s">
        <v>25</v>
      </c>
      <c r="E1328" s="48">
        <v>0.35416666666666702</v>
      </c>
      <c r="F1328" s="48">
        <v>0.72916666666666696</v>
      </c>
      <c r="G1328" s="49">
        <v>0</v>
      </c>
      <c r="H1328" s="49">
        <v>7.9999999999999982</v>
      </c>
      <c r="I1328" s="49">
        <v>7.9999999999999982</v>
      </c>
      <c r="J1328" s="50" t="s">
        <v>30</v>
      </c>
      <c r="K1328" s="51" t="s">
        <v>437</v>
      </c>
      <c r="L1328" s="102" t="s">
        <v>281</v>
      </c>
      <c r="M1328" s="19" t="str">
        <f t="shared" si="35"/>
        <v>Jan_2018</v>
      </c>
    </row>
    <row r="1329" spans="1:13">
      <c r="A1329" s="45" t="s">
        <v>11</v>
      </c>
      <c r="B1329" s="52" t="s">
        <v>12</v>
      </c>
      <c r="C1329" s="54">
        <v>43126</v>
      </c>
      <c r="D1329" s="47" t="s">
        <v>17</v>
      </c>
      <c r="E1329" s="48">
        <v>0.70833333333333304</v>
      </c>
      <c r="F1329" s="48">
        <v>0.72916666666666696</v>
      </c>
      <c r="G1329" s="49">
        <v>8.0000000000000036</v>
      </c>
      <c r="H1329" s="49">
        <v>0.50000000000001243</v>
      </c>
      <c r="I1329" s="49">
        <v>0.50000000000001243</v>
      </c>
      <c r="J1329" s="50" t="s">
        <v>30</v>
      </c>
      <c r="K1329" s="51" t="s">
        <v>438</v>
      </c>
      <c r="L1329" s="102" t="s">
        <v>281</v>
      </c>
      <c r="M1329" s="19" t="str">
        <f t="shared" si="35"/>
        <v>Jan_2018</v>
      </c>
    </row>
    <row r="1330" spans="1:13">
      <c r="A1330" s="45" t="s">
        <v>11</v>
      </c>
      <c r="B1330" s="52" t="s">
        <v>19</v>
      </c>
      <c r="C1330" s="46">
        <v>43126</v>
      </c>
      <c r="D1330" s="47" t="s">
        <v>17</v>
      </c>
      <c r="E1330" s="48">
        <v>0.70833333333333304</v>
      </c>
      <c r="F1330" s="48">
        <v>0.72916666666666696</v>
      </c>
      <c r="G1330" s="49">
        <v>8.0000000000000036</v>
      </c>
      <c r="H1330" s="49">
        <v>0.50000000000001243</v>
      </c>
      <c r="I1330" s="49">
        <v>0.50000000000001243</v>
      </c>
      <c r="J1330" s="50" t="s">
        <v>30</v>
      </c>
      <c r="K1330" s="51" t="s">
        <v>438</v>
      </c>
      <c r="L1330" s="102" t="s">
        <v>281</v>
      </c>
      <c r="M1330" s="19" t="str">
        <f t="shared" si="35"/>
        <v>Jan_2018</v>
      </c>
    </row>
    <row r="1331" spans="1:13">
      <c r="A1331" s="45" t="s">
        <v>11</v>
      </c>
      <c r="B1331" s="52" t="s">
        <v>26</v>
      </c>
      <c r="C1331" s="46">
        <v>43126</v>
      </c>
      <c r="D1331" s="47" t="s">
        <v>17</v>
      </c>
      <c r="E1331" s="48">
        <v>0.70833333333333304</v>
      </c>
      <c r="F1331" s="48">
        <v>0.72916666666666696</v>
      </c>
      <c r="G1331" s="49">
        <v>8.0000000000000036</v>
      </c>
      <c r="H1331" s="49">
        <v>0.50000000000001243</v>
      </c>
      <c r="I1331" s="49">
        <v>0.50000000000001243</v>
      </c>
      <c r="J1331" s="50" t="s">
        <v>30</v>
      </c>
      <c r="K1331" s="51" t="s">
        <v>438</v>
      </c>
      <c r="L1331" s="102" t="s">
        <v>281</v>
      </c>
      <c r="M1331" s="19" t="str">
        <f t="shared" si="35"/>
        <v>Jan_2018</v>
      </c>
    </row>
    <row r="1332" spans="1:13">
      <c r="A1332" s="45" t="s">
        <v>22</v>
      </c>
      <c r="B1332" s="52" t="s">
        <v>23</v>
      </c>
      <c r="C1332" s="46">
        <v>43126</v>
      </c>
      <c r="D1332" s="47" t="s">
        <v>17</v>
      </c>
      <c r="E1332" s="48">
        <v>0.33333333333333298</v>
      </c>
      <c r="F1332" s="48">
        <v>0.72916666666666696</v>
      </c>
      <c r="G1332" s="49">
        <v>0</v>
      </c>
      <c r="H1332" s="49">
        <v>8.500000000000016</v>
      </c>
      <c r="I1332" s="49">
        <v>8.500000000000016</v>
      </c>
      <c r="J1332" s="50" t="s">
        <v>30</v>
      </c>
      <c r="K1332" s="51" t="s">
        <v>438</v>
      </c>
      <c r="L1332" s="102" t="s">
        <v>281</v>
      </c>
      <c r="M1332" s="19" t="str">
        <f t="shared" si="35"/>
        <v>Jan_2018</v>
      </c>
    </row>
    <row r="1333" spans="1:13">
      <c r="A1333" s="45" t="s">
        <v>22</v>
      </c>
      <c r="B1333" s="52" t="s">
        <v>255</v>
      </c>
      <c r="C1333" s="46">
        <v>43126</v>
      </c>
      <c r="D1333" s="47" t="s">
        <v>17</v>
      </c>
      <c r="E1333" s="48">
        <v>0.33333333333333298</v>
      </c>
      <c r="F1333" s="48">
        <v>0.72916666666666696</v>
      </c>
      <c r="G1333" s="49">
        <v>0</v>
      </c>
      <c r="H1333" s="49">
        <v>8.500000000000016</v>
      </c>
      <c r="I1333" s="49">
        <v>8.500000000000016</v>
      </c>
      <c r="J1333" s="50" t="s">
        <v>30</v>
      </c>
      <c r="K1333" s="51" t="s">
        <v>438</v>
      </c>
      <c r="L1333" s="102" t="s">
        <v>281</v>
      </c>
      <c r="M1333" s="19" t="str">
        <f t="shared" si="35"/>
        <v>Jan_2018</v>
      </c>
    </row>
    <row r="1334" spans="1:13">
      <c r="A1334" s="45" t="s">
        <v>22</v>
      </c>
      <c r="B1334" s="52" t="s">
        <v>346</v>
      </c>
      <c r="C1334" s="46">
        <v>43126</v>
      </c>
      <c r="D1334" s="47" t="s">
        <v>17</v>
      </c>
      <c r="E1334" s="48">
        <v>0.33333333333333298</v>
      </c>
      <c r="F1334" s="48">
        <v>0.72916666666666696</v>
      </c>
      <c r="G1334" s="49">
        <v>0</v>
      </c>
      <c r="H1334" s="49">
        <v>8.500000000000016</v>
      </c>
      <c r="I1334" s="49">
        <v>8.500000000000016</v>
      </c>
      <c r="J1334" s="50" t="s">
        <v>30</v>
      </c>
      <c r="K1334" s="51" t="s">
        <v>438</v>
      </c>
      <c r="L1334" s="102" t="s">
        <v>281</v>
      </c>
      <c r="M1334" s="19" t="str">
        <f t="shared" si="35"/>
        <v>Jan_2018</v>
      </c>
    </row>
    <row r="1335" spans="1:13">
      <c r="A1335" s="45" t="s">
        <v>22</v>
      </c>
      <c r="B1335" s="52" t="s">
        <v>347</v>
      </c>
      <c r="C1335" s="46">
        <v>43126</v>
      </c>
      <c r="D1335" s="47" t="s">
        <v>17</v>
      </c>
      <c r="E1335" s="48">
        <v>0.33333333333333298</v>
      </c>
      <c r="F1335" s="48">
        <v>0.72916666666666696</v>
      </c>
      <c r="G1335" s="49">
        <v>0</v>
      </c>
      <c r="H1335" s="49">
        <v>8.500000000000016</v>
      </c>
      <c r="I1335" s="49">
        <v>8.500000000000016</v>
      </c>
      <c r="J1335" s="50" t="s">
        <v>30</v>
      </c>
      <c r="K1335" s="51" t="s">
        <v>438</v>
      </c>
      <c r="L1335" s="102" t="s">
        <v>281</v>
      </c>
      <c r="M1335" s="19" t="str">
        <f t="shared" si="35"/>
        <v>Jan_2018</v>
      </c>
    </row>
    <row r="1336" spans="1:13">
      <c r="A1336" s="45" t="s">
        <v>11</v>
      </c>
      <c r="B1336" s="52" t="s">
        <v>12</v>
      </c>
      <c r="C1336" s="54">
        <v>43129</v>
      </c>
      <c r="D1336" s="47" t="s">
        <v>16</v>
      </c>
      <c r="E1336" s="48">
        <v>0.70833333333333304</v>
      </c>
      <c r="F1336" s="48">
        <v>0.72916666666666696</v>
      </c>
      <c r="G1336" s="49">
        <v>8.0000000000000036</v>
      </c>
      <c r="H1336" s="49">
        <v>0.50000000000001243</v>
      </c>
      <c r="I1336" s="49">
        <v>0.50000000000001243</v>
      </c>
      <c r="J1336" s="50" t="s">
        <v>30</v>
      </c>
      <c r="K1336" s="51" t="s">
        <v>439</v>
      </c>
      <c r="L1336" s="102" t="s">
        <v>281</v>
      </c>
      <c r="M1336" s="19" t="str">
        <f t="shared" si="35"/>
        <v>Jan_2018</v>
      </c>
    </row>
    <row r="1337" spans="1:13">
      <c r="A1337" s="45" t="s">
        <v>11</v>
      </c>
      <c r="B1337" s="52" t="s">
        <v>19</v>
      </c>
      <c r="C1337" s="46">
        <v>43129</v>
      </c>
      <c r="D1337" s="47" t="s">
        <v>16</v>
      </c>
      <c r="E1337" s="48">
        <v>0.70833333333333304</v>
      </c>
      <c r="F1337" s="48">
        <v>0.875</v>
      </c>
      <c r="G1337" s="49">
        <v>8.0000000000000036</v>
      </c>
      <c r="H1337" s="49">
        <v>4.0000000000000036</v>
      </c>
      <c r="I1337" s="49">
        <v>4.0000000000000036</v>
      </c>
      <c r="J1337" s="50" t="s">
        <v>30</v>
      </c>
      <c r="K1337" s="51" t="s">
        <v>439</v>
      </c>
      <c r="L1337" s="102">
        <v>1</v>
      </c>
      <c r="M1337" s="19" t="str">
        <f t="shared" si="35"/>
        <v>Jan_2018</v>
      </c>
    </row>
    <row r="1338" spans="1:13">
      <c r="A1338" s="45" t="s">
        <v>11</v>
      </c>
      <c r="B1338" s="52" t="s">
        <v>26</v>
      </c>
      <c r="C1338" s="46">
        <v>43129</v>
      </c>
      <c r="D1338" s="47" t="s">
        <v>16</v>
      </c>
      <c r="E1338" s="48">
        <v>0.70833333333333304</v>
      </c>
      <c r="F1338" s="48">
        <v>0.875</v>
      </c>
      <c r="G1338" s="49">
        <v>8.0000000000000036</v>
      </c>
      <c r="H1338" s="49">
        <v>4.0000000000000036</v>
      </c>
      <c r="I1338" s="49">
        <v>4.0000000000000036</v>
      </c>
      <c r="J1338" s="50" t="s">
        <v>30</v>
      </c>
      <c r="K1338" s="51" t="s">
        <v>439</v>
      </c>
      <c r="L1338" s="102">
        <v>1</v>
      </c>
      <c r="M1338" s="19" t="str">
        <f t="shared" si="35"/>
        <v>Jan_2018</v>
      </c>
    </row>
    <row r="1339" spans="1:13">
      <c r="A1339" s="45" t="s">
        <v>22</v>
      </c>
      <c r="B1339" s="52" t="s">
        <v>23</v>
      </c>
      <c r="C1339" s="46">
        <v>43129</v>
      </c>
      <c r="D1339" s="47" t="s">
        <v>16</v>
      </c>
      <c r="E1339" s="48">
        <v>0.33333333333333298</v>
      </c>
      <c r="F1339" s="48">
        <v>0.875</v>
      </c>
      <c r="G1339" s="49">
        <v>0</v>
      </c>
      <c r="H1339" s="49">
        <v>12.000000000000007</v>
      </c>
      <c r="I1339" s="49">
        <v>12.000000000000007</v>
      </c>
      <c r="J1339" s="50" t="s">
        <v>30</v>
      </c>
      <c r="K1339" s="51" t="s">
        <v>439</v>
      </c>
      <c r="L1339" s="102" t="s">
        <v>281</v>
      </c>
      <c r="M1339" s="19" t="str">
        <f t="shared" si="35"/>
        <v>Jan_2018</v>
      </c>
    </row>
    <row r="1340" spans="1:13">
      <c r="A1340" s="45" t="s">
        <v>22</v>
      </c>
      <c r="B1340" s="52" t="s">
        <v>77</v>
      </c>
      <c r="C1340" s="46">
        <v>43129</v>
      </c>
      <c r="D1340" s="47" t="s">
        <v>16</v>
      </c>
      <c r="E1340" s="48">
        <v>0.33333333333333298</v>
      </c>
      <c r="F1340" s="48">
        <v>0.875</v>
      </c>
      <c r="G1340" s="49">
        <v>0</v>
      </c>
      <c r="H1340" s="49">
        <v>12.000000000000007</v>
      </c>
      <c r="I1340" s="49">
        <v>12.000000000000007</v>
      </c>
      <c r="J1340" s="50" t="s">
        <v>30</v>
      </c>
      <c r="K1340" s="51" t="s">
        <v>439</v>
      </c>
      <c r="L1340" s="102" t="s">
        <v>281</v>
      </c>
      <c r="M1340" s="19" t="str">
        <f t="shared" si="35"/>
        <v>Jan_2018</v>
      </c>
    </row>
    <row r="1341" spans="1:13">
      <c r="A1341" s="45" t="s">
        <v>22</v>
      </c>
      <c r="B1341" s="52" t="s">
        <v>255</v>
      </c>
      <c r="C1341" s="46">
        <v>43129</v>
      </c>
      <c r="D1341" s="47" t="s">
        <v>16</v>
      </c>
      <c r="E1341" s="48">
        <v>0.33333333333333298</v>
      </c>
      <c r="F1341" s="48">
        <v>0.875</v>
      </c>
      <c r="G1341" s="49">
        <v>0</v>
      </c>
      <c r="H1341" s="49">
        <v>12.000000000000007</v>
      </c>
      <c r="I1341" s="49">
        <v>12.000000000000007</v>
      </c>
      <c r="J1341" s="50" t="s">
        <v>30</v>
      </c>
      <c r="K1341" s="51" t="s">
        <v>439</v>
      </c>
      <c r="L1341" s="102" t="s">
        <v>281</v>
      </c>
      <c r="M1341" s="19" t="str">
        <f t="shared" si="35"/>
        <v>Jan_2018</v>
      </c>
    </row>
    <row r="1342" spans="1:13">
      <c r="A1342" s="45" t="s">
        <v>22</v>
      </c>
      <c r="B1342" s="52" t="s">
        <v>346</v>
      </c>
      <c r="C1342" s="46">
        <v>43129</v>
      </c>
      <c r="D1342" s="47" t="s">
        <v>16</v>
      </c>
      <c r="E1342" s="48">
        <v>0.33333333333333298</v>
      </c>
      <c r="F1342" s="48">
        <v>0.875</v>
      </c>
      <c r="G1342" s="49">
        <v>0</v>
      </c>
      <c r="H1342" s="49">
        <v>12.000000000000007</v>
      </c>
      <c r="I1342" s="49">
        <v>12.000000000000007</v>
      </c>
      <c r="J1342" s="50" t="s">
        <v>30</v>
      </c>
      <c r="K1342" s="51" t="s">
        <v>439</v>
      </c>
      <c r="L1342" s="102" t="s">
        <v>281</v>
      </c>
      <c r="M1342" s="19" t="str">
        <f t="shared" si="35"/>
        <v>Jan_2018</v>
      </c>
    </row>
    <row r="1343" spans="1:13">
      <c r="A1343" s="45" t="s">
        <v>22</v>
      </c>
      <c r="B1343" s="52" t="s">
        <v>363</v>
      </c>
      <c r="C1343" s="46">
        <v>43129</v>
      </c>
      <c r="D1343" s="47" t="s">
        <v>16</v>
      </c>
      <c r="E1343" s="48">
        <v>0.33333333333333298</v>
      </c>
      <c r="F1343" s="48">
        <v>0.72916666666666696</v>
      </c>
      <c r="G1343" s="49">
        <v>0</v>
      </c>
      <c r="H1343" s="49">
        <v>8.500000000000016</v>
      </c>
      <c r="I1343" s="49">
        <v>8.500000000000016</v>
      </c>
      <c r="J1343" s="50" t="s">
        <v>30</v>
      </c>
      <c r="K1343" s="51" t="s">
        <v>439</v>
      </c>
      <c r="L1343" s="102" t="s">
        <v>281</v>
      </c>
      <c r="M1343" s="19" t="str">
        <f t="shared" si="35"/>
        <v>Jan_2018</v>
      </c>
    </row>
    <row r="1344" spans="1:13">
      <c r="A1344" s="45" t="s">
        <v>22</v>
      </c>
      <c r="B1344" s="52" t="s">
        <v>399</v>
      </c>
      <c r="C1344" s="46">
        <v>43129</v>
      </c>
      <c r="D1344" s="47" t="s">
        <v>16</v>
      </c>
      <c r="E1344" s="48">
        <v>0.375</v>
      </c>
      <c r="F1344" s="48">
        <v>0.875</v>
      </c>
      <c r="G1344" s="49">
        <v>0</v>
      </c>
      <c r="H1344" s="49">
        <v>11</v>
      </c>
      <c r="I1344" s="49">
        <v>11</v>
      </c>
      <c r="J1344" s="50" t="s">
        <v>30</v>
      </c>
      <c r="K1344" s="51" t="s">
        <v>439</v>
      </c>
      <c r="L1344" s="102" t="s">
        <v>281</v>
      </c>
      <c r="M1344" s="19" t="str">
        <f t="shared" si="35"/>
        <v>Jan_2018</v>
      </c>
    </row>
    <row r="1345" spans="1:13">
      <c r="A1345" s="45" t="s">
        <v>11</v>
      </c>
      <c r="B1345" s="52" t="s">
        <v>12</v>
      </c>
      <c r="C1345" s="54">
        <v>43130</v>
      </c>
      <c r="D1345" s="47" t="s">
        <v>14</v>
      </c>
      <c r="E1345" s="48">
        <v>0.75</v>
      </c>
      <c r="F1345" s="48">
        <v>0.85416666666666696</v>
      </c>
      <c r="G1345" s="49">
        <v>8.0000000000000036</v>
      </c>
      <c r="H1345" s="49">
        <v>2.5000000000000036</v>
      </c>
      <c r="I1345" s="49">
        <v>2.5000000000000036</v>
      </c>
      <c r="J1345" s="50" t="s">
        <v>30</v>
      </c>
      <c r="K1345" s="51" t="s">
        <v>440</v>
      </c>
      <c r="L1345" s="102">
        <v>1</v>
      </c>
      <c r="M1345" s="19" t="str">
        <f t="shared" si="35"/>
        <v>Jan_2018</v>
      </c>
    </row>
    <row r="1346" spans="1:13">
      <c r="A1346" s="45" t="s">
        <v>11</v>
      </c>
      <c r="B1346" s="52" t="s">
        <v>19</v>
      </c>
      <c r="C1346" s="46">
        <v>43130</v>
      </c>
      <c r="D1346" s="47" t="s">
        <v>14</v>
      </c>
      <c r="E1346" s="48">
        <v>0.70833333333333304</v>
      </c>
      <c r="F1346" s="48">
        <v>0.85416666666666696</v>
      </c>
      <c r="G1346" s="49">
        <v>8.0000000000000036</v>
      </c>
      <c r="H1346" s="49">
        <v>3.5000000000000107</v>
      </c>
      <c r="I1346" s="49">
        <v>3.5000000000000107</v>
      </c>
      <c r="J1346" s="50" t="s">
        <v>30</v>
      </c>
      <c r="K1346" s="51" t="s">
        <v>440</v>
      </c>
      <c r="L1346" s="102">
        <v>1</v>
      </c>
      <c r="M1346" s="19" t="str">
        <f t="shared" si="35"/>
        <v>Jan_2018</v>
      </c>
    </row>
    <row r="1347" spans="1:13">
      <c r="A1347" s="45" t="s">
        <v>11</v>
      </c>
      <c r="B1347" s="52" t="s">
        <v>26</v>
      </c>
      <c r="C1347" s="46">
        <v>43130</v>
      </c>
      <c r="D1347" s="47" t="s">
        <v>14</v>
      </c>
      <c r="E1347" s="48">
        <v>0.70833333333333304</v>
      </c>
      <c r="F1347" s="48">
        <v>0.85416666666666696</v>
      </c>
      <c r="G1347" s="49">
        <v>8.0000000000000036</v>
      </c>
      <c r="H1347" s="49">
        <v>3.5000000000000107</v>
      </c>
      <c r="I1347" s="49">
        <v>3.5000000000000107</v>
      </c>
      <c r="J1347" s="50" t="s">
        <v>30</v>
      </c>
      <c r="K1347" s="51" t="s">
        <v>440</v>
      </c>
      <c r="L1347" s="102">
        <v>1</v>
      </c>
      <c r="M1347" s="19" t="str">
        <f t="shared" si="35"/>
        <v>Jan_2018</v>
      </c>
    </row>
    <row r="1348" spans="1:13">
      <c r="A1348" s="45" t="s">
        <v>22</v>
      </c>
      <c r="B1348" s="52" t="s">
        <v>23</v>
      </c>
      <c r="C1348" s="46">
        <v>43130</v>
      </c>
      <c r="D1348" s="47" t="s">
        <v>14</v>
      </c>
      <c r="E1348" s="48">
        <v>0.33333333333333298</v>
      </c>
      <c r="F1348" s="48">
        <v>0.85416666666666696</v>
      </c>
      <c r="G1348" s="49">
        <v>0</v>
      </c>
      <c r="H1348" s="49">
        <v>11.500000000000014</v>
      </c>
      <c r="I1348" s="49">
        <v>11.500000000000014</v>
      </c>
      <c r="J1348" s="50" t="s">
        <v>30</v>
      </c>
      <c r="K1348" s="51" t="s">
        <v>440</v>
      </c>
      <c r="L1348" s="102" t="s">
        <v>281</v>
      </c>
      <c r="M1348" s="19" t="str">
        <f t="shared" si="35"/>
        <v>Jan_2018</v>
      </c>
    </row>
    <row r="1349" spans="1:13">
      <c r="A1349" s="45" t="s">
        <v>22</v>
      </c>
      <c r="B1349" s="52" t="s">
        <v>77</v>
      </c>
      <c r="C1349" s="46">
        <v>43130</v>
      </c>
      <c r="D1349" s="47" t="s">
        <v>14</v>
      </c>
      <c r="E1349" s="48">
        <v>0.33333333333333298</v>
      </c>
      <c r="F1349" s="48">
        <v>0.85416666666666696</v>
      </c>
      <c r="G1349" s="49">
        <v>0</v>
      </c>
      <c r="H1349" s="49">
        <v>11.500000000000014</v>
      </c>
      <c r="I1349" s="49">
        <v>11.500000000000014</v>
      </c>
      <c r="J1349" s="50" t="s">
        <v>30</v>
      </c>
      <c r="K1349" s="51" t="s">
        <v>440</v>
      </c>
      <c r="L1349" s="102" t="s">
        <v>281</v>
      </c>
      <c r="M1349" s="19" t="str">
        <f t="shared" si="35"/>
        <v>Jan_2018</v>
      </c>
    </row>
    <row r="1350" spans="1:13">
      <c r="A1350" s="45" t="s">
        <v>22</v>
      </c>
      <c r="B1350" s="52" t="s">
        <v>78</v>
      </c>
      <c r="C1350" s="46">
        <v>43130</v>
      </c>
      <c r="D1350" s="47" t="s">
        <v>14</v>
      </c>
      <c r="E1350" s="48">
        <v>0.52083333333333304</v>
      </c>
      <c r="F1350" s="48">
        <v>0.85416666666666696</v>
      </c>
      <c r="G1350" s="49">
        <v>0</v>
      </c>
      <c r="H1350" s="49">
        <v>8.0000000000000142</v>
      </c>
      <c r="I1350" s="49">
        <v>8.0000000000000142</v>
      </c>
      <c r="J1350" s="50" t="s">
        <v>30</v>
      </c>
      <c r="K1350" s="51" t="s">
        <v>440</v>
      </c>
      <c r="L1350" s="102" t="s">
        <v>281</v>
      </c>
      <c r="M1350" s="19" t="str">
        <f t="shared" si="35"/>
        <v>Jan_2018</v>
      </c>
    </row>
    <row r="1351" spans="1:13">
      <c r="A1351" s="45" t="s">
        <v>22</v>
      </c>
      <c r="B1351" s="52" t="s">
        <v>255</v>
      </c>
      <c r="C1351" s="46">
        <v>43130</v>
      </c>
      <c r="D1351" s="47" t="s">
        <v>14</v>
      </c>
      <c r="E1351" s="48">
        <v>0.33333333333333298</v>
      </c>
      <c r="F1351" s="48">
        <v>0.85416666666666696</v>
      </c>
      <c r="G1351" s="49">
        <v>0</v>
      </c>
      <c r="H1351" s="49">
        <v>11.500000000000014</v>
      </c>
      <c r="I1351" s="49">
        <v>11.500000000000014</v>
      </c>
      <c r="J1351" s="50" t="s">
        <v>30</v>
      </c>
      <c r="K1351" s="51" t="s">
        <v>440</v>
      </c>
      <c r="L1351" s="102" t="s">
        <v>281</v>
      </c>
      <c r="M1351" s="19" t="str">
        <f t="shared" si="35"/>
        <v>Jan_2018</v>
      </c>
    </row>
    <row r="1352" spans="1:13">
      <c r="A1352" s="45" t="s">
        <v>22</v>
      </c>
      <c r="B1352" s="52" t="s">
        <v>27</v>
      </c>
      <c r="C1352" s="46">
        <v>43130</v>
      </c>
      <c r="D1352" s="47" t="s">
        <v>14</v>
      </c>
      <c r="E1352" s="48">
        <v>0.33333333333333298</v>
      </c>
      <c r="F1352" s="48">
        <v>0.85416666666666696</v>
      </c>
      <c r="G1352" s="49">
        <v>0</v>
      </c>
      <c r="H1352" s="49">
        <v>11.500000000000014</v>
      </c>
      <c r="I1352" s="49">
        <v>11.500000000000014</v>
      </c>
      <c r="J1352" s="50" t="s">
        <v>30</v>
      </c>
      <c r="K1352" s="51" t="s">
        <v>440</v>
      </c>
      <c r="L1352" s="102" t="s">
        <v>281</v>
      </c>
      <c r="M1352" s="19" t="str">
        <f t="shared" si="35"/>
        <v>Jan_2018</v>
      </c>
    </row>
    <row r="1353" spans="1:13">
      <c r="A1353" s="45" t="s">
        <v>22</v>
      </c>
      <c r="B1353" s="52" t="s">
        <v>347</v>
      </c>
      <c r="C1353" s="46">
        <v>43130</v>
      </c>
      <c r="D1353" s="47" t="s">
        <v>14</v>
      </c>
      <c r="E1353" s="48">
        <v>0.33333333333333298</v>
      </c>
      <c r="F1353" s="48">
        <v>0.85416666666666696</v>
      </c>
      <c r="G1353" s="49">
        <v>0</v>
      </c>
      <c r="H1353" s="49">
        <v>11.500000000000014</v>
      </c>
      <c r="I1353" s="49">
        <v>11.500000000000014</v>
      </c>
      <c r="J1353" s="50" t="s">
        <v>30</v>
      </c>
      <c r="K1353" s="51" t="s">
        <v>440</v>
      </c>
      <c r="L1353" s="102" t="s">
        <v>281</v>
      </c>
      <c r="M1353" s="19" t="str">
        <f t="shared" si="35"/>
        <v>Jan_2018</v>
      </c>
    </row>
    <row r="1354" spans="1:13">
      <c r="A1354" s="45" t="s">
        <v>11</v>
      </c>
      <c r="B1354" s="52" t="s">
        <v>12</v>
      </c>
      <c r="C1354" s="54">
        <v>43131</v>
      </c>
      <c r="D1354" s="47" t="s">
        <v>15</v>
      </c>
      <c r="E1354" s="48">
        <v>0.70833333333333304</v>
      </c>
      <c r="F1354" s="48">
        <v>0.875</v>
      </c>
      <c r="G1354" s="49">
        <v>8.0000000000000036</v>
      </c>
      <c r="H1354" s="49">
        <v>4.0000000000000036</v>
      </c>
      <c r="I1354" s="49">
        <v>4.0000000000000036</v>
      </c>
      <c r="J1354" s="50" t="s">
        <v>30</v>
      </c>
      <c r="K1354" s="51" t="s">
        <v>441</v>
      </c>
      <c r="L1354" s="102">
        <v>1</v>
      </c>
      <c r="M1354" s="19" t="str">
        <f t="shared" si="35"/>
        <v>Jan_2018</v>
      </c>
    </row>
    <row r="1355" spans="1:13">
      <c r="A1355" s="45" t="s">
        <v>11</v>
      </c>
      <c r="B1355" s="52" t="s">
        <v>19</v>
      </c>
      <c r="C1355" s="46">
        <v>43131</v>
      </c>
      <c r="D1355" s="47" t="s">
        <v>15</v>
      </c>
      <c r="E1355" s="48">
        <v>0.70833333333333304</v>
      </c>
      <c r="F1355" s="48">
        <v>0.83333333333333304</v>
      </c>
      <c r="G1355" s="49">
        <v>8.0000000000000036</v>
      </c>
      <c r="H1355" s="49">
        <v>2.9999999999999964</v>
      </c>
      <c r="I1355" s="49">
        <v>2.9999999999999964</v>
      </c>
      <c r="J1355" s="50" t="s">
        <v>30</v>
      </c>
      <c r="K1355" s="51" t="s">
        <v>441</v>
      </c>
      <c r="L1355" s="102">
        <v>1</v>
      </c>
      <c r="M1355" s="19" t="str">
        <f t="shared" si="35"/>
        <v>Jan_2018</v>
      </c>
    </row>
    <row r="1356" spans="1:13">
      <c r="A1356" s="45" t="s">
        <v>11</v>
      </c>
      <c r="B1356" s="52" t="s">
        <v>26</v>
      </c>
      <c r="C1356" s="46">
        <v>43131</v>
      </c>
      <c r="D1356" s="47" t="s">
        <v>15</v>
      </c>
      <c r="E1356" s="48">
        <v>0.70833333333333304</v>
      </c>
      <c r="F1356" s="48">
        <v>0.875</v>
      </c>
      <c r="G1356" s="49">
        <v>8.0000000000000036</v>
      </c>
      <c r="H1356" s="49">
        <v>4.0000000000000036</v>
      </c>
      <c r="I1356" s="49">
        <v>4.0000000000000036</v>
      </c>
      <c r="J1356" s="50" t="s">
        <v>30</v>
      </c>
      <c r="K1356" s="51" t="s">
        <v>441</v>
      </c>
      <c r="L1356" s="102">
        <v>1</v>
      </c>
      <c r="M1356" s="19" t="str">
        <f t="shared" si="35"/>
        <v>Jan_2018</v>
      </c>
    </row>
    <row r="1357" spans="1:13">
      <c r="A1357" s="45" t="s">
        <v>22</v>
      </c>
      <c r="B1357" s="52" t="s">
        <v>23</v>
      </c>
      <c r="C1357" s="46">
        <v>43131</v>
      </c>
      <c r="D1357" s="47" t="s">
        <v>15</v>
      </c>
      <c r="E1357" s="48">
        <v>0.33333333333333298</v>
      </c>
      <c r="F1357" s="48">
        <v>0.875</v>
      </c>
      <c r="G1357" s="49">
        <v>0</v>
      </c>
      <c r="H1357" s="49">
        <v>12.000000000000007</v>
      </c>
      <c r="I1357" s="49">
        <v>12.000000000000007</v>
      </c>
      <c r="J1357" s="50" t="s">
        <v>30</v>
      </c>
      <c r="K1357" s="51" t="s">
        <v>441</v>
      </c>
      <c r="L1357" s="102" t="s">
        <v>281</v>
      </c>
      <c r="M1357" s="19" t="str">
        <f t="shared" si="35"/>
        <v>Jan_2018</v>
      </c>
    </row>
    <row r="1358" spans="1:13">
      <c r="A1358" s="45" t="s">
        <v>22</v>
      </c>
      <c r="B1358" s="52" t="s">
        <v>77</v>
      </c>
      <c r="C1358" s="46">
        <v>43131</v>
      </c>
      <c r="D1358" s="47" t="s">
        <v>15</v>
      </c>
      <c r="E1358" s="48">
        <v>0.33333333333333298</v>
      </c>
      <c r="F1358" s="48">
        <v>0.875</v>
      </c>
      <c r="G1358" s="49">
        <v>0</v>
      </c>
      <c r="H1358" s="49">
        <v>12.000000000000007</v>
      </c>
      <c r="I1358" s="49">
        <v>12.000000000000007</v>
      </c>
      <c r="J1358" s="50" t="s">
        <v>30</v>
      </c>
      <c r="K1358" s="51" t="s">
        <v>441</v>
      </c>
      <c r="L1358" s="102" t="s">
        <v>281</v>
      </c>
      <c r="M1358" s="19" t="str">
        <f t="shared" si="35"/>
        <v>Jan_2018</v>
      </c>
    </row>
    <row r="1359" spans="1:13">
      <c r="A1359" s="45" t="s">
        <v>22</v>
      </c>
      <c r="B1359" s="52" t="s">
        <v>78</v>
      </c>
      <c r="C1359" s="46">
        <v>43131</v>
      </c>
      <c r="D1359" s="47" t="s">
        <v>15</v>
      </c>
      <c r="E1359" s="48">
        <v>0.52083333333333304</v>
      </c>
      <c r="F1359" s="48">
        <v>0.875</v>
      </c>
      <c r="G1359" s="49">
        <v>0</v>
      </c>
      <c r="H1359" s="49">
        <v>8.5000000000000071</v>
      </c>
      <c r="I1359" s="49">
        <v>8.5000000000000071</v>
      </c>
      <c r="J1359" s="50" t="s">
        <v>30</v>
      </c>
      <c r="K1359" s="51" t="s">
        <v>441</v>
      </c>
      <c r="L1359" s="102" t="s">
        <v>281</v>
      </c>
      <c r="M1359" s="19" t="str">
        <f t="shared" si="35"/>
        <v>Jan_2018</v>
      </c>
    </row>
    <row r="1360" spans="1:13">
      <c r="A1360" s="45" t="s">
        <v>22</v>
      </c>
      <c r="B1360" s="52" t="s">
        <v>255</v>
      </c>
      <c r="C1360" s="46">
        <v>43131</v>
      </c>
      <c r="D1360" s="47" t="s">
        <v>15</v>
      </c>
      <c r="E1360" s="48">
        <v>0.33333333333333298</v>
      </c>
      <c r="F1360" s="48">
        <v>0.875</v>
      </c>
      <c r="G1360" s="49">
        <v>0</v>
      </c>
      <c r="H1360" s="49">
        <v>12.000000000000007</v>
      </c>
      <c r="I1360" s="49">
        <v>12.000000000000007</v>
      </c>
      <c r="J1360" s="50" t="s">
        <v>30</v>
      </c>
      <c r="K1360" s="51" t="s">
        <v>441</v>
      </c>
      <c r="L1360" s="102" t="s">
        <v>281</v>
      </c>
      <c r="M1360" s="19" t="str">
        <f t="shared" si="35"/>
        <v>Jan_2018</v>
      </c>
    </row>
    <row r="1361" spans="1:13">
      <c r="A1361" s="45" t="s">
        <v>22</v>
      </c>
      <c r="B1361" s="52" t="s">
        <v>346</v>
      </c>
      <c r="C1361" s="46">
        <v>43131</v>
      </c>
      <c r="D1361" s="47" t="s">
        <v>15</v>
      </c>
      <c r="E1361" s="48">
        <v>0.33333333333333298</v>
      </c>
      <c r="F1361" s="48">
        <v>0.875</v>
      </c>
      <c r="G1361" s="49">
        <v>0</v>
      </c>
      <c r="H1361" s="49">
        <v>12.000000000000007</v>
      </c>
      <c r="I1361" s="49">
        <v>12.000000000000007</v>
      </c>
      <c r="J1361" s="50" t="s">
        <v>30</v>
      </c>
      <c r="K1361" s="51" t="s">
        <v>441</v>
      </c>
      <c r="L1361" s="102" t="s">
        <v>281</v>
      </c>
      <c r="M1361" s="19" t="str">
        <f t="shared" si="35"/>
        <v>Jan_2018</v>
      </c>
    </row>
    <row r="1362" spans="1:13">
      <c r="A1362" s="45" t="s">
        <v>22</v>
      </c>
      <c r="B1362" s="52" t="s">
        <v>347</v>
      </c>
      <c r="C1362" s="46">
        <v>43131</v>
      </c>
      <c r="D1362" s="47" t="s">
        <v>15</v>
      </c>
      <c r="E1362" s="48">
        <v>0.33333333333333298</v>
      </c>
      <c r="F1362" s="48">
        <v>0.875</v>
      </c>
      <c r="G1362" s="49">
        <v>0</v>
      </c>
      <c r="H1362" s="49">
        <v>12.000000000000007</v>
      </c>
      <c r="I1362" s="49">
        <v>12.000000000000007</v>
      </c>
      <c r="J1362" s="50" t="s">
        <v>30</v>
      </c>
      <c r="K1362" s="51" t="s">
        <v>441</v>
      </c>
      <c r="L1362" s="102" t="s">
        <v>281</v>
      </c>
      <c r="M1362" s="19" t="str">
        <f t="shared" si="35"/>
        <v>Jan_2018</v>
      </c>
    </row>
    <row r="1363" spans="1:13">
      <c r="A1363" s="45" t="s">
        <v>11</v>
      </c>
      <c r="B1363" s="52" t="s">
        <v>12</v>
      </c>
      <c r="C1363" s="54">
        <v>43132</v>
      </c>
      <c r="D1363" s="47" t="s">
        <v>25</v>
      </c>
      <c r="E1363" s="48">
        <v>0.70833333333333304</v>
      </c>
      <c r="F1363" s="48">
        <v>0.875</v>
      </c>
      <c r="G1363" s="49">
        <v>8.0000000000000036</v>
      </c>
      <c r="H1363" s="49">
        <v>4.0000000000000036</v>
      </c>
      <c r="I1363" s="49">
        <v>4.0000000000000036</v>
      </c>
      <c r="J1363" s="53" t="s">
        <v>30</v>
      </c>
      <c r="K1363" s="51" t="s">
        <v>442</v>
      </c>
      <c r="L1363" s="102">
        <v>1</v>
      </c>
      <c r="M1363" s="19" t="str">
        <f>IF($C1363="","",TEXT(DATE(YEAR($C1363),MONTH($C1363),DAY($C1363)),"MMM")&amp;"_"&amp;YEAR($C1363))</f>
        <v>Feb_2018</v>
      </c>
    </row>
    <row r="1364" spans="1:13">
      <c r="A1364" s="45" t="s">
        <v>11</v>
      </c>
      <c r="B1364" s="52" t="s">
        <v>19</v>
      </c>
      <c r="C1364" s="46">
        <v>43132</v>
      </c>
      <c r="D1364" s="47" t="s">
        <v>25</v>
      </c>
      <c r="E1364" s="48">
        <v>0.70833333333333304</v>
      </c>
      <c r="F1364" s="48">
        <v>0.875</v>
      </c>
      <c r="G1364" s="49">
        <v>8.0000000000000036</v>
      </c>
      <c r="H1364" s="49">
        <v>4.0000000000000036</v>
      </c>
      <c r="I1364" s="49">
        <v>4.0000000000000036</v>
      </c>
      <c r="J1364" s="50" t="s">
        <v>30</v>
      </c>
      <c r="K1364" s="51" t="s">
        <v>442</v>
      </c>
      <c r="L1364" s="102">
        <v>1</v>
      </c>
      <c r="M1364" s="19" t="str">
        <f t="shared" ref="M1364:M1422" si="36">IF($C1364="","",TEXT(DATE(YEAR($C1364),MONTH($C1364),DAY($C1364)),"MMM")&amp;"_"&amp;YEAR($C1364))</f>
        <v>Feb_2018</v>
      </c>
    </row>
    <row r="1365" spans="1:13">
      <c r="A1365" s="45" t="s">
        <v>11</v>
      </c>
      <c r="B1365" s="52" t="s">
        <v>26</v>
      </c>
      <c r="C1365" s="46">
        <v>43132</v>
      </c>
      <c r="D1365" s="47" t="s">
        <v>25</v>
      </c>
      <c r="E1365" s="48">
        <v>0.70833333333333304</v>
      </c>
      <c r="F1365" s="48">
        <v>0.83333333333333304</v>
      </c>
      <c r="G1365" s="49">
        <v>8.0000000000000036</v>
      </c>
      <c r="H1365" s="49">
        <v>2.9999999999999964</v>
      </c>
      <c r="I1365" s="49">
        <v>2.9999999999999964</v>
      </c>
      <c r="J1365" s="50" t="s">
        <v>30</v>
      </c>
      <c r="K1365" s="51" t="s">
        <v>442</v>
      </c>
      <c r="L1365" s="102">
        <v>1</v>
      </c>
      <c r="M1365" s="19" t="str">
        <f t="shared" si="36"/>
        <v>Feb_2018</v>
      </c>
    </row>
    <row r="1366" spans="1:13">
      <c r="A1366" s="45" t="s">
        <v>11</v>
      </c>
      <c r="B1366" s="52" t="s">
        <v>149</v>
      </c>
      <c r="C1366" s="46">
        <v>43132</v>
      </c>
      <c r="D1366" s="47" t="s">
        <v>25</v>
      </c>
      <c r="E1366" s="48">
        <v>0.70833333333333304</v>
      </c>
      <c r="F1366" s="48">
        <v>0.875</v>
      </c>
      <c r="G1366" s="49">
        <v>8.0000000000000036</v>
      </c>
      <c r="H1366" s="49">
        <v>4.0000000000000036</v>
      </c>
      <c r="I1366" s="49">
        <v>4.0000000000000036</v>
      </c>
      <c r="J1366" s="53" t="s">
        <v>30</v>
      </c>
      <c r="K1366" s="51" t="s">
        <v>442</v>
      </c>
      <c r="L1366" s="102">
        <v>1</v>
      </c>
      <c r="M1366" s="19" t="str">
        <f t="shared" si="36"/>
        <v>Feb_2018</v>
      </c>
    </row>
    <row r="1367" spans="1:13">
      <c r="A1367" s="45" t="s">
        <v>11</v>
      </c>
      <c r="B1367" s="52" t="s">
        <v>161</v>
      </c>
      <c r="C1367" s="46">
        <v>43132</v>
      </c>
      <c r="D1367" s="47" t="s">
        <v>25</v>
      </c>
      <c r="E1367" s="48">
        <v>0.70833333333333304</v>
      </c>
      <c r="F1367" s="48">
        <v>0.875</v>
      </c>
      <c r="G1367" s="49">
        <v>8.0000000000000036</v>
      </c>
      <c r="H1367" s="49">
        <v>4.0000000000000036</v>
      </c>
      <c r="I1367" s="49">
        <v>4.0000000000000036</v>
      </c>
      <c r="J1367" s="53" t="s">
        <v>30</v>
      </c>
      <c r="K1367" s="51" t="s">
        <v>442</v>
      </c>
      <c r="L1367" s="102">
        <v>1</v>
      </c>
      <c r="M1367" s="19" t="str">
        <f t="shared" si="36"/>
        <v>Feb_2018</v>
      </c>
    </row>
    <row r="1368" spans="1:13">
      <c r="A1368" s="45" t="s">
        <v>22</v>
      </c>
      <c r="B1368" s="52" t="s">
        <v>23</v>
      </c>
      <c r="C1368" s="46">
        <v>43132</v>
      </c>
      <c r="D1368" s="47" t="s">
        <v>25</v>
      </c>
      <c r="E1368" s="48">
        <v>0.33333333333333298</v>
      </c>
      <c r="F1368" s="48">
        <v>0.875</v>
      </c>
      <c r="G1368" s="49">
        <v>0</v>
      </c>
      <c r="H1368" s="49">
        <v>12.000000000000007</v>
      </c>
      <c r="I1368" s="49">
        <v>12.000000000000007</v>
      </c>
      <c r="J1368" s="50" t="s">
        <v>30</v>
      </c>
      <c r="K1368" s="51" t="s">
        <v>442</v>
      </c>
      <c r="L1368" s="102" t="s">
        <v>281</v>
      </c>
      <c r="M1368" s="19" t="str">
        <f t="shared" si="36"/>
        <v>Feb_2018</v>
      </c>
    </row>
    <row r="1369" spans="1:13">
      <c r="A1369" s="45" t="s">
        <v>22</v>
      </c>
      <c r="B1369" s="52" t="s">
        <v>77</v>
      </c>
      <c r="C1369" s="46">
        <v>43132</v>
      </c>
      <c r="D1369" s="47" t="s">
        <v>25</v>
      </c>
      <c r="E1369" s="48">
        <v>0.33333333333333298</v>
      </c>
      <c r="F1369" s="48">
        <v>0.83333333333333304</v>
      </c>
      <c r="G1369" s="49">
        <v>0</v>
      </c>
      <c r="H1369" s="49">
        <v>11</v>
      </c>
      <c r="I1369" s="49">
        <v>11</v>
      </c>
      <c r="J1369" s="50" t="s">
        <v>30</v>
      </c>
      <c r="K1369" s="51" t="s">
        <v>442</v>
      </c>
      <c r="L1369" s="102" t="s">
        <v>281</v>
      </c>
      <c r="M1369" s="19" t="str">
        <f t="shared" si="36"/>
        <v>Feb_2018</v>
      </c>
    </row>
    <row r="1370" spans="1:13">
      <c r="A1370" s="45" t="s">
        <v>22</v>
      </c>
      <c r="B1370" s="52" t="s">
        <v>27</v>
      </c>
      <c r="C1370" s="46">
        <v>43132</v>
      </c>
      <c r="D1370" s="47" t="s">
        <v>25</v>
      </c>
      <c r="E1370" s="48">
        <v>0.33333333333333298</v>
      </c>
      <c r="F1370" s="48">
        <v>0.54166666666666696</v>
      </c>
      <c r="G1370" s="49">
        <v>0</v>
      </c>
      <c r="H1370" s="49">
        <v>5.000000000000016</v>
      </c>
      <c r="I1370" s="49">
        <v>5.000000000000016</v>
      </c>
      <c r="J1370" s="50" t="s">
        <v>30</v>
      </c>
      <c r="K1370" s="51" t="s">
        <v>442</v>
      </c>
      <c r="L1370" s="102" t="s">
        <v>281</v>
      </c>
      <c r="M1370" s="19" t="str">
        <f t="shared" si="36"/>
        <v>Feb_2018</v>
      </c>
    </row>
    <row r="1371" spans="1:13">
      <c r="A1371" s="45" t="s">
        <v>22</v>
      </c>
      <c r="B1371" s="69" t="s">
        <v>346</v>
      </c>
      <c r="C1371" s="46">
        <v>43132</v>
      </c>
      <c r="D1371" s="46" t="s">
        <v>25</v>
      </c>
      <c r="E1371" s="48">
        <v>0.33333333333333298</v>
      </c>
      <c r="F1371" s="48">
        <v>0.875</v>
      </c>
      <c r="G1371" s="49">
        <v>0</v>
      </c>
      <c r="H1371" s="49">
        <v>12.000000000000007</v>
      </c>
      <c r="I1371" s="49">
        <v>12.000000000000007</v>
      </c>
      <c r="J1371" s="50" t="s">
        <v>30</v>
      </c>
      <c r="K1371" s="51" t="s">
        <v>442</v>
      </c>
      <c r="L1371" s="102" t="s">
        <v>281</v>
      </c>
      <c r="M1371" s="19" t="str">
        <f t="shared" si="36"/>
        <v>Feb_2018</v>
      </c>
    </row>
    <row r="1372" spans="1:13">
      <c r="A1372" s="45" t="s">
        <v>11</v>
      </c>
      <c r="B1372" s="52" t="s">
        <v>12</v>
      </c>
      <c r="C1372" s="54">
        <v>43133</v>
      </c>
      <c r="D1372" s="47" t="s">
        <v>17</v>
      </c>
      <c r="E1372" s="48">
        <v>0.70833333333333304</v>
      </c>
      <c r="F1372" s="48">
        <v>0.77083333333333304</v>
      </c>
      <c r="G1372" s="49">
        <v>8.0000000000000036</v>
      </c>
      <c r="H1372" s="49">
        <v>1.4999999999999982</v>
      </c>
      <c r="I1372" s="49">
        <v>1.4999999999999982</v>
      </c>
      <c r="J1372" s="50" t="s">
        <v>30</v>
      </c>
      <c r="K1372" s="51" t="s">
        <v>443</v>
      </c>
      <c r="L1372" s="102" t="s">
        <v>281</v>
      </c>
      <c r="M1372" s="19" t="str">
        <f t="shared" si="36"/>
        <v>Feb_2018</v>
      </c>
    </row>
    <row r="1373" spans="1:13">
      <c r="A1373" s="45" t="s">
        <v>11</v>
      </c>
      <c r="B1373" s="52" t="s">
        <v>19</v>
      </c>
      <c r="C1373" s="46">
        <v>43133</v>
      </c>
      <c r="D1373" s="47" t="s">
        <v>17</v>
      </c>
      <c r="E1373" s="48">
        <v>0.70833333333333304</v>
      </c>
      <c r="F1373" s="48">
        <v>0.77083333333333304</v>
      </c>
      <c r="G1373" s="49">
        <v>8.0000000000000036</v>
      </c>
      <c r="H1373" s="49">
        <v>1.4999999999999982</v>
      </c>
      <c r="I1373" s="49">
        <v>1.4999999999999982</v>
      </c>
      <c r="J1373" s="50" t="s">
        <v>30</v>
      </c>
      <c r="K1373" s="51" t="s">
        <v>443</v>
      </c>
      <c r="L1373" s="102" t="s">
        <v>281</v>
      </c>
      <c r="M1373" s="19" t="str">
        <f t="shared" si="36"/>
        <v>Feb_2018</v>
      </c>
    </row>
    <row r="1374" spans="1:13">
      <c r="A1374" s="45" t="s">
        <v>11</v>
      </c>
      <c r="B1374" s="52" t="s">
        <v>26</v>
      </c>
      <c r="C1374" s="46">
        <v>43133</v>
      </c>
      <c r="D1374" s="47" t="s">
        <v>17</v>
      </c>
      <c r="E1374" s="48">
        <v>0.70833333333333304</v>
      </c>
      <c r="F1374" s="48">
        <v>0.77083333333333304</v>
      </c>
      <c r="G1374" s="49">
        <v>8.0000000000000036</v>
      </c>
      <c r="H1374" s="49">
        <v>1.4999999999999982</v>
      </c>
      <c r="I1374" s="49">
        <v>1.4999999999999982</v>
      </c>
      <c r="J1374" s="53" t="s">
        <v>30</v>
      </c>
      <c r="K1374" s="51" t="s">
        <v>443</v>
      </c>
      <c r="L1374" s="102" t="s">
        <v>281</v>
      </c>
      <c r="M1374" s="19" t="str">
        <f t="shared" si="36"/>
        <v>Feb_2018</v>
      </c>
    </row>
    <row r="1375" spans="1:13">
      <c r="A1375" s="45" t="s">
        <v>11</v>
      </c>
      <c r="B1375" s="52" t="s">
        <v>149</v>
      </c>
      <c r="C1375" s="46">
        <v>43133</v>
      </c>
      <c r="D1375" s="47" t="s">
        <v>17</v>
      </c>
      <c r="E1375" s="48">
        <v>0.70833333333333304</v>
      </c>
      <c r="F1375" s="48">
        <v>0.77083333333333304</v>
      </c>
      <c r="G1375" s="49">
        <v>8.0000000000000036</v>
      </c>
      <c r="H1375" s="49">
        <v>1.4999999999999982</v>
      </c>
      <c r="I1375" s="49">
        <v>1.4999999999999982</v>
      </c>
      <c r="J1375" s="50" t="s">
        <v>30</v>
      </c>
      <c r="K1375" s="51" t="s">
        <v>443</v>
      </c>
      <c r="L1375" s="102" t="s">
        <v>281</v>
      </c>
      <c r="M1375" s="19" t="str">
        <f t="shared" si="36"/>
        <v>Feb_2018</v>
      </c>
    </row>
    <row r="1376" spans="1:13">
      <c r="A1376" s="45" t="s">
        <v>11</v>
      </c>
      <c r="B1376" s="52" t="s">
        <v>161</v>
      </c>
      <c r="C1376" s="46">
        <v>43133</v>
      </c>
      <c r="D1376" s="47" t="s">
        <v>17</v>
      </c>
      <c r="E1376" s="48">
        <v>0.70833333333333304</v>
      </c>
      <c r="F1376" s="48">
        <v>0.77083333333333304</v>
      </c>
      <c r="G1376" s="49">
        <v>8.0000000000000036</v>
      </c>
      <c r="H1376" s="49">
        <v>1.4999999999999982</v>
      </c>
      <c r="I1376" s="49">
        <v>1.4999999999999982</v>
      </c>
      <c r="J1376" s="50" t="s">
        <v>30</v>
      </c>
      <c r="K1376" s="51" t="s">
        <v>443</v>
      </c>
      <c r="L1376" s="102" t="s">
        <v>281</v>
      </c>
      <c r="M1376" s="19" t="str">
        <f t="shared" si="36"/>
        <v>Feb_2018</v>
      </c>
    </row>
    <row r="1377" spans="1:13">
      <c r="A1377" s="45" t="s">
        <v>22</v>
      </c>
      <c r="B1377" s="52" t="s">
        <v>23</v>
      </c>
      <c r="C1377" s="46">
        <v>43133</v>
      </c>
      <c r="D1377" s="47" t="s">
        <v>17</v>
      </c>
      <c r="E1377" s="48">
        <v>0.33333333333333298</v>
      </c>
      <c r="F1377" s="48">
        <v>0.77083333333333304</v>
      </c>
      <c r="G1377" s="49">
        <v>0</v>
      </c>
      <c r="H1377" s="49">
        <v>9.5000000000000018</v>
      </c>
      <c r="I1377" s="49">
        <v>9.5000000000000018</v>
      </c>
      <c r="J1377" s="50" t="s">
        <v>30</v>
      </c>
      <c r="K1377" s="51" t="s">
        <v>443</v>
      </c>
      <c r="L1377" s="102" t="s">
        <v>281</v>
      </c>
      <c r="M1377" s="19" t="str">
        <f t="shared" si="36"/>
        <v>Feb_2018</v>
      </c>
    </row>
    <row r="1378" spans="1:13">
      <c r="A1378" s="45" t="s">
        <v>22</v>
      </c>
      <c r="B1378" s="52" t="s">
        <v>78</v>
      </c>
      <c r="C1378" s="46">
        <v>43133</v>
      </c>
      <c r="D1378" s="47" t="s">
        <v>17</v>
      </c>
      <c r="E1378" s="48">
        <v>0.52083333333333304</v>
      </c>
      <c r="F1378" s="48">
        <v>0.72916666666666696</v>
      </c>
      <c r="G1378" s="49">
        <v>0</v>
      </c>
      <c r="H1378" s="49">
        <v>5.0000000000000142</v>
      </c>
      <c r="I1378" s="49">
        <v>5.0000000000000142</v>
      </c>
      <c r="J1378" s="50" t="s">
        <v>30</v>
      </c>
      <c r="K1378" s="51" t="s">
        <v>443</v>
      </c>
      <c r="L1378" s="102" t="s">
        <v>281</v>
      </c>
      <c r="M1378" s="19" t="str">
        <f t="shared" si="36"/>
        <v>Feb_2018</v>
      </c>
    </row>
    <row r="1379" spans="1:13">
      <c r="A1379" s="45" t="s">
        <v>22</v>
      </c>
      <c r="B1379" s="52" t="s">
        <v>347</v>
      </c>
      <c r="C1379" s="46">
        <v>43133</v>
      </c>
      <c r="D1379" s="47" t="s">
        <v>17</v>
      </c>
      <c r="E1379" s="48">
        <v>0.33333333333333298</v>
      </c>
      <c r="F1379" s="48">
        <v>0.77083333333333304</v>
      </c>
      <c r="G1379" s="49">
        <v>0</v>
      </c>
      <c r="H1379" s="49">
        <v>9.5000000000000018</v>
      </c>
      <c r="I1379" s="49">
        <v>9.5000000000000018</v>
      </c>
      <c r="J1379" s="53" t="s">
        <v>30</v>
      </c>
      <c r="K1379" s="51" t="s">
        <v>443</v>
      </c>
      <c r="L1379" s="102" t="s">
        <v>281</v>
      </c>
      <c r="M1379" s="19" t="str">
        <f t="shared" si="36"/>
        <v>Feb_2018</v>
      </c>
    </row>
    <row r="1380" spans="1:13">
      <c r="A1380" s="45" t="s">
        <v>22</v>
      </c>
      <c r="B1380" s="52" t="s">
        <v>363</v>
      </c>
      <c r="C1380" s="46">
        <v>43133</v>
      </c>
      <c r="D1380" s="47" t="s">
        <v>17</v>
      </c>
      <c r="E1380" s="48">
        <v>0.33333333333333298</v>
      </c>
      <c r="F1380" s="48">
        <v>0.77083333333333304</v>
      </c>
      <c r="G1380" s="49">
        <v>0</v>
      </c>
      <c r="H1380" s="49">
        <v>9.5000000000000018</v>
      </c>
      <c r="I1380" s="49">
        <v>9.5000000000000018</v>
      </c>
      <c r="J1380" s="53" t="s">
        <v>30</v>
      </c>
      <c r="K1380" s="51" t="s">
        <v>443</v>
      </c>
      <c r="L1380" s="102" t="s">
        <v>281</v>
      </c>
      <c r="M1380" s="19" t="str">
        <f t="shared" si="36"/>
        <v>Feb_2018</v>
      </c>
    </row>
    <row r="1381" spans="1:13">
      <c r="A1381" s="45" t="s">
        <v>22</v>
      </c>
      <c r="B1381" s="52" t="s">
        <v>23</v>
      </c>
      <c r="C1381" s="46">
        <v>43136</v>
      </c>
      <c r="D1381" s="47" t="s">
        <v>16</v>
      </c>
      <c r="E1381" s="48">
        <v>0.35416666666666702</v>
      </c>
      <c r="F1381" s="48">
        <v>0.72916666666666696</v>
      </c>
      <c r="G1381" s="49">
        <v>0</v>
      </c>
      <c r="H1381" s="49">
        <v>7.9999999999999982</v>
      </c>
      <c r="I1381" s="49">
        <v>7.9999999999999982</v>
      </c>
      <c r="J1381" s="50" t="s">
        <v>30</v>
      </c>
      <c r="K1381" s="51" t="s">
        <v>444</v>
      </c>
      <c r="L1381" s="102" t="s">
        <v>281</v>
      </c>
      <c r="M1381" s="19" t="str">
        <f t="shared" si="36"/>
        <v>Feb_2018</v>
      </c>
    </row>
    <row r="1382" spans="1:13">
      <c r="A1382" s="45" t="s">
        <v>22</v>
      </c>
      <c r="B1382" s="52" t="s">
        <v>23</v>
      </c>
      <c r="C1382" s="46">
        <v>43137</v>
      </c>
      <c r="D1382" s="47" t="s">
        <v>14</v>
      </c>
      <c r="E1382" s="48">
        <v>0.35416666666666702</v>
      </c>
      <c r="F1382" s="48">
        <v>0.72916666666666696</v>
      </c>
      <c r="G1382" s="49">
        <v>0</v>
      </c>
      <c r="H1382" s="49">
        <v>7.9999999999999982</v>
      </c>
      <c r="I1382" s="49">
        <v>7.9999999999999982</v>
      </c>
      <c r="J1382" s="50" t="s">
        <v>30</v>
      </c>
      <c r="K1382" s="51" t="s">
        <v>445</v>
      </c>
      <c r="L1382" s="102" t="s">
        <v>281</v>
      </c>
      <c r="M1382" s="19" t="str">
        <f t="shared" si="36"/>
        <v>Feb_2018</v>
      </c>
    </row>
    <row r="1383" spans="1:13">
      <c r="A1383" s="45" t="s">
        <v>22</v>
      </c>
      <c r="B1383" s="52" t="s">
        <v>346</v>
      </c>
      <c r="C1383" s="46">
        <v>43137</v>
      </c>
      <c r="D1383" s="47" t="s">
        <v>14</v>
      </c>
      <c r="E1383" s="48">
        <v>0.35416666666666702</v>
      </c>
      <c r="F1383" s="48">
        <v>0.47916666666666702</v>
      </c>
      <c r="G1383" s="49">
        <v>0</v>
      </c>
      <c r="H1383" s="49">
        <v>3</v>
      </c>
      <c r="I1383" s="49">
        <v>3</v>
      </c>
      <c r="J1383" s="50" t="s">
        <v>30</v>
      </c>
      <c r="K1383" s="51" t="s">
        <v>445</v>
      </c>
      <c r="L1383" s="102" t="s">
        <v>281</v>
      </c>
      <c r="M1383" s="19" t="str">
        <f t="shared" si="36"/>
        <v>Feb_2018</v>
      </c>
    </row>
    <row r="1384" spans="1:13">
      <c r="A1384" s="45" t="s">
        <v>22</v>
      </c>
      <c r="B1384" s="52" t="s">
        <v>23</v>
      </c>
      <c r="C1384" s="46">
        <v>43138</v>
      </c>
      <c r="D1384" s="47" t="s">
        <v>15</v>
      </c>
      <c r="E1384" s="48">
        <v>0.35416666666666702</v>
      </c>
      <c r="F1384" s="48">
        <v>0.72916666666666696</v>
      </c>
      <c r="G1384" s="49">
        <v>0</v>
      </c>
      <c r="H1384" s="49">
        <v>7.9999999999999982</v>
      </c>
      <c r="I1384" s="49">
        <v>7.9999999999999982</v>
      </c>
      <c r="J1384" s="50" t="s">
        <v>30</v>
      </c>
      <c r="K1384" s="51" t="s">
        <v>446</v>
      </c>
      <c r="L1384" s="102" t="s">
        <v>281</v>
      </c>
      <c r="M1384" s="19" t="str">
        <f t="shared" si="36"/>
        <v>Feb_2018</v>
      </c>
    </row>
    <row r="1385" spans="1:13">
      <c r="A1385" s="45" t="s">
        <v>22</v>
      </c>
      <c r="B1385" s="52" t="s">
        <v>23</v>
      </c>
      <c r="C1385" s="46">
        <v>43139</v>
      </c>
      <c r="D1385" s="47" t="s">
        <v>25</v>
      </c>
      <c r="E1385" s="48">
        <v>0.35416666666666702</v>
      </c>
      <c r="F1385" s="48">
        <v>0.72916666666666696</v>
      </c>
      <c r="G1385" s="49">
        <v>0</v>
      </c>
      <c r="H1385" s="49">
        <v>7.9999999999999982</v>
      </c>
      <c r="I1385" s="49">
        <v>7.9999999999999982</v>
      </c>
      <c r="J1385" s="50" t="s">
        <v>30</v>
      </c>
      <c r="K1385" s="51" t="s">
        <v>447</v>
      </c>
      <c r="L1385" s="102" t="s">
        <v>281</v>
      </c>
      <c r="M1385" s="19" t="str">
        <f t="shared" si="36"/>
        <v>Feb_2018</v>
      </c>
    </row>
    <row r="1386" spans="1:13">
      <c r="A1386" s="45" t="s">
        <v>22</v>
      </c>
      <c r="B1386" s="52" t="s">
        <v>23</v>
      </c>
      <c r="C1386" s="46">
        <v>43140</v>
      </c>
      <c r="D1386" s="47" t="s">
        <v>17</v>
      </c>
      <c r="E1386" s="48">
        <v>0.35416666666666702</v>
      </c>
      <c r="F1386" s="48">
        <v>0.72916666666666696</v>
      </c>
      <c r="G1386" s="49">
        <v>0</v>
      </c>
      <c r="H1386" s="49">
        <v>7.9999999999999982</v>
      </c>
      <c r="I1386" s="49">
        <v>7.9999999999999982</v>
      </c>
      <c r="J1386" s="50" t="s">
        <v>30</v>
      </c>
      <c r="K1386" s="51" t="s">
        <v>448</v>
      </c>
      <c r="L1386" s="102" t="s">
        <v>281</v>
      </c>
      <c r="M1386" s="19" t="str">
        <f t="shared" si="36"/>
        <v>Feb_2018</v>
      </c>
    </row>
    <row r="1387" spans="1:13">
      <c r="A1387" s="45" t="s">
        <v>22</v>
      </c>
      <c r="B1387" s="52" t="s">
        <v>23</v>
      </c>
      <c r="C1387" s="46">
        <v>43143</v>
      </c>
      <c r="D1387" s="47" t="s">
        <v>16</v>
      </c>
      <c r="E1387" s="48">
        <v>0.35416666666666702</v>
      </c>
      <c r="F1387" s="48">
        <v>0.72916666666666696</v>
      </c>
      <c r="G1387" s="49">
        <v>0</v>
      </c>
      <c r="H1387" s="49">
        <v>7.9999999999999982</v>
      </c>
      <c r="I1387" s="49">
        <v>7.9999999999999982</v>
      </c>
      <c r="J1387" s="50" t="s">
        <v>30</v>
      </c>
      <c r="K1387" s="51" t="s">
        <v>449</v>
      </c>
      <c r="L1387" s="102" t="s">
        <v>281</v>
      </c>
      <c r="M1387" s="19" t="str">
        <f t="shared" si="36"/>
        <v>Feb_2018</v>
      </c>
    </row>
    <row r="1388" spans="1:13">
      <c r="A1388" s="45" t="s">
        <v>22</v>
      </c>
      <c r="B1388" s="52" t="s">
        <v>77</v>
      </c>
      <c r="C1388" s="46">
        <v>43143</v>
      </c>
      <c r="D1388" s="47" t="s">
        <v>16</v>
      </c>
      <c r="E1388" s="48">
        <v>0.35416666666666702</v>
      </c>
      <c r="F1388" s="48">
        <v>0.72916666666666696</v>
      </c>
      <c r="G1388" s="49">
        <v>0</v>
      </c>
      <c r="H1388" s="49">
        <v>7.9999999999999982</v>
      </c>
      <c r="I1388" s="49">
        <v>7.9999999999999982</v>
      </c>
      <c r="J1388" s="50" t="s">
        <v>30</v>
      </c>
      <c r="K1388" s="51" t="s">
        <v>449</v>
      </c>
      <c r="L1388" s="102" t="s">
        <v>281</v>
      </c>
      <c r="M1388" s="19" t="str">
        <f t="shared" si="36"/>
        <v>Feb_2018</v>
      </c>
    </row>
    <row r="1389" spans="1:13">
      <c r="A1389" s="45" t="s">
        <v>22</v>
      </c>
      <c r="B1389" s="52" t="s">
        <v>23</v>
      </c>
      <c r="C1389" s="46">
        <v>43144</v>
      </c>
      <c r="D1389" s="47" t="s">
        <v>14</v>
      </c>
      <c r="E1389" s="48">
        <v>0.35416666666666702</v>
      </c>
      <c r="F1389" s="48">
        <v>0.64583333333333304</v>
      </c>
      <c r="G1389" s="49">
        <v>0</v>
      </c>
      <c r="H1389" s="49">
        <v>5.999999999999984</v>
      </c>
      <c r="I1389" s="49">
        <v>5.999999999999984</v>
      </c>
      <c r="J1389" s="53" t="s">
        <v>30</v>
      </c>
      <c r="K1389" s="51" t="s">
        <v>450</v>
      </c>
      <c r="L1389" s="102" t="s">
        <v>281</v>
      </c>
      <c r="M1389" s="19" t="str">
        <f t="shared" si="36"/>
        <v>Feb_2018</v>
      </c>
    </row>
    <row r="1390" spans="1:13">
      <c r="A1390" s="45" t="s">
        <v>22</v>
      </c>
      <c r="B1390" s="52" t="s">
        <v>77</v>
      </c>
      <c r="C1390" s="46">
        <v>43144</v>
      </c>
      <c r="D1390" s="47" t="s">
        <v>14</v>
      </c>
      <c r="E1390" s="48">
        <v>0.35416666666666702</v>
      </c>
      <c r="F1390" s="48">
        <v>0.64583333333333304</v>
      </c>
      <c r="G1390" s="49">
        <v>0</v>
      </c>
      <c r="H1390" s="49">
        <v>5.999999999999984</v>
      </c>
      <c r="I1390" s="49">
        <v>5.999999999999984</v>
      </c>
      <c r="J1390" s="50" t="s">
        <v>30</v>
      </c>
      <c r="K1390" s="51" t="s">
        <v>450</v>
      </c>
      <c r="L1390" s="102" t="s">
        <v>281</v>
      </c>
      <c r="M1390" s="19" t="str">
        <f t="shared" si="36"/>
        <v>Feb_2018</v>
      </c>
    </row>
    <row r="1391" spans="1:13">
      <c r="A1391" s="45" t="s">
        <v>22</v>
      </c>
      <c r="B1391" s="52" t="s">
        <v>23</v>
      </c>
      <c r="C1391" s="46">
        <v>43152</v>
      </c>
      <c r="D1391" s="47" t="s">
        <v>15</v>
      </c>
      <c r="E1391" s="48">
        <v>0.35416666666666702</v>
      </c>
      <c r="F1391" s="48">
        <v>0.72916666666666696</v>
      </c>
      <c r="G1391" s="49">
        <v>0</v>
      </c>
      <c r="H1391" s="49">
        <v>7.9999999999999982</v>
      </c>
      <c r="I1391" s="49">
        <v>7.9999999999999982</v>
      </c>
      <c r="J1391" s="50" t="s">
        <v>30</v>
      </c>
      <c r="K1391" s="51" t="s">
        <v>451</v>
      </c>
      <c r="L1391" s="102" t="s">
        <v>281</v>
      </c>
      <c r="M1391" s="19" t="str">
        <f t="shared" si="36"/>
        <v>Feb_2018</v>
      </c>
    </row>
    <row r="1392" spans="1:13">
      <c r="A1392" s="45" t="s">
        <v>11</v>
      </c>
      <c r="B1392" s="52" t="s">
        <v>12</v>
      </c>
      <c r="C1392" s="54">
        <v>43153</v>
      </c>
      <c r="D1392" s="47" t="s">
        <v>25</v>
      </c>
      <c r="E1392" s="48">
        <v>0.72916666666666696</v>
      </c>
      <c r="F1392" s="48">
        <v>0.84375</v>
      </c>
      <c r="G1392" s="49">
        <v>8.0000000000000036</v>
      </c>
      <c r="H1392" s="49">
        <v>2.7499999999999876</v>
      </c>
      <c r="I1392" s="49">
        <v>2.7499999999999876</v>
      </c>
      <c r="J1392" s="50" t="s">
        <v>30</v>
      </c>
      <c r="K1392" s="51" t="s">
        <v>452</v>
      </c>
      <c r="L1392" s="102">
        <v>1</v>
      </c>
      <c r="M1392" s="19" t="str">
        <f t="shared" si="36"/>
        <v>Feb_2018</v>
      </c>
    </row>
    <row r="1393" spans="1:13">
      <c r="A1393" s="45" t="s">
        <v>11</v>
      </c>
      <c r="B1393" s="52" t="s">
        <v>19</v>
      </c>
      <c r="C1393" s="46">
        <v>43153</v>
      </c>
      <c r="D1393" s="47" t="s">
        <v>25</v>
      </c>
      <c r="E1393" s="48">
        <v>0.72916666666666696</v>
      </c>
      <c r="F1393" s="48">
        <v>0.84375</v>
      </c>
      <c r="G1393" s="49">
        <v>8.0000000000000036</v>
      </c>
      <c r="H1393" s="49">
        <v>2.7499999999999876</v>
      </c>
      <c r="I1393" s="49">
        <v>2.7499999999999876</v>
      </c>
      <c r="J1393" s="50" t="s">
        <v>30</v>
      </c>
      <c r="K1393" s="51" t="s">
        <v>452</v>
      </c>
      <c r="L1393" s="102">
        <v>1</v>
      </c>
      <c r="M1393" s="19" t="str">
        <f t="shared" si="36"/>
        <v>Feb_2018</v>
      </c>
    </row>
    <row r="1394" spans="1:13">
      <c r="A1394" s="45" t="s">
        <v>11</v>
      </c>
      <c r="B1394" s="52" t="s">
        <v>149</v>
      </c>
      <c r="C1394" s="46">
        <v>43153</v>
      </c>
      <c r="D1394" s="47" t="s">
        <v>25</v>
      </c>
      <c r="E1394" s="48">
        <v>0.72916666666666696</v>
      </c>
      <c r="F1394" s="48">
        <v>0.84375</v>
      </c>
      <c r="G1394" s="49">
        <v>8.0000000000000036</v>
      </c>
      <c r="H1394" s="49">
        <v>2.7499999999999876</v>
      </c>
      <c r="I1394" s="49">
        <v>2.7499999999999876</v>
      </c>
      <c r="J1394" s="50" t="s">
        <v>30</v>
      </c>
      <c r="K1394" s="51" t="s">
        <v>452</v>
      </c>
      <c r="L1394" s="102">
        <v>1</v>
      </c>
      <c r="M1394" s="19" t="str">
        <f t="shared" si="36"/>
        <v>Feb_2018</v>
      </c>
    </row>
    <row r="1395" spans="1:13">
      <c r="A1395" s="45" t="s">
        <v>11</v>
      </c>
      <c r="B1395" s="52" t="s">
        <v>161</v>
      </c>
      <c r="C1395" s="46">
        <v>43153</v>
      </c>
      <c r="D1395" s="47" t="s">
        <v>25</v>
      </c>
      <c r="E1395" s="48">
        <v>0.72916666666666696</v>
      </c>
      <c r="F1395" s="48">
        <v>0.84375</v>
      </c>
      <c r="G1395" s="49">
        <v>8.0000000000000036</v>
      </c>
      <c r="H1395" s="49">
        <v>2.7499999999999876</v>
      </c>
      <c r="I1395" s="49">
        <v>2.7499999999999876</v>
      </c>
      <c r="J1395" s="50" t="s">
        <v>30</v>
      </c>
      <c r="K1395" s="51" t="s">
        <v>452</v>
      </c>
      <c r="L1395" s="102">
        <v>1</v>
      </c>
      <c r="M1395" s="19" t="str">
        <f t="shared" si="36"/>
        <v>Feb_2018</v>
      </c>
    </row>
    <row r="1396" spans="1:13">
      <c r="A1396" s="45" t="s">
        <v>22</v>
      </c>
      <c r="B1396" s="52" t="s">
        <v>23</v>
      </c>
      <c r="C1396" s="46">
        <v>43153</v>
      </c>
      <c r="D1396" s="47" t="s">
        <v>25</v>
      </c>
      <c r="E1396" s="48">
        <v>0.35416666666666702</v>
      </c>
      <c r="F1396" s="48">
        <v>0.84375</v>
      </c>
      <c r="G1396" s="49">
        <v>0</v>
      </c>
      <c r="H1396" s="49">
        <v>10.749999999999991</v>
      </c>
      <c r="I1396" s="49">
        <v>10.749999999999991</v>
      </c>
      <c r="J1396" s="50" t="s">
        <v>30</v>
      </c>
      <c r="K1396" s="51" t="s">
        <v>452</v>
      </c>
      <c r="L1396" s="102" t="s">
        <v>281</v>
      </c>
      <c r="M1396" s="19" t="str">
        <f t="shared" si="36"/>
        <v>Feb_2018</v>
      </c>
    </row>
    <row r="1397" spans="1:13">
      <c r="A1397" s="45" t="s">
        <v>22</v>
      </c>
      <c r="B1397" s="52" t="s">
        <v>23</v>
      </c>
      <c r="C1397" s="46">
        <v>43154</v>
      </c>
      <c r="D1397" s="47" t="s">
        <v>17</v>
      </c>
      <c r="E1397" s="48">
        <v>0.35416666666666702</v>
      </c>
      <c r="F1397" s="48">
        <v>0.72916666666666696</v>
      </c>
      <c r="G1397" s="49">
        <v>0</v>
      </c>
      <c r="H1397" s="49">
        <v>7.9999999999999982</v>
      </c>
      <c r="I1397" s="49">
        <v>7.9999999999999982</v>
      </c>
      <c r="J1397" s="50" t="s">
        <v>30</v>
      </c>
      <c r="K1397" s="51" t="s">
        <v>453</v>
      </c>
      <c r="L1397" s="102" t="s">
        <v>281</v>
      </c>
      <c r="M1397" s="19" t="str">
        <f t="shared" si="36"/>
        <v>Feb_2018</v>
      </c>
    </row>
    <row r="1398" spans="1:13">
      <c r="A1398" s="45" t="s">
        <v>11</v>
      </c>
      <c r="B1398" s="52" t="s">
        <v>12</v>
      </c>
      <c r="C1398" s="54">
        <v>43157</v>
      </c>
      <c r="D1398" s="47" t="s">
        <v>16</v>
      </c>
      <c r="E1398" s="48">
        <v>0.79166666666666696</v>
      </c>
      <c r="F1398" s="48">
        <v>0.875</v>
      </c>
      <c r="G1398" s="49">
        <v>8.0000000000000036</v>
      </c>
      <c r="H1398" s="49">
        <v>1.9999999999999876</v>
      </c>
      <c r="I1398" s="49">
        <v>1.9999999999999876</v>
      </c>
      <c r="J1398" s="50" t="s">
        <v>30</v>
      </c>
      <c r="K1398" s="51" t="s">
        <v>454</v>
      </c>
      <c r="L1398" s="102" t="s">
        <v>281</v>
      </c>
      <c r="M1398" s="19" t="str">
        <f t="shared" si="36"/>
        <v>Feb_2018</v>
      </c>
    </row>
    <row r="1399" spans="1:13">
      <c r="A1399" s="45" t="s">
        <v>11</v>
      </c>
      <c r="B1399" s="52" t="s">
        <v>19</v>
      </c>
      <c r="C1399" s="46">
        <v>43157</v>
      </c>
      <c r="D1399" s="47" t="s">
        <v>16</v>
      </c>
      <c r="E1399" s="48">
        <v>0.70833333333333304</v>
      </c>
      <c r="F1399" s="48">
        <v>0.875</v>
      </c>
      <c r="G1399" s="49">
        <v>8.0000000000000036</v>
      </c>
      <c r="H1399" s="49">
        <v>4.0000000000000036</v>
      </c>
      <c r="I1399" s="49">
        <v>4.0000000000000036</v>
      </c>
      <c r="J1399" s="50" t="s">
        <v>30</v>
      </c>
      <c r="K1399" s="51" t="s">
        <v>454</v>
      </c>
      <c r="L1399" s="102">
        <v>1</v>
      </c>
      <c r="M1399" s="19" t="str">
        <f t="shared" si="36"/>
        <v>Feb_2018</v>
      </c>
    </row>
    <row r="1400" spans="1:13">
      <c r="A1400" s="45" t="s">
        <v>11</v>
      </c>
      <c r="B1400" s="52" t="s">
        <v>26</v>
      </c>
      <c r="C1400" s="46">
        <v>43157</v>
      </c>
      <c r="D1400" s="47" t="s">
        <v>16</v>
      </c>
      <c r="E1400" s="48">
        <v>0.70833333333333304</v>
      </c>
      <c r="F1400" s="48">
        <v>0.875</v>
      </c>
      <c r="G1400" s="49">
        <v>8.0000000000000036</v>
      </c>
      <c r="H1400" s="49">
        <v>4.0000000000000036</v>
      </c>
      <c r="I1400" s="49">
        <v>4.0000000000000036</v>
      </c>
      <c r="J1400" s="50" t="s">
        <v>30</v>
      </c>
      <c r="K1400" s="51" t="s">
        <v>454</v>
      </c>
      <c r="L1400" s="102">
        <v>1</v>
      </c>
      <c r="M1400" s="19" t="str">
        <f t="shared" si="36"/>
        <v>Feb_2018</v>
      </c>
    </row>
    <row r="1401" spans="1:13">
      <c r="A1401" s="45" t="s">
        <v>11</v>
      </c>
      <c r="B1401" s="52" t="s">
        <v>149</v>
      </c>
      <c r="C1401" s="46">
        <v>43157</v>
      </c>
      <c r="D1401" s="47" t="s">
        <v>16</v>
      </c>
      <c r="E1401" s="48">
        <v>0.70833333333333304</v>
      </c>
      <c r="F1401" s="48">
        <v>0.875</v>
      </c>
      <c r="G1401" s="49">
        <v>8.0000000000000036</v>
      </c>
      <c r="H1401" s="49">
        <v>4.0000000000000036</v>
      </c>
      <c r="I1401" s="49">
        <v>4.0000000000000036</v>
      </c>
      <c r="J1401" s="50" t="s">
        <v>30</v>
      </c>
      <c r="K1401" s="51" t="s">
        <v>454</v>
      </c>
      <c r="L1401" s="102">
        <v>1</v>
      </c>
      <c r="M1401" s="19" t="str">
        <f t="shared" si="36"/>
        <v>Feb_2018</v>
      </c>
    </row>
    <row r="1402" spans="1:13">
      <c r="A1402" s="45" t="s">
        <v>11</v>
      </c>
      <c r="B1402" s="52" t="s">
        <v>161</v>
      </c>
      <c r="C1402" s="46">
        <v>43157</v>
      </c>
      <c r="D1402" s="47" t="s">
        <v>16</v>
      </c>
      <c r="E1402" s="48">
        <v>0.70833333333333304</v>
      </c>
      <c r="F1402" s="48">
        <v>0.875</v>
      </c>
      <c r="G1402" s="49">
        <v>8.0000000000000036</v>
      </c>
      <c r="H1402" s="49">
        <v>4.0000000000000036</v>
      </c>
      <c r="I1402" s="49">
        <v>4.0000000000000036</v>
      </c>
      <c r="J1402" s="50" t="s">
        <v>30</v>
      </c>
      <c r="K1402" s="51" t="s">
        <v>454</v>
      </c>
      <c r="L1402" s="102">
        <v>1</v>
      </c>
      <c r="M1402" s="19" t="str">
        <f t="shared" si="36"/>
        <v>Feb_2018</v>
      </c>
    </row>
    <row r="1403" spans="1:13">
      <c r="A1403" s="45" t="s">
        <v>22</v>
      </c>
      <c r="B1403" s="52" t="s">
        <v>23</v>
      </c>
      <c r="C1403" s="46">
        <v>43157</v>
      </c>
      <c r="D1403" s="47" t="s">
        <v>16</v>
      </c>
      <c r="E1403" s="48">
        <v>0.33333333333333298</v>
      </c>
      <c r="F1403" s="48">
        <v>0.875</v>
      </c>
      <c r="G1403" s="49">
        <v>0</v>
      </c>
      <c r="H1403" s="49">
        <v>12.000000000000007</v>
      </c>
      <c r="I1403" s="49">
        <v>12.000000000000007</v>
      </c>
      <c r="J1403" s="50" t="s">
        <v>30</v>
      </c>
      <c r="K1403" s="51" t="s">
        <v>454</v>
      </c>
      <c r="L1403" s="102" t="s">
        <v>281</v>
      </c>
      <c r="M1403" s="19" t="str">
        <f t="shared" si="36"/>
        <v>Feb_2018</v>
      </c>
    </row>
    <row r="1404" spans="1:13">
      <c r="A1404" s="45" t="s">
        <v>22</v>
      </c>
      <c r="B1404" s="52" t="s">
        <v>77</v>
      </c>
      <c r="C1404" s="46">
        <v>43157</v>
      </c>
      <c r="D1404" s="47" t="s">
        <v>16</v>
      </c>
      <c r="E1404" s="48">
        <v>0.6875</v>
      </c>
      <c r="F1404" s="48">
        <v>0.875</v>
      </c>
      <c r="G1404" s="49">
        <v>0</v>
      </c>
      <c r="H1404" s="49">
        <v>4.5</v>
      </c>
      <c r="I1404" s="49">
        <v>4.5</v>
      </c>
      <c r="J1404" s="50" t="s">
        <v>30</v>
      </c>
      <c r="K1404" s="51" t="s">
        <v>454</v>
      </c>
      <c r="L1404" s="102" t="s">
        <v>281</v>
      </c>
      <c r="M1404" s="19" t="str">
        <f t="shared" si="36"/>
        <v>Feb_2018</v>
      </c>
    </row>
    <row r="1405" spans="1:13">
      <c r="A1405" s="45" t="s">
        <v>22</v>
      </c>
      <c r="B1405" s="52" t="s">
        <v>254</v>
      </c>
      <c r="C1405" s="46">
        <v>43157</v>
      </c>
      <c r="D1405" s="47" t="s">
        <v>16</v>
      </c>
      <c r="E1405" s="48">
        <v>0.33333333333333298</v>
      </c>
      <c r="F1405" s="48">
        <v>0.875</v>
      </c>
      <c r="G1405" s="49">
        <v>0</v>
      </c>
      <c r="H1405" s="49">
        <v>12.000000000000007</v>
      </c>
      <c r="I1405" s="49">
        <v>12.000000000000007</v>
      </c>
      <c r="J1405" s="50" t="s">
        <v>30</v>
      </c>
      <c r="K1405" s="51" t="s">
        <v>454</v>
      </c>
      <c r="L1405" s="102" t="s">
        <v>281</v>
      </c>
      <c r="M1405" s="19" t="str">
        <f t="shared" si="36"/>
        <v>Feb_2018</v>
      </c>
    </row>
    <row r="1406" spans="1:13">
      <c r="A1406" s="45" t="s">
        <v>22</v>
      </c>
      <c r="B1406" s="52" t="s">
        <v>346</v>
      </c>
      <c r="C1406" s="46">
        <v>43157</v>
      </c>
      <c r="D1406" s="47" t="s">
        <v>16</v>
      </c>
      <c r="E1406" s="48">
        <v>0.33333333333333298</v>
      </c>
      <c r="F1406" s="48">
        <v>0.875</v>
      </c>
      <c r="G1406" s="49">
        <v>0</v>
      </c>
      <c r="H1406" s="49">
        <v>12.000000000000007</v>
      </c>
      <c r="I1406" s="49">
        <v>12.000000000000007</v>
      </c>
      <c r="J1406" s="50" t="s">
        <v>30</v>
      </c>
      <c r="K1406" s="51" t="s">
        <v>454</v>
      </c>
      <c r="L1406" s="102" t="s">
        <v>281</v>
      </c>
      <c r="M1406" s="19" t="str">
        <f t="shared" si="36"/>
        <v>Feb_2018</v>
      </c>
    </row>
    <row r="1407" spans="1:13">
      <c r="A1407" s="45" t="s">
        <v>11</v>
      </c>
      <c r="B1407" s="52" t="s">
        <v>12</v>
      </c>
      <c r="C1407" s="54">
        <v>43158</v>
      </c>
      <c r="D1407" s="47" t="s">
        <v>14</v>
      </c>
      <c r="E1407" s="48">
        <v>0.79166666666666696</v>
      </c>
      <c r="F1407" s="48">
        <v>0.875</v>
      </c>
      <c r="G1407" s="49">
        <v>8.0000000000000036</v>
      </c>
      <c r="H1407" s="49">
        <v>1.9999999999999876</v>
      </c>
      <c r="I1407" s="49">
        <v>1.9999999999999876</v>
      </c>
      <c r="J1407" s="50" t="s">
        <v>30</v>
      </c>
      <c r="K1407" s="51" t="s">
        <v>455</v>
      </c>
      <c r="L1407" s="102" t="s">
        <v>281</v>
      </c>
      <c r="M1407" s="19" t="str">
        <f t="shared" si="36"/>
        <v>Feb_2018</v>
      </c>
    </row>
    <row r="1408" spans="1:13">
      <c r="A1408" s="45" t="s">
        <v>11</v>
      </c>
      <c r="B1408" s="52" t="s">
        <v>19</v>
      </c>
      <c r="C1408" s="46">
        <v>43158</v>
      </c>
      <c r="D1408" s="47" t="s">
        <v>14</v>
      </c>
      <c r="E1408" s="48">
        <v>0.70833333333333304</v>
      </c>
      <c r="F1408" s="48">
        <v>0.875</v>
      </c>
      <c r="G1408" s="49">
        <v>8.0000000000000036</v>
      </c>
      <c r="H1408" s="49">
        <v>4.0000000000000036</v>
      </c>
      <c r="I1408" s="49">
        <v>4.0000000000000036</v>
      </c>
      <c r="J1408" s="50" t="s">
        <v>30</v>
      </c>
      <c r="K1408" s="51" t="s">
        <v>455</v>
      </c>
      <c r="L1408" s="102">
        <v>1</v>
      </c>
      <c r="M1408" s="19" t="str">
        <f t="shared" si="36"/>
        <v>Feb_2018</v>
      </c>
    </row>
    <row r="1409" spans="1:13">
      <c r="A1409" s="45" t="s">
        <v>11</v>
      </c>
      <c r="B1409" s="52" t="s">
        <v>149</v>
      </c>
      <c r="C1409" s="46">
        <v>43158</v>
      </c>
      <c r="D1409" s="47" t="s">
        <v>14</v>
      </c>
      <c r="E1409" s="48">
        <v>0.70833333333333304</v>
      </c>
      <c r="F1409" s="48">
        <v>0.875</v>
      </c>
      <c r="G1409" s="49">
        <v>8.0000000000000036</v>
      </c>
      <c r="H1409" s="49">
        <v>4.0000000000000036</v>
      </c>
      <c r="I1409" s="49">
        <v>4.0000000000000036</v>
      </c>
      <c r="J1409" s="50" t="s">
        <v>30</v>
      </c>
      <c r="K1409" s="51" t="s">
        <v>455</v>
      </c>
      <c r="L1409" s="102">
        <v>1</v>
      </c>
      <c r="M1409" s="19" t="str">
        <f t="shared" si="36"/>
        <v>Feb_2018</v>
      </c>
    </row>
    <row r="1410" spans="1:13">
      <c r="A1410" s="45" t="s">
        <v>11</v>
      </c>
      <c r="B1410" s="52" t="s">
        <v>161</v>
      </c>
      <c r="C1410" s="46">
        <v>43158</v>
      </c>
      <c r="D1410" s="47" t="s">
        <v>14</v>
      </c>
      <c r="E1410" s="48">
        <v>0.70833333333333304</v>
      </c>
      <c r="F1410" s="48">
        <v>0.875</v>
      </c>
      <c r="G1410" s="49">
        <v>8.0000000000000036</v>
      </c>
      <c r="H1410" s="49">
        <v>4.0000000000000036</v>
      </c>
      <c r="I1410" s="49">
        <v>4.0000000000000036</v>
      </c>
      <c r="J1410" s="50" t="s">
        <v>30</v>
      </c>
      <c r="K1410" s="51" t="s">
        <v>455</v>
      </c>
      <c r="L1410" s="102">
        <v>1</v>
      </c>
      <c r="M1410" s="19" t="str">
        <f t="shared" si="36"/>
        <v>Feb_2018</v>
      </c>
    </row>
    <row r="1411" spans="1:13">
      <c r="A1411" s="45" t="s">
        <v>22</v>
      </c>
      <c r="B1411" s="52" t="s">
        <v>23</v>
      </c>
      <c r="C1411" s="46">
        <v>43158</v>
      </c>
      <c r="D1411" s="47" t="s">
        <v>14</v>
      </c>
      <c r="E1411" s="48">
        <v>0.33333333333333298</v>
      </c>
      <c r="F1411" s="48">
        <v>0.875</v>
      </c>
      <c r="G1411" s="49">
        <v>0</v>
      </c>
      <c r="H1411" s="49">
        <v>12.000000000000007</v>
      </c>
      <c r="I1411" s="49">
        <v>12.000000000000007</v>
      </c>
      <c r="J1411" s="50" t="s">
        <v>30</v>
      </c>
      <c r="K1411" s="51" t="s">
        <v>455</v>
      </c>
      <c r="L1411" s="102" t="s">
        <v>281</v>
      </c>
      <c r="M1411" s="19" t="str">
        <f t="shared" si="36"/>
        <v>Feb_2018</v>
      </c>
    </row>
    <row r="1412" spans="1:13">
      <c r="A1412" s="45" t="s">
        <v>22</v>
      </c>
      <c r="B1412" s="52" t="s">
        <v>254</v>
      </c>
      <c r="C1412" s="46">
        <v>43158</v>
      </c>
      <c r="D1412" s="47" t="s">
        <v>14</v>
      </c>
      <c r="E1412" s="48">
        <v>0.33333333333333298</v>
      </c>
      <c r="F1412" s="48">
        <v>0.875</v>
      </c>
      <c r="G1412" s="49">
        <v>0</v>
      </c>
      <c r="H1412" s="49">
        <v>12.000000000000007</v>
      </c>
      <c r="I1412" s="49">
        <v>12.000000000000007</v>
      </c>
      <c r="J1412" s="50" t="s">
        <v>30</v>
      </c>
      <c r="K1412" s="51" t="s">
        <v>455</v>
      </c>
      <c r="L1412" s="102" t="s">
        <v>281</v>
      </c>
      <c r="M1412" s="19" t="str">
        <f t="shared" si="36"/>
        <v>Feb_2018</v>
      </c>
    </row>
    <row r="1413" spans="1:13">
      <c r="A1413" s="45" t="s">
        <v>22</v>
      </c>
      <c r="B1413" s="52" t="s">
        <v>27</v>
      </c>
      <c r="C1413" s="46">
        <v>43158</v>
      </c>
      <c r="D1413" s="47" t="s">
        <v>14</v>
      </c>
      <c r="E1413" s="48">
        <v>0.33333333333333298</v>
      </c>
      <c r="F1413" s="48">
        <v>0.875</v>
      </c>
      <c r="G1413" s="49">
        <v>0</v>
      </c>
      <c r="H1413" s="49">
        <v>12.000000000000007</v>
      </c>
      <c r="I1413" s="49">
        <v>12.000000000000007</v>
      </c>
      <c r="J1413" s="50" t="s">
        <v>30</v>
      </c>
      <c r="K1413" s="51" t="s">
        <v>455</v>
      </c>
      <c r="L1413" s="102" t="s">
        <v>281</v>
      </c>
      <c r="M1413" s="19" t="str">
        <f t="shared" si="36"/>
        <v>Feb_2018</v>
      </c>
    </row>
    <row r="1414" spans="1:13">
      <c r="A1414" s="45" t="s">
        <v>22</v>
      </c>
      <c r="B1414" s="52" t="s">
        <v>346</v>
      </c>
      <c r="C1414" s="46">
        <v>43158</v>
      </c>
      <c r="D1414" s="47" t="s">
        <v>14</v>
      </c>
      <c r="E1414" s="48">
        <v>0.33333333333333298</v>
      </c>
      <c r="F1414" s="48">
        <v>0.875</v>
      </c>
      <c r="G1414" s="49">
        <v>0</v>
      </c>
      <c r="H1414" s="49">
        <v>12.000000000000007</v>
      </c>
      <c r="I1414" s="49">
        <v>12.000000000000007</v>
      </c>
      <c r="J1414" s="50" t="s">
        <v>30</v>
      </c>
      <c r="K1414" s="51" t="s">
        <v>455</v>
      </c>
      <c r="L1414" s="102" t="s">
        <v>281</v>
      </c>
      <c r="M1414" s="19" t="str">
        <f t="shared" si="36"/>
        <v>Feb_2018</v>
      </c>
    </row>
    <row r="1415" spans="1:13">
      <c r="A1415" s="45" t="s">
        <v>11</v>
      </c>
      <c r="B1415" s="52" t="s">
        <v>12</v>
      </c>
      <c r="C1415" s="54">
        <v>43159</v>
      </c>
      <c r="D1415" s="47" t="s">
        <v>15</v>
      </c>
      <c r="E1415" s="48">
        <v>0.75</v>
      </c>
      <c r="F1415" s="48">
        <v>0.875</v>
      </c>
      <c r="G1415" s="49">
        <v>8.0000000000000036</v>
      </c>
      <c r="H1415" s="49">
        <v>2.9999999999999964</v>
      </c>
      <c r="I1415" s="49">
        <v>2.9999999999999964</v>
      </c>
      <c r="J1415" s="50" t="s">
        <v>30</v>
      </c>
      <c r="K1415" s="51" t="s">
        <v>456</v>
      </c>
      <c r="L1415" s="102">
        <v>1</v>
      </c>
      <c r="M1415" s="19" t="str">
        <f t="shared" si="36"/>
        <v>Feb_2018</v>
      </c>
    </row>
    <row r="1416" spans="1:13">
      <c r="A1416" s="45" t="s">
        <v>11</v>
      </c>
      <c r="B1416" s="52" t="s">
        <v>26</v>
      </c>
      <c r="C1416" s="46">
        <v>43159</v>
      </c>
      <c r="D1416" s="47" t="s">
        <v>15</v>
      </c>
      <c r="E1416" s="48">
        <v>0.70833333333333304</v>
      </c>
      <c r="F1416" s="48">
        <v>0.875</v>
      </c>
      <c r="G1416" s="49">
        <v>8.0000000000000036</v>
      </c>
      <c r="H1416" s="49">
        <v>4.0000000000000036</v>
      </c>
      <c r="I1416" s="49">
        <v>4.0000000000000036</v>
      </c>
      <c r="J1416" s="50" t="s">
        <v>30</v>
      </c>
      <c r="K1416" s="51" t="s">
        <v>457</v>
      </c>
      <c r="L1416" s="102">
        <v>1</v>
      </c>
      <c r="M1416" s="19" t="str">
        <f t="shared" si="36"/>
        <v>Feb_2018</v>
      </c>
    </row>
    <row r="1417" spans="1:13">
      <c r="A1417" s="45" t="s">
        <v>11</v>
      </c>
      <c r="B1417" s="52" t="s">
        <v>149</v>
      </c>
      <c r="C1417" s="46">
        <v>43159</v>
      </c>
      <c r="D1417" s="47" t="s">
        <v>15</v>
      </c>
      <c r="E1417" s="48">
        <v>0.70833333333333304</v>
      </c>
      <c r="F1417" s="48">
        <v>0.875</v>
      </c>
      <c r="G1417" s="49">
        <v>8.0000000000000036</v>
      </c>
      <c r="H1417" s="49">
        <v>4.0000000000000036</v>
      </c>
      <c r="I1417" s="49">
        <v>4.0000000000000036</v>
      </c>
      <c r="J1417" s="50" t="s">
        <v>30</v>
      </c>
      <c r="K1417" s="51" t="s">
        <v>457</v>
      </c>
      <c r="L1417" s="102">
        <v>1</v>
      </c>
      <c r="M1417" s="19" t="str">
        <f t="shared" si="36"/>
        <v>Feb_2018</v>
      </c>
    </row>
    <row r="1418" spans="1:13">
      <c r="A1418" s="45" t="s">
        <v>11</v>
      </c>
      <c r="B1418" s="52" t="s">
        <v>161</v>
      </c>
      <c r="C1418" s="46">
        <v>43159</v>
      </c>
      <c r="D1418" s="47" t="s">
        <v>15</v>
      </c>
      <c r="E1418" s="48">
        <v>0.70833333333333304</v>
      </c>
      <c r="F1418" s="48">
        <v>0.875</v>
      </c>
      <c r="G1418" s="49">
        <v>8.0000000000000036</v>
      </c>
      <c r="H1418" s="49">
        <v>4.0000000000000036</v>
      </c>
      <c r="I1418" s="49">
        <v>4.0000000000000036</v>
      </c>
      <c r="J1418" s="50" t="s">
        <v>30</v>
      </c>
      <c r="K1418" s="51" t="s">
        <v>457</v>
      </c>
      <c r="L1418" s="102">
        <v>1</v>
      </c>
      <c r="M1418" s="19" t="str">
        <f t="shared" si="36"/>
        <v>Feb_2018</v>
      </c>
    </row>
    <row r="1419" spans="1:13">
      <c r="A1419" s="45" t="s">
        <v>22</v>
      </c>
      <c r="B1419" s="52" t="s">
        <v>23</v>
      </c>
      <c r="C1419" s="46">
        <v>43159</v>
      </c>
      <c r="D1419" s="47" t="s">
        <v>15</v>
      </c>
      <c r="E1419" s="48">
        <v>0.33333333333333298</v>
      </c>
      <c r="F1419" s="48">
        <v>0.875</v>
      </c>
      <c r="G1419" s="49">
        <v>0</v>
      </c>
      <c r="H1419" s="49">
        <v>12.000000000000007</v>
      </c>
      <c r="I1419" s="49">
        <v>12.000000000000007</v>
      </c>
      <c r="J1419" s="50" t="s">
        <v>30</v>
      </c>
      <c r="K1419" s="51" t="s">
        <v>457</v>
      </c>
      <c r="L1419" s="102" t="s">
        <v>281</v>
      </c>
      <c r="M1419" s="19" t="str">
        <f t="shared" si="36"/>
        <v>Feb_2018</v>
      </c>
    </row>
    <row r="1420" spans="1:13">
      <c r="A1420" s="45" t="s">
        <v>22</v>
      </c>
      <c r="B1420" s="52" t="s">
        <v>77</v>
      </c>
      <c r="C1420" s="46">
        <v>43159</v>
      </c>
      <c r="D1420" s="47" t="s">
        <v>15</v>
      </c>
      <c r="E1420" s="48">
        <v>0.52083333333333304</v>
      </c>
      <c r="F1420" s="48">
        <v>0.875</v>
      </c>
      <c r="G1420" s="49">
        <v>0</v>
      </c>
      <c r="H1420" s="49">
        <v>8.5000000000000071</v>
      </c>
      <c r="I1420" s="49">
        <v>8.5000000000000071</v>
      </c>
      <c r="J1420" s="50" t="s">
        <v>30</v>
      </c>
      <c r="K1420" s="51" t="s">
        <v>457</v>
      </c>
      <c r="L1420" s="102" t="s">
        <v>281</v>
      </c>
      <c r="M1420" s="19" t="str">
        <f t="shared" si="36"/>
        <v>Feb_2018</v>
      </c>
    </row>
    <row r="1421" spans="1:13">
      <c r="A1421" s="45" t="s">
        <v>22</v>
      </c>
      <c r="B1421" s="52" t="s">
        <v>27</v>
      </c>
      <c r="C1421" s="46">
        <v>43159</v>
      </c>
      <c r="D1421" s="47" t="s">
        <v>15</v>
      </c>
      <c r="E1421" s="48">
        <v>0.33333333333333298</v>
      </c>
      <c r="F1421" s="48">
        <v>0.625</v>
      </c>
      <c r="G1421" s="49">
        <v>0</v>
      </c>
      <c r="H1421" s="49">
        <v>6.0000000000000089</v>
      </c>
      <c r="I1421" s="49">
        <v>6.0000000000000089</v>
      </c>
      <c r="J1421" s="50" t="s">
        <v>30</v>
      </c>
      <c r="K1421" s="51" t="s">
        <v>457</v>
      </c>
      <c r="L1421" s="102" t="s">
        <v>281</v>
      </c>
      <c r="M1421" s="19" t="str">
        <f t="shared" si="36"/>
        <v>Feb_2018</v>
      </c>
    </row>
    <row r="1422" spans="1:13">
      <c r="A1422" s="45" t="s">
        <v>22</v>
      </c>
      <c r="B1422" s="52" t="s">
        <v>346</v>
      </c>
      <c r="C1422" s="46">
        <v>43159</v>
      </c>
      <c r="D1422" s="47" t="s">
        <v>15</v>
      </c>
      <c r="E1422" s="48">
        <v>0.33333333333333298</v>
      </c>
      <c r="F1422" s="48">
        <v>0.79166666666666696</v>
      </c>
      <c r="G1422" s="49">
        <v>0</v>
      </c>
      <c r="H1422" s="49">
        <v>10.000000000000016</v>
      </c>
      <c r="I1422" s="49">
        <v>10.000000000000016</v>
      </c>
      <c r="J1422" s="50" t="s">
        <v>30</v>
      </c>
      <c r="K1422" s="51" t="s">
        <v>457</v>
      </c>
      <c r="L1422" s="102" t="s">
        <v>281</v>
      </c>
      <c r="M1422" s="19" t="str">
        <f t="shared" si="36"/>
        <v>Feb_2018</v>
      </c>
    </row>
    <row r="1423" spans="1:13">
      <c r="A1423" s="45" t="s">
        <v>11</v>
      </c>
      <c r="B1423" s="52" t="s">
        <v>19</v>
      </c>
      <c r="C1423" s="46">
        <v>43160</v>
      </c>
      <c r="D1423" s="47" t="s">
        <v>25</v>
      </c>
      <c r="E1423" s="48">
        <v>0.70833333333333326</v>
      </c>
      <c r="F1423" s="48">
        <v>0.875</v>
      </c>
      <c r="G1423" s="49">
        <v>8.0000000000000036</v>
      </c>
      <c r="H1423" s="49">
        <v>3.9999999999999982</v>
      </c>
      <c r="I1423" s="49">
        <v>3.9999999999999982</v>
      </c>
      <c r="J1423" s="53" t="s">
        <v>30</v>
      </c>
      <c r="K1423" s="51" t="s">
        <v>458</v>
      </c>
      <c r="L1423" s="102">
        <v>1</v>
      </c>
      <c r="M1423" s="19" t="str">
        <f>IF($C1423="","",TEXT(DATE(YEAR($C1423),MONTH($C1423),DAY($C1423)),"MMM")&amp;"_"&amp;YEAR($C1423))</f>
        <v>Mar_2018</v>
      </c>
    </row>
    <row r="1424" spans="1:13">
      <c r="A1424" s="45" t="s">
        <v>11</v>
      </c>
      <c r="B1424" s="52" t="s">
        <v>26</v>
      </c>
      <c r="C1424" s="46">
        <v>43160</v>
      </c>
      <c r="D1424" s="47" t="s">
        <v>25</v>
      </c>
      <c r="E1424" s="48">
        <v>0.70833333333333326</v>
      </c>
      <c r="F1424" s="48">
        <v>0.875</v>
      </c>
      <c r="G1424" s="49">
        <v>8.0000000000000036</v>
      </c>
      <c r="H1424" s="49">
        <v>3.9999999999999982</v>
      </c>
      <c r="I1424" s="49">
        <v>3.9999999999999982</v>
      </c>
      <c r="J1424" s="53" t="s">
        <v>30</v>
      </c>
      <c r="K1424" s="51" t="s">
        <v>458</v>
      </c>
      <c r="L1424" s="102">
        <v>1</v>
      </c>
      <c r="M1424" s="19" t="str">
        <f t="shared" ref="M1424:M1487" si="37">IF($C1424="","",TEXT(DATE(YEAR($C1424),MONTH($C1424),DAY($C1424)),"MMM")&amp;"_"&amp;YEAR($C1424))</f>
        <v>Mar_2018</v>
      </c>
    </row>
    <row r="1425" spans="1:13">
      <c r="A1425" s="45" t="s">
        <v>11</v>
      </c>
      <c r="B1425" s="52" t="s">
        <v>149</v>
      </c>
      <c r="C1425" s="46">
        <v>43160</v>
      </c>
      <c r="D1425" s="47" t="s">
        <v>25</v>
      </c>
      <c r="E1425" s="48">
        <v>0.70833333333333326</v>
      </c>
      <c r="F1425" s="48">
        <v>0.875</v>
      </c>
      <c r="G1425" s="49">
        <v>8.0000000000000036</v>
      </c>
      <c r="H1425" s="49">
        <v>3.9999999999999982</v>
      </c>
      <c r="I1425" s="49">
        <v>3.9999999999999982</v>
      </c>
      <c r="J1425" s="53" t="s">
        <v>30</v>
      </c>
      <c r="K1425" s="51" t="s">
        <v>458</v>
      </c>
      <c r="L1425" s="102">
        <v>1</v>
      </c>
      <c r="M1425" s="19" t="str">
        <f t="shared" si="37"/>
        <v>Mar_2018</v>
      </c>
    </row>
    <row r="1426" spans="1:13">
      <c r="A1426" s="45" t="s">
        <v>11</v>
      </c>
      <c r="B1426" s="52" t="s">
        <v>161</v>
      </c>
      <c r="C1426" s="46">
        <v>43160</v>
      </c>
      <c r="D1426" s="47" t="s">
        <v>25</v>
      </c>
      <c r="E1426" s="48">
        <v>0.70833333333333326</v>
      </c>
      <c r="F1426" s="48">
        <v>0.875</v>
      </c>
      <c r="G1426" s="49">
        <v>8.0000000000000036</v>
      </c>
      <c r="H1426" s="49">
        <v>3.9999999999999982</v>
      </c>
      <c r="I1426" s="49">
        <v>3.9999999999999982</v>
      </c>
      <c r="J1426" s="53" t="s">
        <v>30</v>
      </c>
      <c r="K1426" s="51" t="s">
        <v>458</v>
      </c>
      <c r="L1426" s="102">
        <v>1</v>
      </c>
      <c r="M1426" s="19" t="str">
        <f t="shared" si="37"/>
        <v>Mar_2018</v>
      </c>
    </row>
    <row r="1427" spans="1:13">
      <c r="A1427" s="45" t="s">
        <v>22</v>
      </c>
      <c r="B1427" s="52" t="s">
        <v>23</v>
      </c>
      <c r="C1427" s="46">
        <v>43160</v>
      </c>
      <c r="D1427" s="47" t="s">
        <v>25</v>
      </c>
      <c r="E1427" s="48">
        <v>0.33333333333333331</v>
      </c>
      <c r="F1427" s="48">
        <v>0.875</v>
      </c>
      <c r="G1427" s="49">
        <v>0</v>
      </c>
      <c r="H1427" s="49">
        <v>12.000000000000002</v>
      </c>
      <c r="I1427" s="49">
        <v>12.000000000000002</v>
      </c>
      <c r="J1427" s="53" t="s">
        <v>30</v>
      </c>
      <c r="K1427" s="51" t="s">
        <v>458</v>
      </c>
      <c r="L1427" s="102" t="s">
        <v>281</v>
      </c>
      <c r="M1427" s="19" t="str">
        <f t="shared" si="37"/>
        <v>Mar_2018</v>
      </c>
    </row>
    <row r="1428" spans="1:13">
      <c r="A1428" s="45" t="s">
        <v>22</v>
      </c>
      <c r="B1428" s="52" t="s">
        <v>77</v>
      </c>
      <c r="C1428" s="46">
        <v>43160</v>
      </c>
      <c r="D1428" s="47" t="s">
        <v>25</v>
      </c>
      <c r="E1428" s="48">
        <v>0.52083333333333337</v>
      </c>
      <c r="F1428" s="48">
        <v>0.875</v>
      </c>
      <c r="G1428" s="49">
        <v>0</v>
      </c>
      <c r="H1428" s="49">
        <v>7.5</v>
      </c>
      <c r="I1428" s="49">
        <v>7.5</v>
      </c>
      <c r="J1428" s="53" t="s">
        <v>30</v>
      </c>
      <c r="K1428" s="51" t="s">
        <v>458</v>
      </c>
      <c r="L1428" s="102" t="s">
        <v>281</v>
      </c>
      <c r="M1428" s="19" t="str">
        <f t="shared" si="37"/>
        <v>Mar_2018</v>
      </c>
    </row>
    <row r="1429" spans="1:13">
      <c r="A1429" s="45" t="s">
        <v>22</v>
      </c>
      <c r="B1429" s="52" t="s">
        <v>254</v>
      </c>
      <c r="C1429" s="46">
        <v>43160</v>
      </c>
      <c r="D1429" s="47" t="s">
        <v>25</v>
      </c>
      <c r="E1429" s="48">
        <v>0.33333333333333331</v>
      </c>
      <c r="F1429" s="48">
        <v>0.875</v>
      </c>
      <c r="G1429" s="49">
        <v>0</v>
      </c>
      <c r="H1429" s="49">
        <v>12.000000000000002</v>
      </c>
      <c r="I1429" s="49">
        <v>12.000000000000002</v>
      </c>
      <c r="J1429" s="53" t="s">
        <v>30</v>
      </c>
      <c r="K1429" s="51" t="s">
        <v>458</v>
      </c>
      <c r="L1429" s="102" t="s">
        <v>281</v>
      </c>
      <c r="M1429" s="19" t="str">
        <f t="shared" si="37"/>
        <v>Mar_2018</v>
      </c>
    </row>
    <row r="1430" spans="1:13">
      <c r="A1430" s="45" t="s">
        <v>22</v>
      </c>
      <c r="B1430" s="52" t="s">
        <v>27</v>
      </c>
      <c r="C1430" s="46">
        <v>43160</v>
      </c>
      <c r="D1430" s="47" t="s">
        <v>25</v>
      </c>
      <c r="E1430" s="48">
        <v>0.33333333333333331</v>
      </c>
      <c r="F1430" s="48">
        <v>0.625</v>
      </c>
      <c r="G1430" s="49">
        <v>0</v>
      </c>
      <c r="H1430" s="49">
        <v>6</v>
      </c>
      <c r="I1430" s="49">
        <v>6</v>
      </c>
      <c r="J1430" s="53" t="s">
        <v>30</v>
      </c>
      <c r="K1430" s="51" t="s">
        <v>458</v>
      </c>
      <c r="L1430" s="102" t="s">
        <v>281</v>
      </c>
      <c r="M1430" s="19" t="str">
        <f t="shared" si="37"/>
        <v>Mar_2018</v>
      </c>
    </row>
    <row r="1431" spans="1:13">
      <c r="A1431" s="45" t="s">
        <v>11</v>
      </c>
      <c r="B1431" s="52" t="s">
        <v>12</v>
      </c>
      <c r="C1431" s="54">
        <v>43161</v>
      </c>
      <c r="D1431" s="47" t="s">
        <v>17</v>
      </c>
      <c r="E1431" s="48">
        <v>0.70833333333333326</v>
      </c>
      <c r="F1431" s="48">
        <v>0.72916666666666674</v>
      </c>
      <c r="G1431" s="49">
        <v>8.0000000000000036</v>
      </c>
      <c r="H1431" s="49">
        <v>0.49999999999999822</v>
      </c>
      <c r="I1431" s="49">
        <v>0.49999999999999822</v>
      </c>
      <c r="J1431" s="53" t="s">
        <v>30</v>
      </c>
      <c r="K1431" s="51" t="s">
        <v>459</v>
      </c>
      <c r="L1431" s="102" t="s">
        <v>281</v>
      </c>
      <c r="M1431" s="19" t="str">
        <f t="shared" si="37"/>
        <v>Mar_2018</v>
      </c>
    </row>
    <row r="1432" spans="1:13">
      <c r="A1432" s="45" t="s">
        <v>11</v>
      </c>
      <c r="B1432" s="52" t="s">
        <v>19</v>
      </c>
      <c r="C1432" s="46">
        <v>43161</v>
      </c>
      <c r="D1432" s="47" t="s">
        <v>17</v>
      </c>
      <c r="E1432" s="48">
        <v>0.70833333333333326</v>
      </c>
      <c r="F1432" s="48">
        <v>0.72916666666666674</v>
      </c>
      <c r="G1432" s="49">
        <v>8.0000000000000036</v>
      </c>
      <c r="H1432" s="49">
        <v>0.49999999999999822</v>
      </c>
      <c r="I1432" s="49">
        <v>0.49999999999999822</v>
      </c>
      <c r="J1432" s="53" t="s">
        <v>30</v>
      </c>
      <c r="K1432" s="51" t="s">
        <v>459</v>
      </c>
      <c r="L1432" s="102" t="s">
        <v>281</v>
      </c>
      <c r="M1432" s="19" t="str">
        <f t="shared" si="37"/>
        <v>Mar_2018</v>
      </c>
    </row>
    <row r="1433" spans="1:13">
      <c r="A1433" s="45" t="s">
        <v>11</v>
      </c>
      <c r="B1433" s="52" t="s">
        <v>26</v>
      </c>
      <c r="C1433" s="46">
        <v>43161</v>
      </c>
      <c r="D1433" s="47" t="s">
        <v>17</v>
      </c>
      <c r="E1433" s="48">
        <v>0.70833333333333326</v>
      </c>
      <c r="F1433" s="48">
        <v>0.72916666666666674</v>
      </c>
      <c r="G1433" s="49">
        <v>8.0000000000000036</v>
      </c>
      <c r="H1433" s="49">
        <v>0.49999999999999822</v>
      </c>
      <c r="I1433" s="49">
        <v>0.49999999999999822</v>
      </c>
      <c r="J1433" s="53" t="s">
        <v>30</v>
      </c>
      <c r="K1433" s="51" t="s">
        <v>459</v>
      </c>
      <c r="L1433" s="102" t="s">
        <v>281</v>
      </c>
      <c r="M1433" s="19" t="str">
        <f t="shared" si="37"/>
        <v>Mar_2018</v>
      </c>
    </row>
    <row r="1434" spans="1:13">
      <c r="A1434" s="45" t="s">
        <v>11</v>
      </c>
      <c r="B1434" s="52" t="s">
        <v>149</v>
      </c>
      <c r="C1434" s="46">
        <v>43161</v>
      </c>
      <c r="D1434" s="47" t="s">
        <v>17</v>
      </c>
      <c r="E1434" s="48">
        <v>0.70833333333333326</v>
      </c>
      <c r="F1434" s="48">
        <v>0.72916666666666674</v>
      </c>
      <c r="G1434" s="49">
        <v>8.0000000000000036</v>
      </c>
      <c r="H1434" s="49">
        <v>0.49999999999999822</v>
      </c>
      <c r="I1434" s="49">
        <v>0.49999999999999822</v>
      </c>
      <c r="J1434" s="53" t="s">
        <v>30</v>
      </c>
      <c r="K1434" s="51" t="s">
        <v>459</v>
      </c>
      <c r="L1434" s="102" t="s">
        <v>281</v>
      </c>
      <c r="M1434" s="19" t="str">
        <f t="shared" si="37"/>
        <v>Mar_2018</v>
      </c>
    </row>
    <row r="1435" spans="1:13">
      <c r="A1435" s="45" t="s">
        <v>11</v>
      </c>
      <c r="B1435" s="52" t="s">
        <v>161</v>
      </c>
      <c r="C1435" s="46">
        <v>43161</v>
      </c>
      <c r="D1435" s="47" t="s">
        <v>17</v>
      </c>
      <c r="E1435" s="48">
        <v>0.70833333333333326</v>
      </c>
      <c r="F1435" s="48">
        <v>0.72916666666666674</v>
      </c>
      <c r="G1435" s="49">
        <v>8.0000000000000036</v>
      </c>
      <c r="H1435" s="49">
        <v>0.49999999999999822</v>
      </c>
      <c r="I1435" s="49">
        <v>0.49999999999999822</v>
      </c>
      <c r="J1435" s="53" t="s">
        <v>30</v>
      </c>
      <c r="K1435" s="51" t="s">
        <v>459</v>
      </c>
      <c r="L1435" s="102" t="s">
        <v>281</v>
      </c>
      <c r="M1435" s="19" t="str">
        <f t="shared" si="37"/>
        <v>Mar_2018</v>
      </c>
    </row>
    <row r="1436" spans="1:13">
      <c r="A1436" s="45" t="s">
        <v>22</v>
      </c>
      <c r="B1436" s="52" t="s">
        <v>23</v>
      </c>
      <c r="C1436" s="46">
        <v>43161</v>
      </c>
      <c r="D1436" s="47" t="s">
        <v>17</v>
      </c>
      <c r="E1436" s="48">
        <v>0.33333333333333331</v>
      </c>
      <c r="F1436" s="48">
        <v>0.72916666666666674</v>
      </c>
      <c r="G1436" s="49">
        <v>0</v>
      </c>
      <c r="H1436" s="49">
        <v>8.5000000000000018</v>
      </c>
      <c r="I1436" s="49">
        <v>8.5000000000000018</v>
      </c>
      <c r="J1436" s="53" t="s">
        <v>30</v>
      </c>
      <c r="K1436" s="51" t="s">
        <v>459</v>
      </c>
      <c r="L1436" s="102" t="s">
        <v>281</v>
      </c>
      <c r="M1436" s="19" t="str">
        <f t="shared" si="37"/>
        <v>Mar_2018</v>
      </c>
    </row>
    <row r="1437" spans="1:13">
      <c r="A1437" s="45" t="s">
        <v>22</v>
      </c>
      <c r="B1437" s="52" t="s">
        <v>77</v>
      </c>
      <c r="C1437" s="46">
        <v>43161</v>
      </c>
      <c r="D1437" s="47" t="s">
        <v>17</v>
      </c>
      <c r="E1437" s="48">
        <v>0.33333333333333331</v>
      </c>
      <c r="F1437" s="48">
        <v>0.72916666666666674</v>
      </c>
      <c r="G1437" s="49">
        <v>0</v>
      </c>
      <c r="H1437" s="49">
        <v>8.5000000000000018</v>
      </c>
      <c r="I1437" s="49">
        <v>8.5000000000000018</v>
      </c>
      <c r="J1437" s="53" t="s">
        <v>30</v>
      </c>
      <c r="K1437" s="51" t="s">
        <v>459</v>
      </c>
      <c r="L1437" s="102" t="s">
        <v>281</v>
      </c>
      <c r="M1437" s="19" t="str">
        <f t="shared" si="37"/>
        <v>Mar_2018</v>
      </c>
    </row>
    <row r="1438" spans="1:13">
      <c r="A1438" s="45" t="s">
        <v>22</v>
      </c>
      <c r="B1438" s="52" t="s">
        <v>254</v>
      </c>
      <c r="C1438" s="46">
        <v>43161</v>
      </c>
      <c r="D1438" s="47" t="s">
        <v>17</v>
      </c>
      <c r="E1438" s="48">
        <v>0.33333333333333331</v>
      </c>
      <c r="F1438" s="48">
        <v>0.72916666666666674</v>
      </c>
      <c r="G1438" s="49">
        <v>0</v>
      </c>
      <c r="H1438" s="49">
        <v>8.5000000000000018</v>
      </c>
      <c r="I1438" s="49">
        <v>8.5000000000000018</v>
      </c>
      <c r="J1438" s="53" t="s">
        <v>30</v>
      </c>
      <c r="K1438" s="51" t="s">
        <v>459</v>
      </c>
      <c r="L1438" s="102" t="s">
        <v>281</v>
      </c>
      <c r="M1438" s="19" t="str">
        <f t="shared" si="37"/>
        <v>Mar_2018</v>
      </c>
    </row>
    <row r="1439" spans="1:13">
      <c r="A1439" s="45" t="s">
        <v>22</v>
      </c>
      <c r="B1439" s="52" t="s">
        <v>27</v>
      </c>
      <c r="C1439" s="46">
        <v>43161</v>
      </c>
      <c r="D1439" s="47" t="s">
        <v>17</v>
      </c>
      <c r="E1439" s="48">
        <v>0.33333333333333331</v>
      </c>
      <c r="F1439" s="48">
        <v>0.72916666666666674</v>
      </c>
      <c r="G1439" s="49">
        <v>0</v>
      </c>
      <c r="H1439" s="49">
        <v>8.5000000000000018</v>
      </c>
      <c r="I1439" s="49">
        <v>8.5000000000000018</v>
      </c>
      <c r="J1439" s="53" t="s">
        <v>30</v>
      </c>
      <c r="K1439" s="51" t="s">
        <v>459</v>
      </c>
      <c r="L1439" s="102" t="s">
        <v>281</v>
      </c>
      <c r="M1439" s="19" t="str">
        <f t="shared" si="37"/>
        <v>Mar_2018</v>
      </c>
    </row>
    <row r="1440" spans="1:13">
      <c r="A1440" s="45" t="s">
        <v>22</v>
      </c>
      <c r="B1440" s="52" t="s">
        <v>346</v>
      </c>
      <c r="C1440" s="46">
        <v>43161</v>
      </c>
      <c r="D1440" s="47" t="s">
        <v>17</v>
      </c>
      <c r="E1440" s="48">
        <v>0.375</v>
      </c>
      <c r="F1440" s="48">
        <v>0.72916666666666674</v>
      </c>
      <c r="G1440" s="49">
        <v>0</v>
      </c>
      <c r="H1440" s="49">
        <v>7.5000000000000018</v>
      </c>
      <c r="I1440" s="49">
        <v>7.5000000000000018</v>
      </c>
      <c r="J1440" s="53" t="s">
        <v>30</v>
      </c>
      <c r="K1440" s="51" t="s">
        <v>459</v>
      </c>
      <c r="L1440" s="102" t="s">
        <v>281</v>
      </c>
      <c r="M1440" s="19" t="str">
        <f t="shared" si="37"/>
        <v>Mar_2018</v>
      </c>
    </row>
    <row r="1441" spans="1:13">
      <c r="A1441" s="45" t="s">
        <v>22</v>
      </c>
      <c r="B1441" s="52" t="s">
        <v>23</v>
      </c>
      <c r="C1441" s="46">
        <v>43164</v>
      </c>
      <c r="D1441" s="47" t="s">
        <v>16</v>
      </c>
      <c r="E1441" s="48">
        <v>0.35416666666666663</v>
      </c>
      <c r="F1441" s="48">
        <v>0.72916666666666674</v>
      </c>
      <c r="G1441" s="49">
        <v>0</v>
      </c>
      <c r="H1441" s="49">
        <v>8.0000000000000036</v>
      </c>
      <c r="I1441" s="49">
        <v>8.0000000000000036</v>
      </c>
      <c r="J1441" s="53" t="s">
        <v>30</v>
      </c>
      <c r="K1441" s="51" t="s">
        <v>460</v>
      </c>
      <c r="L1441" s="102" t="s">
        <v>281</v>
      </c>
      <c r="M1441" s="19" t="str">
        <f t="shared" si="37"/>
        <v>Mar_2018</v>
      </c>
    </row>
    <row r="1442" spans="1:13">
      <c r="A1442" s="45" t="s">
        <v>22</v>
      </c>
      <c r="B1442" s="52" t="s">
        <v>27</v>
      </c>
      <c r="C1442" s="46">
        <v>43164</v>
      </c>
      <c r="D1442" s="47" t="s">
        <v>16</v>
      </c>
      <c r="E1442" s="48">
        <v>0.41666666666666669</v>
      </c>
      <c r="F1442" s="48">
        <v>0.625</v>
      </c>
      <c r="G1442" s="49">
        <v>0</v>
      </c>
      <c r="H1442" s="49">
        <v>4</v>
      </c>
      <c r="I1442" s="49">
        <v>4</v>
      </c>
      <c r="J1442" s="53" t="s">
        <v>30</v>
      </c>
      <c r="K1442" s="51" t="s">
        <v>460</v>
      </c>
      <c r="L1442" s="102" t="s">
        <v>281</v>
      </c>
      <c r="M1442" s="19" t="str">
        <f t="shared" si="37"/>
        <v>Mar_2018</v>
      </c>
    </row>
    <row r="1443" spans="1:13">
      <c r="A1443" s="45" t="s">
        <v>22</v>
      </c>
      <c r="B1443" s="52" t="s">
        <v>23</v>
      </c>
      <c r="C1443" s="46">
        <v>43165</v>
      </c>
      <c r="D1443" s="47" t="s">
        <v>14</v>
      </c>
      <c r="E1443" s="48">
        <v>0.35416666666666663</v>
      </c>
      <c r="F1443" s="48">
        <v>0.72916666666666674</v>
      </c>
      <c r="G1443" s="49">
        <v>0</v>
      </c>
      <c r="H1443" s="49">
        <v>8.0000000000000036</v>
      </c>
      <c r="I1443" s="49">
        <v>8.0000000000000036</v>
      </c>
      <c r="J1443" s="53" t="s">
        <v>30</v>
      </c>
      <c r="K1443" s="51" t="s">
        <v>461</v>
      </c>
      <c r="L1443" s="102" t="s">
        <v>281</v>
      </c>
      <c r="M1443" s="19" t="str">
        <f t="shared" si="37"/>
        <v>Mar_2018</v>
      </c>
    </row>
    <row r="1444" spans="1:13">
      <c r="A1444" s="45" t="s">
        <v>22</v>
      </c>
      <c r="B1444" s="52" t="s">
        <v>254</v>
      </c>
      <c r="C1444" s="46">
        <v>43165</v>
      </c>
      <c r="D1444" s="47" t="s">
        <v>14</v>
      </c>
      <c r="E1444" s="48">
        <v>0.35416666666666663</v>
      </c>
      <c r="F1444" s="48">
        <v>0.66666666666666663</v>
      </c>
      <c r="G1444" s="49">
        <v>0</v>
      </c>
      <c r="H1444" s="49">
        <v>6.5</v>
      </c>
      <c r="I1444" s="49">
        <v>6.5</v>
      </c>
      <c r="J1444" s="53" t="s">
        <v>30</v>
      </c>
      <c r="K1444" s="51" t="s">
        <v>461</v>
      </c>
      <c r="L1444" s="102" t="s">
        <v>281</v>
      </c>
      <c r="M1444" s="19" t="str">
        <f t="shared" si="37"/>
        <v>Mar_2018</v>
      </c>
    </row>
    <row r="1445" spans="1:13">
      <c r="A1445" s="45" t="s">
        <v>22</v>
      </c>
      <c r="B1445" s="52" t="s">
        <v>23</v>
      </c>
      <c r="C1445" s="46">
        <v>43166</v>
      </c>
      <c r="D1445" s="47" t="s">
        <v>15</v>
      </c>
      <c r="E1445" s="48">
        <v>0.35416666666666663</v>
      </c>
      <c r="F1445" s="48">
        <v>0.72916666666666674</v>
      </c>
      <c r="G1445" s="49">
        <v>0</v>
      </c>
      <c r="H1445" s="49">
        <v>8.0000000000000036</v>
      </c>
      <c r="I1445" s="49">
        <v>8.0000000000000036</v>
      </c>
      <c r="J1445" s="53" t="s">
        <v>30</v>
      </c>
      <c r="K1445" s="51" t="s">
        <v>462</v>
      </c>
      <c r="L1445" s="102" t="s">
        <v>281</v>
      </c>
      <c r="M1445" s="19" t="str">
        <f t="shared" si="37"/>
        <v>Mar_2018</v>
      </c>
    </row>
    <row r="1446" spans="1:13">
      <c r="A1446" s="45" t="s">
        <v>22</v>
      </c>
      <c r="B1446" s="52" t="s">
        <v>346</v>
      </c>
      <c r="C1446" s="46">
        <v>43166</v>
      </c>
      <c r="D1446" s="47" t="s">
        <v>15</v>
      </c>
      <c r="E1446" s="48">
        <v>0.35416666666666663</v>
      </c>
      <c r="F1446" s="48">
        <v>0.72916666666666674</v>
      </c>
      <c r="G1446" s="49">
        <v>0</v>
      </c>
      <c r="H1446" s="49">
        <v>8.0000000000000036</v>
      </c>
      <c r="I1446" s="49">
        <v>8.0000000000000036</v>
      </c>
      <c r="J1446" s="53" t="s">
        <v>30</v>
      </c>
      <c r="K1446" s="51" t="s">
        <v>462</v>
      </c>
      <c r="L1446" s="102" t="s">
        <v>281</v>
      </c>
      <c r="M1446" s="19" t="str">
        <f t="shared" si="37"/>
        <v>Mar_2018</v>
      </c>
    </row>
    <row r="1447" spans="1:13">
      <c r="A1447" s="45" t="s">
        <v>11</v>
      </c>
      <c r="B1447" s="52" t="s">
        <v>19</v>
      </c>
      <c r="C1447" s="46">
        <v>43167</v>
      </c>
      <c r="D1447" s="47" t="s">
        <v>25</v>
      </c>
      <c r="E1447" s="48">
        <v>0.72916666666666663</v>
      </c>
      <c r="F1447" s="48">
        <v>0.875</v>
      </c>
      <c r="G1447" s="49">
        <v>8.0000000000000036</v>
      </c>
      <c r="H1447" s="49">
        <v>3.4999999999999964</v>
      </c>
      <c r="I1447" s="49">
        <v>3.4999999999999964</v>
      </c>
      <c r="J1447" s="53" t="s">
        <v>30</v>
      </c>
      <c r="K1447" s="51" t="s">
        <v>465</v>
      </c>
      <c r="L1447" s="102">
        <v>1</v>
      </c>
      <c r="M1447" s="19" t="str">
        <f t="shared" si="37"/>
        <v>Mar_2018</v>
      </c>
    </row>
    <row r="1448" spans="1:13">
      <c r="A1448" s="45" t="s">
        <v>22</v>
      </c>
      <c r="B1448" s="52" t="s">
        <v>23</v>
      </c>
      <c r="C1448" s="46">
        <v>43167</v>
      </c>
      <c r="D1448" s="47" t="s">
        <v>25</v>
      </c>
      <c r="E1448" s="48">
        <v>0.35416666666666663</v>
      </c>
      <c r="F1448" s="48">
        <v>0.72916666666666674</v>
      </c>
      <c r="G1448" s="49">
        <v>0</v>
      </c>
      <c r="H1448" s="49">
        <v>8.0000000000000036</v>
      </c>
      <c r="I1448" s="49">
        <v>8.0000000000000036</v>
      </c>
      <c r="J1448" s="53" t="s">
        <v>30</v>
      </c>
      <c r="K1448" s="51" t="s">
        <v>466</v>
      </c>
      <c r="L1448" s="102" t="s">
        <v>281</v>
      </c>
      <c r="M1448" s="19" t="str">
        <f t="shared" si="37"/>
        <v>Mar_2018</v>
      </c>
    </row>
    <row r="1449" spans="1:13">
      <c r="A1449" s="45" t="s">
        <v>22</v>
      </c>
      <c r="B1449" s="52" t="s">
        <v>254</v>
      </c>
      <c r="C1449" s="46">
        <v>43167</v>
      </c>
      <c r="D1449" s="47" t="s">
        <v>25</v>
      </c>
      <c r="E1449" s="48">
        <v>0.35416666666666663</v>
      </c>
      <c r="F1449" s="48">
        <v>0.72916666666666674</v>
      </c>
      <c r="G1449" s="49">
        <v>0</v>
      </c>
      <c r="H1449" s="49">
        <v>8.0000000000000036</v>
      </c>
      <c r="I1449" s="49">
        <v>8.0000000000000036</v>
      </c>
      <c r="J1449" s="53" t="s">
        <v>30</v>
      </c>
      <c r="K1449" s="51" t="s">
        <v>466</v>
      </c>
      <c r="L1449" s="102" t="s">
        <v>281</v>
      </c>
      <c r="M1449" s="19" t="str">
        <f t="shared" si="37"/>
        <v>Mar_2018</v>
      </c>
    </row>
    <row r="1450" spans="1:13">
      <c r="A1450" s="45" t="s">
        <v>22</v>
      </c>
      <c r="B1450" s="52" t="s">
        <v>23</v>
      </c>
      <c r="C1450" s="46">
        <v>43168</v>
      </c>
      <c r="D1450" s="47" t="s">
        <v>17</v>
      </c>
      <c r="E1450" s="48">
        <v>0.35416666666666663</v>
      </c>
      <c r="F1450" s="48">
        <v>0.72916666666666674</v>
      </c>
      <c r="G1450" s="49">
        <v>0</v>
      </c>
      <c r="H1450" s="49">
        <v>8.0000000000000036</v>
      </c>
      <c r="I1450" s="49">
        <v>8.0000000000000036</v>
      </c>
      <c r="J1450" s="53" t="s">
        <v>30</v>
      </c>
      <c r="K1450" s="51" t="s">
        <v>467</v>
      </c>
      <c r="L1450" s="102" t="s">
        <v>281</v>
      </c>
      <c r="M1450" s="19" t="str">
        <f t="shared" si="37"/>
        <v>Mar_2018</v>
      </c>
    </row>
    <row r="1451" spans="1:13">
      <c r="A1451" s="45" t="s">
        <v>22</v>
      </c>
      <c r="B1451" s="52" t="s">
        <v>254</v>
      </c>
      <c r="C1451" s="46">
        <v>43168</v>
      </c>
      <c r="D1451" s="47" t="s">
        <v>17</v>
      </c>
      <c r="E1451" s="48">
        <v>0.35416666666666663</v>
      </c>
      <c r="F1451" s="48">
        <v>0.72916666666666674</v>
      </c>
      <c r="G1451" s="49">
        <v>0</v>
      </c>
      <c r="H1451" s="49">
        <v>8.0000000000000036</v>
      </c>
      <c r="I1451" s="49">
        <v>8.0000000000000036</v>
      </c>
      <c r="J1451" s="53" t="s">
        <v>30</v>
      </c>
      <c r="K1451" s="51" t="s">
        <v>467</v>
      </c>
      <c r="L1451" s="102" t="s">
        <v>281</v>
      </c>
      <c r="M1451" s="19" t="str">
        <f t="shared" si="37"/>
        <v>Mar_2018</v>
      </c>
    </row>
    <row r="1452" spans="1:13">
      <c r="A1452" s="45" t="s">
        <v>11</v>
      </c>
      <c r="B1452" s="52" t="s">
        <v>161</v>
      </c>
      <c r="C1452" s="46">
        <v>43171</v>
      </c>
      <c r="D1452" s="47" t="s">
        <v>16</v>
      </c>
      <c r="E1452" s="48">
        <v>0.72916666666666663</v>
      </c>
      <c r="F1452" s="48">
        <v>0.89583333333333337</v>
      </c>
      <c r="G1452" s="49">
        <v>8.0000000000000036</v>
      </c>
      <c r="H1452" s="49">
        <v>3.9999999999999982</v>
      </c>
      <c r="I1452" s="49">
        <v>3.9999999999999982</v>
      </c>
      <c r="J1452" s="53" t="s">
        <v>30</v>
      </c>
      <c r="K1452" s="51" t="s">
        <v>468</v>
      </c>
      <c r="L1452" s="102">
        <v>1</v>
      </c>
      <c r="M1452" s="19" t="str">
        <f t="shared" si="37"/>
        <v>Mar_2018</v>
      </c>
    </row>
    <row r="1453" spans="1:13">
      <c r="A1453" s="45" t="s">
        <v>22</v>
      </c>
      <c r="B1453" s="52" t="s">
        <v>23</v>
      </c>
      <c r="C1453" s="46">
        <v>43171</v>
      </c>
      <c r="D1453" s="47" t="s">
        <v>16</v>
      </c>
      <c r="E1453" s="48">
        <v>0.35416666666666663</v>
      </c>
      <c r="F1453" s="48">
        <v>0.72916666666666674</v>
      </c>
      <c r="G1453" s="49">
        <v>0</v>
      </c>
      <c r="H1453" s="49">
        <v>8.0000000000000036</v>
      </c>
      <c r="I1453" s="49">
        <v>8.0000000000000036</v>
      </c>
      <c r="J1453" s="53" t="s">
        <v>30</v>
      </c>
      <c r="K1453" s="51" t="s">
        <v>469</v>
      </c>
      <c r="L1453" s="102" t="s">
        <v>281</v>
      </c>
      <c r="M1453" s="19" t="str">
        <f t="shared" si="37"/>
        <v>Mar_2018</v>
      </c>
    </row>
    <row r="1454" spans="1:13">
      <c r="A1454" s="45" t="s">
        <v>22</v>
      </c>
      <c r="B1454" s="52" t="s">
        <v>27</v>
      </c>
      <c r="C1454" s="46">
        <v>43171</v>
      </c>
      <c r="D1454" s="47" t="s">
        <v>16</v>
      </c>
      <c r="E1454" s="48">
        <v>0.52083333333333337</v>
      </c>
      <c r="F1454" s="48">
        <v>0.72916666666666674</v>
      </c>
      <c r="G1454" s="49">
        <v>0</v>
      </c>
      <c r="H1454" s="49">
        <v>5.0000000000000009</v>
      </c>
      <c r="I1454" s="49">
        <v>5.0000000000000009</v>
      </c>
      <c r="J1454" s="53" t="s">
        <v>30</v>
      </c>
      <c r="K1454" s="51" t="s">
        <v>469</v>
      </c>
      <c r="L1454" s="102" t="s">
        <v>281</v>
      </c>
      <c r="M1454" s="19" t="str">
        <f t="shared" si="37"/>
        <v>Mar_2018</v>
      </c>
    </row>
    <row r="1455" spans="1:13">
      <c r="A1455" s="45" t="s">
        <v>11</v>
      </c>
      <c r="B1455" s="52" t="s">
        <v>19</v>
      </c>
      <c r="C1455" s="46">
        <v>43172</v>
      </c>
      <c r="D1455" s="47" t="s">
        <v>14</v>
      </c>
      <c r="E1455" s="48">
        <v>0.72916666666666663</v>
      </c>
      <c r="F1455" s="48">
        <v>0.89583333333333337</v>
      </c>
      <c r="G1455" s="49">
        <v>8.0000000000000036</v>
      </c>
      <c r="H1455" s="49">
        <v>3.9999999999999982</v>
      </c>
      <c r="I1455" s="49">
        <v>3.9999999999999982</v>
      </c>
      <c r="J1455" s="53" t="s">
        <v>30</v>
      </c>
      <c r="K1455" s="51" t="s">
        <v>470</v>
      </c>
      <c r="L1455" s="102">
        <v>1</v>
      </c>
      <c r="M1455" s="19" t="str">
        <f t="shared" si="37"/>
        <v>Mar_2018</v>
      </c>
    </row>
    <row r="1456" spans="1:13">
      <c r="A1456" s="45" t="s">
        <v>11</v>
      </c>
      <c r="B1456" s="52" t="s">
        <v>26</v>
      </c>
      <c r="C1456" s="46">
        <v>43172</v>
      </c>
      <c r="D1456" s="47" t="s">
        <v>14</v>
      </c>
      <c r="E1456" s="48">
        <v>0.72916666666666663</v>
      </c>
      <c r="F1456" s="48">
        <v>0.89583333333333337</v>
      </c>
      <c r="G1456" s="49">
        <v>8.0000000000000036</v>
      </c>
      <c r="H1456" s="49">
        <v>3.9999999999999982</v>
      </c>
      <c r="I1456" s="49">
        <v>3.9999999999999982</v>
      </c>
      <c r="J1456" s="53" t="s">
        <v>30</v>
      </c>
      <c r="K1456" s="51" t="s">
        <v>471</v>
      </c>
      <c r="L1456" s="102">
        <v>1</v>
      </c>
      <c r="M1456" s="19" t="str">
        <f t="shared" si="37"/>
        <v>Mar_2018</v>
      </c>
    </row>
    <row r="1457" spans="1:13">
      <c r="A1457" s="45" t="s">
        <v>11</v>
      </c>
      <c r="B1457" s="52" t="s">
        <v>149</v>
      </c>
      <c r="C1457" s="46">
        <v>43172</v>
      </c>
      <c r="D1457" s="47" t="s">
        <v>14</v>
      </c>
      <c r="E1457" s="48">
        <v>0.72916666666666663</v>
      </c>
      <c r="F1457" s="48">
        <v>0.89583333333333337</v>
      </c>
      <c r="G1457" s="49">
        <v>8.0000000000000036</v>
      </c>
      <c r="H1457" s="49">
        <v>3.9999999999999982</v>
      </c>
      <c r="I1457" s="49">
        <v>3.9999999999999982</v>
      </c>
      <c r="J1457" s="53" t="s">
        <v>30</v>
      </c>
      <c r="K1457" s="51" t="s">
        <v>471</v>
      </c>
      <c r="L1457" s="102">
        <v>1</v>
      </c>
      <c r="M1457" s="19" t="str">
        <f t="shared" si="37"/>
        <v>Mar_2018</v>
      </c>
    </row>
    <row r="1458" spans="1:13">
      <c r="A1458" s="45" t="s">
        <v>11</v>
      </c>
      <c r="B1458" s="52" t="s">
        <v>161</v>
      </c>
      <c r="C1458" s="46">
        <v>43172</v>
      </c>
      <c r="D1458" s="47" t="s">
        <v>14</v>
      </c>
      <c r="E1458" s="48">
        <v>0.72916666666666663</v>
      </c>
      <c r="F1458" s="48">
        <v>0.89583333333333337</v>
      </c>
      <c r="G1458" s="49">
        <v>8.0000000000000036</v>
      </c>
      <c r="H1458" s="49">
        <v>3.9999999999999982</v>
      </c>
      <c r="I1458" s="49">
        <v>3.9999999999999982</v>
      </c>
      <c r="J1458" s="53" t="s">
        <v>30</v>
      </c>
      <c r="K1458" s="51" t="s">
        <v>471</v>
      </c>
      <c r="L1458" s="102">
        <v>1</v>
      </c>
      <c r="M1458" s="19" t="str">
        <f t="shared" si="37"/>
        <v>Mar_2018</v>
      </c>
    </row>
    <row r="1459" spans="1:13">
      <c r="A1459" s="45" t="s">
        <v>22</v>
      </c>
      <c r="B1459" s="52" t="s">
        <v>23</v>
      </c>
      <c r="C1459" s="46">
        <v>43172</v>
      </c>
      <c r="D1459" s="47" t="s">
        <v>14</v>
      </c>
      <c r="E1459" s="48">
        <v>0.35416666666666663</v>
      </c>
      <c r="F1459" s="48">
        <v>0.89583333333333337</v>
      </c>
      <c r="G1459" s="49">
        <v>0</v>
      </c>
      <c r="H1459" s="49">
        <v>12.000000000000002</v>
      </c>
      <c r="I1459" s="49">
        <v>12.000000000000002</v>
      </c>
      <c r="J1459" s="53" t="s">
        <v>30</v>
      </c>
      <c r="K1459" s="51" t="s">
        <v>471</v>
      </c>
      <c r="L1459" s="102" t="s">
        <v>281</v>
      </c>
      <c r="M1459" s="19" t="str">
        <f t="shared" si="37"/>
        <v>Mar_2018</v>
      </c>
    </row>
    <row r="1460" spans="1:13">
      <c r="A1460" s="45" t="s">
        <v>22</v>
      </c>
      <c r="B1460" s="52" t="s">
        <v>78</v>
      </c>
      <c r="C1460" s="46">
        <v>43172</v>
      </c>
      <c r="D1460" s="47" t="s">
        <v>14</v>
      </c>
      <c r="E1460" s="48">
        <v>0.5</v>
      </c>
      <c r="F1460" s="48">
        <v>0.89583333333333337</v>
      </c>
      <c r="G1460" s="49">
        <v>0</v>
      </c>
      <c r="H1460" s="49">
        <v>8.5</v>
      </c>
      <c r="I1460" s="49">
        <v>8.5</v>
      </c>
      <c r="J1460" s="53" t="s">
        <v>30</v>
      </c>
      <c r="K1460" s="51" t="s">
        <v>471</v>
      </c>
      <c r="L1460" s="102" t="s">
        <v>281</v>
      </c>
      <c r="M1460" s="19" t="str">
        <f t="shared" si="37"/>
        <v>Mar_2018</v>
      </c>
    </row>
    <row r="1461" spans="1:13">
      <c r="A1461" s="45" t="s">
        <v>22</v>
      </c>
      <c r="B1461" s="52" t="s">
        <v>27</v>
      </c>
      <c r="C1461" s="46">
        <v>43172</v>
      </c>
      <c r="D1461" s="47" t="s">
        <v>14</v>
      </c>
      <c r="E1461" s="48">
        <v>0.35416666666666663</v>
      </c>
      <c r="F1461" s="48">
        <v>0.66666666666666663</v>
      </c>
      <c r="G1461" s="49">
        <v>0</v>
      </c>
      <c r="H1461" s="49">
        <v>6.5</v>
      </c>
      <c r="I1461" s="49">
        <v>6.5</v>
      </c>
      <c r="J1461" s="53" t="s">
        <v>30</v>
      </c>
      <c r="K1461" s="51" t="s">
        <v>471</v>
      </c>
      <c r="L1461" s="102" t="s">
        <v>281</v>
      </c>
      <c r="M1461" s="19" t="str">
        <f t="shared" si="37"/>
        <v>Mar_2018</v>
      </c>
    </row>
    <row r="1462" spans="1:13">
      <c r="A1462" s="45" t="s">
        <v>11</v>
      </c>
      <c r="B1462" s="52" t="s">
        <v>26</v>
      </c>
      <c r="C1462" s="46">
        <v>43173</v>
      </c>
      <c r="D1462" s="47" t="s">
        <v>15</v>
      </c>
      <c r="E1462" s="48">
        <v>0.72916666666666663</v>
      </c>
      <c r="F1462" s="48">
        <v>0.875</v>
      </c>
      <c r="G1462" s="49">
        <v>8.0000000000000036</v>
      </c>
      <c r="H1462" s="49">
        <v>3.4999999999999964</v>
      </c>
      <c r="I1462" s="49">
        <v>3.4999999999999964</v>
      </c>
      <c r="J1462" s="53" t="s">
        <v>30</v>
      </c>
      <c r="K1462" s="51" t="s">
        <v>472</v>
      </c>
      <c r="L1462" s="102">
        <v>1</v>
      </c>
      <c r="M1462" s="19" t="str">
        <f t="shared" si="37"/>
        <v>Mar_2018</v>
      </c>
    </row>
    <row r="1463" spans="1:13">
      <c r="A1463" s="45" t="s">
        <v>22</v>
      </c>
      <c r="B1463" s="52" t="s">
        <v>23</v>
      </c>
      <c r="C1463" s="46">
        <v>43173</v>
      </c>
      <c r="D1463" s="47" t="s">
        <v>15</v>
      </c>
      <c r="E1463" s="48">
        <v>0.35416666666666663</v>
      </c>
      <c r="F1463" s="48">
        <v>0.72916666666666674</v>
      </c>
      <c r="G1463" s="49">
        <v>0</v>
      </c>
      <c r="H1463" s="49">
        <v>8.0000000000000036</v>
      </c>
      <c r="I1463" s="49">
        <v>8.0000000000000036</v>
      </c>
      <c r="J1463" s="53" t="s">
        <v>30</v>
      </c>
      <c r="K1463" s="51" t="s">
        <v>473</v>
      </c>
      <c r="L1463" s="102" t="s">
        <v>281</v>
      </c>
      <c r="M1463" s="19" t="str">
        <f t="shared" si="37"/>
        <v>Mar_2018</v>
      </c>
    </row>
    <row r="1464" spans="1:13">
      <c r="A1464" s="45" t="s">
        <v>22</v>
      </c>
      <c r="B1464" s="52" t="s">
        <v>27</v>
      </c>
      <c r="C1464" s="46">
        <v>43173</v>
      </c>
      <c r="D1464" s="47" t="s">
        <v>15</v>
      </c>
      <c r="E1464" s="48">
        <v>0.35416666666666663</v>
      </c>
      <c r="F1464" s="48">
        <v>0.72916666666666674</v>
      </c>
      <c r="G1464" s="49">
        <v>0</v>
      </c>
      <c r="H1464" s="49">
        <v>8.0000000000000036</v>
      </c>
      <c r="I1464" s="49">
        <v>8.0000000000000036</v>
      </c>
      <c r="J1464" s="53" t="s">
        <v>30</v>
      </c>
      <c r="K1464" s="51" t="s">
        <v>473</v>
      </c>
      <c r="L1464" s="102" t="s">
        <v>281</v>
      </c>
      <c r="M1464" s="19" t="str">
        <f t="shared" si="37"/>
        <v>Mar_2018</v>
      </c>
    </row>
    <row r="1465" spans="1:13">
      <c r="A1465" s="45" t="s">
        <v>11</v>
      </c>
      <c r="B1465" s="52" t="s">
        <v>19</v>
      </c>
      <c r="C1465" s="46">
        <v>43174</v>
      </c>
      <c r="D1465" s="47" t="s">
        <v>25</v>
      </c>
      <c r="E1465" s="48">
        <v>0.72916666666666663</v>
      </c>
      <c r="F1465" s="48">
        <v>0.89583333333333337</v>
      </c>
      <c r="G1465" s="49">
        <v>8.0000000000000036</v>
      </c>
      <c r="H1465" s="49">
        <v>3.9999999999999982</v>
      </c>
      <c r="I1465" s="49">
        <v>3.9999999999999982</v>
      </c>
      <c r="J1465" s="53" t="s">
        <v>30</v>
      </c>
      <c r="K1465" s="51" t="s">
        <v>474</v>
      </c>
      <c r="L1465" s="102">
        <v>1</v>
      </c>
      <c r="M1465" s="19" t="str">
        <f t="shared" si="37"/>
        <v>Mar_2018</v>
      </c>
    </row>
    <row r="1466" spans="1:13">
      <c r="A1466" s="45" t="s">
        <v>11</v>
      </c>
      <c r="B1466" s="52" t="s">
        <v>26</v>
      </c>
      <c r="C1466" s="46">
        <v>43174</v>
      </c>
      <c r="D1466" s="47" t="s">
        <v>25</v>
      </c>
      <c r="E1466" s="48">
        <v>0.72916666666666663</v>
      </c>
      <c r="F1466" s="48">
        <v>0.875</v>
      </c>
      <c r="G1466" s="49">
        <v>8.0000000000000036</v>
      </c>
      <c r="H1466" s="49">
        <v>3.4999999999999964</v>
      </c>
      <c r="I1466" s="49">
        <v>3.4999999999999964</v>
      </c>
      <c r="J1466" s="53" t="s">
        <v>30</v>
      </c>
      <c r="K1466" s="51" t="s">
        <v>474</v>
      </c>
      <c r="L1466" s="102">
        <v>1</v>
      </c>
      <c r="M1466" s="19" t="str">
        <f t="shared" si="37"/>
        <v>Mar_2018</v>
      </c>
    </row>
    <row r="1467" spans="1:13">
      <c r="A1467" s="45" t="s">
        <v>11</v>
      </c>
      <c r="B1467" s="52" t="s">
        <v>149</v>
      </c>
      <c r="C1467" s="46">
        <v>43174</v>
      </c>
      <c r="D1467" s="47" t="s">
        <v>25</v>
      </c>
      <c r="E1467" s="48">
        <v>0.72916666666666663</v>
      </c>
      <c r="F1467" s="48">
        <v>0.875</v>
      </c>
      <c r="G1467" s="49">
        <v>8.0000000000000036</v>
      </c>
      <c r="H1467" s="49">
        <v>3.4999999999999964</v>
      </c>
      <c r="I1467" s="49">
        <v>3.4999999999999964</v>
      </c>
      <c r="J1467" s="53" t="s">
        <v>30</v>
      </c>
      <c r="K1467" s="51" t="s">
        <v>474</v>
      </c>
      <c r="L1467" s="102">
        <v>1</v>
      </c>
      <c r="M1467" s="19" t="str">
        <f t="shared" si="37"/>
        <v>Mar_2018</v>
      </c>
    </row>
    <row r="1468" spans="1:13">
      <c r="A1468" s="45" t="s">
        <v>11</v>
      </c>
      <c r="B1468" s="52" t="s">
        <v>161</v>
      </c>
      <c r="C1468" s="46">
        <v>43174</v>
      </c>
      <c r="D1468" s="47" t="s">
        <v>25</v>
      </c>
      <c r="E1468" s="48">
        <v>0.72916666666666663</v>
      </c>
      <c r="F1468" s="48">
        <v>0.875</v>
      </c>
      <c r="G1468" s="49">
        <v>8.0000000000000036</v>
      </c>
      <c r="H1468" s="49">
        <v>3.4999999999999964</v>
      </c>
      <c r="I1468" s="49">
        <v>3.4999999999999964</v>
      </c>
      <c r="J1468" s="53" t="s">
        <v>30</v>
      </c>
      <c r="K1468" s="51" t="s">
        <v>475</v>
      </c>
      <c r="L1468" s="102">
        <v>1</v>
      </c>
      <c r="M1468" s="19" t="str">
        <f t="shared" si="37"/>
        <v>Mar_2018</v>
      </c>
    </row>
    <row r="1469" spans="1:13">
      <c r="A1469" s="45" t="s">
        <v>22</v>
      </c>
      <c r="B1469" s="52" t="s">
        <v>23</v>
      </c>
      <c r="C1469" s="46">
        <v>43174</v>
      </c>
      <c r="D1469" s="47" t="s">
        <v>25</v>
      </c>
      <c r="E1469" s="48">
        <v>0.35416666666666663</v>
      </c>
      <c r="F1469" s="48">
        <v>0.875</v>
      </c>
      <c r="G1469" s="49">
        <v>0</v>
      </c>
      <c r="H1469" s="49">
        <v>11.5</v>
      </c>
      <c r="I1469" s="49">
        <v>11.5</v>
      </c>
      <c r="J1469" s="53" t="s">
        <v>30</v>
      </c>
      <c r="K1469" s="51" t="s">
        <v>474</v>
      </c>
      <c r="L1469" s="102" t="s">
        <v>281</v>
      </c>
      <c r="M1469" s="19" t="str">
        <f t="shared" si="37"/>
        <v>Mar_2018</v>
      </c>
    </row>
    <row r="1470" spans="1:13">
      <c r="A1470" s="45" t="s">
        <v>22</v>
      </c>
      <c r="B1470" s="52" t="s">
        <v>78</v>
      </c>
      <c r="C1470" s="46">
        <v>43174</v>
      </c>
      <c r="D1470" s="47" t="s">
        <v>25</v>
      </c>
      <c r="E1470" s="48">
        <v>0.66666666666666663</v>
      </c>
      <c r="F1470" s="48">
        <v>0.875</v>
      </c>
      <c r="G1470" s="49">
        <v>0</v>
      </c>
      <c r="H1470" s="49">
        <v>5.0000000000000009</v>
      </c>
      <c r="I1470" s="49">
        <v>5.0000000000000009</v>
      </c>
      <c r="J1470" s="53" t="s">
        <v>30</v>
      </c>
      <c r="K1470" s="51" t="s">
        <v>474</v>
      </c>
      <c r="L1470" s="102" t="s">
        <v>281</v>
      </c>
      <c r="M1470" s="19" t="str">
        <f t="shared" si="37"/>
        <v>Mar_2018</v>
      </c>
    </row>
    <row r="1471" spans="1:13">
      <c r="A1471" s="45" t="s">
        <v>22</v>
      </c>
      <c r="B1471" s="52" t="s">
        <v>254</v>
      </c>
      <c r="C1471" s="46">
        <v>43174</v>
      </c>
      <c r="D1471" s="47" t="s">
        <v>25</v>
      </c>
      <c r="E1471" s="48">
        <v>0.52083333333333337</v>
      </c>
      <c r="F1471" s="48">
        <v>0.79166666666666663</v>
      </c>
      <c r="G1471" s="49">
        <v>0</v>
      </c>
      <c r="H1471" s="49">
        <v>6.4999999999999982</v>
      </c>
      <c r="I1471" s="49">
        <v>6.4999999999999982</v>
      </c>
      <c r="J1471" s="53" t="s">
        <v>30</v>
      </c>
      <c r="K1471" s="51" t="s">
        <v>474</v>
      </c>
      <c r="L1471" s="102" t="s">
        <v>281</v>
      </c>
      <c r="M1471" s="19" t="str">
        <f t="shared" si="37"/>
        <v>Mar_2018</v>
      </c>
    </row>
    <row r="1472" spans="1:13">
      <c r="A1472" s="45" t="s">
        <v>22</v>
      </c>
      <c r="B1472" s="52" t="s">
        <v>27</v>
      </c>
      <c r="C1472" s="46">
        <v>43174</v>
      </c>
      <c r="D1472" s="47" t="s">
        <v>25</v>
      </c>
      <c r="E1472" s="48">
        <v>0.35416666666666663</v>
      </c>
      <c r="F1472" s="48">
        <v>0.625</v>
      </c>
      <c r="G1472" s="49">
        <v>0</v>
      </c>
      <c r="H1472" s="49">
        <v>5.5000000000000009</v>
      </c>
      <c r="I1472" s="49">
        <v>5.5000000000000009</v>
      </c>
      <c r="J1472" s="53" t="s">
        <v>30</v>
      </c>
      <c r="K1472" s="51" t="s">
        <v>474</v>
      </c>
      <c r="L1472" s="102" t="s">
        <v>281</v>
      </c>
      <c r="M1472" s="19" t="str">
        <f t="shared" si="37"/>
        <v>Mar_2018</v>
      </c>
    </row>
    <row r="1473" spans="1:13">
      <c r="A1473" s="45" t="s">
        <v>11</v>
      </c>
      <c r="B1473" s="52" t="s">
        <v>12</v>
      </c>
      <c r="C1473" s="54">
        <v>43175</v>
      </c>
      <c r="D1473" s="47" t="s">
        <v>17</v>
      </c>
      <c r="E1473" s="48">
        <v>0.72916666666666663</v>
      </c>
      <c r="F1473" s="48">
        <v>0.89583333333333337</v>
      </c>
      <c r="G1473" s="49">
        <v>8.0000000000000036</v>
      </c>
      <c r="H1473" s="49">
        <v>3.9999999999999982</v>
      </c>
      <c r="I1473" s="49">
        <v>3.9999999999999982</v>
      </c>
      <c r="J1473" s="53" t="s">
        <v>30</v>
      </c>
      <c r="K1473" s="51" t="s">
        <v>476</v>
      </c>
      <c r="L1473" s="102">
        <v>1</v>
      </c>
      <c r="M1473" s="19" t="str">
        <f t="shared" si="37"/>
        <v>Mar_2018</v>
      </c>
    </row>
    <row r="1474" spans="1:13">
      <c r="A1474" s="45" t="s">
        <v>11</v>
      </c>
      <c r="B1474" s="52" t="s">
        <v>19</v>
      </c>
      <c r="C1474" s="46">
        <v>43175</v>
      </c>
      <c r="D1474" s="47" t="s">
        <v>17</v>
      </c>
      <c r="E1474" s="48">
        <v>0.72916666666666663</v>
      </c>
      <c r="F1474" s="48">
        <v>0.89583333333333337</v>
      </c>
      <c r="G1474" s="49">
        <v>8.0000000000000036</v>
      </c>
      <c r="H1474" s="49">
        <v>3.9999999999999982</v>
      </c>
      <c r="I1474" s="49">
        <v>3.9999999999999982</v>
      </c>
      <c r="J1474" s="53" t="s">
        <v>30</v>
      </c>
      <c r="K1474" s="51" t="s">
        <v>477</v>
      </c>
      <c r="L1474" s="102">
        <v>1</v>
      </c>
      <c r="M1474" s="19" t="str">
        <f t="shared" si="37"/>
        <v>Mar_2018</v>
      </c>
    </row>
    <row r="1475" spans="1:13">
      <c r="A1475" s="45" t="s">
        <v>11</v>
      </c>
      <c r="B1475" s="52" t="s">
        <v>26</v>
      </c>
      <c r="C1475" s="46">
        <v>43175</v>
      </c>
      <c r="D1475" s="47" t="s">
        <v>17</v>
      </c>
      <c r="E1475" s="48">
        <v>0.72916666666666663</v>
      </c>
      <c r="F1475" s="48">
        <v>0.8125</v>
      </c>
      <c r="G1475" s="49">
        <v>8.0000000000000036</v>
      </c>
      <c r="H1475" s="49">
        <v>1.9999999999999964</v>
      </c>
      <c r="I1475" s="49">
        <v>1.9999999999999964</v>
      </c>
      <c r="J1475" s="53" t="s">
        <v>30</v>
      </c>
      <c r="K1475" s="51" t="s">
        <v>476</v>
      </c>
      <c r="L1475" s="102">
        <v>1</v>
      </c>
      <c r="M1475" s="19" t="str">
        <f t="shared" si="37"/>
        <v>Mar_2018</v>
      </c>
    </row>
    <row r="1476" spans="1:13">
      <c r="A1476" s="45" t="s">
        <v>11</v>
      </c>
      <c r="B1476" s="52" t="s">
        <v>149</v>
      </c>
      <c r="C1476" s="46">
        <v>43175</v>
      </c>
      <c r="D1476" s="47" t="s">
        <v>17</v>
      </c>
      <c r="E1476" s="48">
        <v>0.72916666666666663</v>
      </c>
      <c r="F1476" s="48">
        <v>0.89583333333333337</v>
      </c>
      <c r="G1476" s="49">
        <v>8.0000000000000036</v>
      </c>
      <c r="H1476" s="49">
        <v>3.9999999999999982</v>
      </c>
      <c r="I1476" s="49">
        <v>3.9999999999999982</v>
      </c>
      <c r="J1476" s="53" t="s">
        <v>30</v>
      </c>
      <c r="K1476" s="51" t="s">
        <v>476</v>
      </c>
      <c r="L1476" s="102">
        <v>1</v>
      </c>
      <c r="M1476" s="19" t="str">
        <f t="shared" si="37"/>
        <v>Mar_2018</v>
      </c>
    </row>
    <row r="1477" spans="1:13">
      <c r="A1477" s="45" t="s">
        <v>11</v>
      </c>
      <c r="B1477" s="52" t="s">
        <v>161</v>
      </c>
      <c r="C1477" s="46">
        <v>43175</v>
      </c>
      <c r="D1477" s="47" t="s">
        <v>17</v>
      </c>
      <c r="E1477" s="48">
        <v>0.72916666666666663</v>
      </c>
      <c r="F1477" s="48">
        <v>0.89583333333333337</v>
      </c>
      <c r="G1477" s="49">
        <v>8.0000000000000036</v>
      </c>
      <c r="H1477" s="49">
        <v>3.9999999999999982</v>
      </c>
      <c r="I1477" s="49">
        <v>3.9999999999999982</v>
      </c>
      <c r="J1477" s="53" t="s">
        <v>30</v>
      </c>
      <c r="K1477" s="51" t="s">
        <v>476</v>
      </c>
      <c r="L1477" s="102">
        <v>1</v>
      </c>
      <c r="M1477" s="19" t="str">
        <f t="shared" si="37"/>
        <v>Mar_2018</v>
      </c>
    </row>
    <row r="1478" spans="1:13">
      <c r="A1478" s="45" t="s">
        <v>22</v>
      </c>
      <c r="B1478" s="52" t="s">
        <v>23</v>
      </c>
      <c r="C1478" s="46">
        <v>43175</v>
      </c>
      <c r="D1478" s="47" t="s">
        <v>17</v>
      </c>
      <c r="E1478" s="48">
        <v>0.35416666666666663</v>
      </c>
      <c r="F1478" s="48">
        <v>0.89583333333333337</v>
      </c>
      <c r="G1478" s="49">
        <v>0</v>
      </c>
      <c r="H1478" s="49">
        <v>12.000000000000002</v>
      </c>
      <c r="I1478" s="49">
        <v>12.000000000000002</v>
      </c>
      <c r="J1478" s="53" t="s">
        <v>30</v>
      </c>
      <c r="K1478" s="51" t="s">
        <v>476</v>
      </c>
      <c r="L1478" s="102" t="s">
        <v>281</v>
      </c>
      <c r="M1478" s="19" t="str">
        <f t="shared" si="37"/>
        <v>Mar_2018</v>
      </c>
    </row>
    <row r="1479" spans="1:13">
      <c r="A1479" s="45" t="s">
        <v>22</v>
      </c>
      <c r="B1479" s="52" t="s">
        <v>78</v>
      </c>
      <c r="C1479" s="46">
        <v>43175</v>
      </c>
      <c r="D1479" s="47" t="s">
        <v>17</v>
      </c>
      <c r="E1479" s="48">
        <v>0.52083333333333337</v>
      </c>
      <c r="F1479" s="48">
        <v>0.89583333333333337</v>
      </c>
      <c r="G1479" s="49">
        <v>0</v>
      </c>
      <c r="H1479" s="49">
        <v>9</v>
      </c>
      <c r="I1479" s="49">
        <v>9</v>
      </c>
      <c r="J1479" s="53" t="s">
        <v>30</v>
      </c>
      <c r="K1479" s="51" t="s">
        <v>476</v>
      </c>
      <c r="L1479" s="102" t="s">
        <v>281</v>
      </c>
      <c r="M1479" s="19" t="str">
        <f t="shared" si="37"/>
        <v>Mar_2018</v>
      </c>
    </row>
    <row r="1480" spans="1:13">
      <c r="A1480" s="45" t="s">
        <v>22</v>
      </c>
      <c r="B1480" s="52" t="s">
        <v>478</v>
      </c>
      <c r="C1480" s="46">
        <v>43175</v>
      </c>
      <c r="D1480" s="47" t="s">
        <v>17</v>
      </c>
      <c r="E1480" s="48">
        <v>0.35416666666666663</v>
      </c>
      <c r="F1480" s="48">
        <v>0.72916666666666674</v>
      </c>
      <c r="G1480" s="49">
        <v>0</v>
      </c>
      <c r="H1480" s="49">
        <v>8.0000000000000036</v>
      </c>
      <c r="I1480" s="49">
        <v>8.0000000000000036</v>
      </c>
      <c r="J1480" s="53" t="s">
        <v>30</v>
      </c>
      <c r="K1480" s="51" t="s">
        <v>489</v>
      </c>
      <c r="L1480" s="102" t="s">
        <v>281</v>
      </c>
      <c r="M1480" s="19" t="str">
        <f t="shared" si="37"/>
        <v>Mar_2018</v>
      </c>
    </row>
    <row r="1481" spans="1:13">
      <c r="A1481" s="45" t="s">
        <v>22</v>
      </c>
      <c r="B1481" s="52" t="s">
        <v>479</v>
      </c>
      <c r="C1481" s="46">
        <v>43175</v>
      </c>
      <c r="D1481" s="47" t="s">
        <v>17</v>
      </c>
      <c r="E1481" s="48">
        <v>0.35416666666666663</v>
      </c>
      <c r="F1481" s="48">
        <v>0.72916666666666674</v>
      </c>
      <c r="G1481" s="49">
        <v>0</v>
      </c>
      <c r="H1481" s="49">
        <v>8.0000000000000036</v>
      </c>
      <c r="I1481" s="49">
        <v>8.0000000000000036</v>
      </c>
      <c r="J1481" s="53" t="s">
        <v>30</v>
      </c>
      <c r="K1481" s="51" t="s">
        <v>489</v>
      </c>
      <c r="L1481" s="102" t="s">
        <v>281</v>
      </c>
      <c r="M1481" s="19" t="str">
        <f t="shared" si="37"/>
        <v>Mar_2018</v>
      </c>
    </row>
    <row r="1482" spans="1:13">
      <c r="A1482" s="45" t="s">
        <v>22</v>
      </c>
      <c r="B1482" s="52" t="s">
        <v>480</v>
      </c>
      <c r="C1482" s="46">
        <v>43175</v>
      </c>
      <c r="D1482" s="47" t="s">
        <v>17</v>
      </c>
      <c r="E1482" s="48">
        <v>0.35416666666666663</v>
      </c>
      <c r="F1482" s="48">
        <v>0.72916666666666674</v>
      </c>
      <c r="G1482" s="49">
        <v>0</v>
      </c>
      <c r="H1482" s="49">
        <v>8.0000000000000036</v>
      </c>
      <c r="I1482" s="49">
        <v>8.0000000000000036</v>
      </c>
      <c r="J1482" s="53" t="s">
        <v>30</v>
      </c>
      <c r="K1482" s="51" t="s">
        <v>489</v>
      </c>
      <c r="L1482" s="102" t="s">
        <v>281</v>
      </c>
      <c r="M1482" s="19" t="str">
        <f t="shared" si="37"/>
        <v>Mar_2018</v>
      </c>
    </row>
    <row r="1483" spans="1:13">
      <c r="A1483" s="45" t="s">
        <v>22</v>
      </c>
      <c r="B1483" s="52" t="s">
        <v>481</v>
      </c>
      <c r="C1483" s="46">
        <v>43175</v>
      </c>
      <c r="D1483" s="47" t="s">
        <v>17</v>
      </c>
      <c r="E1483" s="48">
        <v>0.35416666666666663</v>
      </c>
      <c r="F1483" s="48">
        <v>0.72916666666666674</v>
      </c>
      <c r="G1483" s="49">
        <v>0</v>
      </c>
      <c r="H1483" s="49">
        <v>8.0000000000000036</v>
      </c>
      <c r="I1483" s="49">
        <v>8.0000000000000036</v>
      </c>
      <c r="J1483" s="53" t="s">
        <v>30</v>
      </c>
      <c r="K1483" s="51" t="s">
        <v>489</v>
      </c>
      <c r="L1483" s="102" t="s">
        <v>281</v>
      </c>
      <c r="M1483" s="19" t="str">
        <f t="shared" si="37"/>
        <v>Mar_2018</v>
      </c>
    </row>
    <row r="1484" spans="1:13">
      <c r="A1484" s="45" t="s">
        <v>22</v>
      </c>
      <c r="B1484" s="52" t="s">
        <v>482</v>
      </c>
      <c r="C1484" s="46">
        <v>43175</v>
      </c>
      <c r="D1484" s="47" t="s">
        <v>17</v>
      </c>
      <c r="E1484" s="48">
        <v>0.35416666666666663</v>
      </c>
      <c r="F1484" s="48">
        <v>0.72916666666666674</v>
      </c>
      <c r="G1484" s="49">
        <v>0</v>
      </c>
      <c r="H1484" s="49">
        <v>8.0000000000000036</v>
      </c>
      <c r="I1484" s="49">
        <v>8.0000000000000036</v>
      </c>
      <c r="J1484" s="53" t="s">
        <v>30</v>
      </c>
      <c r="K1484" s="51" t="s">
        <v>489</v>
      </c>
      <c r="L1484" s="102" t="s">
        <v>281</v>
      </c>
      <c r="M1484" s="19" t="str">
        <f t="shared" si="37"/>
        <v>Mar_2018</v>
      </c>
    </row>
    <row r="1485" spans="1:13">
      <c r="A1485" s="45" t="s">
        <v>22</v>
      </c>
      <c r="B1485" s="52" t="s">
        <v>483</v>
      </c>
      <c r="C1485" s="46">
        <v>43175</v>
      </c>
      <c r="D1485" s="47" t="s">
        <v>17</v>
      </c>
      <c r="E1485" s="48">
        <v>0.35416666666666663</v>
      </c>
      <c r="F1485" s="48">
        <v>0.72916666666666674</v>
      </c>
      <c r="G1485" s="49">
        <v>0</v>
      </c>
      <c r="H1485" s="49">
        <v>8.0000000000000036</v>
      </c>
      <c r="I1485" s="49">
        <v>8.0000000000000036</v>
      </c>
      <c r="J1485" s="53" t="s">
        <v>30</v>
      </c>
      <c r="K1485" s="51" t="s">
        <v>489</v>
      </c>
      <c r="L1485" s="102" t="s">
        <v>281</v>
      </c>
      <c r="M1485" s="19" t="str">
        <f t="shared" si="37"/>
        <v>Mar_2018</v>
      </c>
    </row>
    <row r="1486" spans="1:13">
      <c r="A1486" s="45" t="s">
        <v>22</v>
      </c>
      <c r="B1486" s="52" t="s">
        <v>484</v>
      </c>
      <c r="C1486" s="46">
        <v>43175</v>
      </c>
      <c r="D1486" s="47" t="s">
        <v>17</v>
      </c>
      <c r="E1486" s="48">
        <v>0.35416666666666663</v>
      </c>
      <c r="F1486" s="48">
        <v>0.72916666666666674</v>
      </c>
      <c r="G1486" s="49">
        <v>0</v>
      </c>
      <c r="H1486" s="49">
        <v>8.0000000000000036</v>
      </c>
      <c r="I1486" s="49">
        <v>8.0000000000000036</v>
      </c>
      <c r="J1486" s="53" t="s">
        <v>30</v>
      </c>
      <c r="K1486" s="51" t="s">
        <v>489</v>
      </c>
      <c r="L1486" s="102" t="s">
        <v>281</v>
      </c>
      <c r="M1486" s="19" t="str">
        <f t="shared" si="37"/>
        <v>Mar_2018</v>
      </c>
    </row>
    <row r="1487" spans="1:13">
      <c r="A1487" s="45" t="s">
        <v>22</v>
      </c>
      <c r="B1487" s="52" t="s">
        <v>485</v>
      </c>
      <c r="C1487" s="46">
        <v>43175</v>
      </c>
      <c r="D1487" s="47" t="s">
        <v>17</v>
      </c>
      <c r="E1487" s="48">
        <v>0.35416666666666663</v>
      </c>
      <c r="F1487" s="48">
        <v>0.72916666666666674</v>
      </c>
      <c r="G1487" s="49">
        <v>0</v>
      </c>
      <c r="H1487" s="49">
        <v>8.0000000000000036</v>
      </c>
      <c r="I1487" s="49">
        <v>8.0000000000000036</v>
      </c>
      <c r="J1487" s="53" t="s">
        <v>30</v>
      </c>
      <c r="K1487" s="51" t="s">
        <v>489</v>
      </c>
      <c r="L1487" s="102" t="s">
        <v>281</v>
      </c>
      <c r="M1487" s="19" t="str">
        <f t="shared" si="37"/>
        <v>Mar_2018</v>
      </c>
    </row>
    <row r="1488" spans="1:13">
      <c r="A1488" s="45" t="s">
        <v>22</v>
      </c>
      <c r="B1488" s="52" t="s">
        <v>486</v>
      </c>
      <c r="C1488" s="46">
        <v>43175</v>
      </c>
      <c r="D1488" s="47" t="s">
        <v>17</v>
      </c>
      <c r="E1488" s="48">
        <v>0.35416666666666663</v>
      </c>
      <c r="F1488" s="48">
        <v>0.72916666666666674</v>
      </c>
      <c r="G1488" s="49">
        <v>0</v>
      </c>
      <c r="H1488" s="49">
        <v>8.0000000000000036</v>
      </c>
      <c r="I1488" s="49">
        <v>8.0000000000000036</v>
      </c>
      <c r="J1488" s="53" t="s">
        <v>30</v>
      </c>
      <c r="K1488" s="51" t="s">
        <v>489</v>
      </c>
      <c r="L1488" s="102" t="s">
        <v>281</v>
      </c>
      <c r="M1488" s="19" t="str">
        <f t="shared" ref="M1488:M1551" si="38">IF($C1488="","",TEXT(DATE(YEAR($C1488),MONTH($C1488),DAY($C1488)),"MMM")&amp;"_"&amp;YEAR($C1488))</f>
        <v>Mar_2018</v>
      </c>
    </row>
    <row r="1489" spans="1:13">
      <c r="A1489" s="45" t="s">
        <v>22</v>
      </c>
      <c r="B1489" s="52" t="s">
        <v>487</v>
      </c>
      <c r="C1489" s="46">
        <v>43175</v>
      </c>
      <c r="D1489" s="47" t="s">
        <v>17</v>
      </c>
      <c r="E1489" s="48">
        <v>0.35416666666666663</v>
      </c>
      <c r="F1489" s="48">
        <v>0.72916666666666674</v>
      </c>
      <c r="G1489" s="49">
        <v>0</v>
      </c>
      <c r="H1489" s="49">
        <v>8.0000000000000036</v>
      </c>
      <c r="I1489" s="49">
        <v>8.0000000000000036</v>
      </c>
      <c r="J1489" s="53" t="s">
        <v>30</v>
      </c>
      <c r="K1489" s="51" t="s">
        <v>489</v>
      </c>
      <c r="L1489" s="102" t="s">
        <v>281</v>
      </c>
      <c r="M1489" s="19" t="str">
        <f t="shared" si="38"/>
        <v>Mar_2018</v>
      </c>
    </row>
    <row r="1490" spans="1:13">
      <c r="A1490" s="45" t="s">
        <v>22</v>
      </c>
      <c r="B1490" s="52" t="s">
        <v>488</v>
      </c>
      <c r="C1490" s="46">
        <v>43175</v>
      </c>
      <c r="D1490" s="47" t="s">
        <v>17</v>
      </c>
      <c r="E1490" s="48">
        <v>0.35416666666666663</v>
      </c>
      <c r="F1490" s="48">
        <v>0.72916666666666674</v>
      </c>
      <c r="G1490" s="49">
        <v>0</v>
      </c>
      <c r="H1490" s="49">
        <v>8.0000000000000036</v>
      </c>
      <c r="I1490" s="49">
        <v>8.0000000000000036</v>
      </c>
      <c r="J1490" s="53" t="s">
        <v>30</v>
      </c>
      <c r="K1490" s="51" t="s">
        <v>489</v>
      </c>
      <c r="L1490" s="102" t="s">
        <v>281</v>
      </c>
      <c r="M1490" s="19" t="str">
        <f t="shared" si="38"/>
        <v>Mar_2018</v>
      </c>
    </row>
    <row r="1491" spans="1:13">
      <c r="A1491" s="45" t="s">
        <v>11</v>
      </c>
      <c r="B1491" s="52" t="s">
        <v>19</v>
      </c>
      <c r="C1491" s="46">
        <v>43177</v>
      </c>
      <c r="D1491" s="47" t="s">
        <v>13</v>
      </c>
      <c r="E1491" s="48">
        <v>0.39583333333333331</v>
      </c>
      <c r="F1491" s="48">
        <v>0.5</v>
      </c>
      <c r="G1491" s="49" t="s">
        <v>281</v>
      </c>
      <c r="H1491" s="49">
        <v>2.5000000000000004</v>
      </c>
      <c r="I1491" s="49">
        <v>2.5000000000000004</v>
      </c>
      <c r="J1491" s="53" t="s">
        <v>52</v>
      </c>
      <c r="K1491" s="51" t="s">
        <v>489</v>
      </c>
      <c r="L1491" s="102" t="s">
        <v>281</v>
      </c>
      <c r="M1491" s="19" t="str">
        <f t="shared" si="38"/>
        <v>Mar_2018</v>
      </c>
    </row>
    <row r="1492" spans="1:13">
      <c r="A1492" s="45" t="s">
        <v>11</v>
      </c>
      <c r="B1492" s="52" t="s">
        <v>161</v>
      </c>
      <c r="C1492" s="46">
        <v>43177</v>
      </c>
      <c r="D1492" s="47" t="s">
        <v>13</v>
      </c>
      <c r="E1492" s="48">
        <v>0.3125</v>
      </c>
      <c r="F1492" s="48">
        <v>0.5</v>
      </c>
      <c r="G1492" s="49" t="s">
        <v>281</v>
      </c>
      <c r="H1492" s="49">
        <v>4.5</v>
      </c>
      <c r="I1492" s="49">
        <v>4.5</v>
      </c>
      <c r="J1492" s="53" t="s">
        <v>52</v>
      </c>
      <c r="K1492" s="51" t="s">
        <v>489</v>
      </c>
      <c r="L1492" s="102" t="s">
        <v>281</v>
      </c>
      <c r="M1492" s="19" t="str">
        <f t="shared" si="38"/>
        <v>Mar_2018</v>
      </c>
    </row>
    <row r="1493" spans="1:13">
      <c r="A1493" s="45" t="s">
        <v>11</v>
      </c>
      <c r="B1493" s="52" t="s">
        <v>12</v>
      </c>
      <c r="C1493" s="54">
        <v>43178</v>
      </c>
      <c r="D1493" s="47" t="s">
        <v>16</v>
      </c>
      <c r="E1493" s="48">
        <v>0.72916666666666663</v>
      </c>
      <c r="F1493" s="48">
        <v>0.89583333333333337</v>
      </c>
      <c r="G1493" s="49">
        <v>8.0000000000000036</v>
      </c>
      <c r="H1493" s="49">
        <v>3.9999999999999982</v>
      </c>
      <c r="I1493" s="49">
        <v>3.9999999999999982</v>
      </c>
      <c r="J1493" s="53" t="s">
        <v>30</v>
      </c>
      <c r="K1493" s="51" t="s">
        <v>490</v>
      </c>
      <c r="L1493" s="102">
        <v>1</v>
      </c>
      <c r="M1493" s="19" t="str">
        <f t="shared" si="38"/>
        <v>Mar_2018</v>
      </c>
    </row>
    <row r="1494" spans="1:13">
      <c r="A1494" s="45" t="s">
        <v>11</v>
      </c>
      <c r="B1494" s="52" t="s">
        <v>19</v>
      </c>
      <c r="C1494" s="46">
        <v>43178</v>
      </c>
      <c r="D1494" s="47" t="s">
        <v>16</v>
      </c>
      <c r="E1494" s="48">
        <v>0.72916666666666663</v>
      </c>
      <c r="F1494" s="48">
        <v>0.875</v>
      </c>
      <c r="G1494" s="49">
        <v>8.0000000000000036</v>
      </c>
      <c r="H1494" s="49">
        <v>3.4999999999999964</v>
      </c>
      <c r="I1494" s="49">
        <v>3.4999999999999964</v>
      </c>
      <c r="J1494" s="53" t="s">
        <v>30</v>
      </c>
      <c r="K1494" s="51" t="s">
        <v>490</v>
      </c>
      <c r="L1494" s="102">
        <v>1</v>
      </c>
      <c r="M1494" s="19" t="str">
        <f t="shared" si="38"/>
        <v>Mar_2018</v>
      </c>
    </row>
    <row r="1495" spans="1:13">
      <c r="A1495" s="45" t="s">
        <v>11</v>
      </c>
      <c r="B1495" s="52" t="s">
        <v>26</v>
      </c>
      <c r="C1495" s="46">
        <v>43178</v>
      </c>
      <c r="D1495" s="47" t="s">
        <v>16</v>
      </c>
      <c r="E1495" s="48">
        <v>0.72916666666666663</v>
      </c>
      <c r="F1495" s="48">
        <v>0.85416666666666674</v>
      </c>
      <c r="G1495" s="49">
        <v>8.0000000000000036</v>
      </c>
      <c r="H1495" s="49">
        <v>3</v>
      </c>
      <c r="I1495" s="49">
        <v>3</v>
      </c>
      <c r="J1495" s="53" t="s">
        <v>30</v>
      </c>
      <c r="K1495" s="51" t="s">
        <v>491</v>
      </c>
      <c r="L1495" s="102">
        <v>1</v>
      </c>
      <c r="M1495" s="19" t="str">
        <f t="shared" si="38"/>
        <v>Mar_2018</v>
      </c>
    </row>
    <row r="1496" spans="1:13">
      <c r="A1496" s="45" t="s">
        <v>11</v>
      </c>
      <c r="B1496" s="52" t="s">
        <v>149</v>
      </c>
      <c r="C1496" s="46">
        <v>43178</v>
      </c>
      <c r="D1496" s="47" t="s">
        <v>16</v>
      </c>
      <c r="E1496" s="48">
        <v>0.72916666666666663</v>
      </c>
      <c r="F1496" s="48">
        <v>0.89583333333333337</v>
      </c>
      <c r="G1496" s="49">
        <v>8.0000000000000036</v>
      </c>
      <c r="H1496" s="49">
        <v>3.9999999999999982</v>
      </c>
      <c r="I1496" s="49">
        <v>3.9999999999999982</v>
      </c>
      <c r="J1496" s="53" t="s">
        <v>30</v>
      </c>
      <c r="K1496" s="51" t="s">
        <v>490</v>
      </c>
      <c r="L1496" s="102">
        <v>1</v>
      </c>
      <c r="M1496" s="19" t="str">
        <f t="shared" si="38"/>
        <v>Mar_2018</v>
      </c>
    </row>
    <row r="1497" spans="1:13">
      <c r="A1497" s="45" t="s">
        <v>11</v>
      </c>
      <c r="B1497" s="52" t="s">
        <v>161</v>
      </c>
      <c r="C1497" s="46">
        <v>43178</v>
      </c>
      <c r="D1497" s="47" t="s">
        <v>16</v>
      </c>
      <c r="E1497" s="48">
        <v>0.72916666666666663</v>
      </c>
      <c r="F1497" s="48">
        <v>0.89583333333333337</v>
      </c>
      <c r="G1497" s="49">
        <v>8.0000000000000036</v>
      </c>
      <c r="H1497" s="49">
        <v>3.9999999999999982</v>
      </c>
      <c r="I1497" s="49">
        <v>3.9999999999999982</v>
      </c>
      <c r="J1497" s="53" t="s">
        <v>30</v>
      </c>
      <c r="K1497" s="51" t="s">
        <v>490</v>
      </c>
      <c r="L1497" s="102">
        <v>1</v>
      </c>
      <c r="M1497" s="19" t="str">
        <f t="shared" si="38"/>
        <v>Mar_2018</v>
      </c>
    </row>
    <row r="1498" spans="1:13">
      <c r="A1498" s="45" t="s">
        <v>22</v>
      </c>
      <c r="B1498" s="52" t="s">
        <v>23</v>
      </c>
      <c r="C1498" s="46">
        <v>43178</v>
      </c>
      <c r="D1498" s="47" t="s">
        <v>16</v>
      </c>
      <c r="E1498" s="48">
        <v>0.35416666666666663</v>
      </c>
      <c r="F1498" s="48">
        <v>0.89583333333333337</v>
      </c>
      <c r="G1498" s="49">
        <v>0</v>
      </c>
      <c r="H1498" s="49">
        <v>12.000000000000002</v>
      </c>
      <c r="I1498" s="49">
        <v>12.000000000000002</v>
      </c>
      <c r="J1498" s="53" t="s">
        <v>30</v>
      </c>
      <c r="K1498" s="51" t="s">
        <v>490</v>
      </c>
      <c r="L1498" s="102" t="s">
        <v>281</v>
      </c>
      <c r="M1498" s="19" t="str">
        <f t="shared" si="38"/>
        <v>Mar_2018</v>
      </c>
    </row>
    <row r="1499" spans="1:13">
      <c r="A1499" s="45" t="s">
        <v>22</v>
      </c>
      <c r="B1499" s="52" t="s">
        <v>254</v>
      </c>
      <c r="C1499" s="46">
        <v>43178</v>
      </c>
      <c r="D1499" s="47" t="s">
        <v>16</v>
      </c>
      <c r="E1499" s="48">
        <v>0.35416666666666663</v>
      </c>
      <c r="F1499" s="48">
        <v>0.66666666666666663</v>
      </c>
      <c r="G1499" s="49">
        <v>0</v>
      </c>
      <c r="H1499" s="49">
        <v>6.5</v>
      </c>
      <c r="I1499" s="49">
        <v>6.5</v>
      </c>
      <c r="J1499" s="53" t="s">
        <v>30</v>
      </c>
      <c r="K1499" s="51" t="s">
        <v>489</v>
      </c>
      <c r="L1499" s="102" t="s">
        <v>281</v>
      </c>
      <c r="M1499" s="19" t="str">
        <f t="shared" si="38"/>
        <v>Mar_2018</v>
      </c>
    </row>
    <row r="1500" spans="1:13">
      <c r="A1500" s="45" t="s">
        <v>22</v>
      </c>
      <c r="B1500" s="52" t="s">
        <v>255</v>
      </c>
      <c r="C1500" s="46">
        <v>43178</v>
      </c>
      <c r="D1500" s="47" t="s">
        <v>16</v>
      </c>
      <c r="E1500" s="48">
        <v>0.35416666666666663</v>
      </c>
      <c r="F1500" s="48">
        <v>0.6875</v>
      </c>
      <c r="G1500" s="49">
        <v>0</v>
      </c>
      <c r="H1500" s="49">
        <v>7</v>
      </c>
      <c r="I1500" s="49">
        <v>7</v>
      </c>
      <c r="J1500" s="53" t="s">
        <v>30</v>
      </c>
      <c r="K1500" s="51" t="s">
        <v>489</v>
      </c>
      <c r="L1500" s="102" t="s">
        <v>281</v>
      </c>
      <c r="M1500" s="19" t="str">
        <f t="shared" si="38"/>
        <v>Mar_2018</v>
      </c>
    </row>
    <row r="1501" spans="1:13">
      <c r="A1501" s="45" t="s">
        <v>22</v>
      </c>
      <c r="B1501" s="52" t="s">
        <v>27</v>
      </c>
      <c r="C1501" s="46">
        <v>43178</v>
      </c>
      <c r="D1501" s="47" t="s">
        <v>16</v>
      </c>
      <c r="E1501" s="48">
        <v>0.35416666666666663</v>
      </c>
      <c r="F1501" s="48">
        <v>0.66666666666666663</v>
      </c>
      <c r="G1501" s="49">
        <v>0</v>
      </c>
      <c r="H1501" s="49">
        <v>6.5</v>
      </c>
      <c r="I1501" s="49">
        <v>6.5</v>
      </c>
      <c r="J1501" s="53" t="s">
        <v>30</v>
      </c>
      <c r="K1501" s="51" t="s">
        <v>489</v>
      </c>
      <c r="L1501" s="102" t="s">
        <v>281</v>
      </c>
      <c r="M1501" s="19" t="str">
        <f t="shared" si="38"/>
        <v>Mar_2018</v>
      </c>
    </row>
    <row r="1502" spans="1:13">
      <c r="A1502" s="45" t="s">
        <v>22</v>
      </c>
      <c r="B1502" s="52" t="s">
        <v>346</v>
      </c>
      <c r="C1502" s="46">
        <v>43178</v>
      </c>
      <c r="D1502" s="47" t="s">
        <v>16</v>
      </c>
      <c r="E1502" s="48">
        <v>0.58333333333333337</v>
      </c>
      <c r="F1502" s="48">
        <v>0.72916666666666674</v>
      </c>
      <c r="G1502" s="49">
        <v>0</v>
      </c>
      <c r="H1502" s="49">
        <v>3.5000000000000009</v>
      </c>
      <c r="I1502" s="49">
        <v>3.5000000000000009</v>
      </c>
      <c r="J1502" s="53" t="s">
        <v>30</v>
      </c>
      <c r="K1502" s="51" t="s">
        <v>489</v>
      </c>
      <c r="L1502" s="102" t="s">
        <v>281</v>
      </c>
      <c r="M1502" s="19" t="str">
        <f t="shared" si="38"/>
        <v>Mar_2018</v>
      </c>
    </row>
    <row r="1503" spans="1:13">
      <c r="A1503" s="45" t="s">
        <v>22</v>
      </c>
      <c r="B1503" s="52" t="s">
        <v>478</v>
      </c>
      <c r="C1503" s="46">
        <v>43178</v>
      </c>
      <c r="D1503" s="47" t="s">
        <v>16</v>
      </c>
      <c r="E1503" s="48">
        <v>0.35416666666666663</v>
      </c>
      <c r="F1503" s="48">
        <v>0.72916666666666674</v>
      </c>
      <c r="G1503" s="49">
        <v>0</v>
      </c>
      <c r="H1503" s="49">
        <v>8.0000000000000036</v>
      </c>
      <c r="I1503" s="49">
        <v>8.0000000000000036</v>
      </c>
      <c r="J1503" s="53" t="s">
        <v>30</v>
      </c>
      <c r="K1503" s="51" t="s">
        <v>489</v>
      </c>
      <c r="L1503" s="102" t="s">
        <v>281</v>
      </c>
      <c r="M1503" s="19" t="str">
        <f t="shared" si="38"/>
        <v>Mar_2018</v>
      </c>
    </row>
    <row r="1504" spans="1:13">
      <c r="A1504" s="45" t="s">
        <v>22</v>
      </c>
      <c r="B1504" s="52" t="s">
        <v>479</v>
      </c>
      <c r="C1504" s="46">
        <v>43178</v>
      </c>
      <c r="D1504" s="47" t="s">
        <v>16</v>
      </c>
      <c r="E1504" s="48">
        <v>0.35416666666666663</v>
      </c>
      <c r="F1504" s="48">
        <v>0.72916666666666674</v>
      </c>
      <c r="G1504" s="49">
        <v>0</v>
      </c>
      <c r="H1504" s="49">
        <v>8.0000000000000036</v>
      </c>
      <c r="I1504" s="49">
        <v>8.0000000000000036</v>
      </c>
      <c r="J1504" s="53" t="s">
        <v>30</v>
      </c>
      <c r="K1504" s="51" t="s">
        <v>489</v>
      </c>
      <c r="L1504" s="102" t="s">
        <v>281</v>
      </c>
      <c r="M1504" s="19" t="str">
        <f t="shared" si="38"/>
        <v>Mar_2018</v>
      </c>
    </row>
    <row r="1505" spans="1:13">
      <c r="A1505" s="45" t="s">
        <v>22</v>
      </c>
      <c r="B1505" s="52" t="s">
        <v>480</v>
      </c>
      <c r="C1505" s="46">
        <v>43178</v>
      </c>
      <c r="D1505" s="47" t="s">
        <v>16</v>
      </c>
      <c r="E1505" s="48">
        <v>0.35416666666666663</v>
      </c>
      <c r="F1505" s="48">
        <v>0.72916666666666674</v>
      </c>
      <c r="G1505" s="49">
        <v>0</v>
      </c>
      <c r="H1505" s="49">
        <v>8.0000000000000036</v>
      </c>
      <c r="I1505" s="49">
        <v>8.0000000000000036</v>
      </c>
      <c r="J1505" s="53" t="s">
        <v>30</v>
      </c>
      <c r="K1505" s="51" t="s">
        <v>489</v>
      </c>
      <c r="L1505" s="102" t="s">
        <v>281</v>
      </c>
      <c r="M1505" s="19" t="str">
        <f t="shared" si="38"/>
        <v>Mar_2018</v>
      </c>
    </row>
    <row r="1506" spans="1:13">
      <c r="A1506" s="45" t="s">
        <v>22</v>
      </c>
      <c r="B1506" s="52" t="s">
        <v>481</v>
      </c>
      <c r="C1506" s="46">
        <v>43178</v>
      </c>
      <c r="D1506" s="47" t="s">
        <v>16</v>
      </c>
      <c r="E1506" s="48">
        <v>0.35416666666666663</v>
      </c>
      <c r="F1506" s="48">
        <v>0.72916666666666674</v>
      </c>
      <c r="G1506" s="49">
        <v>0</v>
      </c>
      <c r="H1506" s="49">
        <v>8.0000000000000036</v>
      </c>
      <c r="I1506" s="49">
        <v>8.0000000000000036</v>
      </c>
      <c r="J1506" s="53" t="s">
        <v>30</v>
      </c>
      <c r="K1506" s="51" t="s">
        <v>489</v>
      </c>
      <c r="L1506" s="102" t="s">
        <v>281</v>
      </c>
      <c r="M1506" s="19" t="str">
        <f t="shared" si="38"/>
        <v>Mar_2018</v>
      </c>
    </row>
    <row r="1507" spans="1:13">
      <c r="A1507" s="45" t="s">
        <v>22</v>
      </c>
      <c r="B1507" s="52" t="s">
        <v>482</v>
      </c>
      <c r="C1507" s="46">
        <v>43178</v>
      </c>
      <c r="D1507" s="47" t="s">
        <v>16</v>
      </c>
      <c r="E1507" s="48">
        <v>0.35416666666666663</v>
      </c>
      <c r="F1507" s="48">
        <v>0.72916666666666674</v>
      </c>
      <c r="G1507" s="49">
        <v>0</v>
      </c>
      <c r="H1507" s="49">
        <v>8.0000000000000036</v>
      </c>
      <c r="I1507" s="49">
        <v>8.0000000000000036</v>
      </c>
      <c r="J1507" s="53" t="s">
        <v>30</v>
      </c>
      <c r="K1507" s="51" t="s">
        <v>489</v>
      </c>
      <c r="L1507" s="102" t="s">
        <v>281</v>
      </c>
      <c r="M1507" s="19" t="str">
        <f t="shared" si="38"/>
        <v>Mar_2018</v>
      </c>
    </row>
    <row r="1508" spans="1:13">
      <c r="A1508" s="45" t="s">
        <v>22</v>
      </c>
      <c r="B1508" s="52" t="s">
        <v>483</v>
      </c>
      <c r="C1508" s="46">
        <v>43178</v>
      </c>
      <c r="D1508" s="47" t="s">
        <v>16</v>
      </c>
      <c r="E1508" s="48">
        <v>0.35416666666666663</v>
      </c>
      <c r="F1508" s="48">
        <v>0.72916666666666674</v>
      </c>
      <c r="G1508" s="49">
        <v>0</v>
      </c>
      <c r="H1508" s="49">
        <v>8.0000000000000036</v>
      </c>
      <c r="I1508" s="49">
        <v>8.0000000000000036</v>
      </c>
      <c r="J1508" s="53" t="s">
        <v>30</v>
      </c>
      <c r="K1508" s="51" t="s">
        <v>489</v>
      </c>
      <c r="L1508" s="102" t="s">
        <v>281</v>
      </c>
      <c r="M1508" s="19" t="str">
        <f t="shared" si="38"/>
        <v>Mar_2018</v>
      </c>
    </row>
    <row r="1509" spans="1:13">
      <c r="A1509" s="45" t="s">
        <v>22</v>
      </c>
      <c r="B1509" s="52" t="s">
        <v>484</v>
      </c>
      <c r="C1509" s="46">
        <v>43178</v>
      </c>
      <c r="D1509" s="47" t="s">
        <v>16</v>
      </c>
      <c r="E1509" s="48">
        <v>0.35416666666666663</v>
      </c>
      <c r="F1509" s="48">
        <v>0.72916666666666674</v>
      </c>
      <c r="G1509" s="49">
        <v>0</v>
      </c>
      <c r="H1509" s="49">
        <v>8.0000000000000036</v>
      </c>
      <c r="I1509" s="49">
        <v>8.0000000000000036</v>
      </c>
      <c r="J1509" s="53" t="s">
        <v>30</v>
      </c>
      <c r="K1509" s="51" t="s">
        <v>489</v>
      </c>
      <c r="L1509" s="102" t="s">
        <v>281</v>
      </c>
      <c r="M1509" s="19" t="str">
        <f t="shared" si="38"/>
        <v>Mar_2018</v>
      </c>
    </row>
    <row r="1510" spans="1:13">
      <c r="A1510" s="45" t="s">
        <v>22</v>
      </c>
      <c r="B1510" s="52" t="s">
        <v>485</v>
      </c>
      <c r="C1510" s="46">
        <v>43178</v>
      </c>
      <c r="D1510" s="47" t="s">
        <v>16</v>
      </c>
      <c r="E1510" s="48">
        <v>0.35416666666666663</v>
      </c>
      <c r="F1510" s="48">
        <v>0.72916666666666674</v>
      </c>
      <c r="G1510" s="49">
        <v>0</v>
      </c>
      <c r="H1510" s="49">
        <v>8.0000000000000036</v>
      </c>
      <c r="I1510" s="49">
        <v>8.0000000000000036</v>
      </c>
      <c r="J1510" s="53" t="s">
        <v>30</v>
      </c>
      <c r="K1510" s="51" t="s">
        <v>489</v>
      </c>
      <c r="L1510" s="102" t="s">
        <v>281</v>
      </c>
      <c r="M1510" s="19" t="str">
        <f t="shared" si="38"/>
        <v>Mar_2018</v>
      </c>
    </row>
    <row r="1511" spans="1:13">
      <c r="A1511" s="45" t="s">
        <v>22</v>
      </c>
      <c r="B1511" s="52" t="s">
        <v>486</v>
      </c>
      <c r="C1511" s="46">
        <v>43178</v>
      </c>
      <c r="D1511" s="47" t="s">
        <v>16</v>
      </c>
      <c r="E1511" s="48">
        <v>0.35416666666666663</v>
      </c>
      <c r="F1511" s="48">
        <v>0.72916666666666674</v>
      </c>
      <c r="G1511" s="49">
        <v>0</v>
      </c>
      <c r="H1511" s="49">
        <v>8.0000000000000036</v>
      </c>
      <c r="I1511" s="49">
        <v>8.0000000000000036</v>
      </c>
      <c r="J1511" s="53" t="s">
        <v>30</v>
      </c>
      <c r="K1511" s="51" t="s">
        <v>489</v>
      </c>
      <c r="L1511" s="102" t="s">
        <v>281</v>
      </c>
      <c r="M1511" s="19" t="str">
        <f t="shared" si="38"/>
        <v>Mar_2018</v>
      </c>
    </row>
    <row r="1512" spans="1:13">
      <c r="A1512" s="45" t="s">
        <v>22</v>
      </c>
      <c r="B1512" s="52" t="s">
        <v>487</v>
      </c>
      <c r="C1512" s="46">
        <v>43178</v>
      </c>
      <c r="D1512" s="47" t="s">
        <v>16</v>
      </c>
      <c r="E1512" s="48">
        <v>0.35416666666666663</v>
      </c>
      <c r="F1512" s="48">
        <v>0.72916666666666674</v>
      </c>
      <c r="G1512" s="49">
        <v>0</v>
      </c>
      <c r="H1512" s="49">
        <v>8.0000000000000036</v>
      </c>
      <c r="I1512" s="49">
        <v>8.0000000000000036</v>
      </c>
      <c r="J1512" s="53" t="s">
        <v>30</v>
      </c>
      <c r="K1512" s="51" t="s">
        <v>489</v>
      </c>
      <c r="L1512" s="102" t="s">
        <v>281</v>
      </c>
      <c r="M1512" s="19" t="str">
        <f t="shared" si="38"/>
        <v>Mar_2018</v>
      </c>
    </row>
    <row r="1513" spans="1:13">
      <c r="A1513" s="45" t="s">
        <v>22</v>
      </c>
      <c r="B1513" s="52" t="s">
        <v>488</v>
      </c>
      <c r="C1513" s="46">
        <v>43178</v>
      </c>
      <c r="D1513" s="47" t="s">
        <v>16</v>
      </c>
      <c r="E1513" s="48">
        <v>0.35416666666666663</v>
      </c>
      <c r="F1513" s="48">
        <v>0.72916666666666674</v>
      </c>
      <c r="G1513" s="49">
        <v>0</v>
      </c>
      <c r="H1513" s="49">
        <v>8.0000000000000036</v>
      </c>
      <c r="I1513" s="49">
        <v>8.0000000000000036</v>
      </c>
      <c r="J1513" s="53" t="s">
        <v>30</v>
      </c>
      <c r="K1513" s="51" t="s">
        <v>489</v>
      </c>
      <c r="L1513" s="102" t="s">
        <v>281</v>
      </c>
      <c r="M1513" s="19" t="str">
        <f t="shared" si="38"/>
        <v>Mar_2018</v>
      </c>
    </row>
    <row r="1514" spans="1:13">
      <c r="A1514" s="45" t="s">
        <v>22</v>
      </c>
      <c r="B1514" s="52" t="s">
        <v>492</v>
      </c>
      <c r="C1514" s="46">
        <v>43178</v>
      </c>
      <c r="D1514" s="47" t="s">
        <v>16</v>
      </c>
      <c r="E1514" s="48">
        <v>0.54166666666666663</v>
      </c>
      <c r="F1514" s="48">
        <v>0.72916666666666674</v>
      </c>
      <c r="G1514" s="49">
        <v>0</v>
      </c>
      <c r="H1514" s="49">
        <v>4.5000000000000027</v>
      </c>
      <c r="I1514" s="49">
        <v>4.5000000000000027</v>
      </c>
      <c r="J1514" s="53" t="s">
        <v>30</v>
      </c>
      <c r="K1514" s="51" t="s">
        <v>489</v>
      </c>
      <c r="L1514" s="102" t="s">
        <v>281</v>
      </c>
      <c r="M1514" s="19" t="str">
        <f t="shared" si="38"/>
        <v>Mar_2018</v>
      </c>
    </row>
    <row r="1515" spans="1:13">
      <c r="A1515" s="45" t="s">
        <v>11</v>
      </c>
      <c r="B1515" s="52" t="s">
        <v>12</v>
      </c>
      <c r="C1515" s="54">
        <v>43179</v>
      </c>
      <c r="D1515" s="47" t="s">
        <v>14</v>
      </c>
      <c r="E1515" s="48">
        <v>0.72916666666666663</v>
      </c>
      <c r="F1515" s="48">
        <v>0.875</v>
      </c>
      <c r="G1515" s="49">
        <v>8.0000000000000036</v>
      </c>
      <c r="H1515" s="49">
        <v>3.4999999999999964</v>
      </c>
      <c r="I1515" s="49">
        <v>3.4999999999999964</v>
      </c>
      <c r="J1515" s="53" t="s">
        <v>30</v>
      </c>
      <c r="K1515" s="51" t="s">
        <v>493</v>
      </c>
      <c r="L1515" s="102">
        <v>1</v>
      </c>
      <c r="M1515" s="19" t="str">
        <f t="shared" si="38"/>
        <v>Mar_2018</v>
      </c>
    </row>
    <row r="1516" spans="1:13">
      <c r="A1516" s="45" t="s">
        <v>11</v>
      </c>
      <c r="B1516" s="52" t="s">
        <v>19</v>
      </c>
      <c r="C1516" s="46">
        <v>43179</v>
      </c>
      <c r="D1516" s="47" t="s">
        <v>14</v>
      </c>
      <c r="E1516" s="48">
        <v>0.72916666666666663</v>
      </c>
      <c r="F1516" s="48">
        <v>0.95833333333333337</v>
      </c>
      <c r="G1516" s="49">
        <v>8.0000000000000036</v>
      </c>
      <c r="H1516" s="49">
        <v>5.4999999999999982</v>
      </c>
      <c r="I1516" s="49">
        <v>5.4999999999999982</v>
      </c>
      <c r="J1516" s="53" t="s">
        <v>56</v>
      </c>
      <c r="K1516" s="51" t="s">
        <v>494</v>
      </c>
      <c r="L1516" s="102">
        <v>1</v>
      </c>
      <c r="M1516" s="19" t="str">
        <f t="shared" si="38"/>
        <v>Mar_2018</v>
      </c>
    </row>
    <row r="1517" spans="1:13">
      <c r="A1517" s="45" t="s">
        <v>11</v>
      </c>
      <c r="B1517" s="52" t="s">
        <v>149</v>
      </c>
      <c r="C1517" s="46">
        <v>43179</v>
      </c>
      <c r="D1517" s="47" t="s">
        <v>14</v>
      </c>
      <c r="E1517" s="48">
        <v>0.72916666666666663</v>
      </c>
      <c r="F1517" s="48">
        <v>0.875</v>
      </c>
      <c r="G1517" s="49">
        <v>8.0000000000000036</v>
      </c>
      <c r="H1517" s="49">
        <v>3.4999999999999964</v>
      </c>
      <c r="I1517" s="49">
        <v>3.4999999999999964</v>
      </c>
      <c r="J1517" s="53" t="s">
        <v>30</v>
      </c>
      <c r="K1517" s="51" t="s">
        <v>493</v>
      </c>
      <c r="L1517" s="102">
        <v>1</v>
      </c>
      <c r="M1517" s="19" t="str">
        <f t="shared" si="38"/>
        <v>Mar_2018</v>
      </c>
    </row>
    <row r="1518" spans="1:13">
      <c r="A1518" s="45" t="s">
        <v>11</v>
      </c>
      <c r="B1518" s="52" t="s">
        <v>161</v>
      </c>
      <c r="C1518" s="46">
        <v>43179</v>
      </c>
      <c r="D1518" s="47" t="s">
        <v>14</v>
      </c>
      <c r="E1518" s="48">
        <v>0.72916666666666663</v>
      </c>
      <c r="F1518" s="48">
        <v>0.89583333333333337</v>
      </c>
      <c r="G1518" s="49">
        <v>8.0000000000000036</v>
      </c>
      <c r="H1518" s="49">
        <v>3.9999999999999982</v>
      </c>
      <c r="I1518" s="49">
        <v>3.9999999999999982</v>
      </c>
      <c r="J1518" s="53" t="s">
        <v>30</v>
      </c>
      <c r="K1518" s="51" t="s">
        <v>493</v>
      </c>
      <c r="L1518" s="102">
        <v>1</v>
      </c>
      <c r="M1518" s="19" t="str">
        <f t="shared" si="38"/>
        <v>Mar_2018</v>
      </c>
    </row>
    <row r="1519" spans="1:13">
      <c r="A1519" s="45" t="s">
        <v>22</v>
      </c>
      <c r="B1519" s="52" t="s">
        <v>23</v>
      </c>
      <c r="C1519" s="46">
        <v>43179</v>
      </c>
      <c r="D1519" s="47" t="s">
        <v>14</v>
      </c>
      <c r="E1519" s="48">
        <v>0.35416666666666663</v>
      </c>
      <c r="F1519" s="48">
        <v>0.875</v>
      </c>
      <c r="G1519" s="49">
        <v>0</v>
      </c>
      <c r="H1519" s="49">
        <v>11.5</v>
      </c>
      <c r="I1519" s="49">
        <v>11.5</v>
      </c>
      <c r="J1519" s="53" t="s">
        <v>30</v>
      </c>
      <c r="K1519" s="51" t="s">
        <v>493</v>
      </c>
      <c r="L1519" s="102" t="s">
        <v>281</v>
      </c>
      <c r="M1519" s="19" t="str">
        <f t="shared" si="38"/>
        <v>Mar_2018</v>
      </c>
    </row>
    <row r="1520" spans="1:13">
      <c r="A1520" s="45" t="s">
        <v>22</v>
      </c>
      <c r="B1520" s="52" t="s">
        <v>78</v>
      </c>
      <c r="C1520" s="46">
        <v>43179</v>
      </c>
      <c r="D1520" s="47" t="s">
        <v>14</v>
      </c>
      <c r="E1520" s="48">
        <v>0.52083333333333337</v>
      </c>
      <c r="F1520" s="48">
        <v>0.875</v>
      </c>
      <c r="G1520" s="49">
        <v>0</v>
      </c>
      <c r="H1520" s="49">
        <v>8.5</v>
      </c>
      <c r="I1520" s="49">
        <v>8.5</v>
      </c>
      <c r="J1520" s="53" t="s">
        <v>30</v>
      </c>
      <c r="K1520" s="51" t="s">
        <v>493</v>
      </c>
      <c r="L1520" s="102" t="s">
        <v>281</v>
      </c>
      <c r="M1520" s="19" t="str">
        <f t="shared" si="38"/>
        <v>Mar_2018</v>
      </c>
    </row>
    <row r="1521" spans="1:13">
      <c r="A1521" s="45" t="s">
        <v>22</v>
      </c>
      <c r="B1521" s="52" t="s">
        <v>254</v>
      </c>
      <c r="C1521" s="46">
        <v>43179</v>
      </c>
      <c r="D1521" s="47" t="s">
        <v>14</v>
      </c>
      <c r="E1521" s="48">
        <v>0.35416666666666663</v>
      </c>
      <c r="F1521" s="48">
        <v>0.875</v>
      </c>
      <c r="G1521" s="49">
        <v>0</v>
      </c>
      <c r="H1521" s="49">
        <v>11.5</v>
      </c>
      <c r="I1521" s="49">
        <v>11.5</v>
      </c>
      <c r="J1521" s="53" t="s">
        <v>30</v>
      </c>
      <c r="K1521" s="51" t="s">
        <v>493</v>
      </c>
      <c r="L1521" s="102" t="s">
        <v>281</v>
      </c>
      <c r="M1521" s="19" t="str">
        <f t="shared" si="38"/>
        <v>Mar_2018</v>
      </c>
    </row>
    <row r="1522" spans="1:13">
      <c r="A1522" s="45" t="s">
        <v>22</v>
      </c>
      <c r="B1522" s="52" t="s">
        <v>255</v>
      </c>
      <c r="C1522" s="46">
        <v>43179</v>
      </c>
      <c r="D1522" s="47" t="s">
        <v>14</v>
      </c>
      <c r="E1522" s="48">
        <v>0.35416666666666663</v>
      </c>
      <c r="F1522" s="48">
        <v>0.875</v>
      </c>
      <c r="G1522" s="49">
        <v>0</v>
      </c>
      <c r="H1522" s="49">
        <v>11.5</v>
      </c>
      <c r="I1522" s="49">
        <v>11.5</v>
      </c>
      <c r="J1522" s="53" t="s">
        <v>30</v>
      </c>
      <c r="K1522" s="51" t="s">
        <v>493</v>
      </c>
      <c r="L1522" s="102" t="s">
        <v>281</v>
      </c>
      <c r="M1522" s="19" t="str">
        <f t="shared" si="38"/>
        <v>Mar_2018</v>
      </c>
    </row>
    <row r="1523" spans="1:13">
      <c r="A1523" s="45" t="s">
        <v>22</v>
      </c>
      <c r="B1523" s="52" t="s">
        <v>27</v>
      </c>
      <c r="C1523" s="46">
        <v>43179</v>
      </c>
      <c r="D1523" s="47" t="s">
        <v>14</v>
      </c>
      <c r="E1523" s="48">
        <v>0.35416666666666663</v>
      </c>
      <c r="F1523" s="48">
        <v>0.72916666666666674</v>
      </c>
      <c r="G1523" s="49">
        <v>0</v>
      </c>
      <c r="H1523" s="49">
        <v>8.0000000000000036</v>
      </c>
      <c r="I1523" s="49">
        <v>8.0000000000000036</v>
      </c>
      <c r="J1523" s="53" t="s">
        <v>30</v>
      </c>
      <c r="K1523" s="51" t="s">
        <v>501</v>
      </c>
      <c r="L1523" s="102" t="s">
        <v>281</v>
      </c>
      <c r="M1523" s="19" t="str">
        <f t="shared" si="38"/>
        <v>Mar_2018</v>
      </c>
    </row>
    <row r="1524" spans="1:13">
      <c r="A1524" s="45" t="s">
        <v>22</v>
      </c>
      <c r="B1524" s="52" t="s">
        <v>346</v>
      </c>
      <c r="C1524" s="46">
        <v>43179</v>
      </c>
      <c r="D1524" s="47" t="s">
        <v>14</v>
      </c>
      <c r="E1524" s="48">
        <v>0.35416666666666663</v>
      </c>
      <c r="F1524" s="48">
        <v>0.72916666666666674</v>
      </c>
      <c r="G1524" s="49">
        <v>0</v>
      </c>
      <c r="H1524" s="49">
        <v>8.0000000000000036</v>
      </c>
      <c r="I1524" s="49">
        <v>8.0000000000000036</v>
      </c>
      <c r="J1524" s="53" t="s">
        <v>30</v>
      </c>
      <c r="K1524" s="51" t="s">
        <v>501</v>
      </c>
      <c r="L1524" s="102" t="s">
        <v>281</v>
      </c>
      <c r="M1524" s="19" t="str">
        <f t="shared" si="38"/>
        <v>Mar_2018</v>
      </c>
    </row>
    <row r="1525" spans="1:13">
      <c r="A1525" s="45" t="s">
        <v>22</v>
      </c>
      <c r="B1525" s="52" t="s">
        <v>478</v>
      </c>
      <c r="C1525" s="46">
        <v>43179</v>
      </c>
      <c r="D1525" s="47" t="s">
        <v>14</v>
      </c>
      <c r="E1525" s="48">
        <v>0.35416666666666663</v>
      </c>
      <c r="F1525" s="48">
        <v>0.72916666666666674</v>
      </c>
      <c r="G1525" s="49">
        <v>0</v>
      </c>
      <c r="H1525" s="49">
        <v>8.0000000000000036</v>
      </c>
      <c r="I1525" s="49">
        <v>8.0000000000000036</v>
      </c>
      <c r="J1525" s="53" t="s">
        <v>30</v>
      </c>
      <c r="K1525" s="51" t="s">
        <v>489</v>
      </c>
      <c r="L1525" s="102" t="s">
        <v>281</v>
      </c>
      <c r="M1525" s="19" t="str">
        <f t="shared" si="38"/>
        <v>Mar_2018</v>
      </c>
    </row>
    <row r="1526" spans="1:13">
      <c r="A1526" s="45" t="s">
        <v>22</v>
      </c>
      <c r="B1526" s="52" t="s">
        <v>479</v>
      </c>
      <c r="C1526" s="46">
        <v>43179</v>
      </c>
      <c r="D1526" s="47" t="s">
        <v>14</v>
      </c>
      <c r="E1526" s="48">
        <v>0.35416666666666663</v>
      </c>
      <c r="F1526" s="48">
        <v>0.72916666666666674</v>
      </c>
      <c r="G1526" s="49">
        <v>0</v>
      </c>
      <c r="H1526" s="49">
        <v>8.0000000000000036</v>
      </c>
      <c r="I1526" s="49">
        <v>8.0000000000000036</v>
      </c>
      <c r="J1526" s="53" t="s">
        <v>30</v>
      </c>
      <c r="K1526" s="51" t="s">
        <v>489</v>
      </c>
      <c r="L1526" s="102" t="s">
        <v>281</v>
      </c>
      <c r="M1526" s="19" t="str">
        <f t="shared" si="38"/>
        <v>Mar_2018</v>
      </c>
    </row>
    <row r="1527" spans="1:13">
      <c r="A1527" s="45" t="s">
        <v>22</v>
      </c>
      <c r="B1527" s="52" t="s">
        <v>480</v>
      </c>
      <c r="C1527" s="46">
        <v>43179</v>
      </c>
      <c r="D1527" s="47" t="s">
        <v>14</v>
      </c>
      <c r="E1527" s="48">
        <v>0.35416666666666663</v>
      </c>
      <c r="F1527" s="48">
        <v>0.72916666666666674</v>
      </c>
      <c r="G1527" s="49">
        <v>0</v>
      </c>
      <c r="H1527" s="49">
        <v>8.0000000000000036</v>
      </c>
      <c r="I1527" s="49">
        <v>8.0000000000000036</v>
      </c>
      <c r="J1527" s="53" t="s">
        <v>30</v>
      </c>
      <c r="K1527" s="51" t="s">
        <v>489</v>
      </c>
      <c r="L1527" s="102" t="s">
        <v>281</v>
      </c>
      <c r="M1527" s="19" t="str">
        <f t="shared" si="38"/>
        <v>Mar_2018</v>
      </c>
    </row>
    <row r="1528" spans="1:13">
      <c r="A1528" s="45" t="s">
        <v>22</v>
      </c>
      <c r="B1528" s="52" t="s">
        <v>481</v>
      </c>
      <c r="C1528" s="46">
        <v>43179</v>
      </c>
      <c r="D1528" s="47" t="s">
        <v>14</v>
      </c>
      <c r="E1528" s="48">
        <v>0.35416666666666663</v>
      </c>
      <c r="F1528" s="48">
        <v>0.72916666666666674</v>
      </c>
      <c r="G1528" s="49">
        <v>0</v>
      </c>
      <c r="H1528" s="49">
        <v>8.0000000000000036</v>
      </c>
      <c r="I1528" s="49">
        <v>8.0000000000000036</v>
      </c>
      <c r="J1528" s="53" t="s">
        <v>30</v>
      </c>
      <c r="K1528" s="51" t="s">
        <v>489</v>
      </c>
      <c r="L1528" s="102" t="s">
        <v>281</v>
      </c>
      <c r="M1528" s="19" t="str">
        <f t="shared" si="38"/>
        <v>Mar_2018</v>
      </c>
    </row>
    <row r="1529" spans="1:13">
      <c r="A1529" s="45" t="s">
        <v>22</v>
      </c>
      <c r="B1529" s="52" t="s">
        <v>482</v>
      </c>
      <c r="C1529" s="46">
        <v>43179</v>
      </c>
      <c r="D1529" s="47" t="s">
        <v>14</v>
      </c>
      <c r="E1529" s="48">
        <v>0.35416666666666663</v>
      </c>
      <c r="F1529" s="48">
        <v>0.72916666666666674</v>
      </c>
      <c r="G1529" s="49">
        <v>0</v>
      </c>
      <c r="H1529" s="49">
        <v>8.0000000000000036</v>
      </c>
      <c r="I1529" s="49">
        <v>8.0000000000000036</v>
      </c>
      <c r="J1529" s="53" t="s">
        <v>30</v>
      </c>
      <c r="K1529" s="51" t="s">
        <v>489</v>
      </c>
      <c r="L1529" s="102" t="s">
        <v>281</v>
      </c>
      <c r="M1529" s="19" t="str">
        <f t="shared" si="38"/>
        <v>Mar_2018</v>
      </c>
    </row>
    <row r="1530" spans="1:13">
      <c r="A1530" s="45" t="s">
        <v>22</v>
      </c>
      <c r="B1530" s="52" t="s">
        <v>483</v>
      </c>
      <c r="C1530" s="46">
        <v>43179</v>
      </c>
      <c r="D1530" s="47" t="s">
        <v>14</v>
      </c>
      <c r="E1530" s="48">
        <v>0.35416666666666663</v>
      </c>
      <c r="F1530" s="48">
        <v>0.72916666666666674</v>
      </c>
      <c r="G1530" s="49">
        <v>0</v>
      </c>
      <c r="H1530" s="49">
        <v>8.0000000000000036</v>
      </c>
      <c r="I1530" s="49">
        <v>8.0000000000000036</v>
      </c>
      <c r="J1530" s="53" t="s">
        <v>30</v>
      </c>
      <c r="K1530" s="51" t="s">
        <v>489</v>
      </c>
      <c r="L1530" s="102" t="s">
        <v>281</v>
      </c>
      <c r="M1530" s="19" t="str">
        <f t="shared" si="38"/>
        <v>Mar_2018</v>
      </c>
    </row>
    <row r="1531" spans="1:13">
      <c r="A1531" s="45" t="s">
        <v>22</v>
      </c>
      <c r="B1531" s="52" t="s">
        <v>484</v>
      </c>
      <c r="C1531" s="46">
        <v>43179</v>
      </c>
      <c r="D1531" s="47" t="s">
        <v>14</v>
      </c>
      <c r="E1531" s="48">
        <v>0.35416666666666663</v>
      </c>
      <c r="F1531" s="48">
        <v>0.72916666666666674</v>
      </c>
      <c r="G1531" s="49">
        <v>0</v>
      </c>
      <c r="H1531" s="49">
        <v>8.0000000000000036</v>
      </c>
      <c r="I1531" s="49">
        <v>8.0000000000000036</v>
      </c>
      <c r="J1531" s="53" t="s">
        <v>30</v>
      </c>
      <c r="K1531" s="51" t="s">
        <v>489</v>
      </c>
      <c r="L1531" s="102" t="s">
        <v>281</v>
      </c>
      <c r="M1531" s="19" t="str">
        <f t="shared" si="38"/>
        <v>Mar_2018</v>
      </c>
    </row>
    <row r="1532" spans="1:13">
      <c r="A1532" s="45" t="s">
        <v>22</v>
      </c>
      <c r="B1532" s="52" t="s">
        <v>485</v>
      </c>
      <c r="C1532" s="46">
        <v>43179</v>
      </c>
      <c r="D1532" s="47" t="s">
        <v>14</v>
      </c>
      <c r="E1532" s="48">
        <v>0.35416666666666663</v>
      </c>
      <c r="F1532" s="48">
        <v>0.72916666666666674</v>
      </c>
      <c r="G1532" s="49">
        <v>0</v>
      </c>
      <c r="H1532" s="49">
        <v>8.0000000000000036</v>
      </c>
      <c r="I1532" s="49">
        <v>8.0000000000000036</v>
      </c>
      <c r="J1532" s="53" t="s">
        <v>30</v>
      </c>
      <c r="K1532" s="51" t="s">
        <v>489</v>
      </c>
      <c r="L1532" s="102" t="s">
        <v>281</v>
      </c>
      <c r="M1532" s="19" t="str">
        <f t="shared" si="38"/>
        <v>Mar_2018</v>
      </c>
    </row>
    <row r="1533" spans="1:13">
      <c r="A1533" s="45" t="s">
        <v>22</v>
      </c>
      <c r="B1533" s="52" t="s">
        <v>486</v>
      </c>
      <c r="C1533" s="46">
        <v>43179</v>
      </c>
      <c r="D1533" s="47" t="s">
        <v>14</v>
      </c>
      <c r="E1533" s="48">
        <v>0.35416666666666663</v>
      </c>
      <c r="F1533" s="48">
        <v>0.72916666666666674</v>
      </c>
      <c r="G1533" s="49">
        <v>0</v>
      </c>
      <c r="H1533" s="49">
        <v>8.0000000000000036</v>
      </c>
      <c r="I1533" s="49">
        <v>8.0000000000000036</v>
      </c>
      <c r="J1533" s="53" t="s">
        <v>30</v>
      </c>
      <c r="K1533" s="51" t="s">
        <v>489</v>
      </c>
      <c r="L1533" s="102" t="s">
        <v>281</v>
      </c>
      <c r="M1533" s="19" t="str">
        <f t="shared" si="38"/>
        <v>Mar_2018</v>
      </c>
    </row>
    <row r="1534" spans="1:13">
      <c r="A1534" s="45" t="s">
        <v>22</v>
      </c>
      <c r="B1534" s="52" t="s">
        <v>487</v>
      </c>
      <c r="C1534" s="46">
        <v>43179</v>
      </c>
      <c r="D1534" s="47" t="s">
        <v>14</v>
      </c>
      <c r="E1534" s="48">
        <v>0.35416666666666663</v>
      </c>
      <c r="F1534" s="48">
        <v>0.72916666666666674</v>
      </c>
      <c r="G1534" s="49">
        <v>0</v>
      </c>
      <c r="H1534" s="49">
        <v>8.0000000000000036</v>
      </c>
      <c r="I1534" s="49">
        <v>8.0000000000000036</v>
      </c>
      <c r="J1534" s="53" t="s">
        <v>30</v>
      </c>
      <c r="K1534" s="51" t="s">
        <v>489</v>
      </c>
      <c r="L1534" s="102" t="s">
        <v>281</v>
      </c>
      <c r="M1534" s="19" t="str">
        <f t="shared" si="38"/>
        <v>Mar_2018</v>
      </c>
    </row>
    <row r="1535" spans="1:13">
      <c r="A1535" s="45" t="s">
        <v>22</v>
      </c>
      <c r="B1535" s="52" t="s">
        <v>488</v>
      </c>
      <c r="C1535" s="46">
        <v>43179</v>
      </c>
      <c r="D1535" s="47" t="s">
        <v>14</v>
      </c>
      <c r="E1535" s="48">
        <v>0.35416666666666663</v>
      </c>
      <c r="F1535" s="48">
        <v>0.72916666666666674</v>
      </c>
      <c r="G1535" s="49">
        <v>0</v>
      </c>
      <c r="H1535" s="49">
        <v>8.0000000000000036</v>
      </c>
      <c r="I1535" s="49">
        <v>8.0000000000000036</v>
      </c>
      <c r="J1535" s="53" t="s">
        <v>30</v>
      </c>
      <c r="K1535" s="51" t="s">
        <v>489</v>
      </c>
      <c r="L1535" s="102" t="s">
        <v>281</v>
      </c>
      <c r="M1535" s="19" t="str">
        <f t="shared" si="38"/>
        <v>Mar_2018</v>
      </c>
    </row>
    <row r="1536" spans="1:13">
      <c r="A1536" s="45" t="s">
        <v>22</v>
      </c>
      <c r="B1536" s="52" t="s">
        <v>492</v>
      </c>
      <c r="C1536" s="46">
        <v>43179</v>
      </c>
      <c r="D1536" s="47" t="s">
        <v>14</v>
      </c>
      <c r="E1536" s="48">
        <v>0.35416666666666663</v>
      </c>
      <c r="F1536" s="48">
        <v>0.72916666666666674</v>
      </c>
      <c r="G1536" s="49">
        <v>0</v>
      </c>
      <c r="H1536" s="49">
        <v>8.0000000000000036</v>
      </c>
      <c r="I1536" s="49">
        <v>8.0000000000000036</v>
      </c>
      <c r="J1536" s="53" t="s">
        <v>30</v>
      </c>
      <c r="K1536" s="51" t="s">
        <v>489</v>
      </c>
      <c r="L1536" s="102" t="s">
        <v>281</v>
      </c>
      <c r="M1536" s="19" t="str">
        <f t="shared" si="38"/>
        <v>Mar_2018</v>
      </c>
    </row>
    <row r="1537" spans="1:13">
      <c r="A1537" s="45" t="s">
        <v>11</v>
      </c>
      <c r="B1537" s="52" t="s">
        <v>12</v>
      </c>
      <c r="C1537" s="54">
        <v>43180</v>
      </c>
      <c r="D1537" s="47" t="s">
        <v>15</v>
      </c>
      <c r="E1537" s="48">
        <v>0.72916666666666663</v>
      </c>
      <c r="F1537" s="48">
        <v>0.83333333333333337</v>
      </c>
      <c r="G1537" s="49">
        <v>8.0000000000000036</v>
      </c>
      <c r="H1537" s="49">
        <v>2.4999999999999982</v>
      </c>
      <c r="I1537" s="49">
        <v>2.4999999999999982</v>
      </c>
      <c r="J1537" s="53" t="s">
        <v>30</v>
      </c>
      <c r="K1537" s="51" t="s">
        <v>496</v>
      </c>
      <c r="L1537" s="102">
        <v>1</v>
      </c>
      <c r="M1537" s="19" t="str">
        <f t="shared" si="38"/>
        <v>Mar_2018</v>
      </c>
    </row>
    <row r="1538" spans="1:13">
      <c r="A1538" s="45" t="s">
        <v>11</v>
      </c>
      <c r="B1538" s="52" t="s">
        <v>19</v>
      </c>
      <c r="C1538" s="46">
        <v>43180</v>
      </c>
      <c r="D1538" s="47" t="s">
        <v>15</v>
      </c>
      <c r="E1538" s="48">
        <v>0.58333333333333337</v>
      </c>
      <c r="F1538" s="48">
        <v>0.91666666666666663</v>
      </c>
      <c r="G1538" s="49">
        <v>8.0000000000000036</v>
      </c>
      <c r="H1538" s="49">
        <v>7.9999999999999964</v>
      </c>
      <c r="I1538" s="49">
        <v>7.9999999999999964</v>
      </c>
      <c r="J1538" s="53" t="s">
        <v>30</v>
      </c>
      <c r="K1538" s="51" t="s">
        <v>495</v>
      </c>
      <c r="L1538" s="102">
        <v>1</v>
      </c>
      <c r="M1538" s="19" t="str">
        <f t="shared" si="38"/>
        <v>Mar_2018</v>
      </c>
    </row>
    <row r="1539" spans="1:13">
      <c r="A1539" s="45" t="s">
        <v>11</v>
      </c>
      <c r="B1539" s="52" t="s">
        <v>149</v>
      </c>
      <c r="C1539" s="46">
        <v>43180</v>
      </c>
      <c r="D1539" s="47" t="s">
        <v>15</v>
      </c>
      <c r="E1539" s="48">
        <v>0.72916666666666663</v>
      </c>
      <c r="F1539" s="48">
        <v>0.83333333333333337</v>
      </c>
      <c r="G1539" s="49">
        <v>8.0000000000000036</v>
      </c>
      <c r="H1539" s="49">
        <v>2.4999999999999982</v>
      </c>
      <c r="I1539" s="49">
        <v>2.4999999999999982</v>
      </c>
      <c r="J1539" s="53" t="s">
        <v>30</v>
      </c>
      <c r="K1539" s="51" t="s">
        <v>496</v>
      </c>
      <c r="L1539" s="102">
        <v>1</v>
      </c>
      <c r="M1539" s="19" t="str">
        <f t="shared" si="38"/>
        <v>Mar_2018</v>
      </c>
    </row>
    <row r="1540" spans="1:13">
      <c r="A1540" s="45" t="s">
        <v>11</v>
      </c>
      <c r="B1540" s="52" t="s">
        <v>161</v>
      </c>
      <c r="C1540" s="46">
        <v>43180</v>
      </c>
      <c r="D1540" s="47" t="s">
        <v>15</v>
      </c>
      <c r="E1540" s="48">
        <v>0.58333333333333337</v>
      </c>
      <c r="F1540" s="48">
        <v>0.91666666666666663</v>
      </c>
      <c r="G1540" s="49">
        <v>8.0000000000000036</v>
      </c>
      <c r="H1540" s="49">
        <v>7.9999999999999964</v>
      </c>
      <c r="I1540" s="49">
        <v>7.9999999999999964</v>
      </c>
      <c r="J1540" s="53" t="s">
        <v>30</v>
      </c>
      <c r="K1540" s="51" t="s">
        <v>495</v>
      </c>
      <c r="L1540" s="102">
        <v>1</v>
      </c>
      <c r="M1540" s="19" t="str">
        <f t="shared" si="38"/>
        <v>Mar_2018</v>
      </c>
    </row>
    <row r="1541" spans="1:13">
      <c r="A1541" s="45" t="s">
        <v>22</v>
      </c>
      <c r="B1541" s="52" t="s">
        <v>23</v>
      </c>
      <c r="C1541" s="46">
        <v>43180</v>
      </c>
      <c r="D1541" s="47" t="s">
        <v>15</v>
      </c>
      <c r="E1541" s="48">
        <v>0.35416666666666663</v>
      </c>
      <c r="F1541" s="48">
        <v>0.83333333333333337</v>
      </c>
      <c r="G1541" s="49">
        <v>0</v>
      </c>
      <c r="H1541" s="49">
        <v>10.500000000000002</v>
      </c>
      <c r="I1541" s="49">
        <v>10.500000000000002</v>
      </c>
      <c r="J1541" s="53" t="s">
        <v>30</v>
      </c>
      <c r="K1541" s="51" t="s">
        <v>496</v>
      </c>
      <c r="L1541" s="102" t="s">
        <v>281</v>
      </c>
      <c r="M1541" s="19" t="str">
        <f t="shared" si="38"/>
        <v>Mar_2018</v>
      </c>
    </row>
    <row r="1542" spans="1:13">
      <c r="A1542" s="45" t="s">
        <v>22</v>
      </c>
      <c r="B1542" s="52" t="s">
        <v>254</v>
      </c>
      <c r="C1542" s="46">
        <v>43180</v>
      </c>
      <c r="D1542" s="47" t="s">
        <v>15</v>
      </c>
      <c r="E1542" s="48">
        <v>0.35416666666666663</v>
      </c>
      <c r="F1542" s="48">
        <v>0.66666666666666663</v>
      </c>
      <c r="G1542" s="49">
        <v>0</v>
      </c>
      <c r="H1542" s="49">
        <v>6.5</v>
      </c>
      <c r="I1542" s="49">
        <v>6.5</v>
      </c>
      <c r="J1542" s="53" t="s">
        <v>30</v>
      </c>
      <c r="K1542" s="51" t="s">
        <v>489</v>
      </c>
      <c r="L1542" s="102" t="s">
        <v>281</v>
      </c>
      <c r="M1542" s="19" t="str">
        <f t="shared" si="38"/>
        <v>Mar_2018</v>
      </c>
    </row>
    <row r="1543" spans="1:13">
      <c r="A1543" s="45" t="s">
        <v>22</v>
      </c>
      <c r="B1543" s="52" t="s">
        <v>255</v>
      </c>
      <c r="C1543" s="46">
        <v>43180</v>
      </c>
      <c r="D1543" s="47" t="s">
        <v>15</v>
      </c>
      <c r="E1543" s="48">
        <v>0.35416666666666663</v>
      </c>
      <c r="F1543" s="48">
        <v>0.66666666666666663</v>
      </c>
      <c r="G1543" s="49">
        <v>0</v>
      </c>
      <c r="H1543" s="49">
        <v>6.5</v>
      </c>
      <c r="I1543" s="49">
        <v>6.5</v>
      </c>
      <c r="J1543" s="53" t="s">
        <v>30</v>
      </c>
      <c r="K1543" s="51" t="s">
        <v>489</v>
      </c>
      <c r="L1543" s="102" t="s">
        <v>281</v>
      </c>
      <c r="M1543" s="19" t="str">
        <f t="shared" si="38"/>
        <v>Mar_2018</v>
      </c>
    </row>
    <row r="1544" spans="1:13">
      <c r="A1544" s="45" t="s">
        <v>22</v>
      </c>
      <c r="B1544" s="52" t="s">
        <v>27</v>
      </c>
      <c r="C1544" s="46">
        <v>43180</v>
      </c>
      <c r="D1544" s="47" t="s">
        <v>15</v>
      </c>
      <c r="E1544" s="48">
        <v>0.35416666666666663</v>
      </c>
      <c r="F1544" s="48">
        <v>0.6875</v>
      </c>
      <c r="G1544" s="49">
        <v>0</v>
      </c>
      <c r="H1544" s="49">
        <v>7</v>
      </c>
      <c r="I1544" s="49">
        <v>7</v>
      </c>
      <c r="J1544" s="53" t="s">
        <v>30</v>
      </c>
      <c r="K1544" s="51" t="s">
        <v>489</v>
      </c>
      <c r="L1544" s="102" t="s">
        <v>281</v>
      </c>
      <c r="M1544" s="19" t="str">
        <f t="shared" si="38"/>
        <v>Mar_2018</v>
      </c>
    </row>
    <row r="1545" spans="1:13">
      <c r="A1545" s="45" t="s">
        <v>22</v>
      </c>
      <c r="B1545" s="52" t="s">
        <v>346</v>
      </c>
      <c r="C1545" s="46">
        <v>43180</v>
      </c>
      <c r="D1545" s="47" t="s">
        <v>15</v>
      </c>
      <c r="E1545" s="48">
        <v>0.35416666666666663</v>
      </c>
      <c r="F1545" s="48">
        <v>0.83333333333333337</v>
      </c>
      <c r="G1545" s="49">
        <v>0</v>
      </c>
      <c r="H1545" s="49">
        <v>10.500000000000002</v>
      </c>
      <c r="I1545" s="49">
        <v>10.500000000000002</v>
      </c>
      <c r="J1545" s="53" t="s">
        <v>30</v>
      </c>
      <c r="K1545" s="51" t="s">
        <v>489</v>
      </c>
      <c r="L1545" s="102" t="s">
        <v>281</v>
      </c>
      <c r="M1545" s="19" t="str">
        <f t="shared" si="38"/>
        <v>Mar_2018</v>
      </c>
    </row>
    <row r="1546" spans="1:13">
      <c r="A1546" s="45" t="s">
        <v>22</v>
      </c>
      <c r="B1546" s="52" t="s">
        <v>478</v>
      </c>
      <c r="C1546" s="46">
        <v>43180</v>
      </c>
      <c r="D1546" s="47" t="s">
        <v>15</v>
      </c>
      <c r="E1546" s="48">
        <v>0.35416666666666663</v>
      </c>
      <c r="F1546" s="48">
        <v>0.72916666666666674</v>
      </c>
      <c r="G1546" s="49">
        <v>0</v>
      </c>
      <c r="H1546" s="49">
        <v>8.0000000000000036</v>
      </c>
      <c r="I1546" s="49">
        <v>8.0000000000000036</v>
      </c>
      <c r="J1546" s="53" t="s">
        <v>30</v>
      </c>
      <c r="K1546" s="51" t="s">
        <v>489</v>
      </c>
      <c r="L1546" s="102" t="s">
        <v>281</v>
      </c>
      <c r="M1546" s="19" t="str">
        <f t="shared" si="38"/>
        <v>Mar_2018</v>
      </c>
    </row>
    <row r="1547" spans="1:13">
      <c r="A1547" s="45" t="s">
        <v>22</v>
      </c>
      <c r="B1547" s="52" t="s">
        <v>479</v>
      </c>
      <c r="C1547" s="46">
        <v>43180</v>
      </c>
      <c r="D1547" s="47" t="s">
        <v>15</v>
      </c>
      <c r="E1547" s="48">
        <v>0.35416666666666663</v>
      </c>
      <c r="F1547" s="48">
        <v>0.72916666666666674</v>
      </c>
      <c r="G1547" s="49">
        <v>0</v>
      </c>
      <c r="H1547" s="49">
        <v>8.0000000000000036</v>
      </c>
      <c r="I1547" s="49">
        <v>8.0000000000000036</v>
      </c>
      <c r="J1547" s="53" t="s">
        <v>30</v>
      </c>
      <c r="K1547" s="51" t="s">
        <v>489</v>
      </c>
      <c r="L1547" s="102" t="s">
        <v>281</v>
      </c>
      <c r="M1547" s="19" t="str">
        <f t="shared" si="38"/>
        <v>Mar_2018</v>
      </c>
    </row>
    <row r="1548" spans="1:13">
      <c r="A1548" s="45" t="s">
        <v>22</v>
      </c>
      <c r="B1548" s="52" t="s">
        <v>480</v>
      </c>
      <c r="C1548" s="46">
        <v>43180</v>
      </c>
      <c r="D1548" s="47" t="s">
        <v>15</v>
      </c>
      <c r="E1548" s="48">
        <v>0.35416666666666663</v>
      </c>
      <c r="F1548" s="48">
        <v>0.72916666666666674</v>
      </c>
      <c r="G1548" s="49">
        <v>0</v>
      </c>
      <c r="H1548" s="49">
        <v>8.0000000000000036</v>
      </c>
      <c r="I1548" s="49">
        <v>8.0000000000000036</v>
      </c>
      <c r="J1548" s="53" t="s">
        <v>30</v>
      </c>
      <c r="K1548" s="51" t="s">
        <v>489</v>
      </c>
      <c r="L1548" s="102" t="s">
        <v>281</v>
      </c>
      <c r="M1548" s="19" t="str">
        <f t="shared" si="38"/>
        <v>Mar_2018</v>
      </c>
    </row>
    <row r="1549" spans="1:13">
      <c r="A1549" s="45" t="s">
        <v>22</v>
      </c>
      <c r="B1549" s="52" t="s">
        <v>481</v>
      </c>
      <c r="C1549" s="46">
        <v>43180</v>
      </c>
      <c r="D1549" s="47" t="s">
        <v>15</v>
      </c>
      <c r="E1549" s="48">
        <v>0.35416666666666663</v>
      </c>
      <c r="F1549" s="48">
        <v>0.72916666666666674</v>
      </c>
      <c r="G1549" s="49">
        <v>0</v>
      </c>
      <c r="H1549" s="49">
        <v>8.0000000000000036</v>
      </c>
      <c r="I1549" s="49">
        <v>8.0000000000000036</v>
      </c>
      <c r="J1549" s="53" t="s">
        <v>30</v>
      </c>
      <c r="K1549" s="51" t="s">
        <v>489</v>
      </c>
      <c r="L1549" s="102" t="s">
        <v>281</v>
      </c>
      <c r="M1549" s="19" t="str">
        <f t="shared" si="38"/>
        <v>Mar_2018</v>
      </c>
    </row>
    <row r="1550" spans="1:13">
      <c r="A1550" s="45" t="s">
        <v>22</v>
      </c>
      <c r="B1550" s="52" t="s">
        <v>482</v>
      </c>
      <c r="C1550" s="46">
        <v>43180</v>
      </c>
      <c r="D1550" s="47" t="s">
        <v>15</v>
      </c>
      <c r="E1550" s="48">
        <v>0.35416666666666663</v>
      </c>
      <c r="F1550" s="48">
        <v>0.72916666666666674</v>
      </c>
      <c r="G1550" s="49">
        <v>0</v>
      </c>
      <c r="H1550" s="49">
        <v>8.0000000000000036</v>
      </c>
      <c r="I1550" s="49">
        <v>8.0000000000000036</v>
      </c>
      <c r="J1550" s="53" t="s">
        <v>30</v>
      </c>
      <c r="K1550" s="51" t="s">
        <v>489</v>
      </c>
      <c r="L1550" s="102" t="s">
        <v>281</v>
      </c>
      <c r="M1550" s="19" t="str">
        <f t="shared" si="38"/>
        <v>Mar_2018</v>
      </c>
    </row>
    <row r="1551" spans="1:13">
      <c r="A1551" s="45" t="s">
        <v>22</v>
      </c>
      <c r="B1551" s="52" t="s">
        <v>483</v>
      </c>
      <c r="C1551" s="46">
        <v>43180</v>
      </c>
      <c r="D1551" s="47" t="s">
        <v>15</v>
      </c>
      <c r="E1551" s="48">
        <v>0.35416666666666663</v>
      </c>
      <c r="F1551" s="48">
        <v>0.72916666666666674</v>
      </c>
      <c r="G1551" s="49">
        <v>0</v>
      </c>
      <c r="H1551" s="49">
        <v>8.0000000000000036</v>
      </c>
      <c r="I1551" s="49">
        <v>8.0000000000000036</v>
      </c>
      <c r="J1551" s="53" t="s">
        <v>30</v>
      </c>
      <c r="K1551" s="51" t="s">
        <v>489</v>
      </c>
      <c r="L1551" s="102" t="s">
        <v>281</v>
      </c>
      <c r="M1551" s="19" t="str">
        <f t="shared" si="38"/>
        <v>Mar_2018</v>
      </c>
    </row>
    <row r="1552" spans="1:13">
      <c r="A1552" s="45" t="s">
        <v>22</v>
      </c>
      <c r="B1552" s="52" t="s">
        <v>484</v>
      </c>
      <c r="C1552" s="46">
        <v>43180</v>
      </c>
      <c r="D1552" s="47" t="s">
        <v>15</v>
      </c>
      <c r="E1552" s="48">
        <v>0.35416666666666663</v>
      </c>
      <c r="F1552" s="48">
        <v>0.72916666666666674</v>
      </c>
      <c r="G1552" s="49">
        <v>0</v>
      </c>
      <c r="H1552" s="49">
        <v>8.0000000000000036</v>
      </c>
      <c r="I1552" s="49">
        <v>8.0000000000000036</v>
      </c>
      <c r="J1552" s="53" t="s">
        <v>30</v>
      </c>
      <c r="K1552" s="51" t="s">
        <v>489</v>
      </c>
      <c r="L1552" s="102" t="s">
        <v>281</v>
      </c>
      <c r="M1552" s="19" t="str">
        <f t="shared" ref="M1552:M1615" si="39">IF($C1552="","",TEXT(DATE(YEAR($C1552),MONTH($C1552),DAY($C1552)),"MMM")&amp;"_"&amp;YEAR($C1552))</f>
        <v>Mar_2018</v>
      </c>
    </row>
    <row r="1553" spans="1:13">
      <c r="A1553" s="45" t="s">
        <v>22</v>
      </c>
      <c r="B1553" s="52" t="s">
        <v>485</v>
      </c>
      <c r="C1553" s="46">
        <v>43180</v>
      </c>
      <c r="D1553" s="47" t="s">
        <v>15</v>
      </c>
      <c r="E1553" s="48">
        <v>0.35416666666666663</v>
      </c>
      <c r="F1553" s="48">
        <v>0.72916666666666674</v>
      </c>
      <c r="G1553" s="49">
        <v>0</v>
      </c>
      <c r="H1553" s="49">
        <v>8.0000000000000036</v>
      </c>
      <c r="I1553" s="49">
        <v>8.0000000000000036</v>
      </c>
      <c r="J1553" s="53" t="s">
        <v>30</v>
      </c>
      <c r="K1553" s="51" t="s">
        <v>489</v>
      </c>
      <c r="L1553" s="102" t="s">
        <v>281</v>
      </c>
      <c r="M1553" s="19" t="str">
        <f t="shared" si="39"/>
        <v>Mar_2018</v>
      </c>
    </row>
    <row r="1554" spans="1:13">
      <c r="A1554" s="45" t="s">
        <v>22</v>
      </c>
      <c r="B1554" s="52" t="s">
        <v>486</v>
      </c>
      <c r="C1554" s="46">
        <v>43180</v>
      </c>
      <c r="D1554" s="47" t="s">
        <v>15</v>
      </c>
      <c r="E1554" s="48">
        <v>0.35416666666666663</v>
      </c>
      <c r="F1554" s="48">
        <v>0.72916666666666674</v>
      </c>
      <c r="G1554" s="49">
        <v>0</v>
      </c>
      <c r="H1554" s="49">
        <v>8.0000000000000036</v>
      </c>
      <c r="I1554" s="49">
        <v>8.0000000000000036</v>
      </c>
      <c r="J1554" s="53" t="s">
        <v>30</v>
      </c>
      <c r="K1554" s="51" t="s">
        <v>489</v>
      </c>
      <c r="L1554" s="102" t="s">
        <v>281</v>
      </c>
      <c r="M1554" s="19" t="str">
        <f t="shared" si="39"/>
        <v>Mar_2018</v>
      </c>
    </row>
    <row r="1555" spans="1:13">
      <c r="A1555" s="45" t="s">
        <v>22</v>
      </c>
      <c r="B1555" s="52" t="s">
        <v>487</v>
      </c>
      <c r="C1555" s="46">
        <v>43180</v>
      </c>
      <c r="D1555" s="47" t="s">
        <v>15</v>
      </c>
      <c r="E1555" s="48">
        <v>0.35416666666666663</v>
      </c>
      <c r="F1555" s="48">
        <v>0.72916666666666674</v>
      </c>
      <c r="G1555" s="49">
        <v>0</v>
      </c>
      <c r="H1555" s="49">
        <v>8.0000000000000036</v>
      </c>
      <c r="I1555" s="49">
        <v>8.0000000000000036</v>
      </c>
      <c r="J1555" s="53" t="s">
        <v>30</v>
      </c>
      <c r="K1555" s="51" t="s">
        <v>489</v>
      </c>
      <c r="L1555" s="102" t="s">
        <v>281</v>
      </c>
      <c r="M1555" s="19" t="str">
        <f t="shared" si="39"/>
        <v>Mar_2018</v>
      </c>
    </row>
    <row r="1556" spans="1:13">
      <c r="A1556" s="45" t="s">
        <v>22</v>
      </c>
      <c r="B1556" s="52" t="s">
        <v>488</v>
      </c>
      <c r="C1556" s="46">
        <v>43180</v>
      </c>
      <c r="D1556" s="47" t="s">
        <v>15</v>
      </c>
      <c r="E1556" s="48">
        <v>0.35416666666666663</v>
      </c>
      <c r="F1556" s="48">
        <v>0.72916666666666674</v>
      </c>
      <c r="G1556" s="49">
        <v>0</v>
      </c>
      <c r="H1556" s="49">
        <v>8.0000000000000036</v>
      </c>
      <c r="I1556" s="49">
        <v>8.0000000000000036</v>
      </c>
      <c r="J1556" s="53" t="s">
        <v>30</v>
      </c>
      <c r="K1556" s="51" t="s">
        <v>489</v>
      </c>
      <c r="L1556" s="102" t="s">
        <v>281</v>
      </c>
      <c r="M1556" s="19" t="str">
        <f t="shared" si="39"/>
        <v>Mar_2018</v>
      </c>
    </row>
    <row r="1557" spans="1:13">
      <c r="A1557" s="45" t="s">
        <v>22</v>
      </c>
      <c r="B1557" s="52" t="s">
        <v>492</v>
      </c>
      <c r="C1557" s="46">
        <v>43180</v>
      </c>
      <c r="D1557" s="47" t="s">
        <v>15</v>
      </c>
      <c r="E1557" s="48">
        <v>0.35416666666666663</v>
      </c>
      <c r="F1557" s="48">
        <v>0.72916666666666674</v>
      </c>
      <c r="G1557" s="49">
        <v>0</v>
      </c>
      <c r="H1557" s="49">
        <v>8.0000000000000036</v>
      </c>
      <c r="I1557" s="49">
        <v>8.0000000000000036</v>
      </c>
      <c r="J1557" s="53" t="s">
        <v>30</v>
      </c>
      <c r="K1557" s="51" t="s">
        <v>489</v>
      </c>
      <c r="L1557" s="102" t="s">
        <v>281</v>
      </c>
      <c r="M1557" s="19" t="str">
        <f t="shared" si="39"/>
        <v>Mar_2018</v>
      </c>
    </row>
    <row r="1558" spans="1:13">
      <c r="A1558" s="45" t="s">
        <v>11</v>
      </c>
      <c r="B1558" s="52" t="s">
        <v>12</v>
      </c>
      <c r="C1558" s="54">
        <v>43181</v>
      </c>
      <c r="D1558" s="47" t="s">
        <v>25</v>
      </c>
      <c r="E1558" s="48">
        <v>0.72916666666666663</v>
      </c>
      <c r="F1558" s="48">
        <v>0.79166666666666663</v>
      </c>
      <c r="G1558" s="49">
        <v>8.0000000000000036</v>
      </c>
      <c r="H1558" s="49">
        <v>1.4999999999999964</v>
      </c>
      <c r="I1558" s="49">
        <v>1.4999999999999964</v>
      </c>
      <c r="J1558" s="53" t="s">
        <v>30</v>
      </c>
      <c r="K1558" s="51" t="s">
        <v>497</v>
      </c>
      <c r="L1558" s="102" t="s">
        <v>281</v>
      </c>
      <c r="M1558" s="19" t="str">
        <f t="shared" si="39"/>
        <v>Mar_2018</v>
      </c>
    </row>
    <row r="1559" spans="1:13">
      <c r="A1559" s="45" t="s">
        <v>11</v>
      </c>
      <c r="B1559" s="52" t="s">
        <v>19</v>
      </c>
      <c r="C1559" s="46">
        <v>43181</v>
      </c>
      <c r="D1559" s="47" t="s">
        <v>25</v>
      </c>
      <c r="E1559" s="48">
        <v>0.72916666666666663</v>
      </c>
      <c r="F1559" s="48">
        <v>0.89583333333333337</v>
      </c>
      <c r="G1559" s="49">
        <v>8.0000000000000036</v>
      </c>
      <c r="H1559" s="49">
        <v>3.9999999999999982</v>
      </c>
      <c r="I1559" s="49">
        <v>3.9999999999999982</v>
      </c>
      <c r="J1559" s="53" t="s">
        <v>30</v>
      </c>
      <c r="K1559" s="51" t="s">
        <v>497</v>
      </c>
      <c r="L1559" s="102">
        <v>1</v>
      </c>
      <c r="M1559" s="19" t="str">
        <f t="shared" si="39"/>
        <v>Mar_2018</v>
      </c>
    </row>
    <row r="1560" spans="1:13">
      <c r="A1560" s="45" t="s">
        <v>11</v>
      </c>
      <c r="B1560" s="52" t="s">
        <v>26</v>
      </c>
      <c r="C1560" s="46">
        <v>43181</v>
      </c>
      <c r="D1560" s="47" t="s">
        <v>25</v>
      </c>
      <c r="E1560" s="48">
        <v>0.72916666666666663</v>
      </c>
      <c r="F1560" s="48">
        <v>0.89583333333333337</v>
      </c>
      <c r="G1560" s="49">
        <v>8.0000000000000036</v>
      </c>
      <c r="H1560" s="49">
        <v>3.9999999999999982</v>
      </c>
      <c r="I1560" s="49">
        <v>3.9999999999999982</v>
      </c>
      <c r="J1560" s="53" t="s">
        <v>30</v>
      </c>
      <c r="K1560" s="51" t="s">
        <v>497</v>
      </c>
      <c r="L1560" s="102">
        <v>1</v>
      </c>
      <c r="M1560" s="19" t="str">
        <f t="shared" si="39"/>
        <v>Mar_2018</v>
      </c>
    </row>
    <row r="1561" spans="1:13">
      <c r="A1561" s="45" t="s">
        <v>11</v>
      </c>
      <c r="B1561" s="52" t="s">
        <v>149</v>
      </c>
      <c r="C1561" s="46">
        <v>43181</v>
      </c>
      <c r="D1561" s="47" t="s">
        <v>25</v>
      </c>
      <c r="E1561" s="48">
        <v>0.72916666666666663</v>
      </c>
      <c r="F1561" s="48">
        <v>0.89583333333333337</v>
      </c>
      <c r="G1561" s="49">
        <v>8.0000000000000036</v>
      </c>
      <c r="H1561" s="49">
        <v>3.9999999999999982</v>
      </c>
      <c r="I1561" s="49">
        <v>3.9999999999999982</v>
      </c>
      <c r="J1561" s="53" t="s">
        <v>30</v>
      </c>
      <c r="K1561" s="51" t="s">
        <v>497</v>
      </c>
      <c r="L1561" s="102">
        <v>1</v>
      </c>
      <c r="M1561" s="19" t="str">
        <f t="shared" si="39"/>
        <v>Mar_2018</v>
      </c>
    </row>
    <row r="1562" spans="1:13">
      <c r="A1562" s="45" t="s">
        <v>11</v>
      </c>
      <c r="B1562" s="52" t="s">
        <v>161</v>
      </c>
      <c r="C1562" s="46">
        <v>43181</v>
      </c>
      <c r="D1562" s="47" t="s">
        <v>25</v>
      </c>
      <c r="E1562" s="48">
        <v>0.64583333333333326</v>
      </c>
      <c r="F1562" s="48">
        <v>0.85416666666666674</v>
      </c>
      <c r="G1562" s="49">
        <v>8.0000000000000036</v>
      </c>
      <c r="H1562" s="49">
        <v>5</v>
      </c>
      <c r="I1562" s="49">
        <v>5</v>
      </c>
      <c r="J1562" s="53" t="s">
        <v>30</v>
      </c>
      <c r="K1562" s="51" t="s">
        <v>497</v>
      </c>
      <c r="L1562" s="102">
        <v>1</v>
      </c>
      <c r="M1562" s="19" t="str">
        <f t="shared" si="39"/>
        <v>Mar_2018</v>
      </c>
    </row>
    <row r="1563" spans="1:13">
      <c r="A1563" s="45" t="s">
        <v>22</v>
      </c>
      <c r="B1563" s="52" t="s">
        <v>23</v>
      </c>
      <c r="C1563" s="46">
        <v>43181</v>
      </c>
      <c r="D1563" s="47" t="s">
        <v>25</v>
      </c>
      <c r="E1563" s="48">
        <v>0.35416666666666663</v>
      </c>
      <c r="F1563" s="48">
        <v>0.89583333333333337</v>
      </c>
      <c r="G1563" s="49">
        <v>0</v>
      </c>
      <c r="H1563" s="49">
        <v>12.000000000000002</v>
      </c>
      <c r="I1563" s="49">
        <v>12.000000000000002</v>
      </c>
      <c r="J1563" s="53" t="s">
        <v>30</v>
      </c>
      <c r="K1563" s="51" t="s">
        <v>497</v>
      </c>
      <c r="L1563" s="102" t="s">
        <v>281</v>
      </c>
      <c r="M1563" s="19" t="str">
        <f t="shared" si="39"/>
        <v>Mar_2018</v>
      </c>
    </row>
    <row r="1564" spans="1:13">
      <c r="A1564" s="45" t="s">
        <v>22</v>
      </c>
      <c r="B1564" s="52" t="s">
        <v>78</v>
      </c>
      <c r="C1564" s="46">
        <v>43181</v>
      </c>
      <c r="D1564" s="47" t="s">
        <v>25</v>
      </c>
      <c r="E1564" s="48">
        <v>0.625</v>
      </c>
      <c r="F1564" s="48">
        <v>0.89583333333333337</v>
      </c>
      <c r="G1564" s="49">
        <v>0</v>
      </c>
      <c r="H1564" s="49">
        <v>6.5000000000000009</v>
      </c>
      <c r="I1564" s="49">
        <v>6.5000000000000009</v>
      </c>
      <c r="J1564" s="53" t="s">
        <v>30</v>
      </c>
      <c r="K1564" s="51" t="s">
        <v>497</v>
      </c>
      <c r="L1564" s="102" t="s">
        <v>281</v>
      </c>
      <c r="M1564" s="19" t="str">
        <f t="shared" si="39"/>
        <v>Mar_2018</v>
      </c>
    </row>
    <row r="1565" spans="1:13">
      <c r="A1565" s="45" t="s">
        <v>22</v>
      </c>
      <c r="B1565" s="52" t="s">
        <v>254</v>
      </c>
      <c r="C1565" s="46">
        <v>43181</v>
      </c>
      <c r="D1565" s="47" t="s">
        <v>25</v>
      </c>
      <c r="E1565" s="48">
        <v>0.35416666666666663</v>
      </c>
      <c r="F1565" s="48">
        <v>0.89583333333333337</v>
      </c>
      <c r="G1565" s="49">
        <v>0</v>
      </c>
      <c r="H1565" s="49">
        <v>12.000000000000002</v>
      </c>
      <c r="I1565" s="49">
        <v>12.000000000000002</v>
      </c>
      <c r="J1565" s="53" t="s">
        <v>30</v>
      </c>
      <c r="K1565" s="51" t="s">
        <v>489</v>
      </c>
      <c r="L1565" s="102" t="s">
        <v>281</v>
      </c>
      <c r="M1565" s="19" t="str">
        <f t="shared" si="39"/>
        <v>Mar_2018</v>
      </c>
    </row>
    <row r="1566" spans="1:13">
      <c r="A1566" s="45" t="s">
        <v>22</v>
      </c>
      <c r="B1566" s="52" t="s">
        <v>255</v>
      </c>
      <c r="C1566" s="46">
        <v>43181</v>
      </c>
      <c r="D1566" s="47" t="s">
        <v>25</v>
      </c>
      <c r="E1566" s="48">
        <v>0.35416666666666663</v>
      </c>
      <c r="F1566" s="48">
        <v>0.89583333333333337</v>
      </c>
      <c r="G1566" s="49">
        <v>0</v>
      </c>
      <c r="H1566" s="49">
        <v>12.000000000000002</v>
      </c>
      <c r="I1566" s="49">
        <v>12.000000000000002</v>
      </c>
      <c r="J1566" s="53" t="s">
        <v>30</v>
      </c>
      <c r="K1566" s="51" t="s">
        <v>489</v>
      </c>
      <c r="L1566" s="102" t="s">
        <v>281</v>
      </c>
      <c r="M1566" s="19" t="str">
        <f t="shared" si="39"/>
        <v>Mar_2018</v>
      </c>
    </row>
    <row r="1567" spans="1:13">
      <c r="A1567" s="45" t="s">
        <v>22</v>
      </c>
      <c r="B1567" s="52" t="s">
        <v>27</v>
      </c>
      <c r="C1567" s="46">
        <v>43181</v>
      </c>
      <c r="D1567" s="47" t="s">
        <v>25</v>
      </c>
      <c r="E1567" s="48">
        <v>0.35416666666666663</v>
      </c>
      <c r="F1567" s="48">
        <v>0.89583333333333337</v>
      </c>
      <c r="G1567" s="49">
        <v>0</v>
      </c>
      <c r="H1567" s="49">
        <v>12.000000000000002</v>
      </c>
      <c r="I1567" s="49">
        <v>12.000000000000002</v>
      </c>
      <c r="J1567" s="53" t="s">
        <v>30</v>
      </c>
      <c r="K1567" s="51" t="s">
        <v>497</v>
      </c>
      <c r="L1567" s="102" t="s">
        <v>281</v>
      </c>
      <c r="M1567" s="19" t="str">
        <f t="shared" si="39"/>
        <v>Mar_2018</v>
      </c>
    </row>
    <row r="1568" spans="1:13">
      <c r="A1568" s="45" t="s">
        <v>22</v>
      </c>
      <c r="B1568" s="52" t="s">
        <v>346</v>
      </c>
      <c r="C1568" s="46">
        <v>43181</v>
      </c>
      <c r="D1568" s="47" t="s">
        <v>25</v>
      </c>
      <c r="E1568" s="48">
        <v>0.55208333333333326</v>
      </c>
      <c r="F1568" s="48">
        <v>0.72916666666666674</v>
      </c>
      <c r="G1568" s="49">
        <v>0</v>
      </c>
      <c r="H1568" s="49">
        <v>4.2500000000000036</v>
      </c>
      <c r="I1568" s="49">
        <v>4.2500000000000036</v>
      </c>
      <c r="J1568" s="53" t="s">
        <v>30</v>
      </c>
      <c r="K1568" s="51" t="s">
        <v>497</v>
      </c>
      <c r="L1568" s="102" t="s">
        <v>281</v>
      </c>
      <c r="M1568" s="19" t="str">
        <f t="shared" si="39"/>
        <v>Mar_2018</v>
      </c>
    </row>
    <row r="1569" spans="1:13">
      <c r="A1569" s="45" t="s">
        <v>22</v>
      </c>
      <c r="B1569" s="52" t="s">
        <v>478</v>
      </c>
      <c r="C1569" s="46">
        <v>43181</v>
      </c>
      <c r="D1569" s="47" t="s">
        <v>25</v>
      </c>
      <c r="E1569" s="48">
        <v>0.35416666666666663</v>
      </c>
      <c r="F1569" s="48">
        <v>0.72916666666666674</v>
      </c>
      <c r="G1569" s="49">
        <v>0</v>
      </c>
      <c r="H1569" s="49">
        <v>8.0000000000000036</v>
      </c>
      <c r="I1569" s="49">
        <v>8.0000000000000036</v>
      </c>
      <c r="J1569" s="53" t="s">
        <v>30</v>
      </c>
      <c r="K1569" s="51" t="s">
        <v>489</v>
      </c>
      <c r="L1569" s="102" t="s">
        <v>281</v>
      </c>
      <c r="M1569" s="19" t="str">
        <f t="shared" si="39"/>
        <v>Mar_2018</v>
      </c>
    </row>
    <row r="1570" spans="1:13">
      <c r="A1570" s="45" t="s">
        <v>22</v>
      </c>
      <c r="B1570" s="52" t="s">
        <v>479</v>
      </c>
      <c r="C1570" s="46">
        <v>43181</v>
      </c>
      <c r="D1570" s="47" t="s">
        <v>25</v>
      </c>
      <c r="E1570" s="48">
        <v>0.35416666666666663</v>
      </c>
      <c r="F1570" s="48">
        <v>0.72916666666666674</v>
      </c>
      <c r="G1570" s="49">
        <v>0</v>
      </c>
      <c r="H1570" s="49">
        <v>8.0000000000000036</v>
      </c>
      <c r="I1570" s="49">
        <v>8.0000000000000036</v>
      </c>
      <c r="J1570" s="53" t="s">
        <v>30</v>
      </c>
      <c r="K1570" s="51" t="s">
        <v>489</v>
      </c>
      <c r="L1570" s="102" t="s">
        <v>281</v>
      </c>
      <c r="M1570" s="19" t="str">
        <f t="shared" si="39"/>
        <v>Mar_2018</v>
      </c>
    </row>
    <row r="1571" spans="1:13">
      <c r="A1571" s="45" t="s">
        <v>22</v>
      </c>
      <c r="B1571" s="52" t="s">
        <v>480</v>
      </c>
      <c r="C1571" s="46">
        <v>43181</v>
      </c>
      <c r="D1571" s="47" t="s">
        <v>25</v>
      </c>
      <c r="E1571" s="48">
        <v>0.35416666666666663</v>
      </c>
      <c r="F1571" s="48">
        <v>0.72916666666666674</v>
      </c>
      <c r="G1571" s="49">
        <v>0</v>
      </c>
      <c r="H1571" s="49">
        <v>8.0000000000000036</v>
      </c>
      <c r="I1571" s="49">
        <v>8.0000000000000036</v>
      </c>
      <c r="J1571" s="53" t="s">
        <v>30</v>
      </c>
      <c r="K1571" s="51" t="s">
        <v>489</v>
      </c>
      <c r="L1571" s="102" t="s">
        <v>281</v>
      </c>
      <c r="M1571" s="19" t="str">
        <f t="shared" si="39"/>
        <v>Mar_2018</v>
      </c>
    </row>
    <row r="1572" spans="1:13">
      <c r="A1572" s="45" t="s">
        <v>22</v>
      </c>
      <c r="B1572" s="52" t="s">
        <v>481</v>
      </c>
      <c r="C1572" s="46">
        <v>43181</v>
      </c>
      <c r="D1572" s="47" t="s">
        <v>25</v>
      </c>
      <c r="E1572" s="48">
        <v>0.35416666666666663</v>
      </c>
      <c r="F1572" s="48">
        <v>0.72916666666666674</v>
      </c>
      <c r="G1572" s="49">
        <v>0</v>
      </c>
      <c r="H1572" s="49">
        <v>8.0000000000000036</v>
      </c>
      <c r="I1572" s="49">
        <v>8.0000000000000036</v>
      </c>
      <c r="J1572" s="53" t="s">
        <v>30</v>
      </c>
      <c r="K1572" s="51" t="s">
        <v>489</v>
      </c>
      <c r="L1572" s="102" t="s">
        <v>281</v>
      </c>
      <c r="M1572" s="19" t="str">
        <f t="shared" si="39"/>
        <v>Mar_2018</v>
      </c>
    </row>
    <row r="1573" spans="1:13">
      <c r="A1573" s="45" t="s">
        <v>22</v>
      </c>
      <c r="B1573" s="52" t="s">
        <v>482</v>
      </c>
      <c r="C1573" s="46">
        <v>43181</v>
      </c>
      <c r="D1573" s="47" t="s">
        <v>25</v>
      </c>
      <c r="E1573" s="48">
        <v>0.35416666666666663</v>
      </c>
      <c r="F1573" s="48">
        <v>0.72916666666666674</v>
      </c>
      <c r="G1573" s="49">
        <v>0</v>
      </c>
      <c r="H1573" s="49">
        <v>8.0000000000000036</v>
      </c>
      <c r="I1573" s="49">
        <v>8.0000000000000036</v>
      </c>
      <c r="J1573" s="53" t="s">
        <v>30</v>
      </c>
      <c r="K1573" s="51" t="s">
        <v>489</v>
      </c>
      <c r="L1573" s="102" t="s">
        <v>281</v>
      </c>
      <c r="M1573" s="19" t="str">
        <f t="shared" si="39"/>
        <v>Mar_2018</v>
      </c>
    </row>
    <row r="1574" spans="1:13">
      <c r="A1574" s="45" t="s">
        <v>22</v>
      </c>
      <c r="B1574" s="52" t="s">
        <v>483</v>
      </c>
      <c r="C1574" s="46">
        <v>43181</v>
      </c>
      <c r="D1574" s="47" t="s">
        <v>25</v>
      </c>
      <c r="E1574" s="48">
        <v>0.35416666666666663</v>
      </c>
      <c r="F1574" s="48">
        <v>0.72916666666666674</v>
      </c>
      <c r="G1574" s="49">
        <v>0</v>
      </c>
      <c r="H1574" s="49">
        <v>8.0000000000000036</v>
      </c>
      <c r="I1574" s="49">
        <v>8.0000000000000036</v>
      </c>
      <c r="J1574" s="53" t="s">
        <v>30</v>
      </c>
      <c r="K1574" s="51" t="s">
        <v>489</v>
      </c>
      <c r="L1574" s="102" t="s">
        <v>281</v>
      </c>
      <c r="M1574" s="19" t="str">
        <f t="shared" si="39"/>
        <v>Mar_2018</v>
      </c>
    </row>
    <row r="1575" spans="1:13">
      <c r="A1575" s="45" t="s">
        <v>22</v>
      </c>
      <c r="B1575" s="52" t="s">
        <v>484</v>
      </c>
      <c r="C1575" s="46">
        <v>43181</v>
      </c>
      <c r="D1575" s="47" t="s">
        <v>25</v>
      </c>
      <c r="E1575" s="48">
        <v>0.35416666666666663</v>
      </c>
      <c r="F1575" s="48">
        <v>0.72916666666666674</v>
      </c>
      <c r="G1575" s="49">
        <v>0</v>
      </c>
      <c r="H1575" s="49">
        <v>8.0000000000000036</v>
      </c>
      <c r="I1575" s="49">
        <v>8.0000000000000036</v>
      </c>
      <c r="J1575" s="53" t="s">
        <v>30</v>
      </c>
      <c r="K1575" s="51" t="s">
        <v>489</v>
      </c>
      <c r="L1575" s="102" t="s">
        <v>281</v>
      </c>
      <c r="M1575" s="19" t="str">
        <f t="shared" si="39"/>
        <v>Mar_2018</v>
      </c>
    </row>
    <row r="1576" spans="1:13">
      <c r="A1576" s="45" t="s">
        <v>22</v>
      </c>
      <c r="B1576" s="52" t="s">
        <v>485</v>
      </c>
      <c r="C1576" s="46">
        <v>43181</v>
      </c>
      <c r="D1576" s="47" t="s">
        <v>25</v>
      </c>
      <c r="E1576" s="48">
        <v>0.35416666666666663</v>
      </c>
      <c r="F1576" s="48">
        <v>0.72916666666666674</v>
      </c>
      <c r="G1576" s="49">
        <v>0</v>
      </c>
      <c r="H1576" s="49">
        <v>8.0000000000000036</v>
      </c>
      <c r="I1576" s="49">
        <v>8.0000000000000036</v>
      </c>
      <c r="J1576" s="53" t="s">
        <v>30</v>
      </c>
      <c r="K1576" s="51" t="s">
        <v>489</v>
      </c>
      <c r="L1576" s="102" t="s">
        <v>281</v>
      </c>
      <c r="M1576" s="19" t="str">
        <f t="shared" si="39"/>
        <v>Mar_2018</v>
      </c>
    </row>
    <row r="1577" spans="1:13">
      <c r="A1577" s="45" t="s">
        <v>22</v>
      </c>
      <c r="B1577" s="52" t="s">
        <v>486</v>
      </c>
      <c r="C1577" s="46">
        <v>43181</v>
      </c>
      <c r="D1577" s="47" t="s">
        <v>25</v>
      </c>
      <c r="E1577" s="48">
        <v>0.35416666666666663</v>
      </c>
      <c r="F1577" s="48">
        <v>0.72916666666666674</v>
      </c>
      <c r="G1577" s="49">
        <v>0</v>
      </c>
      <c r="H1577" s="49">
        <v>8.0000000000000036</v>
      </c>
      <c r="I1577" s="49">
        <v>8.0000000000000036</v>
      </c>
      <c r="J1577" s="53" t="s">
        <v>30</v>
      </c>
      <c r="K1577" s="51" t="s">
        <v>489</v>
      </c>
      <c r="L1577" s="102" t="s">
        <v>281</v>
      </c>
      <c r="M1577" s="19" t="str">
        <f t="shared" si="39"/>
        <v>Mar_2018</v>
      </c>
    </row>
    <row r="1578" spans="1:13">
      <c r="A1578" s="45" t="s">
        <v>22</v>
      </c>
      <c r="B1578" s="52" t="s">
        <v>487</v>
      </c>
      <c r="C1578" s="46">
        <v>43181</v>
      </c>
      <c r="D1578" s="47" t="s">
        <v>25</v>
      </c>
      <c r="E1578" s="48">
        <v>0.35416666666666663</v>
      </c>
      <c r="F1578" s="48">
        <v>0.72916666666666674</v>
      </c>
      <c r="G1578" s="49">
        <v>0</v>
      </c>
      <c r="H1578" s="49">
        <v>8.0000000000000036</v>
      </c>
      <c r="I1578" s="49">
        <v>8.0000000000000036</v>
      </c>
      <c r="J1578" s="53" t="s">
        <v>30</v>
      </c>
      <c r="K1578" s="51" t="s">
        <v>489</v>
      </c>
      <c r="L1578" s="102" t="s">
        <v>281</v>
      </c>
      <c r="M1578" s="19" t="str">
        <f t="shared" si="39"/>
        <v>Mar_2018</v>
      </c>
    </row>
    <row r="1579" spans="1:13">
      <c r="A1579" s="45" t="s">
        <v>22</v>
      </c>
      <c r="B1579" s="52" t="s">
        <v>488</v>
      </c>
      <c r="C1579" s="46">
        <v>43181</v>
      </c>
      <c r="D1579" s="47" t="s">
        <v>25</v>
      </c>
      <c r="E1579" s="48">
        <v>0.35416666666666663</v>
      </c>
      <c r="F1579" s="48">
        <v>0.72916666666666674</v>
      </c>
      <c r="G1579" s="49">
        <v>0</v>
      </c>
      <c r="H1579" s="49">
        <v>8.0000000000000036</v>
      </c>
      <c r="I1579" s="49">
        <v>8.0000000000000036</v>
      </c>
      <c r="J1579" s="53" t="s">
        <v>30</v>
      </c>
      <c r="K1579" s="51" t="s">
        <v>489</v>
      </c>
      <c r="L1579" s="102" t="s">
        <v>281</v>
      </c>
      <c r="M1579" s="19" t="str">
        <f t="shared" si="39"/>
        <v>Mar_2018</v>
      </c>
    </row>
    <row r="1580" spans="1:13">
      <c r="A1580" s="45" t="s">
        <v>22</v>
      </c>
      <c r="B1580" s="52" t="s">
        <v>492</v>
      </c>
      <c r="C1580" s="46">
        <v>43181</v>
      </c>
      <c r="D1580" s="47" t="s">
        <v>25</v>
      </c>
      <c r="E1580" s="48">
        <v>0.35416666666666663</v>
      </c>
      <c r="F1580" s="48">
        <v>0.72916666666666674</v>
      </c>
      <c r="G1580" s="49">
        <v>0</v>
      </c>
      <c r="H1580" s="49">
        <v>8.0000000000000036</v>
      </c>
      <c r="I1580" s="49">
        <v>8.0000000000000036</v>
      </c>
      <c r="J1580" s="53" t="s">
        <v>30</v>
      </c>
      <c r="K1580" s="51" t="s">
        <v>489</v>
      </c>
      <c r="L1580" s="102" t="s">
        <v>281</v>
      </c>
      <c r="M1580" s="19" t="str">
        <f t="shared" si="39"/>
        <v>Mar_2018</v>
      </c>
    </row>
    <row r="1581" spans="1:13">
      <c r="A1581" s="45" t="s">
        <v>11</v>
      </c>
      <c r="B1581" s="52" t="s">
        <v>12</v>
      </c>
      <c r="C1581" s="54">
        <v>43182</v>
      </c>
      <c r="D1581" s="47" t="s">
        <v>17</v>
      </c>
      <c r="E1581" s="48">
        <v>0.72916666666666663</v>
      </c>
      <c r="F1581" s="48">
        <v>0.875</v>
      </c>
      <c r="G1581" s="49">
        <v>8.0000000000000036</v>
      </c>
      <c r="H1581" s="49">
        <v>3.4999999999999964</v>
      </c>
      <c r="I1581" s="49">
        <v>3.4999999999999964</v>
      </c>
      <c r="J1581" s="53" t="s">
        <v>30</v>
      </c>
      <c r="K1581" s="51" t="s">
        <v>498</v>
      </c>
      <c r="L1581" s="102">
        <v>1</v>
      </c>
      <c r="M1581" s="19" t="str">
        <f t="shared" si="39"/>
        <v>Mar_2018</v>
      </c>
    </row>
    <row r="1582" spans="1:13">
      <c r="A1582" s="45" t="s">
        <v>11</v>
      </c>
      <c r="B1582" s="52" t="s">
        <v>19</v>
      </c>
      <c r="C1582" s="46">
        <v>43182</v>
      </c>
      <c r="D1582" s="47" t="s">
        <v>17</v>
      </c>
      <c r="E1582" s="48">
        <v>0.70833333333333326</v>
      </c>
      <c r="F1582" s="48">
        <v>0.83333333333333337</v>
      </c>
      <c r="G1582" s="49">
        <v>8.0000000000000036</v>
      </c>
      <c r="H1582" s="49">
        <v>2.9999999999999964</v>
      </c>
      <c r="I1582" s="49">
        <v>2.9999999999999964</v>
      </c>
      <c r="J1582" s="53" t="s">
        <v>30</v>
      </c>
      <c r="K1582" s="51" t="s">
        <v>498</v>
      </c>
      <c r="L1582" s="102">
        <v>1</v>
      </c>
      <c r="M1582" s="19" t="str">
        <f t="shared" si="39"/>
        <v>Mar_2018</v>
      </c>
    </row>
    <row r="1583" spans="1:13">
      <c r="A1583" s="45" t="s">
        <v>11</v>
      </c>
      <c r="B1583" s="52" t="s">
        <v>26</v>
      </c>
      <c r="C1583" s="46">
        <v>43182</v>
      </c>
      <c r="D1583" s="47" t="s">
        <v>17</v>
      </c>
      <c r="E1583" s="48">
        <v>0.64583333333333337</v>
      </c>
      <c r="F1583" s="48">
        <v>0.875</v>
      </c>
      <c r="G1583" s="49">
        <v>0</v>
      </c>
      <c r="H1583" s="49">
        <v>5.5</v>
      </c>
      <c r="I1583" s="49">
        <v>5.5</v>
      </c>
      <c r="J1583" s="53" t="s">
        <v>30</v>
      </c>
      <c r="K1583" s="51" t="s">
        <v>498</v>
      </c>
      <c r="L1583" s="102" t="s">
        <v>281</v>
      </c>
      <c r="M1583" s="19" t="str">
        <f t="shared" si="39"/>
        <v>Mar_2018</v>
      </c>
    </row>
    <row r="1584" spans="1:13">
      <c r="A1584" s="45" t="s">
        <v>11</v>
      </c>
      <c r="B1584" s="52" t="s">
        <v>149</v>
      </c>
      <c r="C1584" s="46">
        <v>43182</v>
      </c>
      <c r="D1584" s="47" t="s">
        <v>17</v>
      </c>
      <c r="E1584" s="48">
        <v>0.72916666666666663</v>
      </c>
      <c r="F1584" s="48">
        <v>0.875</v>
      </c>
      <c r="G1584" s="49">
        <v>8.0000000000000036</v>
      </c>
      <c r="H1584" s="49">
        <v>3.4999999999999964</v>
      </c>
      <c r="I1584" s="49">
        <v>3.4999999999999964</v>
      </c>
      <c r="J1584" s="53" t="s">
        <v>30</v>
      </c>
      <c r="K1584" s="51" t="s">
        <v>498</v>
      </c>
      <c r="L1584" s="102">
        <v>1</v>
      </c>
      <c r="M1584" s="19" t="str">
        <f t="shared" si="39"/>
        <v>Mar_2018</v>
      </c>
    </row>
    <row r="1585" spans="1:13">
      <c r="A1585" s="45" t="s">
        <v>11</v>
      </c>
      <c r="B1585" s="52" t="s">
        <v>161</v>
      </c>
      <c r="C1585" s="46">
        <v>43182</v>
      </c>
      <c r="D1585" s="47" t="s">
        <v>17</v>
      </c>
      <c r="E1585" s="48">
        <v>0.6875</v>
      </c>
      <c r="F1585" s="48">
        <v>0.89583333333333337</v>
      </c>
      <c r="G1585" s="49">
        <v>8.0000000000000036</v>
      </c>
      <c r="H1585" s="49">
        <v>4.9999999999999964</v>
      </c>
      <c r="I1585" s="49">
        <v>4.9999999999999964</v>
      </c>
      <c r="J1585" s="53" t="s">
        <v>30</v>
      </c>
      <c r="K1585" s="51" t="s">
        <v>498</v>
      </c>
      <c r="L1585" s="102">
        <v>1</v>
      </c>
      <c r="M1585" s="19" t="str">
        <f t="shared" si="39"/>
        <v>Mar_2018</v>
      </c>
    </row>
    <row r="1586" spans="1:13">
      <c r="A1586" s="45" t="s">
        <v>22</v>
      </c>
      <c r="B1586" s="52" t="s">
        <v>23</v>
      </c>
      <c r="C1586" s="46">
        <v>43182</v>
      </c>
      <c r="D1586" s="47" t="s">
        <v>17</v>
      </c>
      <c r="E1586" s="48">
        <v>0.35416666666666663</v>
      </c>
      <c r="F1586" s="48">
        <v>0.875</v>
      </c>
      <c r="G1586" s="49">
        <v>0</v>
      </c>
      <c r="H1586" s="49">
        <v>11.5</v>
      </c>
      <c r="I1586" s="49">
        <v>11.5</v>
      </c>
      <c r="J1586" s="53" t="s">
        <v>30</v>
      </c>
      <c r="K1586" s="51" t="s">
        <v>498</v>
      </c>
      <c r="L1586" s="102" t="s">
        <v>281</v>
      </c>
      <c r="M1586" s="19" t="str">
        <f t="shared" si="39"/>
        <v>Mar_2018</v>
      </c>
    </row>
    <row r="1587" spans="1:13">
      <c r="A1587" s="45" t="s">
        <v>22</v>
      </c>
      <c r="B1587" s="52" t="s">
        <v>78</v>
      </c>
      <c r="C1587" s="46">
        <v>43182</v>
      </c>
      <c r="D1587" s="47" t="s">
        <v>17</v>
      </c>
      <c r="E1587" s="48">
        <v>0.54166666666666663</v>
      </c>
      <c r="F1587" s="48">
        <v>0.875</v>
      </c>
      <c r="G1587" s="49">
        <v>0</v>
      </c>
      <c r="H1587" s="49">
        <v>8</v>
      </c>
      <c r="I1587" s="49">
        <v>8</v>
      </c>
      <c r="J1587" s="53" t="s">
        <v>30</v>
      </c>
      <c r="K1587" s="51" t="s">
        <v>489</v>
      </c>
      <c r="L1587" s="102" t="s">
        <v>281</v>
      </c>
      <c r="M1587" s="19" t="str">
        <f t="shared" si="39"/>
        <v>Mar_2018</v>
      </c>
    </row>
    <row r="1588" spans="1:13">
      <c r="A1588" s="45" t="s">
        <v>22</v>
      </c>
      <c r="B1588" s="52" t="s">
        <v>255</v>
      </c>
      <c r="C1588" s="46">
        <v>43182</v>
      </c>
      <c r="D1588" s="47" t="s">
        <v>17</v>
      </c>
      <c r="E1588" s="48">
        <v>0.35416666666666663</v>
      </c>
      <c r="F1588" s="48">
        <v>0.72916666666666674</v>
      </c>
      <c r="G1588" s="49">
        <v>0</v>
      </c>
      <c r="H1588" s="49">
        <v>8.0000000000000036</v>
      </c>
      <c r="I1588" s="49">
        <v>8.0000000000000036</v>
      </c>
      <c r="J1588" s="53" t="s">
        <v>30</v>
      </c>
      <c r="K1588" s="51" t="s">
        <v>489</v>
      </c>
      <c r="L1588" s="102" t="s">
        <v>281</v>
      </c>
      <c r="M1588" s="19" t="str">
        <f t="shared" si="39"/>
        <v>Mar_2018</v>
      </c>
    </row>
    <row r="1589" spans="1:13">
      <c r="A1589" s="45" t="s">
        <v>22</v>
      </c>
      <c r="B1589" s="52" t="s">
        <v>27</v>
      </c>
      <c r="C1589" s="46">
        <v>43182</v>
      </c>
      <c r="D1589" s="47" t="s">
        <v>17</v>
      </c>
      <c r="E1589" s="48">
        <v>0.35416666666666663</v>
      </c>
      <c r="F1589" s="48">
        <v>0.72916666666666674</v>
      </c>
      <c r="G1589" s="49">
        <v>0</v>
      </c>
      <c r="H1589" s="49">
        <v>8.0000000000000036</v>
      </c>
      <c r="I1589" s="49">
        <v>8.0000000000000036</v>
      </c>
      <c r="J1589" s="53" t="s">
        <v>30</v>
      </c>
      <c r="K1589" s="51" t="s">
        <v>499</v>
      </c>
      <c r="L1589" s="102" t="s">
        <v>281</v>
      </c>
      <c r="M1589" s="19" t="str">
        <f t="shared" si="39"/>
        <v>Mar_2018</v>
      </c>
    </row>
    <row r="1590" spans="1:13">
      <c r="A1590" s="45" t="s">
        <v>22</v>
      </c>
      <c r="B1590" s="52" t="s">
        <v>346</v>
      </c>
      <c r="C1590" s="46">
        <v>43182</v>
      </c>
      <c r="D1590" s="47" t="s">
        <v>17</v>
      </c>
      <c r="E1590" s="48">
        <v>0.35416666666666663</v>
      </c>
      <c r="F1590" s="48">
        <v>0.72916666666666674</v>
      </c>
      <c r="G1590" s="49">
        <v>0</v>
      </c>
      <c r="H1590" s="49">
        <v>8.0000000000000036</v>
      </c>
      <c r="I1590" s="49">
        <v>8.0000000000000036</v>
      </c>
      <c r="J1590" s="53" t="s">
        <v>30</v>
      </c>
      <c r="K1590" s="51" t="s">
        <v>499</v>
      </c>
      <c r="L1590" s="102" t="s">
        <v>281</v>
      </c>
      <c r="M1590" s="19" t="str">
        <f t="shared" si="39"/>
        <v>Mar_2018</v>
      </c>
    </row>
    <row r="1591" spans="1:13">
      <c r="A1591" s="45" t="s">
        <v>22</v>
      </c>
      <c r="B1591" s="52" t="s">
        <v>478</v>
      </c>
      <c r="C1591" s="46">
        <v>43182</v>
      </c>
      <c r="D1591" s="47" t="s">
        <v>17</v>
      </c>
      <c r="E1591" s="48">
        <v>0.35416666666666663</v>
      </c>
      <c r="F1591" s="48">
        <v>0.72916666666666674</v>
      </c>
      <c r="G1591" s="49">
        <v>0</v>
      </c>
      <c r="H1591" s="49">
        <v>8.0000000000000036</v>
      </c>
      <c r="I1591" s="49">
        <v>8.0000000000000036</v>
      </c>
      <c r="J1591" s="53" t="s">
        <v>30</v>
      </c>
      <c r="K1591" s="51" t="s">
        <v>489</v>
      </c>
      <c r="L1591" s="102" t="s">
        <v>281</v>
      </c>
      <c r="M1591" s="19" t="str">
        <f t="shared" si="39"/>
        <v>Mar_2018</v>
      </c>
    </row>
    <row r="1592" spans="1:13">
      <c r="A1592" s="45" t="s">
        <v>22</v>
      </c>
      <c r="B1592" s="52" t="s">
        <v>479</v>
      </c>
      <c r="C1592" s="46">
        <v>43182</v>
      </c>
      <c r="D1592" s="47" t="s">
        <v>17</v>
      </c>
      <c r="E1592" s="48">
        <v>0.35416666666666663</v>
      </c>
      <c r="F1592" s="48">
        <v>0.72916666666666674</v>
      </c>
      <c r="G1592" s="49">
        <v>0</v>
      </c>
      <c r="H1592" s="49">
        <v>8.0000000000000036</v>
      </c>
      <c r="I1592" s="49">
        <v>8.0000000000000036</v>
      </c>
      <c r="J1592" s="53" t="s">
        <v>30</v>
      </c>
      <c r="K1592" s="51" t="s">
        <v>489</v>
      </c>
      <c r="L1592" s="102" t="s">
        <v>281</v>
      </c>
      <c r="M1592" s="19" t="str">
        <f t="shared" si="39"/>
        <v>Mar_2018</v>
      </c>
    </row>
    <row r="1593" spans="1:13">
      <c r="A1593" s="45" t="s">
        <v>22</v>
      </c>
      <c r="B1593" s="52" t="s">
        <v>480</v>
      </c>
      <c r="C1593" s="46">
        <v>43182</v>
      </c>
      <c r="D1593" s="47" t="s">
        <v>17</v>
      </c>
      <c r="E1593" s="48">
        <v>0.35416666666666663</v>
      </c>
      <c r="F1593" s="48">
        <v>0.72916666666666674</v>
      </c>
      <c r="G1593" s="49">
        <v>0</v>
      </c>
      <c r="H1593" s="49">
        <v>8.0000000000000036</v>
      </c>
      <c r="I1593" s="49">
        <v>8.0000000000000036</v>
      </c>
      <c r="J1593" s="53" t="s">
        <v>30</v>
      </c>
      <c r="K1593" s="51" t="s">
        <v>489</v>
      </c>
      <c r="L1593" s="102" t="s">
        <v>281</v>
      </c>
      <c r="M1593" s="19" t="str">
        <f t="shared" si="39"/>
        <v>Mar_2018</v>
      </c>
    </row>
    <row r="1594" spans="1:13">
      <c r="A1594" s="45" t="s">
        <v>22</v>
      </c>
      <c r="B1594" s="52" t="s">
        <v>481</v>
      </c>
      <c r="C1594" s="46">
        <v>43182</v>
      </c>
      <c r="D1594" s="47" t="s">
        <v>17</v>
      </c>
      <c r="E1594" s="48">
        <v>0.35416666666666663</v>
      </c>
      <c r="F1594" s="48">
        <v>0.72916666666666674</v>
      </c>
      <c r="G1594" s="49">
        <v>0</v>
      </c>
      <c r="H1594" s="49">
        <v>8.0000000000000036</v>
      </c>
      <c r="I1594" s="49">
        <v>8.0000000000000036</v>
      </c>
      <c r="J1594" s="53" t="s">
        <v>30</v>
      </c>
      <c r="K1594" s="51" t="s">
        <v>489</v>
      </c>
      <c r="L1594" s="102" t="s">
        <v>281</v>
      </c>
      <c r="M1594" s="19" t="str">
        <f t="shared" si="39"/>
        <v>Mar_2018</v>
      </c>
    </row>
    <row r="1595" spans="1:13">
      <c r="A1595" s="45" t="s">
        <v>22</v>
      </c>
      <c r="B1595" s="52" t="s">
        <v>482</v>
      </c>
      <c r="C1595" s="46">
        <v>43182</v>
      </c>
      <c r="D1595" s="47" t="s">
        <v>17</v>
      </c>
      <c r="E1595" s="48">
        <v>0.35416666666666663</v>
      </c>
      <c r="F1595" s="48">
        <v>0.72916666666666674</v>
      </c>
      <c r="G1595" s="49">
        <v>0</v>
      </c>
      <c r="H1595" s="49">
        <v>8.0000000000000036</v>
      </c>
      <c r="I1595" s="49">
        <v>8.0000000000000036</v>
      </c>
      <c r="J1595" s="53" t="s">
        <v>30</v>
      </c>
      <c r="K1595" s="51" t="s">
        <v>489</v>
      </c>
      <c r="L1595" s="102" t="s">
        <v>281</v>
      </c>
      <c r="M1595" s="19" t="str">
        <f t="shared" si="39"/>
        <v>Mar_2018</v>
      </c>
    </row>
    <row r="1596" spans="1:13">
      <c r="A1596" s="45" t="s">
        <v>22</v>
      </c>
      <c r="B1596" s="52" t="s">
        <v>483</v>
      </c>
      <c r="C1596" s="46">
        <v>43182</v>
      </c>
      <c r="D1596" s="47" t="s">
        <v>17</v>
      </c>
      <c r="E1596" s="48">
        <v>0.35416666666666663</v>
      </c>
      <c r="F1596" s="48">
        <v>0.72916666666666674</v>
      </c>
      <c r="G1596" s="49">
        <v>0</v>
      </c>
      <c r="H1596" s="49">
        <v>8.0000000000000036</v>
      </c>
      <c r="I1596" s="49">
        <v>8.0000000000000036</v>
      </c>
      <c r="J1596" s="53" t="s">
        <v>30</v>
      </c>
      <c r="K1596" s="51" t="s">
        <v>489</v>
      </c>
      <c r="L1596" s="102" t="s">
        <v>281</v>
      </c>
      <c r="M1596" s="19" t="str">
        <f t="shared" si="39"/>
        <v>Mar_2018</v>
      </c>
    </row>
    <row r="1597" spans="1:13">
      <c r="A1597" s="45" t="s">
        <v>22</v>
      </c>
      <c r="B1597" s="52" t="s">
        <v>484</v>
      </c>
      <c r="C1597" s="46">
        <v>43182</v>
      </c>
      <c r="D1597" s="47" t="s">
        <v>17</v>
      </c>
      <c r="E1597" s="48">
        <v>0.35416666666666663</v>
      </c>
      <c r="F1597" s="48">
        <v>0.72916666666666674</v>
      </c>
      <c r="G1597" s="49">
        <v>0</v>
      </c>
      <c r="H1597" s="49">
        <v>8.0000000000000036</v>
      </c>
      <c r="I1597" s="49">
        <v>8.0000000000000036</v>
      </c>
      <c r="J1597" s="53" t="s">
        <v>30</v>
      </c>
      <c r="K1597" s="51" t="s">
        <v>489</v>
      </c>
      <c r="L1597" s="102" t="s">
        <v>281</v>
      </c>
      <c r="M1597" s="19" t="str">
        <f t="shared" si="39"/>
        <v>Mar_2018</v>
      </c>
    </row>
    <row r="1598" spans="1:13">
      <c r="A1598" s="45" t="s">
        <v>22</v>
      </c>
      <c r="B1598" s="52" t="s">
        <v>485</v>
      </c>
      <c r="C1598" s="46">
        <v>43182</v>
      </c>
      <c r="D1598" s="47" t="s">
        <v>17</v>
      </c>
      <c r="E1598" s="48">
        <v>0.35416666666666663</v>
      </c>
      <c r="F1598" s="48">
        <v>0.72916666666666674</v>
      </c>
      <c r="G1598" s="49">
        <v>0</v>
      </c>
      <c r="H1598" s="49">
        <v>8.0000000000000036</v>
      </c>
      <c r="I1598" s="49">
        <v>8.0000000000000036</v>
      </c>
      <c r="J1598" s="53" t="s">
        <v>30</v>
      </c>
      <c r="K1598" s="51" t="s">
        <v>489</v>
      </c>
      <c r="L1598" s="102" t="s">
        <v>281</v>
      </c>
      <c r="M1598" s="19" t="str">
        <f t="shared" si="39"/>
        <v>Mar_2018</v>
      </c>
    </row>
    <row r="1599" spans="1:13">
      <c r="A1599" s="45" t="s">
        <v>22</v>
      </c>
      <c r="B1599" s="52" t="s">
        <v>486</v>
      </c>
      <c r="C1599" s="46">
        <v>43182</v>
      </c>
      <c r="D1599" s="47" t="s">
        <v>17</v>
      </c>
      <c r="E1599" s="48">
        <v>0.35416666666666663</v>
      </c>
      <c r="F1599" s="48">
        <v>0.72916666666666674</v>
      </c>
      <c r="G1599" s="49">
        <v>0</v>
      </c>
      <c r="H1599" s="49">
        <v>8.0000000000000036</v>
      </c>
      <c r="I1599" s="49">
        <v>8.0000000000000036</v>
      </c>
      <c r="J1599" s="53" t="s">
        <v>30</v>
      </c>
      <c r="K1599" s="51" t="s">
        <v>489</v>
      </c>
      <c r="L1599" s="102" t="s">
        <v>281</v>
      </c>
      <c r="M1599" s="19" t="str">
        <f t="shared" si="39"/>
        <v>Mar_2018</v>
      </c>
    </row>
    <row r="1600" spans="1:13">
      <c r="A1600" s="45" t="s">
        <v>22</v>
      </c>
      <c r="B1600" s="52" t="s">
        <v>487</v>
      </c>
      <c r="C1600" s="46">
        <v>43182</v>
      </c>
      <c r="D1600" s="47" t="s">
        <v>17</v>
      </c>
      <c r="E1600" s="48">
        <v>0.35416666666666663</v>
      </c>
      <c r="F1600" s="48">
        <v>0.72916666666666674</v>
      </c>
      <c r="G1600" s="49">
        <v>0</v>
      </c>
      <c r="H1600" s="49">
        <v>8.0000000000000036</v>
      </c>
      <c r="I1600" s="49">
        <v>8.0000000000000036</v>
      </c>
      <c r="J1600" s="53" t="s">
        <v>30</v>
      </c>
      <c r="K1600" s="51" t="s">
        <v>489</v>
      </c>
      <c r="L1600" s="102" t="s">
        <v>281</v>
      </c>
      <c r="M1600" s="19" t="str">
        <f t="shared" si="39"/>
        <v>Mar_2018</v>
      </c>
    </row>
    <row r="1601" spans="1:13">
      <c r="A1601" s="45" t="s">
        <v>22</v>
      </c>
      <c r="B1601" s="52" t="s">
        <v>488</v>
      </c>
      <c r="C1601" s="46">
        <v>43182</v>
      </c>
      <c r="D1601" s="47" t="s">
        <v>17</v>
      </c>
      <c r="E1601" s="48">
        <v>0.35416666666666663</v>
      </c>
      <c r="F1601" s="48">
        <v>0.72916666666666674</v>
      </c>
      <c r="G1601" s="49">
        <v>0</v>
      </c>
      <c r="H1601" s="49">
        <v>8.0000000000000036</v>
      </c>
      <c r="I1601" s="49">
        <v>8.0000000000000036</v>
      </c>
      <c r="J1601" s="53" t="s">
        <v>30</v>
      </c>
      <c r="K1601" s="51" t="s">
        <v>489</v>
      </c>
      <c r="L1601" s="102" t="s">
        <v>281</v>
      </c>
      <c r="M1601" s="19" t="str">
        <f t="shared" si="39"/>
        <v>Mar_2018</v>
      </c>
    </row>
    <row r="1602" spans="1:13">
      <c r="A1602" s="45" t="s">
        <v>22</v>
      </c>
      <c r="B1602" s="52" t="s">
        <v>492</v>
      </c>
      <c r="C1602" s="46">
        <v>43182</v>
      </c>
      <c r="D1602" s="47" t="s">
        <v>17</v>
      </c>
      <c r="E1602" s="48">
        <v>0.35416666666666663</v>
      </c>
      <c r="F1602" s="48">
        <v>0.72916666666666674</v>
      </c>
      <c r="G1602" s="49">
        <v>0</v>
      </c>
      <c r="H1602" s="49">
        <v>8.0000000000000036</v>
      </c>
      <c r="I1602" s="49">
        <v>8.0000000000000036</v>
      </c>
      <c r="J1602" s="53" t="s">
        <v>30</v>
      </c>
      <c r="K1602" s="51" t="s">
        <v>489</v>
      </c>
      <c r="L1602" s="102" t="s">
        <v>281</v>
      </c>
      <c r="M1602" s="19" t="str">
        <f t="shared" si="39"/>
        <v>Mar_2018</v>
      </c>
    </row>
    <row r="1603" spans="1:13">
      <c r="A1603" s="45" t="s">
        <v>11</v>
      </c>
      <c r="B1603" s="52" t="s">
        <v>12</v>
      </c>
      <c r="C1603" s="54">
        <v>43183</v>
      </c>
      <c r="D1603" s="47" t="s">
        <v>24</v>
      </c>
      <c r="E1603" s="48">
        <v>0.72916666666666663</v>
      </c>
      <c r="F1603" s="48">
        <v>0.89583333333333337</v>
      </c>
      <c r="G1603" s="49">
        <v>8.0000000000000036</v>
      </c>
      <c r="H1603" s="49">
        <v>3.9999999999999982</v>
      </c>
      <c r="I1603" s="49">
        <v>12.000000000000002</v>
      </c>
      <c r="J1603" s="53" t="s">
        <v>52</v>
      </c>
      <c r="K1603" s="51" t="s">
        <v>489</v>
      </c>
      <c r="L1603" s="102">
        <v>1</v>
      </c>
      <c r="M1603" s="19" t="str">
        <f t="shared" si="39"/>
        <v>Mar_2018</v>
      </c>
    </row>
    <row r="1604" spans="1:13">
      <c r="A1604" s="45" t="s">
        <v>11</v>
      </c>
      <c r="B1604" s="52" t="s">
        <v>19</v>
      </c>
      <c r="C1604" s="46">
        <v>43183</v>
      </c>
      <c r="D1604" s="47" t="s">
        <v>24</v>
      </c>
      <c r="E1604" s="48">
        <v>0.72916666666666663</v>
      </c>
      <c r="F1604" s="48">
        <v>0.85416666666666674</v>
      </c>
      <c r="G1604" s="49">
        <v>8.0000000000000036</v>
      </c>
      <c r="H1604" s="49">
        <v>3</v>
      </c>
      <c r="I1604" s="49">
        <v>11.000000000000004</v>
      </c>
      <c r="J1604" s="53" t="s">
        <v>52</v>
      </c>
      <c r="K1604" s="51" t="s">
        <v>489</v>
      </c>
      <c r="L1604" s="102">
        <v>1</v>
      </c>
      <c r="M1604" s="19" t="str">
        <f t="shared" si="39"/>
        <v>Mar_2018</v>
      </c>
    </row>
    <row r="1605" spans="1:13">
      <c r="A1605" s="45" t="s">
        <v>11</v>
      </c>
      <c r="B1605" s="52" t="s">
        <v>26</v>
      </c>
      <c r="C1605" s="46">
        <v>43183</v>
      </c>
      <c r="D1605" s="47" t="s">
        <v>24</v>
      </c>
      <c r="E1605" s="48">
        <v>0.72916666666666663</v>
      </c>
      <c r="F1605" s="48">
        <v>0.89583333333333337</v>
      </c>
      <c r="G1605" s="49">
        <v>8.0000000000000036</v>
      </c>
      <c r="H1605" s="49">
        <v>3.9999999999999982</v>
      </c>
      <c r="I1605" s="49">
        <v>12.000000000000002</v>
      </c>
      <c r="J1605" s="53" t="s">
        <v>52</v>
      </c>
      <c r="K1605" s="51" t="s">
        <v>489</v>
      </c>
      <c r="L1605" s="102">
        <v>1</v>
      </c>
      <c r="M1605" s="19" t="str">
        <f t="shared" si="39"/>
        <v>Mar_2018</v>
      </c>
    </row>
    <row r="1606" spans="1:13">
      <c r="A1606" s="45" t="s">
        <v>11</v>
      </c>
      <c r="B1606" s="52" t="s">
        <v>149</v>
      </c>
      <c r="C1606" s="46">
        <v>43183</v>
      </c>
      <c r="D1606" s="47" t="s">
        <v>24</v>
      </c>
      <c r="E1606" s="48">
        <v>0.72916666666666663</v>
      </c>
      <c r="F1606" s="48">
        <v>0.89583333333333337</v>
      </c>
      <c r="G1606" s="49">
        <v>8.0000000000000036</v>
      </c>
      <c r="H1606" s="49">
        <v>3.9999999999999982</v>
      </c>
      <c r="I1606" s="49">
        <v>12.000000000000002</v>
      </c>
      <c r="J1606" s="53" t="s">
        <v>52</v>
      </c>
      <c r="K1606" s="51" t="s">
        <v>489</v>
      </c>
      <c r="L1606" s="102">
        <v>1</v>
      </c>
      <c r="M1606" s="19" t="str">
        <f t="shared" si="39"/>
        <v>Mar_2018</v>
      </c>
    </row>
    <row r="1607" spans="1:13">
      <c r="A1607" s="45" t="s">
        <v>11</v>
      </c>
      <c r="B1607" s="52" t="s">
        <v>161</v>
      </c>
      <c r="C1607" s="46">
        <v>43183</v>
      </c>
      <c r="D1607" s="47" t="s">
        <v>24</v>
      </c>
      <c r="E1607" s="48">
        <v>0.6875</v>
      </c>
      <c r="F1607" s="48">
        <v>0.89583333333333337</v>
      </c>
      <c r="G1607" s="49">
        <v>8.0000000000000036</v>
      </c>
      <c r="H1607" s="49">
        <v>4.9999999999999964</v>
      </c>
      <c r="I1607" s="49">
        <v>13</v>
      </c>
      <c r="J1607" s="53" t="s">
        <v>52</v>
      </c>
      <c r="K1607" s="51" t="s">
        <v>489</v>
      </c>
      <c r="L1607" s="102">
        <v>1</v>
      </c>
      <c r="M1607" s="19" t="str">
        <f t="shared" si="39"/>
        <v>Mar_2018</v>
      </c>
    </row>
    <row r="1608" spans="1:13">
      <c r="A1608" s="45" t="s">
        <v>22</v>
      </c>
      <c r="B1608" s="52" t="s">
        <v>23</v>
      </c>
      <c r="C1608" s="46">
        <v>43183</v>
      </c>
      <c r="D1608" s="47" t="s">
        <v>24</v>
      </c>
      <c r="E1608" s="48">
        <v>0.35416666666666663</v>
      </c>
      <c r="F1608" s="48">
        <v>0.89583333333333337</v>
      </c>
      <c r="G1608" s="49">
        <v>0</v>
      </c>
      <c r="H1608" s="49">
        <v>12.000000000000002</v>
      </c>
      <c r="I1608" s="49">
        <v>12.000000000000002</v>
      </c>
      <c r="J1608" s="53" t="s">
        <v>52</v>
      </c>
      <c r="K1608" s="51" t="s">
        <v>489</v>
      </c>
      <c r="L1608" s="102" t="s">
        <v>281</v>
      </c>
      <c r="M1608" s="19" t="str">
        <f t="shared" si="39"/>
        <v>Mar_2018</v>
      </c>
    </row>
    <row r="1609" spans="1:13">
      <c r="A1609" s="45" t="s">
        <v>22</v>
      </c>
      <c r="B1609" s="52" t="s">
        <v>78</v>
      </c>
      <c r="C1609" s="46">
        <v>43183</v>
      </c>
      <c r="D1609" s="47" t="s">
        <v>24</v>
      </c>
      <c r="E1609" s="48">
        <v>0.35416666666666663</v>
      </c>
      <c r="F1609" s="48">
        <v>0.72916666666666674</v>
      </c>
      <c r="G1609" s="49">
        <v>0</v>
      </c>
      <c r="H1609" s="49">
        <v>8.0000000000000036</v>
      </c>
      <c r="I1609" s="49">
        <v>8.0000000000000036</v>
      </c>
      <c r="J1609" s="53" t="s">
        <v>52</v>
      </c>
      <c r="K1609" s="51" t="s">
        <v>489</v>
      </c>
      <c r="L1609" s="102" t="s">
        <v>281</v>
      </c>
      <c r="M1609" s="19" t="str">
        <f t="shared" si="39"/>
        <v>Mar_2018</v>
      </c>
    </row>
    <row r="1610" spans="1:13">
      <c r="A1610" s="45" t="s">
        <v>22</v>
      </c>
      <c r="B1610" s="52" t="s">
        <v>254</v>
      </c>
      <c r="C1610" s="46">
        <v>43183</v>
      </c>
      <c r="D1610" s="47" t="s">
        <v>24</v>
      </c>
      <c r="E1610" s="48">
        <v>0.35416666666666663</v>
      </c>
      <c r="F1610" s="48">
        <v>0.72916666666666674</v>
      </c>
      <c r="G1610" s="49">
        <v>0</v>
      </c>
      <c r="H1610" s="49">
        <v>8.0000000000000036</v>
      </c>
      <c r="I1610" s="49">
        <v>8.0000000000000036</v>
      </c>
      <c r="J1610" s="53" t="s">
        <v>52</v>
      </c>
      <c r="K1610" s="51" t="s">
        <v>489</v>
      </c>
      <c r="L1610" s="102" t="s">
        <v>281</v>
      </c>
      <c r="M1610" s="19" t="str">
        <f t="shared" si="39"/>
        <v>Mar_2018</v>
      </c>
    </row>
    <row r="1611" spans="1:13">
      <c r="A1611" s="45" t="s">
        <v>22</v>
      </c>
      <c r="B1611" s="52" t="s">
        <v>255</v>
      </c>
      <c r="C1611" s="46">
        <v>43183</v>
      </c>
      <c r="D1611" s="47" t="s">
        <v>24</v>
      </c>
      <c r="E1611" s="48">
        <v>0.35416666666666663</v>
      </c>
      <c r="F1611" s="48">
        <v>0.89583333333333337</v>
      </c>
      <c r="G1611" s="49">
        <v>0</v>
      </c>
      <c r="H1611" s="49">
        <v>12.000000000000002</v>
      </c>
      <c r="I1611" s="49">
        <v>12.000000000000002</v>
      </c>
      <c r="J1611" s="53" t="s">
        <v>52</v>
      </c>
      <c r="K1611" s="51" t="s">
        <v>489</v>
      </c>
      <c r="L1611" s="102" t="s">
        <v>281</v>
      </c>
      <c r="M1611" s="19" t="str">
        <f t="shared" si="39"/>
        <v>Mar_2018</v>
      </c>
    </row>
    <row r="1612" spans="1:13">
      <c r="A1612" s="45" t="s">
        <v>22</v>
      </c>
      <c r="B1612" s="52" t="s">
        <v>27</v>
      </c>
      <c r="C1612" s="46">
        <v>43183</v>
      </c>
      <c r="D1612" s="47" t="s">
        <v>24</v>
      </c>
      <c r="E1612" s="48">
        <v>0.35416666666666663</v>
      </c>
      <c r="F1612" s="48">
        <v>0.72916666666666674</v>
      </c>
      <c r="G1612" s="49">
        <v>0</v>
      </c>
      <c r="H1612" s="49">
        <v>8.0000000000000036</v>
      </c>
      <c r="I1612" s="49">
        <v>8.0000000000000036</v>
      </c>
      <c r="J1612" s="53" t="s">
        <v>52</v>
      </c>
      <c r="K1612" s="51" t="s">
        <v>489</v>
      </c>
      <c r="L1612" s="102" t="s">
        <v>281</v>
      </c>
      <c r="M1612" s="19" t="str">
        <f t="shared" si="39"/>
        <v>Mar_2018</v>
      </c>
    </row>
    <row r="1613" spans="1:13">
      <c r="A1613" s="45" t="s">
        <v>22</v>
      </c>
      <c r="B1613" s="52" t="s">
        <v>346</v>
      </c>
      <c r="C1613" s="46">
        <v>43183</v>
      </c>
      <c r="D1613" s="47" t="s">
        <v>24</v>
      </c>
      <c r="E1613" s="48">
        <v>0.35416666666666663</v>
      </c>
      <c r="F1613" s="48">
        <v>0.83333333333333337</v>
      </c>
      <c r="G1613" s="49">
        <v>0</v>
      </c>
      <c r="H1613" s="49">
        <v>10.500000000000002</v>
      </c>
      <c r="I1613" s="49">
        <v>10.500000000000002</v>
      </c>
      <c r="J1613" s="53" t="s">
        <v>52</v>
      </c>
      <c r="K1613" s="51" t="s">
        <v>489</v>
      </c>
      <c r="L1613" s="102" t="s">
        <v>281</v>
      </c>
      <c r="M1613" s="19" t="str">
        <f t="shared" si="39"/>
        <v>Mar_2018</v>
      </c>
    </row>
    <row r="1614" spans="1:13">
      <c r="A1614" s="45" t="s">
        <v>22</v>
      </c>
      <c r="B1614" s="52" t="s">
        <v>479</v>
      </c>
      <c r="C1614" s="46">
        <v>43183</v>
      </c>
      <c r="D1614" s="47" t="s">
        <v>24</v>
      </c>
      <c r="E1614" s="48">
        <v>0.35416666666666663</v>
      </c>
      <c r="F1614" s="48">
        <v>0.72916666666666674</v>
      </c>
      <c r="G1614" s="49">
        <v>0</v>
      </c>
      <c r="H1614" s="49">
        <v>8.0000000000000036</v>
      </c>
      <c r="I1614" s="49">
        <v>8.0000000000000036</v>
      </c>
      <c r="J1614" s="53" t="s">
        <v>52</v>
      </c>
      <c r="K1614" s="51" t="s">
        <v>489</v>
      </c>
      <c r="L1614" s="102" t="s">
        <v>281</v>
      </c>
      <c r="M1614" s="19" t="str">
        <f t="shared" si="39"/>
        <v>Mar_2018</v>
      </c>
    </row>
    <row r="1615" spans="1:13">
      <c r="A1615" s="45" t="s">
        <v>22</v>
      </c>
      <c r="B1615" s="52" t="s">
        <v>484</v>
      </c>
      <c r="C1615" s="46">
        <v>43183</v>
      </c>
      <c r="D1615" s="47" t="s">
        <v>24</v>
      </c>
      <c r="E1615" s="48">
        <v>0.35416666666666663</v>
      </c>
      <c r="F1615" s="48">
        <v>0.72916666666666674</v>
      </c>
      <c r="G1615" s="49">
        <v>0</v>
      </c>
      <c r="H1615" s="49">
        <v>8.0000000000000036</v>
      </c>
      <c r="I1615" s="49">
        <v>8.0000000000000036</v>
      </c>
      <c r="J1615" s="53" t="s">
        <v>52</v>
      </c>
      <c r="K1615" s="51" t="s">
        <v>489</v>
      </c>
      <c r="L1615" s="102" t="s">
        <v>281</v>
      </c>
      <c r="M1615" s="19" t="str">
        <f t="shared" si="39"/>
        <v>Mar_2018</v>
      </c>
    </row>
    <row r="1616" spans="1:13">
      <c r="A1616" s="45" t="s">
        <v>22</v>
      </c>
      <c r="B1616" s="52" t="s">
        <v>485</v>
      </c>
      <c r="C1616" s="46">
        <v>43183</v>
      </c>
      <c r="D1616" s="47" t="s">
        <v>24</v>
      </c>
      <c r="E1616" s="48">
        <v>0.35416666666666663</v>
      </c>
      <c r="F1616" s="48">
        <v>0.72916666666666674</v>
      </c>
      <c r="G1616" s="49">
        <v>0</v>
      </c>
      <c r="H1616" s="49">
        <v>8.0000000000000036</v>
      </c>
      <c r="I1616" s="49">
        <v>8.0000000000000036</v>
      </c>
      <c r="J1616" s="53" t="s">
        <v>52</v>
      </c>
      <c r="K1616" s="51" t="s">
        <v>489</v>
      </c>
      <c r="L1616" s="102" t="s">
        <v>281</v>
      </c>
      <c r="M1616" s="19" t="str">
        <f t="shared" ref="M1616:M1679" si="40">IF($C1616="","",TEXT(DATE(YEAR($C1616),MONTH($C1616),DAY($C1616)),"MMM")&amp;"_"&amp;YEAR($C1616))</f>
        <v>Mar_2018</v>
      </c>
    </row>
    <row r="1617" spans="1:13">
      <c r="A1617" s="45" t="s">
        <v>22</v>
      </c>
      <c r="B1617" s="52" t="s">
        <v>487</v>
      </c>
      <c r="C1617" s="46">
        <v>43183</v>
      </c>
      <c r="D1617" s="47" t="s">
        <v>24</v>
      </c>
      <c r="E1617" s="48">
        <v>0.35416666666666663</v>
      </c>
      <c r="F1617" s="48">
        <v>0.72916666666666674</v>
      </c>
      <c r="G1617" s="49">
        <v>0</v>
      </c>
      <c r="H1617" s="49">
        <v>8.0000000000000036</v>
      </c>
      <c r="I1617" s="49">
        <v>8.0000000000000036</v>
      </c>
      <c r="J1617" s="53" t="s">
        <v>52</v>
      </c>
      <c r="K1617" s="51" t="s">
        <v>489</v>
      </c>
      <c r="L1617" s="102" t="s">
        <v>281</v>
      </c>
      <c r="M1617" s="19" t="str">
        <f t="shared" si="40"/>
        <v>Mar_2018</v>
      </c>
    </row>
    <row r="1618" spans="1:13">
      <c r="A1618" s="45" t="s">
        <v>22</v>
      </c>
      <c r="B1618" s="52" t="s">
        <v>488</v>
      </c>
      <c r="C1618" s="46">
        <v>43183</v>
      </c>
      <c r="D1618" s="47" t="s">
        <v>24</v>
      </c>
      <c r="E1618" s="48">
        <v>0.35416666666666663</v>
      </c>
      <c r="F1618" s="48">
        <v>0.72916666666666674</v>
      </c>
      <c r="G1618" s="49">
        <v>0</v>
      </c>
      <c r="H1618" s="49">
        <v>8.0000000000000036</v>
      </c>
      <c r="I1618" s="49">
        <v>8.0000000000000036</v>
      </c>
      <c r="J1618" s="53" t="s">
        <v>52</v>
      </c>
      <c r="K1618" s="51" t="s">
        <v>489</v>
      </c>
      <c r="L1618" s="102" t="s">
        <v>281</v>
      </c>
      <c r="M1618" s="19" t="str">
        <f t="shared" si="40"/>
        <v>Mar_2018</v>
      </c>
    </row>
    <row r="1619" spans="1:13">
      <c r="A1619" s="45" t="s">
        <v>11</v>
      </c>
      <c r="B1619" s="52" t="s">
        <v>12</v>
      </c>
      <c r="C1619" s="54">
        <v>43184</v>
      </c>
      <c r="D1619" s="47" t="s">
        <v>13</v>
      </c>
      <c r="E1619" s="48">
        <v>0.375</v>
      </c>
      <c r="F1619" s="48">
        <v>0.72916666666666674</v>
      </c>
      <c r="G1619" s="49" t="s">
        <v>281</v>
      </c>
      <c r="H1619" s="49">
        <v>7.5000000000000018</v>
      </c>
      <c r="I1619" s="49">
        <v>7.5000000000000018</v>
      </c>
      <c r="J1619" s="53" t="s">
        <v>52</v>
      </c>
      <c r="K1619" s="51" t="s">
        <v>489</v>
      </c>
      <c r="L1619" s="102" t="s">
        <v>281</v>
      </c>
      <c r="M1619" s="19" t="str">
        <f t="shared" si="40"/>
        <v>Mar_2018</v>
      </c>
    </row>
    <row r="1620" spans="1:13">
      <c r="A1620" s="45" t="s">
        <v>11</v>
      </c>
      <c r="B1620" s="52" t="s">
        <v>19</v>
      </c>
      <c r="C1620" s="46">
        <v>43184</v>
      </c>
      <c r="D1620" s="47" t="s">
        <v>13</v>
      </c>
      <c r="E1620" s="48">
        <v>0.3125</v>
      </c>
      <c r="F1620" s="48">
        <v>0.8125</v>
      </c>
      <c r="G1620" s="49" t="s">
        <v>281</v>
      </c>
      <c r="H1620" s="49">
        <v>11</v>
      </c>
      <c r="I1620" s="49">
        <v>11</v>
      </c>
      <c r="J1620" s="53" t="s">
        <v>52</v>
      </c>
      <c r="K1620" s="51" t="s">
        <v>489</v>
      </c>
      <c r="L1620" s="102" t="s">
        <v>281</v>
      </c>
      <c r="M1620" s="19" t="str">
        <f t="shared" si="40"/>
        <v>Mar_2018</v>
      </c>
    </row>
    <row r="1621" spans="1:13">
      <c r="A1621" s="45" t="s">
        <v>11</v>
      </c>
      <c r="B1621" s="52" t="s">
        <v>26</v>
      </c>
      <c r="C1621" s="46">
        <v>43184</v>
      </c>
      <c r="D1621" s="47" t="s">
        <v>13</v>
      </c>
      <c r="E1621" s="48">
        <v>0.22916666666666669</v>
      </c>
      <c r="F1621" s="48">
        <v>0.89583333333333337</v>
      </c>
      <c r="G1621" s="49" t="s">
        <v>281</v>
      </c>
      <c r="H1621" s="49">
        <v>15</v>
      </c>
      <c r="I1621" s="49">
        <v>15</v>
      </c>
      <c r="J1621" s="53" t="s">
        <v>52</v>
      </c>
      <c r="K1621" s="51" t="s">
        <v>489</v>
      </c>
      <c r="L1621" s="102" t="s">
        <v>281</v>
      </c>
      <c r="M1621" s="19" t="str">
        <f t="shared" si="40"/>
        <v>Mar_2018</v>
      </c>
    </row>
    <row r="1622" spans="1:13">
      <c r="A1622" s="45" t="s">
        <v>11</v>
      </c>
      <c r="B1622" s="52" t="s">
        <v>149</v>
      </c>
      <c r="C1622" s="46">
        <v>43184</v>
      </c>
      <c r="D1622" s="47" t="s">
        <v>13</v>
      </c>
      <c r="E1622" s="48">
        <v>0.35416666666666663</v>
      </c>
      <c r="F1622" s="48">
        <v>0.72916666666666674</v>
      </c>
      <c r="G1622" s="49" t="s">
        <v>281</v>
      </c>
      <c r="H1622" s="49">
        <v>8.0000000000000036</v>
      </c>
      <c r="I1622" s="49">
        <v>8.0000000000000036</v>
      </c>
      <c r="J1622" s="53" t="s">
        <v>52</v>
      </c>
      <c r="K1622" s="51" t="s">
        <v>489</v>
      </c>
      <c r="L1622" s="102" t="s">
        <v>281</v>
      </c>
      <c r="M1622" s="19" t="str">
        <f t="shared" si="40"/>
        <v>Mar_2018</v>
      </c>
    </row>
    <row r="1623" spans="1:13">
      <c r="A1623" s="45" t="s">
        <v>11</v>
      </c>
      <c r="B1623" s="52" t="s">
        <v>161</v>
      </c>
      <c r="C1623" s="46">
        <v>43184</v>
      </c>
      <c r="D1623" s="47" t="s">
        <v>13</v>
      </c>
      <c r="E1623" s="48">
        <v>0.3125</v>
      </c>
      <c r="F1623" s="48">
        <v>0.91666666666666663</v>
      </c>
      <c r="G1623" s="49" t="s">
        <v>281</v>
      </c>
      <c r="H1623" s="49">
        <v>13.5</v>
      </c>
      <c r="I1623" s="49">
        <v>13.5</v>
      </c>
      <c r="J1623" s="53" t="s">
        <v>52</v>
      </c>
      <c r="K1623" s="51" t="s">
        <v>489</v>
      </c>
      <c r="L1623" s="102" t="s">
        <v>281</v>
      </c>
      <c r="M1623" s="19" t="str">
        <f t="shared" si="40"/>
        <v>Mar_2018</v>
      </c>
    </row>
    <row r="1624" spans="1:13">
      <c r="A1624" s="45" t="s">
        <v>22</v>
      </c>
      <c r="B1624" s="52" t="s">
        <v>23</v>
      </c>
      <c r="C1624" s="46">
        <v>43184</v>
      </c>
      <c r="D1624" s="47" t="s">
        <v>13</v>
      </c>
      <c r="E1624" s="48">
        <v>0.35416666666666663</v>
      </c>
      <c r="F1624" s="48">
        <v>0.72916666666666674</v>
      </c>
      <c r="G1624" s="49" t="s">
        <v>281</v>
      </c>
      <c r="H1624" s="49">
        <v>8.0000000000000036</v>
      </c>
      <c r="I1624" s="49">
        <v>8.0000000000000036</v>
      </c>
      <c r="J1624" s="53" t="s">
        <v>52</v>
      </c>
      <c r="K1624" s="51" t="s">
        <v>489</v>
      </c>
      <c r="L1624" s="102" t="s">
        <v>281</v>
      </c>
      <c r="M1624" s="19" t="str">
        <f t="shared" si="40"/>
        <v>Mar_2018</v>
      </c>
    </row>
    <row r="1625" spans="1:13">
      <c r="A1625" s="45" t="s">
        <v>22</v>
      </c>
      <c r="B1625" s="52" t="s">
        <v>78</v>
      </c>
      <c r="C1625" s="46">
        <v>43184</v>
      </c>
      <c r="D1625" s="47" t="s">
        <v>13</v>
      </c>
      <c r="E1625" s="48">
        <v>0.35416666666666663</v>
      </c>
      <c r="F1625" s="48">
        <v>0.72916666666666674</v>
      </c>
      <c r="G1625" s="49" t="s">
        <v>281</v>
      </c>
      <c r="H1625" s="49">
        <v>8.0000000000000036</v>
      </c>
      <c r="I1625" s="49">
        <v>8.0000000000000036</v>
      </c>
      <c r="J1625" s="53" t="s">
        <v>52</v>
      </c>
      <c r="K1625" s="51" t="s">
        <v>489</v>
      </c>
      <c r="L1625" s="102" t="s">
        <v>281</v>
      </c>
      <c r="M1625" s="19" t="str">
        <f t="shared" si="40"/>
        <v>Mar_2018</v>
      </c>
    </row>
    <row r="1626" spans="1:13">
      <c r="A1626" s="45" t="s">
        <v>22</v>
      </c>
      <c r="B1626" s="52" t="s">
        <v>254</v>
      </c>
      <c r="C1626" s="46">
        <v>43184</v>
      </c>
      <c r="D1626" s="47" t="s">
        <v>13</v>
      </c>
      <c r="E1626" s="48">
        <v>0.35416666666666663</v>
      </c>
      <c r="F1626" s="48">
        <v>0.72916666666666674</v>
      </c>
      <c r="G1626" s="49" t="s">
        <v>281</v>
      </c>
      <c r="H1626" s="49">
        <v>8.0000000000000036</v>
      </c>
      <c r="I1626" s="49">
        <v>8.0000000000000036</v>
      </c>
      <c r="J1626" s="53" t="s">
        <v>52</v>
      </c>
      <c r="K1626" s="51" t="s">
        <v>489</v>
      </c>
      <c r="L1626" s="102" t="s">
        <v>281</v>
      </c>
      <c r="M1626" s="19" t="str">
        <f t="shared" si="40"/>
        <v>Mar_2018</v>
      </c>
    </row>
    <row r="1627" spans="1:13">
      <c r="A1627" s="45" t="s">
        <v>22</v>
      </c>
      <c r="B1627" s="52" t="s">
        <v>255</v>
      </c>
      <c r="C1627" s="46">
        <v>43184</v>
      </c>
      <c r="D1627" s="47" t="s">
        <v>13</v>
      </c>
      <c r="E1627" s="48">
        <v>0.35416666666666663</v>
      </c>
      <c r="F1627" s="48">
        <v>0.72916666666666674</v>
      </c>
      <c r="G1627" s="49" t="s">
        <v>281</v>
      </c>
      <c r="H1627" s="49">
        <v>8.0000000000000036</v>
      </c>
      <c r="I1627" s="49">
        <v>8.0000000000000036</v>
      </c>
      <c r="J1627" s="53" t="s">
        <v>52</v>
      </c>
      <c r="K1627" s="51" t="s">
        <v>489</v>
      </c>
      <c r="L1627" s="102" t="s">
        <v>281</v>
      </c>
      <c r="M1627" s="19" t="str">
        <f t="shared" si="40"/>
        <v>Mar_2018</v>
      </c>
    </row>
    <row r="1628" spans="1:13">
      <c r="A1628" s="45" t="s">
        <v>22</v>
      </c>
      <c r="B1628" s="52" t="s">
        <v>27</v>
      </c>
      <c r="C1628" s="46">
        <v>43184</v>
      </c>
      <c r="D1628" s="47" t="s">
        <v>13</v>
      </c>
      <c r="E1628" s="48">
        <v>0.35416666666666663</v>
      </c>
      <c r="F1628" s="48">
        <v>0.72916666666666674</v>
      </c>
      <c r="G1628" s="49" t="s">
        <v>281</v>
      </c>
      <c r="H1628" s="49">
        <v>8.0000000000000036</v>
      </c>
      <c r="I1628" s="49">
        <v>8.0000000000000036</v>
      </c>
      <c r="J1628" s="53" t="s">
        <v>52</v>
      </c>
      <c r="K1628" s="51" t="s">
        <v>489</v>
      </c>
      <c r="L1628" s="102" t="s">
        <v>281</v>
      </c>
      <c r="M1628" s="19" t="str">
        <f t="shared" si="40"/>
        <v>Mar_2018</v>
      </c>
    </row>
    <row r="1629" spans="1:13">
      <c r="A1629" s="45" t="s">
        <v>22</v>
      </c>
      <c r="B1629" s="52" t="s">
        <v>346</v>
      </c>
      <c r="C1629" s="46">
        <v>43184</v>
      </c>
      <c r="D1629" s="47" t="s">
        <v>13</v>
      </c>
      <c r="E1629" s="48">
        <v>0.35416666666666663</v>
      </c>
      <c r="F1629" s="48">
        <v>0.72916666666666674</v>
      </c>
      <c r="G1629" s="49" t="s">
        <v>281</v>
      </c>
      <c r="H1629" s="49">
        <v>8.0000000000000036</v>
      </c>
      <c r="I1629" s="49">
        <v>8.0000000000000036</v>
      </c>
      <c r="J1629" s="53" t="s">
        <v>52</v>
      </c>
      <c r="K1629" s="51" t="s">
        <v>489</v>
      </c>
      <c r="L1629" s="102" t="s">
        <v>281</v>
      </c>
      <c r="M1629" s="19" t="str">
        <f t="shared" si="40"/>
        <v>Mar_2018</v>
      </c>
    </row>
    <row r="1630" spans="1:13">
      <c r="A1630" s="45" t="s">
        <v>22</v>
      </c>
      <c r="B1630" s="52" t="s">
        <v>478</v>
      </c>
      <c r="C1630" s="46">
        <v>43184</v>
      </c>
      <c r="D1630" s="47" t="s">
        <v>13</v>
      </c>
      <c r="E1630" s="48">
        <v>0.35416666666666663</v>
      </c>
      <c r="F1630" s="48">
        <v>0.72916666666666674</v>
      </c>
      <c r="G1630" s="49" t="s">
        <v>281</v>
      </c>
      <c r="H1630" s="49">
        <v>8.0000000000000036</v>
      </c>
      <c r="I1630" s="49">
        <v>8.0000000000000036</v>
      </c>
      <c r="J1630" s="53" t="s">
        <v>52</v>
      </c>
      <c r="K1630" s="51" t="s">
        <v>489</v>
      </c>
      <c r="L1630" s="102" t="s">
        <v>281</v>
      </c>
      <c r="M1630" s="19" t="str">
        <f t="shared" si="40"/>
        <v>Mar_2018</v>
      </c>
    </row>
    <row r="1631" spans="1:13">
      <c r="A1631" s="45" t="s">
        <v>22</v>
      </c>
      <c r="B1631" s="52" t="s">
        <v>479</v>
      </c>
      <c r="C1631" s="46">
        <v>43184</v>
      </c>
      <c r="D1631" s="47" t="s">
        <v>13</v>
      </c>
      <c r="E1631" s="48">
        <v>0.35416666666666663</v>
      </c>
      <c r="F1631" s="48">
        <v>0.72916666666666674</v>
      </c>
      <c r="G1631" s="49" t="s">
        <v>281</v>
      </c>
      <c r="H1631" s="49">
        <v>8.0000000000000036</v>
      </c>
      <c r="I1631" s="49">
        <v>8.0000000000000036</v>
      </c>
      <c r="J1631" s="53" t="s">
        <v>52</v>
      </c>
      <c r="K1631" s="51" t="s">
        <v>489</v>
      </c>
      <c r="L1631" s="102" t="s">
        <v>281</v>
      </c>
      <c r="M1631" s="19" t="str">
        <f t="shared" si="40"/>
        <v>Mar_2018</v>
      </c>
    </row>
    <row r="1632" spans="1:13">
      <c r="A1632" s="45" t="s">
        <v>22</v>
      </c>
      <c r="B1632" s="52" t="s">
        <v>483</v>
      </c>
      <c r="C1632" s="46">
        <v>43184</v>
      </c>
      <c r="D1632" s="47" t="s">
        <v>13</v>
      </c>
      <c r="E1632" s="48">
        <v>0.35416666666666663</v>
      </c>
      <c r="F1632" s="48">
        <v>0.72916666666666674</v>
      </c>
      <c r="G1632" s="49" t="s">
        <v>281</v>
      </c>
      <c r="H1632" s="49">
        <v>8.0000000000000036</v>
      </c>
      <c r="I1632" s="49">
        <v>8.0000000000000036</v>
      </c>
      <c r="J1632" s="53" t="s">
        <v>52</v>
      </c>
      <c r="K1632" s="51" t="s">
        <v>489</v>
      </c>
      <c r="L1632" s="102" t="s">
        <v>281</v>
      </c>
      <c r="M1632" s="19" t="str">
        <f t="shared" si="40"/>
        <v>Mar_2018</v>
      </c>
    </row>
    <row r="1633" spans="1:13">
      <c r="A1633" s="45" t="s">
        <v>22</v>
      </c>
      <c r="B1633" s="52" t="s">
        <v>486</v>
      </c>
      <c r="C1633" s="46">
        <v>43184</v>
      </c>
      <c r="D1633" s="47" t="s">
        <v>13</v>
      </c>
      <c r="E1633" s="48">
        <v>0.35416666666666663</v>
      </c>
      <c r="F1633" s="48">
        <v>0.72916666666666674</v>
      </c>
      <c r="G1633" s="49" t="s">
        <v>281</v>
      </c>
      <c r="H1633" s="49">
        <v>8.0000000000000036</v>
      </c>
      <c r="I1633" s="49">
        <v>8.0000000000000036</v>
      </c>
      <c r="J1633" s="53" t="s">
        <v>52</v>
      </c>
      <c r="K1633" s="51" t="s">
        <v>489</v>
      </c>
      <c r="L1633" s="102" t="s">
        <v>281</v>
      </c>
      <c r="M1633" s="19" t="str">
        <f t="shared" si="40"/>
        <v>Mar_2018</v>
      </c>
    </row>
    <row r="1634" spans="1:13">
      <c r="A1634" s="45" t="s">
        <v>22</v>
      </c>
      <c r="B1634" s="52" t="s">
        <v>487</v>
      </c>
      <c r="C1634" s="46">
        <v>43184</v>
      </c>
      <c r="D1634" s="47" t="s">
        <v>13</v>
      </c>
      <c r="E1634" s="48">
        <v>0.35416666666666663</v>
      </c>
      <c r="F1634" s="48">
        <v>0.72916666666666674</v>
      </c>
      <c r="G1634" s="49" t="s">
        <v>281</v>
      </c>
      <c r="H1634" s="49">
        <v>8.0000000000000036</v>
      </c>
      <c r="I1634" s="49">
        <v>8.0000000000000036</v>
      </c>
      <c r="J1634" s="53" t="s">
        <v>52</v>
      </c>
      <c r="K1634" s="51" t="s">
        <v>489</v>
      </c>
      <c r="L1634" s="102" t="s">
        <v>281</v>
      </c>
      <c r="M1634" s="19" t="str">
        <f t="shared" si="40"/>
        <v>Mar_2018</v>
      </c>
    </row>
    <row r="1635" spans="1:13">
      <c r="A1635" s="45" t="s">
        <v>11</v>
      </c>
      <c r="B1635" s="52" t="s">
        <v>12</v>
      </c>
      <c r="C1635" s="54">
        <v>43185</v>
      </c>
      <c r="D1635" s="47" t="s">
        <v>16</v>
      </c>
      <c r="E1635" s="48">
        <v>0.70833333333333326</v>
      </c>
      <c r="F1635" s="48">
        <v>0.72916666666666674</v>
      </c>
      <c r="G1635" s="49">
        <v>8.0000000000000036</v>
      </c>
      <c r="H1635" s="49">
        <v>0.49999999999999822</v>
      </c>
      <c r="I1635" s="49">
        <v>0.49999999999999822</v>
      </c>
      <c r="J1635" s="53" t="s">
        <v>30</v>
      </c>
      <c r="K1635" s="51" t="s">
        <v>500</v>
      </c>
      <c r="L1635" s="102" t="s">
        <v>281</v>
      </c>
      <c r="M1635" s="19" t="str">
        <f t="shared" si="40"/>
        <v>Mar_2018</v>
      </c>
    </row>
    <row r="1636" spans="1:13">
      <c r="A1636" s="45" t="s">
        <v>11</v>
      </c>
      <c r="B1636" s="52" t="s">
        <v>19</v>
      </c>
      <c r="C1636" s="46">
        <v>43185</v>
      </c>
      <c r="D1636" s="47" t="s">
        <v>16</v>
      </c>
      <c r="E1636" s="48">
        <v>0.64583333333333326</v>
      </c>
      <c r="F1636" s="48">
        <v>0.85416666666666674</v>
      </c>
      <c r="G1636" s="49">
        <v>8.0000000000000036</v>
      </c>
      <c r="H1636" s="49">
        <v>5</v>
      </c>
      <c r="I1636" s="49">
        <v>5</v>
      </c>
      <c r="J1636" s="53" t="s">
        <v>30</v>
      </c>
      <c r="K1636" s="51" t="s">
        <v>500</v>
      </c>
      <c r="L1636" s="102">
        <v>1</v>
      </c>
      <c r="M1636" s="19" t="str">
        <f t="shared" si="40"/>
        <v>Mar_2018</v>
      </c>
    </row>
    <row r="1637" spans="1:13">
      <c r="A1637" s="45" t="s">
        <v>11</v>
      </c>
      <c r="B1637" s="52" t="s">
        <v>26</v>
      </c>
      <c r="C1637" s="46">
        <v>43185</v>
      </c>
      <c r="D1637" s="47" t="s">
        <v>16</v>
      </c>
      <c r="E1637" s="48">
        <v>0.66666666666666674</v>
      </c>
      <c r="F1637" s="48">
        <v>0.91666666666666663</v>
      </c>
      <c r="G1637" s="49">
        <v>8.0000000000000036</v>
      </c>
      <c r="H1637" s="49">
        <v>5.9999999999999964</v>
      </c>
      <c r="I1637" s="49">
        <v>5.9999999999999964</v>
      </c>
      <c r="J1637" s="53" t="s">
        <v>30</v>
      </c>
      <c r="K1637" s="51" t="s">
        <v>500</v>
      </c>
      <c r="L1637" s="102">
        <v>1</v>
      </c>
      <c r="M1637" s="19" t="str">
        <f t="shared" si="40"/>
        <v>Mar_2018</v>
      </c>
    </row>
    <row r="1638" spans="1:13">
      <c r="A1638" s="45" t="s">
        <v>11</v>
      </c>
      <c r="B1638" s="52" t="s">
        <v>149</v>
      </c>
      <c r="C1638" s="46">
        <v>43185</v>
      </c>
      <c r="D1638" s="47" t="s">
        <v>16</v>
      </c>
      <c r="E1638" s="48">
        <v>0.70833333333333326</v>
      </c>
      <c r="F1638" s="48">
        <v>0.72916666666666674</v>
      </c>
      <c r="G1638" s="49">
        <v>8.0000000000000036</v>
      </c>
      <c r="H1638" s="49">
        <v>0.49999999999999822</v>
      </c>
      <c r="I1638" s="49">
        <v>0.49999999999999822</v>
      </c>
      <c r="J1638" s="53" t="s">
        <v>30</v>
      </c>
      <c r="K1638" s="51" t="s">
        <v>500</v>
      </c>
      <c r="L1638" s="102" t="s">
        <v>281</v>
      </c>
      <c r="M1638" s="19" t="str">
        <f t="shared" si="40"/>
        <v>Mar_2018</v>
      </c>
    </row>
    <row r="1639" spans="1:13">
      <c r="A1639" s="45" t="s">
        <v>11</v>
      </c>
      <c r="B1639" s="52" t="s">
        <v>161</v>
      </c>
      <c r="C1639" s="46">
        <v>43185</v>
      </c>
      <c r="D1639" s="47" t="s">
        <v>16</v>
      </c>
      <c r="E1639" s="48">
        <v>0.60416666666666674</v>
      </c>
      <c r="F1639" s="48">
        <v>0.9375</v>
      </c>
      <c r="G1639" s="49">
        <v>8.0000000000000036</v>
      </c>
      <c r="H1639" s="49">
        <v>7.9999999999999964</v>
      </c>
      <c r="I1639" s="49">
        <v>7.9999999999999964</v>
      </c>
      <c r="J1639" s="53" t="s">
        <v>56</v>
      </c>
      <c r="K1639" s="51" t="s">
        <v>500</v>
      </c>
      <c r="L1639" s="102">
        <v>1</v>
      </c>
      <c r="M1639" s="19" t="str">
        <f t="shared" si="40"/>
        <v>Mar_2018</v>
      </c>
    </row>
    <row r="1640" spans="1:13">
      <c r="A1640" s="45" t="s">
        <v>22</v>
      </c>
      <c r="B1640" s="52" t="s">
        <v>23</v>
      </c>
      <c r="C1640" s="46">
        <v>43185</v>
      </c>
      <c r="D1640" s="47" t="s">
        <v>16</v>
      </c>
      <c r="E1640" s="48">
        <v>0.33333333333333331</v>
      </c>
      <c r="F1640" s="48">
        <v>0.72916666666666674</v>
      </c>
      <c r="G1640" s="49">
        <v>0</v>
      </c>
      <c r="H1640" s="49">
        <v>8.5000000000000018</v>
      </c>
      <c r="I1640" s="49">
        <v>8.5000000000000018</v>
      </c>
      <c r="J1640" s="53" t="s">
        <v>30</v>
      </c>
      <c r="K1640" s="51" t="s">
        <v>500</v>
      </c>
      <c r="L1640" s="102" t="s">
        <v>281</v>
      </c>
      <c r="M1640" s="19" t="str">
        <f t="shared" si="40"/>
        <v>Mar_2018</v>
      </c>
    </row>
    <row r="1641" spans="1:13">
      <c r="A1641" s="45" t="s">
        <v>22</v>
      </c>
      <c r="B1641" s="52" t="s">
        <v>254</v>
      </c>
      <c r="C1641" s="46">
        <v>43185</v>
      </c>
      <c r="D1641" s="47" t="s">
        <v>16</v>
      </c>
      <c r="E1641" s="48">
        <v>0.33333333333333331</v>
      </c>
      <c r="F1641" s="48">
        <v>0.72916666666666674</v>
      </c>
      <c r="G1641" s="49">
        <v>0</v>
      </c>
      <c r="H1641" s="49">
        <v>8.5000000000000018</v>
      </c>
      <c r="I1641" s="49">
        <v>8.5000000000000018</v>
      </c>
      <c r="J1641" s="53" t="s">
        <v>30</v>
      </c>
      <c r="K1641" s="51" t="s">
        <v>500</v>
      </c>
      <c r="L1641" s="102" t="s">
        <v>281</v>
      </c>
      <c r="M1641" s="19" t="str">
        <f t="shared" si="40"/>
        <v>Mar_2018</v>
      </c>
    </row>
    <row r="1642" spans="1:13">
      <c r="A1642" s="45" t="s">
        <v>22</v>
      </c>
      <c r="B1642" s="52" t="s">
        <v>27</v>
      </c>
      <c r="C1642" s="46">
        <v>43185</v>
      </c>
      <c r="D1642" s="47" t="s">
        <v>16</v>
      </c>
      <c r="E1642" s="48">
        <v>0.33333333333333331</v>
      </c>
      <c r="F1642" s="48">
        <v>0.72916666666666674</v>
      </c>
      <c r="G1642" s="49">
        <v>0</v>
      </c>
      <c r="H1642" s="49">
        <v>8.5000000000000018</v>
      </c>
      <c r="I1642" s="49">
        <v>8.5000000000000018</v>
      </c>
      <c r="J1642" s="53" t="s">
        <v>30</v>
      </c>
      <c r="K1642" s="51" t="s">
        <v>500</v>
      </c>
      <c r="L1642" s="102" t="s">
        <v>281</v>
      </c>
      <c r="M1642" s="19" t="str">
        <f t="shared" si="40"/>
        <v>Mar_2018</v>
      </c>
    </row>
    <row r="1643" spans="1:13">
      <c r="A1643" s="45" t="s">
        <v>22</v>
      </c>
      <c r="B1643" s="52" t="s">
        <v>478</v>
      </c>
      <c r="C1643" s="46">
        <v>43185</v>
      </c>
      <c r="D1643" s="47" t="s">
        <v>16</v>
      </c>
      <c r="E1643" s="48">
        <v>0.35416666666666663</v>
      </c>
      <c r="F1643" s="48">
        <v>0.72916666666666674</v>
      </c>
      <c r="G1643" s="49">
        <v>0</v>
      </c>
      <c r="H1643" s="49">
        <v>8.0000000000000036</v>
      </c>
      <c r="I1643" s="49">
        <v>8.0000000000000036</v>
      </c>
      <c r="J1643" s="53" t="s">
        <v>30</v>
      </c>
      <c r="K1643" s="51" t="s">
        <v>489</v>
      </c>
      <c r="L1643" s="102" t="s">
        <v>281</v>
      </c>
      <c r="M1643" s="19" t="str">
        <f t="shared" si="40"/>
        <v>Mar_2018</v>
      </c>
    </row>
    <row r="1644" spans="1:13">
      <c r="A1644" s="45" t="s">
        <v>22</v>
      </c>
      <c r="B1644" s="52" t="s">
        <v>479</v>
      </c>
      <c r="C1644" s="46">
        <v>43185</v>
      </c>
      <c r="D1644" s="47" t="s">
        <v>16</v>
      </c>
      <c r="E1644" s="48">
        <v>0.35416666666666663</v>
      </c>
      <c r="F1644" s="48">
        <v>0.72916666666666674</v>
      </c>
      <c r="G1644" s="49">
        <v>0</v>
      </c>
      <c r="H1644" s="49">
        <v>8.0000000000000036</v>
      </c>
      <c r="I1644" s="49">
        <v>8.0000000000000036</v>
      </c>
      <c r="J1644" s="53" t="s">
        <v>30</v>
      </c>
      <c r="K1644" s="51" t="s">
        <v>489</v>
      </c>
      <c r="L1644" s="102" t="s">
        <v>281</v>
      </c>
      <c r="M1644" s="19" t="str">
        <f t="shared" si="40"/>
        <v>Mar_2018</v>
      </c>
    </row>
    <row r="1645" spans="1:13">
      <c r="A1645" s="45" t="s">
        <v>22</v>
      </c>
      <c r="B1645" s="52" t="s">
        <v>480</v>
      </c>
      <c r="C1645" s="46">
        <v>43185</v>
      </c>
      <c r="D1645" s="47" t="s">
        <v>16</v>
      </c>
      <c r="E1645" s="48">
        <v>0.35416666666666663</v>
      </c>
      <c r="F1645" s="48">
        <v>0.72916666666666674</v>
      </c>
      <c r="G1645" s="49">
        <v>0</v>
      </c>
      <c r="H1645" s="49">
        <v>8.0000000000000036</v>
      </c>
      <c r="I1645" s="49">
        <v>8.0000000000000036</v>
      </c>
      <c r="J1645" s="53" t="s">
        <v>30</v>
      </c>
      <c r="K1645" s="51" t="s">
        <v>489</v>
      </c>
      <c r="L1645" s="102" t="s">
        <v>281</v>
      </c>
      <c r="M1645" s="19" t="str">
        <f t="shared" si="40"/>
        <v>Mar_2018</v>
      </c>
    </row>
    <row r="1646" spans="1:13">
      <c r="A1646" s="45" t="s">
        <v>22</v>
      </c>
      <c r="B1646" s="52" t="s">
        <v>481</v>
      </c>
      <c r="C1646" s="46">
        <v>43185</v>
      </c>
      <c r="D1646" s="47" t="s">
        <v>16</v>
      </c>
      <c r="E1646" s="48">
        <v>0.35416666666666663</v>
      </c>
      <c r="F1646" s="48">
        <v>0.72916666666666674</v>
      </c>
      <c r="G1646" s="49">
        <v>0</v>
      </c>
      <c r="H1646" s="49">
        <v>8.0000000000000036</v>
      </c>
      <c r="I1646" s="49">
        <v>8.0000000000000036</v>
      </c>
      <c r="J1646" s="53" t="s">
        <v>30</v>
      </c>
      <c r="K1646" s="51" t="s">
        <v>489</v>
      </c>
      <c r="L1646" s="102" t="s">
        <v>281</v>
      </c>
      <c r="M1646" s="19" t="str">
        <f t="shared" si="40"/>
        <v>Mar_2018</v>
      </c>
    </row>
    <row r="1647" spans="1:13">
      <c r="A1647" s="45" t="s">
        <v>22</v>
      </c>
      <c r="B1647" s="52" t="s">
        <v>482</v>
      </c>
      <c r="C1647" s="46">
        <v>43185</v>
      </c>
      <c r="D1647" s="47" t="s">
        <v>16</v>
      </c>
      <c r="E1647" s="48">
        <v>0.35416666666666663</v>
      </c>
      <c r="F1647" s="48">
        <v>0.72916666666666674</v>
      </c>
      <c r="G1647" s="49">
        <v>0</v>
      </c>
      <c r="H1647" s="49">
        <v>8.0000000000000036</v>
      </c>
      <c r="I1647" s="49">
        <v>8.0000000000000036</v>
      </c>
      <c r="J1647" s="53" t="s">
        <v>30</v>
      </c>
      <c r="K1647" s="51" t="s">
        <v>489</v>
      </c>
      <c r="L1647" s="102" t="s">
        <v>281</v>
      </c>
      <c r="M1647" s="19" t="str">
        <f t="shared" si="40"/>
        <v>Mar_2018</v>
      </c>
    </row>
    <row r="1648" spans="1:13">
      <c r="A1648" s="45" t="s">
        <v>22</v>
      </c>
      <c r="B1648" s="52" t="s">
        <v>483</v>
      </c>
      <c r="C1648" s="46">
        <v>43185</v>
      </c>
      <c r="D1648" s="47" t="s">
        <v>16</v>
      </c>
      <c r="E1648" s="48">
        <v>0.35416666666666663</v>
      </c>
      <c r="F1648" s="48">
        <v>0.72916666666666674</v>
      </c>
      <c r="G1648" s="49">
        <v>0</v>
      </c>
      <c r="H1648" s="49">
        <v>8.0000000000000036</v>
      </c>
      <c r="I1648" s="49">
        <v>8.0000000000000036</v>
      </c>
      <c r="J1648" s="53" t="s">
        <v>30</v>
      </c>
      <c r="K1648" s="51" t="s">
        <v>489</v>
      </c>
      <c r="L1648" s="102" t="s">
        <v>281</v>
      </c>
      <c r="M1648" s="19" t="str">
        <f t="shared" si="40"/>
        <v>Mar_2018</v>
      </c>
    </row>
    <row r="1649" spans="1:13">
      <c r="A1649" s="45" t="s">
        <v>22</v>
      </c>
      <c r="B1649" s="52" t="s">
        <v>484</v>
      </c>
      <c r="C1649" s="46">
        <v>43185</v>
      </c>
      <c r="D1649" s="47" t="s">
        <v>16</v>
      </c>
      <c r="E1649" s="48">
        <v>0.35416666666666663</v>
      </c>
      <c r="F1649" s="48">
        <v>0.72916666666666674</v>
      </c>
      <c r="G1649" s="49">
        <v>0</v>
      </c>
      <c r="H1649" s="49">
        <v>8.0000000000000036</v>
      </c>
      <c r="I1649" s="49">
        <v>8.0000000000000036</v>
      </c>
      <c r="J1649" s="53" t="s">
        <v>30</v>
      </c>
      <c r="K1649" s="51" t="s">
        <v>489</v>
      </c>
      <c r="L1649" s="102" t="s">
        <v>281</v>
      </c>
      <c r="M1649" s="19" t="str">
        <f t="shared" si="40"/>
        <v>Mar_2018</v>
      </c>
    </row>
    <row r="1650" spans="1:13">
      <c r="A1650" s="45" t="s">
        <v>22</v>
      </c>
      <c r="B1650" s="52" t="s">
        <v>485</v>
      </c>
      <c r="C1650" s="46">
        <v>43185</v>
      </c>
      <c r="D1650" s="47" t="s">
        <v>16</v>
      </c>
      <c r="E1650" s="48">
        <v>0.35416666666666663</v>
      </c>
      <c r="F1650" s="48">
        <v>0.72916666666666674</v>
      </c>
      <c r="G1650" s="49">
        <v>0</v>
      </c>
      <c r="H1650" s="49">
        <v>8.0000000000000036</v>
      </c>
      <c r="I1650" s="49">
        <v>8.0000000000000036</v>
      </c>
      <c r="J1650" s="53" t="s">
        <v>30</v>
      </c>
      <c r="K1650" s="51" t="s">
        <v>489</v>
      </c>
      <c r="L1650" s="102" t="s">
        <v>281</v>
      </c>
      <c r="M1650" s="19" t="str">
        <f t="shared" si="40"/>
        <v>Mar_2018</v>
      </c>
    </row>
    <row r="1651" spans="1:13">
      <c r="A1651" s="45" t="s">
        <v>22</v>
      </c>
      <c r="B1651" s="52" t="s">
        <v>486</v>
      </c>
      <c r="C1651" s="46">
        <v>43185</v>
      </c>
      <c r="D1651" s="47" t="s">
        <v>16</v>
      </c>
      <c r="E1651" s="48">
        <v>0.35416666666666663</v>
      </c>
      <c r="F1651" s="48">
        <v>0.72916666666666674</v>
      </c>
      <c r="G1651" s="49">
        <v>0</v>
      </c>
      <c r="H1651" s="49">
        <v>8.0000000000000036</v>
      </c>
      <c r="I1651" s="49">
        <v>8.0000000000000036</v>
      </c>
      <c r="J1651" s="53" t="s">
        <v>30</v>
      </c>
      <c r="K1651" s="51" t="s">
        <v>489</v>
      </c>
      <c r="L1651" s="102" t="s">
        <v>281</v>
      </c>
      <c r="M1651" s="19" t="str">
        <f t="shared" si="40"/>
        <v>Mar_2018</v>
      </c>
    </row>
    <row r="1652" spans="1:13">
      <c r="A1652" s="45" t="s">
        <v>22</v>
      </c>
      <c r="B1652" s="52" t="s">
        <v>487</v>
      </c>
      <c r="C1652" s="46">
        <v>43185</v>
      </c>
      <c r="D1652" s="47" t="s">
        <v>16</v>
      </c>
      <c r="E1652" s="48">
        <v>0.35416666666666663</v>
      </c>
      <c r="F1652" s="48">
        <v>0.72916666666666674</v>
      </c>
      <c r="G1652" s="49">
        <v>0</v>
      </c>
      <c r="H1652" s="49">
        <v>8.0000000000000036</v>
      </c>
      <c r="I1652" s="49">
        <v>8.0000000000000036</v>
      </c>
      <c r="J1652" s="53" t="s">
        <v>30</v>
      </c>
      <c r="K1652" s="51" t="s">
        <v>489</v>
      </c>
      <c r="L1652" s="102" t="s">
        <v>281</v>
      </c>
      <c r="M1652" s="19" t="str">
        <f t="shared" si="40"/>
        <v>Mar_2018</v>
      </c>
    </row>
    <row r="1653" spans="1:13">
      <c r="A1653" s="45" t="s">
        <v>22</v>
      </c>
      <c r="B1653" s="52" t="s">
        <v>488</v>
      </c>
      <c r="C1653" s="46">
        <v>43185</v>
      </c>
      <c r="D1653" s="47" t="s">
        <v>16</v>
      </c>
      <c r="E1653" s="48">
        <v>0.35416666666666663</v>
      </c>
      <c r="F1653" s="48">
        <v>0.72916666666666674</v>
      </c>
      <c r="G1653" s="49">
        <v>0</v>
      </c>
      <c r="H1653" s="49">
        <v>8.0000000000000036</v>
      </c>
      <c r="I1653" s="49">
        <v>8.0000000000000036</v>
      </c>
      <c r="J1653" s="53" t="s">
        <v>30</v>
      </c>
      <c r="K1653" s="51" t="s">
        <v>489</v>
      </c>
      <c r="L1653" s="102" t="s">
        <v>281</v>
      </c>
      <c r="M1653" s="19" t="str">
        <f t="shared" si="40"/>
        <v>Mar_2018</v>
      </c>
    </row>
    <row r="1654" spans="1:13">
      <c r="A1654" s="45" t="s">
        <v>11</v>
      </c>
      <c r="B1654" s="52" t="s">
        <v>12</v>
      </c>
      <c r="C1654" s="54">
        <v>43186</v>
      </c>
      <c r="D1654" s="47" t="s">
        <v>14</v>
      </c>
      <c r="E1654" s="48">
        <v>0.70833333333333326</v>
      </c>
      <c r="F1654" s="48">
        <v>0.875</v>
      </c>
      <c r="G1654" s="49">
        <v>8.0000000000000036</v>
      </c>
      <c r="H1654" s="49">
        <v>3.9999999999999982</v>
      </c>
      <c r="I1654" s="49">
        <v>3.9999999999999982</v>
      </c>
      <c r="J1654" s="53" t="s">
        <v>30</v>
      </c>
      <c r="K1654" s="51" t="s">
        <v>502</v>
      </c>
      <c r="L1654" s="102">
        <v>1</v>
      </c>
      <c r="M1654" s="19" t="str">
        <f t="shared" si="40"/>
        <v>Mar_2018</v>
      </c>
    </row>
    <row r="1655" spans="1:13">
      <c r="A1655" s="45" t="s">
        <v>11</v>
      </c>
      <c r="B1655" s="52" t="s">
        <v>19</v>
      </c>
      <c r="C1655" s="46">
        <v>43186</v>
      </c>
      <c r="D1655" s="47" t="s">
        <v>14</v>
      </c>
      <c r="E1655" s="48">
        <v>0.70833333333333326</v>
      </c>
      <c r="F1655" s="48">
        <v>0.83333333333333337</v>
      </c>
      <c r="G1655" s="49">
        <v>8.0000000000000036</v>
      </c>
      <c r="H1655" s="49">
        <v>2.9999999999999964</v>
      </c>
      <c r="I1655" s="49">
        <v>2.9999999999999964</v>
      </c>
      <c r="J1655" s="53" t="s">
        <v>30</v>
      </c>
      <c r="K1655" s="51" t="s">
        <v>503</v>
      </c>
      <c r="L1655" s="102">
        <v>1</v>
      </c>
      <c r="M1655" s="19" t="str">
        <f t="shared" si="40"/>
        <v>Mar_2018</v>
      </c>
    </row>
    <row r="1656" spans="1:13">
      <c r="A1656" s="45" t="s">
        <v>11</v>
      </c>
      <c r="B1656" s="52" t="s">
        <v>26</v>
      </c>
      <c r="C1656" s="46">
        <v>43186</v>
      </c>
      <c r="D1656" s="47" t="s">
        <v>14</v>
      </c>
      <c r="E1656" s="48">
        <v>0.70833333333333326</v>
      </c>
      <c r="F1656" s="48">
        <v>0.875</v>
      </c>
      <c r="G1656" s="49">
        <v>8.0000000000000036</v>
      </c>
      <c r="H1656" s="49">
        <v>3.9999999999999982</v>
      </c>
      <c r="I1656" s="49">
        <v>3.9999999999999982</v>
      </c>
      <c r="J1656" s="53" t="s">
        <v>30</v>
      </c>
      <c r="K1656" s="51" t="s">
        <v>503</v>
      </c>
      <c r="L1656" s="102">
        <v>1</v>
      </c>
      <c r="M1656" s="19" t="str">
        <f t="shared" si="40"/>
        <v>Mar_2018</v>
      </c>
    </row>
    <row r="1657" spans="1:13">
      <c r="A1657" s="45" t="s">
        <v>11</v>
      </c>
      <c r="B1657" s="52" t="s">
        <v>149</v>
      </c>
      <c r="C1657" s="46">
        <v>43186</v>
      </c>
      <c r="D1657" s="47" t="s">
        <v>14</v>
      </c>
      <c r="E1657" s="48">
        <v>0.70833333333333326</v>
      </c>
      <c r="F1657" s="48">
        <v>0.875</v>
      </c>
      <c r="G1657" s="49">
        <v>8.0000000000000036</v>
      </c>
      <c r="H1657" s="49">
        <v>3.9999999999999982</v>
      </c>
      <c r="I1657" s="49">
        <v>3.9999999999999982</v>
      </c>
      <c r="J1657" s="53" t="s">
        <v>30</v>
      </c>
      <c r="K1657" s="51" t="s">
        <v>503</v>
      </c>
      <c r="L1657" s="102">
        <v>1</v>
      </c>
      <c r="M1657" s="19" t="str">
        <f t="shared" si="40"/>
        <v>Mar_2018</v>
      </c>
    </row>
    <row r="1658" spans="1:13">
      <c r="A1658" s="45" t="s">
        <v>11</v>
      </c>
      <c r="B1658" s="52" t="s">
        <v>161</v>
      </c>
      <c r="C1658" s="46">
        <v>43186</v>
      </c>
      <c r="D1658" s="47" t="s">
        <v>14</v>
      </c>
      <c r="E1658" s="48">
        <v>0.70833333333333326</v>
      </c>
      <c r="F1658" s="48">
        <v>0.875</v>
      </c>
      <c r="G1658" s="49">
        <v>8.0000000000000036</v>
      </c>
      <c r="H1658" s="49">
        <v>3.9999999999999982</v>
      </c>
      <c r="I1658" s="49">
        <v>3.9999999999999982</v>
      </c>
      <c r="J1658" s="53" t="s">
        <v>30</v>
      </c>
      <c r="K1658" s="51" t="s">
        <v>503</v>
      </c>
      <c r="L1658" s="102">
        <v>1</v>
      </c>
      <c r="M1658" s="19" t="str">
        <f t="shared" si="40"/>
        <v>Mar_2018</v>
      </c>
    </row>
    <row r="1659" spans="1:13">
      <c r="A1659" s="45" t="s">
        <v>22</v>
      </c>
      <c r="B1659" s="52" t="s">
        <v>23</v>
      </c>
      <c r="C1659" s="46">
        <v>43186</v>
      </c>
      <c r="D1659" s="47" t="s">
        <v>14</v>
      </c>
      <c r="E1659" s="48">
        <v>0.33333333333333331</v>
      </c>
      <c r="F1659" s="48">
        <v>0.875</v>
      </c>
      <c r="G1659" s="49">
        <v>0</v>
      </c>
      <c r="H1659" s="49">
        <v>12.000000000000002</v>
      </c>
      <c r="I1659" s="49">
        <v>12.000000000000002</v>
      </c>
      <c r="J1659" s="53" t="s">
        <v>30</v>
      </c>
      <c r="K1659" s="51" t="s">
        <v>503</v>
      </c>
      <c r="L1659" s="102" t="s">
        <v>281</v>
      </c>
      <c r="M1659" s="19" t="str">
        <f t="shared" si="40"/>
        <v>Mar_2018</v>
      </c>
    </row>
    <row r="1660" spans="1:13">
      <c r="A1660" s="45" t="s">
        <v>22</v>
      </c>
      <c r="B1660" s="52" t="s">
        <v>78</v>
      </c>
      <c r="C1660" s="46">
        <v>43186</v>
      </c>
      <c r="D1660" s="47" t="s">
        <v>14</v>
      </c>
      <c r="E1660" s="48">
        <v>0.52083333333333337</v>
      </c>
      <c r="F1660" s="48">
        <v>0.875</v>
      </c>
      <c r="G1660" s="49">
        <v>0</v>
      </c>
      <c r="H1660" s="49">
        <v>8.5</v>
      </c>
      <c r="I1660" s="49">
        <v>8.5</v>
      </c>
      <c r="J1660" s="53" t="s">
        <v>30</v>
      </c>
      <c r="K1660" s="51" t="s">
        <v>489</v>
      </c>
      <c r="L1660" s="102" t="s">
        <v>281</v>
      </c>
      <c r="M1660" s="19" t="str">
        <f t="shared" si="40"/>
        <v>Mar_2018</v>
      </c>
    </row>
    <row r="1661" spans="1:13">
      <c r="A1661" s="45" t="s">
        <v>22</v>
      </c>
      <c r="B1661" s="52" t="s">
        <v>254</v>
      </c>
      <c r="C1661" s="46">
        <v>43186</v>
      </c>
      <c r="D1661" s="47" t="s">
        <v>14</v>
      </c>
      <c r="E1661" s="48">
        <v>0.33333333333333331</v>
      </c>
      <c r="F1661" s="48">
        <v>0.875</v>
      </c>
      <c r="G1661" s="49">
        <v>0</v>
      </c>
      <c r="H1661" s="49">
        <v>12.000000000000002</v>
      </c>
      <c r="I1661" s="49">
        <v>12.000000000000002</v>
      </c>
      <c r="J1661" s="53" t="s">
        <v>30</v>
      </c>
      <c r="K1661" s="51" t="s">
        <v>503</v>
      </c>
      <c r="L1661" s="102" t="s">
        <v>281</v>
      </c>
      <c r="M1661" s="19" t="str">
        <f t="shared" si="40"/>
        <v>Mar_2018</v>
      </c>
    </row>
    <row r="1662" spans="1:13">
      <c r="A1662" s="45" t="s">
        <v>22</v>
      </c>
      <c r="B1662" s="52" t="s">
        <v>255</v>
      </c>
      <c r="C1662" s="46">
        <v>43186</v>
      </c>
      <c r="D1662" s="47" t="s">
        <v>14</v>
      </c>
      <c r="E1662" s="48">
        <v>0.33333333333333331</v>
      </c>
      <c r="F1662" s="48">
        <v>0.875</v>
      </c>
      <c r="G1662" s="49">
        <v>0</v>
      </c>
      <c r="H1662" s="49">
        <v>12.000000000000002</v>
      </c>
      <c r="I1662" s="49">
        <v>12.000000000000002</v>
      </c>
      <c r="J1662" s="53" t="s">
        <v>30</v>
      </c>
      <c r="K1662" s="51" t="s">
        <v>503</v>
      </c>
      <c r="L1662" s="102" t="s">
        <v>281</v>
      </c>
      <c r="M1662" s="19" t="str">
        <f t="shared" si="40"/>
        <v>Mar_2018</v>
      </c>
    </row>
    <row r="1663" spans="1:13">
      <c r="A1663" s="45" t="s">
        <v>22</v>
      </c>
      <c r="B1663" s="52" t="s">
        <v>27</v>
      </c>
      <c r="C1663" s="46">
        <v>43186</v>
      </c>
      <c r="D1663" s="47" t="s">
        <v>14</v>
      </c>
      <c r="E1663" s="48">
        <v>0.33333333333333331</v>
      </c>
      <c r="F1663" s="48">
        <v>0.875</v>
      </c>
      <c r="G1663" s="49">
        <v>0</v>
      </c>
      <c r="H1663" s="49">
        <v>12.000000000000002</v>
      </c>
      <c r="I1663" s="49">
        <v>12.000000000000002</v>
      </c>
      <c r="J1663" s="53" t="s">
        <v>30</v>
      </c>
      <c r="K1663" s="51" t="s">
        <v>489</v>
      </c>
      <c r="L1663" s="102" t="s">
        <v>281</v>
      </c>
      <c r="M1663" s="19" t="str">
        <f t="shared" si="40"/>
        <v>Mar_2018</v>
      </c>
    </row>
    <row r="1664" spans="1:13">
      <c r="A1664" s="45" t="s">
        <v>22</v>
      </c>
      <c r="B1664" s="52" t="s">
        <v>346</v>
      </c>
      <c r="C1664" s="46">
        <v>43186</v>
      </c>
      <c r="D1664" s="47" t="s">
        <v>14</v>
      </c>
      <c r="E1664" s="48">
        <v>0.33333333333333331</v>
      </c>
      <c r="F1664" s="48">
        <v>0.875</v>
      </c>
      <c r="G1664" s="49">
        <v>0</v>
      </c>
      <c r="H1664" s="49">
        <v>12.000000000000002</v>
      </c>
      <c r="I1664" s="49">
        <v>12.000000000000002</v>
      </c>
      <c r="J1664" s="53" t="s">
        <v>30</v>
      </c>
      <c r="K1664" s="51" t="s">
        <v>489</v>
      </c>
      <c r="L1664" s="102" t="s">
        <v>281</v>
      </c>
      <c r="M1664" s="19" t="str">
        <f t="shared" si="40"/>
        <v>Mar_2018</v>
      </c>
    </row>
    <row r="1665" spans="1:13">
      <c r="A1665" s="45" t="s">
        <v>22</v>
      </c>
      <c r="B1665" s="52" t="s">
        <v>478</v>
      </c>
      <c r="C1665" s="46">
        <v>43186</v>
      </c>
      <c r="D1665" s="47" t="s">
        <v>14</v>
      </c>
      <c r="E1665" s="48">
        <v>0.35416666666666663</v>
      </c>
      <c r="F1665" s="48">
        <v>0.72916666666666674</v>
      </c>
      <c r="G1665" s="49">
        <v>0</v>
      </c>
      <c r="H1665" s="49">
        <v>8.0000000000000036</v>
      </c>
      <c r="I1665" s="49">
        <v>8.0000000000000036</v>
      </c>
      <c r="J1665" s="53" t="s">
        <v>30</v>
      </c>
      <c r="K1665" s="51" t="s">
        <v>489</v>
      </c>
      <c r="L1665" s="102" t="s">
        <v>281</v>
      </c>
      <c r="M1665" s="19" t="str">
        <f t="shared" si="40"/>
        <v>Mar_2018</v>
      </c>
    </row>
    <row r="1666" spans="1:13">
      <c r="A1666" s="45" t="s">
        <v>22</v>
      </c>
      <c r="B1666" s="52" t="s">
        <v>479</v>
      </c>
      <c r="C1666" s="46">
        <v>43186</v>
      </c>
      <c r="D1666" s="47" t="s">
        <v>14</v>
      </c>
      <c r="E1666" s="48">
        <v>0.35416666666666663</v>
      </c>
      <c r="F1666" s="48">
        <v>0.72916666666666674</v>
      </c>
      <c r="G1666" s="49">
        <v>0</v>
      </c>
      <c r="H1666" s="49">
        <v>8.0000000000000036</v>
      </c>
      <c r="I1666" s="49">
        <v>8.0000000000000036</v>
      </c>
      <c r="J1666" s="53" t="s">
        <v>30</v>
      </c>
      <c r="K1666" s="51" t="s">
        <v>489</v>
      </c>
      <c r="L1666" s="102" t="s">
        <v>281</v>
      </c>
      <c r="M1666" s="19" t="str">
        <f t="shared" si="40"/>
        <v>Mar_2018</v>
      </c>
    </row>
    <row r="1667" spans="1:13">
      <c r="A1667" s="45" t="s">
        <v>22</v>
      </c>
      <c r="B1667" s="52" t="s">
        <v>480</v>
      </c>
      <c r="C1667" s="46">
        <v>43186</v>
      </c>
      <c r="D1667" s="47" t="s">
        <v>14</v>
      </c>
      <c r="E1667" s="48">
        <v>0.35416666666666663</v>
      </c>
      <c r="F1667" s="48">
        <v>0.72916666666666674</v>
      </c>
      <c r="G1667" s="49">
        <v>0</v>
      </c>
      <c r="H1667" s="49">
        <v>8.0000000000000036</v>
      </c>
      <c r="I1667" s="49">
        <v>8.0000000000000036</v>
      </c>
      <c r="J1667" s="53" t="s">
        <v>30</v>
      </c>
      <c r="K1667" s="51" t="s">
        <v>489</v>
      </c>
      <c r="L1667" s="102" t="s">
        <v>281</v>
      </c>
      <c r="M1667" s="19" t="str">
        <f t="shared" si="40"/>
        <v>Mar_2018</v>
      </c>
    </row>
    <row r="1668" spans="1:13">
      <c r="A1668" s="45" t="s">
        <v>22</v>
      </c>
      <c r="B1668" s="52" t="s">
        <v>481</v>
      </c>
      <c r="C1668" s="46">
        <v>43186</v>
      </c>
      <c r="D1668" s="47" t="s">
        <v>14</v>
      </c>
      <c r="E1668" s="48">
        <v>0.35416666666666663</v>
      </c>
      <c r="F1668" s="48">
        <v>0.72916666666666674</v>
      </c>
      <c r="G1668" s="49">
        <v>0</v>
      </c>
      <c r="H1668" s="49">
        <v>8.0000000000000036</v>
      </c>
      <c r="I1668" s="49">
        <v>8.0000000000000036</v>
      </c>
      <c r="J1668" s="53" t="s">
        <v>30</v>
      </c>
      <c r="K1668" s="51" t="s">
        <v>489</v>
      </c>
      <c r="L1668" s="102" t="s">
        <v>281</v>
      </c>
      <c r="M1668" s="19" t="str">
        <f t="shared" si="40"/>
        <v>Mar_2018</v>
      </c>
    </row>
    <row r="1669" spans="1:13">
      <c r="A1669" s="45" t="s">
        <v>22</v>
      </c>
      <c r="B1669" s="52" t="s">
        <v>482</v>
      </c>
      <c r="C1669" s="46">
        <v>43186</v>
      </c>
      <c r="D1669" s="47" t="s">
        <v>14</v>
      </c>
      <c r="E1669" s="48">
        <v>0.35416666666666663</v>
      </c>
      <c r="F1669" s="48">
        <v>0.72916666666666674</v>
      </c>
      <c r="G1669" s="49">
        <v>0</v>
      </c>
      <c r="H1669" s="49">
        <v>8.0000000000000036</v>
      </c>
      <c r="I1669" s="49">
        <v>8.0000000000000036</v>
      </c>
      <c r="J1669" s="53" t="s">
        <v>30</v>
      </c>
      <c r="K1669" s="51" t="s">
        <v>489</v>
      </c>
      <c r="L1669" s="102" t="s">
        <v>281</v>
      </c>
      <c r="M1669" s="19" t="str">
        <f t="shared" si="40"/>
        <v>Mar_2018</v>
      </c>
    </row>
    <row r="1670" spans="1:13">
      <c r="A1670" s="45" t="s">
        <v>22</v>
      </c>
      <c r="B1670" s="52" t="s">
        <v>483</v>
      </c>
      <c r="C1670" s="46">
        <v>43186</v>
      </c>
      <c r="D1670" s="47" t="s">
        <v>14</v>
      </c>
      <c r="E1670" s="48">
        <v>0.35416666666666663</v>
      </c>
      <c r="F1670" s="48">
        <v>0.72916666666666674</v>
      </c>
      <c r="G1670" s="49">
        <v>0</v>
      </c>
      <c r="H1670" s="49">
        <v>8.0000000000000036</v>
      </c>
      <c r="I1670" s="49">
        <v>8.0000000000000036</v>
      </c>
      <c r="J1670" s="53" t="s">
        <v>30</v>
      </c>
      <c r="K1670" s="51" t="s">
        <v>489</v>
      </c>
      <c r="L1670" s="102" t="s">
        <v>281</v>
      </c>
      <c r="M1670" s="19" t="str">
        <f t="shared" si="40"/>
        <v>Mar_2018</v>
      </c>
    </row>
    <row r="1671" spans="1:13">
      <c r="A1671" s="45" t="s">
        <v>22</v>
      </c>
      <c r="B1671" s="52" t="s">
        <v>484</v>
      </c>
      <c r="C1671" s="46">
        <v>43186</v>
      </c>
      <c r="D1671" s="47" t="s">
        <v>14</v>
      </c>
      <c r="E1671" s="48">
        <v>0.35416666666666663</v>
      </c>
      <c r="F1671" s="48">
        <v>0.72916666666666674</v>
      </c>
      <c r="G1671" s="49">
        <v>0</v>
      </c>
      <c r="H1671" s="49">
        <v>8.0000000000000036</v>
      </c>
      <c r="I1671" s="49">
        <v>8.0000000000000036</v>
      </c>
      <c r="J1671" s="53" t="s">
        <v>30</v>
      </c>
      <c r="K1671" s="51" t="s">
        <v>489</v>
      </c>
      <c r="L1671" s="102" t="s">
        <v>281</v>
      </c>
      <c r="M1671" s="19" t="str">
        <f t="shared" si="40"/>
        <v>Mar_2018</v>
      </c>
    </row>
    <row r="1672" spans="1:13">
      <c r="A1672" s="45" t="s">
        <v>22</v>
      </c>
      <c r="B1672" s="52" t="s">
        <v>485</v>
      </c>
      <c r="C1672" s="46">
        <v>43186</v>
      </c>
      <c r="D1672" s="47" t="s">
        <v>14</v>
      </c>
      <c r="E1672" s="48">
        <v>0.35416666666666663</v>
      </c>
      <c r="F1672" s="48">
        <v>0.72916666666666674</v>
      </c>
      <c r="G1672" s="49">
        <v>0</v>
      </c>
      <c r="H1672" s="49">
        <v>8.0000000000000036</v>
      </c>
      <c r="I1672" s="49">
        <v>8.0000000000000036</v>
      </c>
      <c r="J1672" s="53" t="s">
        <v>30</v>
      </c>
      <c r="K1672" s="51" t="s">
        <v>489</v>
      </c>
      <c r="L1672" s="102" t="s">
        <v>281</v>
      </c>
      <c r="M1672" s="19" t="str">
        <f t="shared" si="40"/>
        <v>Mar_2018</v>
      </c>
    </row>
    <row r="1673" spans="1:13">
      <c r="A1673" s="45" t="s">
        <v>22</v>
      </c>
      <c r="B1673" s="52" t="s">
        <v>486</v>
      </c>
      <c r="C1673" s="46">
        <v>43186</v>
      </c>
      <c r="D1673" s="47" t="s">
        <v>14</v>
      </c>
      <c r="E1673" s="48">
        <v>0.35416666666666663</v>
      </c>
      <c r="F1673" s="48">
        <v>0.72916666666666674</v>
      </c>
      <c r="G1673" s="49">
        <v>0</v>
      </c>
      <c r="H1673" s="49">
        <v>8.0000000000000036</v>
      </c>
      <c r="I1673" s="49">
        <v>8.0000000000000036</v>
      </c>
      <c r="J1673" s="53" t="s">
        <v>30</v>
      </c>
      <c r="K1673" s="51" t="s">
        <v>489</v>
      </c>
      <c r="L1673" s="102" t="s">
        <v>281</v>
      </c>
      <c r="M1673" s="19" t="str">
        <f t="shared" si="40"/>
        <v>Mar_2018</v>
      </c>
    </row>
    <row r="1674" spans="1:13">
      <c r="A1674" s="45" t="s">
        <v>22</v>
      </c>
      <c r="B1674" s="52" t="s">
        <v>487</v>
      </c>
      <c r="C1674" s="46">
        <v>43186</v>
      </c>
      <c r="D1674" s="47" t="s">
        <v>14</v>
      </c>
      <c r="E1674" s="48">
        <v>0.35416666666666663</v>
      </c>
      <c r="F1674" s="48">
        <v>0.72916666666666674</v>
      </c>
      <c r="G1674" s="49">
        <v>0</v>
      </c>
      <c r="H1674" s="49">
        <v>8.0000000000000036</v>
      </c>
      <c r="I1674" s="49">
        <v>8.0000000000000036</v>
      </c>
      <c r="J1674" s="53" t="s">
        <v>30</v>
      </c>
      <c r="K1674" s="51" t="s">
        <v>489</v>
      </c>
      <c r="L1674" s="102" t="s">
        <v>281</v>
      </c>
      <c r="M1674" s="19" t="str">
        <f t="shared" si="40"/>
        <v>Mar_2018</v>
      </c>
    </row>
    <row r="1675" spans="1:13">
      <c r="A1675" s="45" t="s">
        <v>22</v>
      </c>
      <c r="B1675" s="52" t="s">
        <v>488</v>
      </c>
      <c r="C1675" s="46">
        <v>43186</v>
      </c>
      <c r="D1675" s="47" t="s">
        <v>14</v>
      </c>
      <c r="E1675" s="48">
        <v>0.35416666666666663</v>
      </c>
      <c r="F1675" s="48">
        <v>0.72916666666666674</v>
      </c>
      <c r="G1675" s="49">
        <v>0</v>
      </c>
      <c r="H1675" s="49">
        <v>8.0000000000000036</v>
      </c>
      <c r="I1675" s="49">
        <v>8.0000000000000036</v>
      </c>
      <c r="J1675" s="53" t="s">
        <v>30</v>
      </c>
      <c r="K1675" s="51" t="s">
        <v>489</v>
      </c>
      <c r="L1675" s="102" t="s">
        <v>281</v>
      </c>
      <c r="M1675" s="19" t="str">
        <f t="shared" si="40"/>
        <v>Mar_2018</v>
      </c>
    </row>
    <row r="1676" spans="1:13">
      <c r="A1676" s="45" t="s">
        <v>22</v>
      </c>
      <c r="B1676" s="52" t="s">
        <v>492</v>
      </c>
      <c r="C1676" s="46">
        <v>43186</v>
      </c>
      <c r="D1676" s="47" t="s">
        <v>14</v>
      </c>
      <c r="E1676" s="48">
        <v>0.35416666666666663</v>
      </c>
      <c r="F1676" s="48">
        <v>0.72916666666666674</v>
      </c>
      <c r="G1676" s="49">
        <v>0</v>
      </c>
      <c r="H1676" s="49">
        <v>8.0000000000000036</v>
      </c>
      <c r="I1676" s="49">
        <v>8.0000000000000036</v>
      </c>
      <c r="J1676" s="53" t="s">
        <v>30</v>
      </c>
      <c r="K1676" s="51" t="s">
        <v>489</v>
      </c>
      <c r="L1676" s="102" t="s">
        <v>281</v>
      </c>
      <c r="M1676" s="19" t="str">
        <f t="shared" si="40"/>
        <v>Mar_2018</v>
      </c>
    </row>
    <row r="1677" spans="1:13">
      <c r="A1677" s="45" t="s">
        <v>11</v>
      </c>
      <c r="B1677" s="52" t="s">
        <v>12</v>
      </c>
      <c r="C1677" s="54">
        <v>43187</v>
      </c>
      <c r="D1677" s="47" t="s">
        <v>15</v>
      </c>
      <c r="E1677" s="48">
        <v>0.70833333333333326</v>
      </c>
      <c r="F1677" s="48">
        <v>0.875</v>
      </c>
      <c r="G1677" s="49">
        <v>8.0000000000000036</v>
      </c>
      <c r="H1677" s="49">
        <v>3.9999999999999982</v>
      </c>
      <c r="I1677" s="49">
        <v>3.9999999999999982</v>
      </c>
      <c r="J1677" s="53" t="s">
        <v>30</v>
      </c>
      <c r="K1677" s="51" t="s">
        <v>505</v>
      </c>
      <c r="L1677" s="102">
        <v>1</v>
      </c>
      <c r="M1677" s="19" t="str">
        <f t="shared" si="40"/>
        <v>Mar_2018</v>
      </c>
    </row>
    <row r="1678" spans="1:13">
      <c r="A1678" s="45" t="s">
        <v>11</v>
      </c>
      <c r="B1678" s="52" t="s">
        <v>19</v>
      </c>
      <c r="C1678" s="46">
        <v>43187</v>
      </c>
      <c r="D1678" s="47" t="s">
        <v>15</v>
      </c>
      <c r="E1678" s="48">
        <v>0.70833333333333326</v>
      </c>
      <c r="F1678" s="48">
        <v>0.875</v>
      </c>
      <c r="G1678" s="49">
        <v>8.0000000000000036</v>
      </c>
      <c r="H1678" s="49">
        <v>3.9999999999999982</v>
      </c>
      <c r="I1678" s="49">
        <v>3.9999999999999982</v>
      </c>
      <c r="J1678" s="53" t="s">
        <v>30</v>
      </c>
      <c r="K1678" s="51" t="s">
        <v>505</v>
      </c>
      <c r="L1678" s="102">
        <v>1</v>
      </c>
      <c r="M1678" s="19" t="str">
        <f t="shared" si="40"/>
        <v>Mar_2018</v>
      </c>
    </row>
    <row r="1679" spans="1:13">
      <c r="A1679" s="45" t="s">
        <v>11</v>
      </c>
      <c r="B1679" s="52" t="s">
        <v>26</v>
      </c>
      <c r="C1679" s="46">
        <v>43187</v>
      </c>
      <c r="D1679" s="47" t="s">
        <v>15</v>
      </c>
      <c r="E1679" s="48">
        <v>0.70833333333333326</v>
      </c>
      <c r="F1679" s="48">
        <v>0.875</v>
      </c>
      <c r="G1679" s="49">
        <v>8.0000000000000036</v>
      </c>
      <c r="H1679" s="49">
        <v>3.9999999999999982</v>
      </c>
      <c r="I1679" s="49">
        <v>3.9999999999999982</v>
      </c>
      <c r="J1679" s="53" t="s">
        <v>30</v>
      </c>
      <c r="K1679" s="51" t="s">
        <v>505</v>
      </c>
      <c r="L1679" s="102">
        <v>1</v>
      </c>
      <c r="M1679" s="19" t="str">
        <f t="shared" si="40"/>
        <v>Mar_2018</v>
      </c>
    </row>
    <row r="1680" spans="1:13">
      <c r="A1680" s="45" t="s">
        <v>11</v>
      </c>
      <c r="B1680" s="52" t="s">
        <v>149</v>
      </c>
      <c r="C1680" s="46">
        <v>43187</v>
      </c>
      <c r="D1680" s="47" t="s">
        <v>15</v>
      </c>
      <c r="E1680" s="48">
        <v>0.70833333333333326</v>
      </c>
      <c r="F1680" s="48">
        <v>0.83333333333333337</v>
      </c>
      <c r="G1680" s="49">
        <v>8.0000000000000036</v>
      </c>
      <c r="H1680" s="49">
        <v>2.9999999999999964</v>
      </c>
      <c r="I1680" s="49">
        <v>2.9999999999999964</v>
      </c>
      <c r="J1680" s="53" t="s">
        <v>30</v>
      </c>
      <c r="K1680" s="51" t="s">
        <v>505</v>
      </c>
      <c r="L1680" s="102">
        <v>1</v>
      </c>
      <c r="M1680" s="19" t="str">
        <f t="shared" ref="M1680:M1702" si="41">IF($C1680="","",TEXT(DATE(YEAR($C1680),MONTH($C1680),DAY($C1680)),"MMM")&amp;"_"&amp;YEAR($C1680))</f>
        <v>Mar_2018</v>
      </c>
    </row>
    <row r="1681" spans="1:13">
      <c r="A1681" s="45" t="s">
        <v>11</v>
      </c>
      <c r="B1681" s="52" t="s">
        <v>161</v>
      </c>
      <c r="C1681" s="46">
        <v>43187</v>
      </c>
      <c r="D1681" s="47" t="s">
        <v>15</v>
      </c>
      <c r="E1681" s="48">
        <v>0.70833333333333326</v>
      </c>
      <c r="F1681" s="48">
        <v>0.875</v>
      </c>
      <c r="G1681" s="49">
        <v>8.0000000000000036</v>
      </c>
      <c r="H1681" s="49">
        <v>3.9999999999999982</v>
      </c>
      <c r="I1681" s="49">
        <v>3.9999999999999982</v>
      </c>
      <c r="J1681" s="53" t="s">
        <v>30</v>
      </c>
      <c r="K1681" s="51" t="s">
        <v>505</v>
      </c>
      <c r="L1681" s="102">
        <v>1</v>
      </c>
      <c r="M1681" s="19" t="str">
        <f t="shared" si="41"/>
        <v>Mar_2018</v>
      </c>
    </row>
    <row r="1682" spans="1:13">
      <c r="A1682" s="45" t="s">
        <v>22</v>
      </c>
      <c r="B1682" s="52" t="s">
        <v>23</v>
      </c>
      <c r="C1682" s="46">
        <v>43187</v>
      </c>
      <c r="D1682" s="47" t="s">
        <v>15</v>
      </c>
      <c r="E1682" s="48">
        <v>0.33333333333333331</v>
      </c>
      <c r="F1682" s="48">
        <v>0.875</v>
      </c>
      <c r="G1682" s="49">
        <v>0</v>
      </c>
      <c r="H1682" s="49">
        <v>12.000000000000002</v>
      </c>
      <c r="I1682" s="49">
        <v>12.000000000000002</v>
      </c>
      <c r="J1682" s="53" t="s">
        <v>30</v>
      </c>
      <c r="K1682" s="51" t="s">
        <v>505</v>
      </c>
      <c r="L1682" s="102" t="s">
        <v>281</v>
      </c>
      <c r="M1682" s="19" t="str">
        <f t="shared" si="41"/>
        <v>Mar_2018</v>
      </c>
    </row>
    <row r="1683" spans="1:13">
      <c r="A1683" s="45" t="s">
        <v>22</v>
      </c>
      <c r="B1683" s="52" t="s">
        <v>254</v>
      </c>
      <c r="C1683" s="46">
        <v>43187</v>
      </c>
      <c r="D1683" s="47" t="s">
        <v>15</v>
      </c>
      <c r="E1683" s="48">
        <v>0.35416666666666663</v>
      </c>
      <c r="F1683" s="48">
        <v>0.66666666666666663</v>
      </c>
      <c r="G1683" s="49">
        <v>0</v>
      </c>
      <c r="H1683" s="49">
        <v>6.5</v>
      </c>
      <c r="I1683" s="49">
        <v>6.5</v>
      </c>
      <c r="J1683" s="53" t="s">
        <v>30</v>
      </c>
      <c r="K1683" s="51" t="s">
        <v>505</v>
      </c>
      <c r="L1683" s="102" t="s">
        <v>281</v>
      </c>
      <c r="M1683" s="19" t="str">
        <f t="shared" si="41"/>
        <v>Mar_2018</v>
      </c>
    </row>
    <row r="1684" spans="1:13">
      <c r="A1684" s="45" t="s">
        <v>22</v>
      </c>
      <c r="B1684" s="52" t="s">
        <v>255</v>
      </c>
      <c r="C1684" s="46">
        <v>43187</v>
      </c>
      <c r="D1684" s="47" t="s">
        <v>15</v>
      </c>
      <c r="E1684" s="48">
        <v>0.33333333333333331</v>
      </c>
      <c r="F1684" s="48">
        <v>0.6875</v>
      </c>
      <c r="G1684" s="49">
        <v>0</v>
      </c>
      <c r="H1684" s="49">
        <v>7.5</v>
      </c>
      <c r="I1684" s="49">
        <v>7.5</v>
      </c>
      <c r="J1684" s="53" t="s">
        <v>30</v>
      </c>
      <c r="K1684" s="51" t="s">
        <v>505</v>
      </c>
      <c r="L1684" s="102" t="s">
        <v>281</v>
      </c>
      <c r="M1684" s="19" t="str">
        <f t="shared" si="41"/>
        <v>Mar_2018</v>
      </c>
    </row>
    <row r="1685" spans="1:13">
      <c r="A1685" s="45" t="s">
        <v>22</v>
      </c>
      <c r="B1685" s="52" t="s">
        <v>346</v>
      </c>
      <c r="C1685" s="46">
        <v>43187</v>
      </c>
      <c r="D1685" s="47" t="s">
        <v>15</v>
      </c>
      <c r="E1685" s="48">
        <v>0.41666666666666669</v>
      </c>
      <c r="F1685" s="48">
        <v>0.83333333333333337</v>
      </c>
      <c r="G1685" s="49">
        <v>0</v>
      </c>
      <c r="H1685" s="49">
        <v>9</v>
      </c>
      <c r="I1685" s="49">
        <v>9</v>
      </c>
      <c r="J1685" s="53" t="s">
        <v>30</v>
      </c>
      <c r="K1685" s="51" t="s">
        <v>505</v>
      </c>
      <c r="L1685" s="102" t="s">
        <v>281</v>
      </c>
      <c r="M1685" s="19" t="str">
        <f t="shared" si="41"/>
        <v>Mar_2018</v>
      </c>
    </row>
    <row r="1686" spans="1:13">
      <c r="A1686" s="45" t="s">
        <v>11</v>
      </c>
      <c r="B1686" s="52" t="s">
        <v>12</v>
      </c>
      <c r="C1686" s="54">
        <v>43188</v>
      </c>
      <c r="D1686" s="47" t="s">
        <v>25</v>
      </c>
      <c r="E1686" s="48">
        <v>0.70833333333333326</v>
      </c>
      <c r="F1686" s="48">
        <v>0.875</v>
      </c>
      <c r="G1686" s="49">
        <v>8.0000000000000036</v>
      </c>
      <c r="H1686" s="49">
        <v>3.9999999999999982</v>
      </c>
      <c r="I1686" s="49">
        <v>3.9999999999999982</v>
      </c>
      <c r="J1686" s="53" t="s">
        <v>30</v>
      </c>
      <c r="K1686" s="51" t="s">
        <v>506</v>
      </c>
      <c r="L1686" s="102">
        <v>1</v>
      </c>
      <c r="M1686" s="19" t="str">
        <f t="shared" si="41"/>
        <v>Mar_2018</v>
      </c>
    </row>
    <row r="1687" spans="1:13">
      <c r="A1687" s="45" t="s">
        <v>11</v>
      </c>
      <c r="B1687" s="52" t="s">
        <v>19</v>
      </c>
      <c r="C1687" s="46">
        <v>43188</v>
      </c>
      <c r="D1687" s="47" t="s">
        <v>25</v>
      </c>
      <c r="E1687" s="48">
        <v>0.70833333333333326</v>
      </c>
      <c r="F1687" s="48">
        <v>0.875</v>
      </c>
      <c r="G1687" s="49">
        <v>8.0000000000000036</v>
      </c>
      <c r="H1687" s="49">
        <v>3.9999999999999982</v>
      </c>
      <c r="I1687" s="49">
        <v>3.9999999999999982</v>
      </c>
      <c r="J1687" s="53" t="s">
        <v>30</v>
      </c>
      <c r="K1687" s="51" t="s">
        <v>506</v>
      </c>
      <c r="L1687" s="102">
        <v>1</v>
      </c>
      <c r="M1687" s="19" t="str">
        <f t="shared" si="41"/>
        <v>Mar_2018</v>
      </c>
    </row>
    <row r="1688" spans="1:13">
      <c r="A1688" s="45" t="s">
        <v>11</v>
      </c>
      <c r="B1688" s="52" t="s">
        <v>26</v>
      </c>
      <c r="C1688" s="46">
        <v>43188</v>
      </c>
      <c r="D1688" s="47" t="s">
        <v>25</v>
      </c>
      <c r="E1688" s="48">
        <v>0.70833333333333326</v>
      </c>
      <c r="F1688" s="48">
        <v>0.83333333333333337</v>
      </c>
      <c r="G1688" s="49">
        <v>8.0000000000000036</v>
      </c>
      <c r="H1688" s="49">
        <v>2.9999999999999964</v>
      </c>
      <c r="I1688" s="49">
        <v>2.9999999999999964</v>
      </c>
      <c r="J1688" s="53" t="s">
        <v>30</v>
      </c>
      <c r="K1688" s="51" t="s">
        <v>506</v>
      </c>
      <c r="L1688" s="102">
        <v>1</v>
      </c>
      <c r="M1688" s="19" t="str">
        <f t="shared" si="41"/>
        <v>Mar_2018</v>
      </c>
    </row>
    <row r="1689" spans="1:13">
      <c r="A1689" s="45" t="s">
        <v>11</v>
      </c>
      <c r="B1689" s="52" t="s">
        <v>149</v>
      </c>
      <c r="C1689" s="46">
        <v>43188</v>
      </c>
      <c r="D1689" s="47" t="s">
        <v>25</v>
      </c>
      <c r="E1689" s="48">
        <v>0.70833333333333326</v>
      </c>
      <c r="F1689" s="48">
        <v>0.875</v>
      </c>
      <c r="G1689" s="49">
        <v>8.0000000000000036</v>
      </c>
      <c r="H1689" s="49">
        <v>3.9999999999999982</v>
      </c>
      <c r="I1689" s="49">
        <v>3.9999999999999982</v>
      </c>
      <c r="J1689" s="53" t="s">
        <v>30</v>
      </c>
      <c r="K1689" s="51" t="s">
        <v>506</v>
      </c>
      <c r="L1689" s="102">
        <v>1</v>
      </c>
      <c r="M1689" s="19" t="str">
        <f t="shared" si="41"/>
        <v>Mar_2018</v>
      </c>
    </row>
    <row r="1690" spans="1:13">
      <c r="A1690" s="45" t="s">
        <v>11</v>
      </c>
      <c r="B1690" s="52" t="s">
        <v>161</v>
      </c>
      <c r="C1690" s="46">
        <v>43188</v>
      </c>
      <c r="D1690" s="47" t="s">
        <v>25</v>
      </c>
      <c r="E1690" s="48">
        <v>0.70833333333333326</v>
      </c>
      <c r="F1690" s="48">
        <v>0.875</v>
      </c>
      <c r="G1690" s="49">
        <v>8.0000000000000036</v>
      </c>
      <c r="H1690" s="49">
        <v>3.9999999999999982</v>
      </c>
      <c r="I1690" s="49">
        <v>3.9999999999999982</v>
      </c>
      <c r="J1690" s="53" t="s">
        <v>30</v>
      </c>
      <c r="K1690" s="51" t="s">
        <v>506</v>
      </c>
      <c r="L1690" s="102">
        <v>1</v>
      </c>
      <c r="M1690" s="19" t="str">
        <f t="shared" si="41"/>
        <v>Mar_2018</v>
      </c>
    </row>
    <row r="1691" spans="1:13">
      <c r="A1691" s="45" t="s">
        <v>22</v>
      </c>
      <c r="B1691" s="52" t="s">
        <v>23</v>
      </c>
      <c r="C1691" s="46">
        <v>43188</v>
      </c>
      <c r="D1691" s="47" t="s">
        <v>25</v>
      </c>
      <c r="E1691" s="48">
        <v>0.33333333333333331</v>
      </c>
      <c r="F1691" s="48">
        <v>0.875</v>
      </c>
      <c r="G1691" s="49">
        <v>0</v>
      </c>
      <c r="H1691" s="49">
        <v>12.000000000000002</v>
      </c>
      <c r="I1691" s="49">
        <v>12.000000000000002</v>
      </c>
      <c r="J1691" s="53" t="s">
        <v>30</v>
      </c>
      <c r="K1691" s="51" t="s">
        <v>506</v>
      </c>
      <c r="L1691" s="102" t="s">
        <v>281</v>
      </c>
      <c r="M1691" s="19" t="str">
        <f t="shared" si="41"/>
        <v>Mar_2018</v>
      </c>
    </row>
    <row r="1692" spans="1:13">
      <c r="A1692" s="45" t="s">
        <v>22</v>
      </c>
      <c r="B1692" s="52" t="s">
        <v>254</v>
      </c>
      <c r="C1692" s="46">
        <v>43188</v>
      </c>
      <c r="D1692" s="47" t="s">
        <v>25</v>
      </c>
      <c r="E1692" s="48">
        <v>0.33333333333333331</v>
      </c>
      <c r="F1692" s="48">
        <v>0.875</v>
      </c>
      <c r="G1692" s="49">
        <v>0</v>
      </c>
      <c r="H1692" s="49">
        <v>12.000000000000002</v>
      </c>
      <c r="I1692" s="49">
        <v>12.000000000000002</v>
      </c>
      <c r="J1692" s="53" t="s">
        <v>30</v>
      </c>
      <c r="K1692" s="51" t="s">
        <v>506</v>
      </c>
      <c r="L1692" s="102" t="s">
        <v>281</v>
      </c>
      <c r="M1692" s="19" t="str">
        <f t="shared" si="41"/>
        <v>Mar_2018</v>
      </c>
    </row>
    <row r="1693" spans="1:13">
      <c r="A1693" s="45" t="s">
        <v>22</v>
      </c>
      <c r="B1693" s="52" t="s">
        <v>255</v>
      </c>
      <c r="C1693" s="46">
        <v>43188</v>
      </c>
      <c r="D1693" s="47" t="s">
        <v>25</v>
      </c>
      <c r="E1693" s="48">
        <v>0.33333333333333331</v>
      </c>
      <c r="F1693" s="48">
        <v>0.875</v>
      </c>
      <c r="G1693" s="49">
        <v>0</v>
      </c>
      <c r="H1693" s="49">
        <v>12.000000000000002</v>
      </c>
      <c r="I1693" s="49">
        <v>12.000000000000002</v>
      </c>
      <c r="J1693" s="53" t="s">
        <v>30</v>
      </c>
      <c r="K1693" s="51" t="s">
        <v>506</v>
      </c>
      <c r="L1693" s="102" t="s">
        <v>281</v>
      </c>
      <c r="M1693" s="19" t="str">
        <f t="shared" si="41"/>
        <v>Mar_2018</v>
      </c>
    </row>
    <row r="1694" spans="1:13">
      <c r="A1694" s="45" t="s">
        <v>22</v>
      </c>
      <c r="B1694" s="52" t="s">
        <v>27</v>
      </c>
      <c r="C1694" s="46">
        <v>43188</v>
      </c>
      <c r="D1694" s="47" t="s">
        <v>25</v>
      </c>
      <c r="E1694" s="48">
        <v>0.33333333333333331</v>
      </c>
      <c r="F1694" s="48">
        <v>0.875</v>
      </c>
      <c r="G1694" s="49">
        <v>0</v>
      </c>
      <c r="H1694" s="49">
        <v>12.000000000000002</v>
      </c>
      <c r="I1694" s="49">
        <v>12.000000000000002</v>
      </c>
      <c r="J1694" s="53" t="s">
        <v>30</v>
      </c>
      <c r="K1694" s="51" t="s">
        <v>506</v>
      </c>
      <c r="L1694" s="102" t="s">
        <v>281</v>
      </c>
      <c r="M1694" s="19" t="str">
        <f t="shared" si="41"/>
        <v>Mar_2018</v>
      </c>
    </row>
    <row r="1695" spans="1:13">
      <c r="A1695" s="45" t="s">
        <v>11</v>
      </c>
      <c r="B1695" s="52" t="s">
        <v>12</v>
      </c>
      <c r="C1695" s="54">
        <v>43189</v>
      </c>
      <c r="D1695" s="47" t="s">
        <v>17</v>
      </c>
      <c r="E1695" s="48">
        <v>0.70833333333333326</v>
      </c>
      <c r="F1695" s="48">
        <v>0.875</v>
      </c>
      <c r="G1695" s="49">
        <v>8.0000000000000036</v>
      </c>
      <c r="H1695" s="49">
        <v>3.9999999999999982</v>
      </c>
      <c r="I1695" s="49">
        <v>3.9999999999999982</v>
      </c>
      <c r="J1695" s="53" t="s">
        <v>30</v>
      </c>
      <c r="K1695" s="51" t="s">
        <v>507</v>
      </c>
      <c r="L1695" s="102">
        <v>1</v>
      </c>
      <c r="M1695" s="19" t="str">
        <f t="shared" si="41"/>
        <v>Mar_2018</v>
      </c>
    </row>
    <row r="1696" spans="1:13">
      <c r="A1696" s="45" t="s">
        <v>11</v>
      </c>
      <c r="B1696" s="52" t="s">
        <v>26</v>
      </c>
      <c r="C1696" s="46">
        <v>43189</v>
      </c>
      <c r="D1696" s="47" t="s">
        <v>17</v>
      </c>
      <c r="E1696" s="48">
        <v>0.70833333333333326</v>
      </c>
      <c r="F1696" s="48">
        <v>0.875</v>
      </c>
      <c r="G1696" s="49">
        <v>8.0000000000000036</v>
      </c>
      <c r="H1696" s="49">
        <v>3.9999999999999982</v>
      </c>
      <c r="I1696" s="49">
        <v>3.9999999999999982</v>
      </c>
      <c r="J1696" s="53" t="s">
        <v>30</v>
      </c>
      <c r="K1696" s="51" t="s">
        <v>507</v>
      </c>
      <c r="L1696" s="102">
        <v>1</v>
      </c>
      <c r="M1696" s="19" t="str">
        <f t="shared" si="41"/>
        <v>Mar_2018</v>
      </c>
    </row>
    <row r="1697" spans="1:13">
      <c r="A1697" s="45" t="s">
        <v>11</v>
      </c>
      <c r="B1697" s="52" t="s">
        <v>149</v>
      </c>
      <c r="C1697" s="46">
        <v>43189</v>
      </c>
      <c r="D1697" s="47" t="s">
        <v>17</v>
      </c>
      <c r="E1697" s="48">
        <v>0.70833333333333326</v>
      </c>
      <c r="F1697" s="48">
        <v>0.875</v>
      </c>
      <c r="G1697" s="49">
        <v>8.0000000000000036</v>
      </c>
      <c r="H1697" s="49">
        <v>3.9999999999999982</v>
      </c>
      <c r="I1697" s="49">
        <v>3.9999999999999982</v>
      </c>
      <c r="J1697" s="53" t="s">
        <v>30</v>
      </c>
      <c r="K1697" s="51" t="s">
        <v>507</v>
      </c>
      <c r="L1697" s="102">
        <v>1</v>
      </c>
      <c r="M1697" s="19" t="str">
        <f t="shared" si="41"/>
        <v>Mar_2018</v>
      </c>
    </row>
    <row r="1698" spans="1:13">
      <c r="A1698" s="45" t="s">
        <v>11</v>
      </c>
      <c r="B1698" s="52" t="s">
        <v>161</v>
      </c>
      <c r="C1698" s="46">
        <v>43189</v>
      </c>
      <c r="D1698" s="47" t="s">
        <v>17</v>
      </c>
      <c r="E1698" s="48">
        <v>0.70833333333333326</v>
      </c>
      <c r="F1698" s="48">
        <v>0.875</v>
      </c>
      <c r="G1698" s="49">
        <v>8.0000000000000036</v>
      </c>
      <c r="H1698" s="49">
        <v>3.9999999999999982</v>
      </c>
      <c r="I1698" s="49">
        <v>3.9999999999999982</v>
      </c>
      <c r="J1698" s="53" t="s">
        <v>30</v>
      </c>
      <c r="K1698" s="51" t="s">
        <v>507</v>
      </c>
      <c r="L1698" s="102">
        <v>1</v>
      </c>
      <c r="M1698" s="19" t="str">
        <f t="shared" si="41"/>
        <v>Mar_2018</v>
      </c>
    </row>
    <row r="1699" spans="1:13">
      <c r="A1699" s="45" t="s">
        <v>22</v>
      </c>
      <c r="B1699" s="52" t="s">
        <v>23</v>
      </c>
      <c r="C1699" s="46">
        <v>43189</v>
      </c>
      <c r="D1699" s="47" t="s">
        <v>17</v>
      </c>
      <c r="E1699" s="48">
        <v>0.33333333333333331</v>
      </c>
      <c r="F1699" s="48">
        <v>0.875</v>
      </c>
      <c r="G1699" s="49">
        <v>0</v>
      </c>
      <c r="H1699" s="49">
        <v>12.000000000000002</v>
      </c>
      <c r="I1699" s="49">
        <v>12.000000000000002</v>
      </c>
      <c r="J1699" s="53" t="s">
        <v>30</v>
      </c>
      <c r="K1699" s="51" t="s">
        <v>507</v>
      </c>
      <c r="L1699" s="102" t="s">
        <v>281</v>
      </c>
      <c r="M1699" s="19" t="str">
        <f t="shared" si="41"/>
        <v>Mar_2018</v>
      </c>
    </row>
    <row r="1700" spans="1:13">
      <c r="A1700" s="45" t="s">
        <v>22</v>
      </c>
      <c r="B1700" s="52" t="s">
        <v>78</v>
      </c>
      <c r="C1700" s="46">
        <v>43189</v>
      </c>
      <c r="D1700" s="47" t="s">
        <v>17</v>
      </c>
      <c r="E1700" s="48">
        <v>0.35416666666666663</v>
      </c>
      <c r="F1700" s="48">
        <v>0.875</v>
      </c>
      <c r="G1700" s="49">
        <v>0</v>
      </c>
      <c r="H1700" s="49">
        <v>11.5</v>
      </c>
      <c r="I1700" s="49">
        <v>11.5</v>
      </c>
      <c r="J1700" s="53" t="s">
        <v>30</v>
      </c>
      <c r="K1700" s="51" t="s">
        <v>507</v>
      </c>
      <c r="L1700" s="102" t="s">
        <v>281</v>
      </c>
      <c r="M1700" s="19" t="str">
        <f t="shared" si="41"/>
        <v>Mar_2018</v>
      </c>
    </row>
    <row r="1701" spans="1:13">
      <c r="A1701" s="45" t="s">
        <v>22</v>
      </c>
      <c r="B1701" s="52" t="s">
        <v>254</v>
      </c>
      <c r="C1701" s="46">
        <v>43189</v>
      </c>
      <c r="D1701" s="47" t="s">
        <v>17</v>
      </c>
      <c r="E1701" s="48">
        <v>0.33333333333333331</v>
      </c>
      <c r="F1701" s="48">
        <v>0.875</v>
      </c>
      <c r="G1701" s="49">
        <v>0</v>
      </c>
      <c r="H1701" s="49">
        <v>12.000000000000002</v>
      </c>
      <c r="I1701" s="49">
        <v>12.000000000000002</v>
      </c>
      <c r="J1701" s="53" t="s">
        <v>30</v>
      </c>
      <c r="K1701" s="51" t="s">
        <v>507</v>
      </c>
      <c r="L1701" s="102" t="s">
        <v>281</v>
      </c>
      <c r="M1701" s="19" t="str">
        <f t="shared" si="41"/>
        <v>Mar_2018</v>
      </c>
    </row>
    <row r="1702" spans="1:13">
      <c r="A1702" s="45" t="s">
        <v>22</v>
      </c>
      <c r="B1702" s="52" t="s">
        <v>27</v>
      </c>
      <c r="C1702" s="46">
        <v>43189</v>
      </c>
      <c r="D1702" s="47" t="s">
        <v>17</v>
      </c>
      <c r="E1702" s="48">
        <v>0.33333333333333331</v>
      </c>
      <c r="F1702" s="48">
        <v>0.875</v>
      </c>
      <c r="G1702" s="49">
        <v>0</v>
      </c>
      <c r="H1702" s="49">
        <v>12.000000000000002</v>
      </c>
      <c r="I1702" s="49">
        <v>12.000000000000002</v>
      </c>
      <c r="J1702" s="53" t="s">
        <v>30</v>
      </c>
      <c r="K1702" s="51" t="s">
        <v>507</v>
      </c>
      <c r="L1702" s="102" t="s">
        <v>281</v>
      </c>
      <c r="M1702" s="19" t="str">
        <f t="shared" si="41"/>
        <v>Mar_2018</v>
      </c>
    </row>
    <row r="1703" spans="1:13">
      <c r="A1703" s="45" t="s">
        <v>11</v>
      </c>
      <c r="B1703" s="52" t="s">
        <v>12</v>
      </c>
      <c r="C1703" s="54">
        <v>43192</v>
      </c>
      <c r="D1703" s="47" t="s">
        <v>16</v>
      </c>
      <c r="E1703" s="48">
        <v>0.70833333333333304</v>
      </c>
      <c r="F1703" s="48">
        <v>0.875</v>
      </c>
      <c r="G1703" s="49">
        <v>8.0000000000000036</v>
      </c>
      <c r="H1703" s="49">
        <v>4.0000000000000036</v>
      </c>
      <c r="I1703" s="49">
        <v>4.0000000000000036</v>
      </c>
      <c r="J1703" s="53" t="s">
        <v>30</v>
      </c>
      <c r="K1703" s="51" t="s">
        <v>509</v>
      </c>
      <c r="L1703" s="102">
        <v>1</v>
      </c>
      <c r="M1703" s="19" t="str">
        <f>IF($C1703="","",TEXT(DATE(YEAR($C1703),MONTH($C1703),DAY($C1703)),"MMM")&amp;"_"&amp;YEAR($C1703))</f>
        <v>Apr_2018</v>
      </c>
    </row>
    <row r="1704" spans="1:13">
      <c r="A1704" s="45" t="s">
        <v>11</v>
      </c>
      <c r="B1704" s="52" t="s">
        <v>19</v>
      </c>
      <c r="C1704" s="46">
        <v>43192</v>
      </c>
      <c r="D1704" s="47" t="s">
        <v>16</v>
      </c>
      <c r="E1704" s="48">
        <v>0.70833333333333304</v>
      </c>
      <c r="F1704" s="48">
        <v>0.875</v>
      </c>
      <c r="G1704" s="49">
        <v>8.0000000000000036</v>
      </c>
      <c r="H1704" s="49">
        <v>4.0000000000000036</v>
      </c>
      <c r="I1704" s="49">
        <v>4.0000000000000036</v>
      </c>
      <c r="J1704" s="53" t="s">
        <v>30</v>
      </c>
      <c r="K1704" s="51" t="s">
        <v>509</v>
      </c>
      <c r="L1704" s="102">
        <v>1</v>
      </c>
      <c r="M1704" s="19" t="str">
        <f t="shared" ref="M1704:M1767" si="42">IF($C1704="","",TEXT(DATE(YEAR($C1704),MONTH($C1704),DAY($C1704)),"MMM")&amp;"_"&amp;YEAR($C1704))</f>
        <v>Apr_2018</v>
      </c>
    </row>
    <row r="1705" spans="1:13">
      <c r="A1705" s="45" t="s">
        <v>11</v>
      </c>
      <c r="B1705" s="52" t="s">
        <v>26</v>
      </c>
      <c r="C1705" s="46">
        <v>43192</v>
      </c>
      <c r="D1705" s="47" t="s">
        <v>16</v>
      </c>
      <c r="E1705" s="48">
        <v>0.70833333333333304</v>
      </c>
      <c r="F1705" s="48">
        <v>0.875</v>
      </c>
      <c r="G1705" s="49">
        <v>8.0000000000000036</v>
      </c>
      <c r="H1705" s="49">
        <v>4.0000000000000036</v>
      </c>
      <c r="I1705" s="49">
        <v>4.0000000000000036</v>
      </c>
      <c r="J1705" s="53" t="s">
        <v>30</v>
      </c>
      <c r="K1705" s="51" t="s">
        <v>509</v>
      </c>
      <c r="L1705" s="102">
        <v>1</v>
      </c>
      <c r="M1705" s="19" t="str">
        <f t="shared" si="42"/>
        <v>Apr_2018</v>
      </c>
    </row>
    <row r="1706" spans="1:13">
      <c r="A1706" s="45" t="s">
        <v>11</v>
      </c>
      <c r="B1706" s="52" t="s">
        <v>149</v>
      </c>
      <c r="C1706" s="46">
        <v>43192</v>
      </c>
      <c r="D1706" s="47" t="s">
        <v>16</v>
      </c>
      <c r="E1706" s="48">
        <v>0.70833333333333304</v>
      </c>
      <c r="F1706" s="48">
        <v>0.875</v>
      </c>
      <c r="G1706" s="49">
        <v>8.0000000000000036</v>
      </c>
      <c r="H1706" s="49">
        <v>4.0000000000000036</v>
      </c>
      <c r="I1706" s="49">
        <v>4.0000000000000036</v>
      </c>
      <c r="J1706" s="53" t="s">
        <v>30</v>
      </c>
      <c r="K1706" s="51" t="s">
        <v>509</v>
      </c>
      <c r="L1706" s="102">
        <v>1</v>
      </c>
      <c r="M1706" s="19" t="str">
        <f t="shared" si="42"/>
        <v>Apr_2018</v>
      </c>
    </row>
    <row r="1707" spans="1:13">
      <c r="A1707" s="45" t="s">
        <v>11</v>
      </c>
      <c r="B1707" s="52" t="s">
        <v>161</v>
      </c>
      <c r="C1707" s="46">
        <v>43192</v>
      </c>
      <c r="D1707" s="47" t="s">
        <v>16</v>
      </c>
      <c r="E1707" s="48">
        <v>0.70833333333333304</v>
      </c>
      <c r="F1707" s="48">
        <v>0.875</v>
      </c>
      <c r="G1707" s="49">
        <v>8.0000000000000036</v>
      </c>
      <c r="H1707" s="49">
        <v>4.0000000000000036</v>
      </c>
      <c r="I1707" s="49">
        <v>4.0000000000000036</v>
      </c>
      <c r="J1707" s="53" t="s">
        <v>30</v>
      </c>
      <c r="K1707" s="51" t="s">
        <v>509</v>
      </c>
      <c r="L1707" s="102">
        <v>1</v>
      </c>
      <c r="M1707" s="19" t="str">
        <f t="shared" si="42"/>
        <v>Apr_2018</v>
      </c>
    </row>
    <row r="1708" spans="1:13">
      <c r="A1708" s="45" t="s">
        <v>22</v>
      </c>
      <c r="B1708" s="52" t="s">
        <v>23</v>
      </c>
      <c r="C1708" s="46">
        <v>43192</v>
      </c>
      <c r="D1708" s="47" t="s">
        <v>16</v>
      </c>
      <c r="E1708" s="48">
        <v>0.33333333333333298</v>
      </c>
      <c r="F1708" s="48">
        <v>0.875</v>
      </c>
      <c r="G1708" s="49">
        <v>0</v>
      </c>
      <c r="H1708" s="49">
        <v>12.000000000000007</v>
      </c>
      <c r="I1708" s="49">
        <v>12.000000000000007</v>
      </c>
      <c r="J1708" s="53" t="s">
        <v>30</v>
      </c>
      <c r="K1708" s="51" t="s">
        <v>509</v>
      </c>
      <c r="L1708" s="102" t="s">
        <v>281</v>
      </c>
      <c r="M1708" s="19" t="str">
        <f t="shared" si="42"/>
        <v>Apr_2018</v>
      </c>
    </row>
    <row r="1709" spans="1:13">
      <c r="A1709" s="45" t="s">
        <v>22</v>
      </c>
      <c r="B1709" s="52" t="s">
        <v>254</v>
      </c>
      <c r="C1709" s="46">
        <v>43192</v>
      </c>
      <c r="D1709" s="47" t="s">
        <v>16</v>
      </c>
      <c r="E1709" s="48">
        <v>0.33333333333333298</v>
      </c>
      <c r="F1709" s="48">
        <v>0.66666666666666696</v>
      </c>
      <c r="G1709" s="49">
        <v>0</v>
      </c>
      <c r="H1709" s="49">
        <v>7.000000000000016</v>
      </c>
      <c r="I1709" s="49">
        <v>7.000000000000016</v>
      </c>
      <c r="J1709" s="53" t="s">
        <v>30</v>
      </c>
      <c r="K1709" s="51" t="s">
        <v>509</v>
      </c>
      <c r="L1709" s="102" t="s">
        <v>281</v>
      </c>
      <c r="M1709" s="19" t="str">
        <f t="shared" si="42"/>
        <v>Apr_2018</v>
      </c>
    </row>
    <row r="1710" spans="1:13">
      <c r="A1710" s="45" t="s">
        <v>22</v>
      </c>
      <c r="B1710" s="52" t="s">
        <v>255</v>
      </c>
      <c r="C1710" s="46">
        <v>43192</v>
      </c>
      <c r="D1710" s="47" t="s">
        <v>16</v>
      </c>
      <c r="E1710" s="48">
        <v>0.33333333333333298</v>
      </c>
      <c r="F1710" s="48">
        <v>0.6875</v>
      </c>
      <c r="G1710" s="49">
        <v>0</v>
      </c>
      <c r="H1710" s="49">
        <v>7.5000000000000089</v>
      </c>
      <c r="I1710" s="49">
        <v>7.5000000000000089</v>
      </c>
      <c r="J1710" s="53" t="s">
        <v>30</v>
      </c>
      <c r="K1710" s="51" t="s">
        <v>509</v>
      </c>
      <c r="L1710" s="102" t="s">
        <v>281</v>
      </c>
      <c r="M1710" s="19" t="str">
        <f t="shared" si="42"/>
        <v>Apr_2018</v>
      </c>
    </row>
    <row r="1711" spans="1:13">
      <c r="A1711" s="45" t="s">
        <v>22</v>
      </c>
      <c r="B1711" s="52" t="s">
        <v>27</v>
      </c>
      <c r="C1711" s="46">
        <v>43192</v>
      </c>
      <c r="D1711" s="47" t="s">
        <v>16</v>
      </c>
      <c r="E1711" s="48">
        <v>0.33333333333333298</v>
      </c>
      <c r="F1711" s="48">
        <v>0.70833333333333304</v>
      </c>
      <c r="G1711" s="49">
        <v>0</v>
      </c>
      <c r="H1711" s="49">
        <v>8.0000000000000018</v>
      </c>
      <c r="I1711" s="49">
        <v>8.0000000000000018</v>
      </c>
      <c r="J1711" s="53" t="s">
        <v>30</v>
      </c>
      <c r="K1711" s="51" t="s">
        <v>509</v>
      </c>
      <c r="L1711" s="102" t="s">
        <v>281</v>
      </c>
      <c r="M1711" s="19" t="str">
        <f t="shared" si="42"/>
        <v>Apr_2018</v>
      </c>
    </row>
    <row r="1712" spans="1:13">
      <c r="A1712" s="45" t="s">
        <v>22</v>
      </c>
      <c r="B1712" s="52" t="s">
        <v>486</v>
      </c>
      <c r="C1712" s="46">
        <v>43192</v>
      </c>
      <c r="D1712" s="47" t="s">
        <v>16</v>
      </c>
      <c r="E1712" s="48">
        <v>0.77083333333333304</v>
      </c>
      <c r="F1712" s="48">
        <v>0.875</v>
      </c>
      <c r="G1712" s="49">
        <v>0</v>
      </c>
      <c r="H1712" s="49">
        <v>2.5000000000000071</v>
      </c>
      <c r="I1712" s="49">
        <v>2.5000000000000071</v>
      </c>
      <c r="J1712" s="53" t="s">
        <v>30</v>
      </c>
      <c r="K1712" s="51" t="s">
        <v>509</v>
      </c>
      <c r="L1712" s="102" t="s">
        <v>281</v>
      </c>
      <c r="M1712" s="19" t="str">
        <f t="shared" si="42"/>
        <v>Apr_2018</v>
      </c>
    </row>
    <row r="1713" spans="1:13">
      <c r="A1713" s="45" t="s">
        <v>22</v>
      </c>
      <c r="B1713" s="52" t="s">
        <v>487</v>
      </c>
      <c r="C1713" s="46">
        <v>43192</v>
      </c>
      <c r="D1713" s="47" t="s">
        <v>16</v>
      </c>
      <c r="E1713" s="48">
        <v>0.77083333333333304</v>
      </c>
      <c r="F1713" s="48">
        <v>0.875</v>
      </c>
      <c r="G1713" s="49">
        <v>0</v>
      </c>
      <c r="H1713" s="49">
        <v>2.5000000000000071</v>
      </c>
      <c r="I1713" s="49">
        <v>2.5000000000000071</v>
      </c>
      <c r="J1713" s="53" t="s">
        <v>30</v>
      </c>
      <c r="K1713" s="51" t="s">
        <v>509</v>
      </c>
      <c r="L1713" s="102" t="s">
        <v>281</v>
      </c>
      <c r="M1713" s="19" t="str">
        <f t="shared" si="42"/>
        <v>Apr_2018</v>
      </c>
    </row>
    <row r="1714" spans="1:13">
      <c r="A1714" s="45" t="s">
        <v>11</v>
      </c>
      <c r="B1714" s="52" t="s">
        <v>12</v>
      </c>
      <c r="C1714" s="54">
        <v>43193</v>
      </c>
      <c r="D1714" s="47" t="s">
        <v>14</v>
      </c>
      <c r="E1714" s="48">
        <v>0.70833333333333304</v>
      </c>
      <c r="F1714" s="48">
        <v>0.875</v>
      </c>
      <c r="G1714" s="49">
        <v>8.0000000000000036</v>
      </c>
      <c r="H1714" s="49">
        <v>4.0000000000000036</v>
      </c>
      <c r="I1714" s="49">
        <v>4.0000000000000036</v>
      </c>
      <c r="J1714" s="53" t="s">
        <v>30</v>
      </c>
      <c r="K1714" s="51" t="s">
        <v>510</v>
      </c>
      <c r="L1714" s="102">
        <v>1</v>
      </c>
      <c r="M1714" s="19" t="str">
        <f t="shared" si="42"/>
        <v>Apr_2018</v>
      </c>
    </row>
    <row r="1715" spans="1:13">
      <c r="A1715" s="45" t="s">
        <v>11</v>
      </c>
      <c r="B1715" s="52" t="s">
        <v>19</v>
      </c>
      <c r="C1715" s="46">
        <v>43193</v>
      </c>
      <c r="D1715" s="47" t="s">
        <v>14</v>
      </c>
      <c r="E1715" s="48">
        <v>0.70833333333333304</v>
      </c>
      <c r="F1715" s="48">
        <v>0.875</v>
      </c>
      <c r="G1715" s="49">
        <v>8.0000000000000036</v>
      </c>
      <c r="H1715" s="49">
        <v>4.0000000000000036</v>
      </c>
      <c r="I1715" s="49">
        <v>4.0000000000000036</v>
      </c>
      <c r="J1715" s="53" t="s">
        <v>30</v>
      </c>
      <c r="K1715" s="51" t="s">
        <v>510</v>
      </c>
      <c r="L1715" s="102">
        <v>1</v>
      </c>
      <c r="M1715" s="19" t="str">
        <f t="shared" si="42"/>
        <v>Apr_2018</v>
      </c>
    </row>
    <row r="1716" spans="1:13">
      <c r="A1716" s="45" t="s">
        <v>11</v>
      </c>
      <c r="B1716" s="52" t="s">
        <v>26</v>
      </c>
      <c r="C1716" s="46">
        <v>43193</v>
      </c>
      <c r="D1716" s="47" t="s">
        <v>14</v>
      </c>
      <c r="E1716" s="48">
        <v>0.6875</v>
      </c>
      <c r="F1716" s="48">
        <v>0.85416666666666696</v>
      </c>
      <c r="G1716" s="49">
        <v>8.0000000000000036</v>
      </c>
      <c r="H1716" s="49">
        <v>4.0000000000000036</v>
      </c>
      <c r="I1716" s="49">
        <v>4.0000000000000036</v>
      </c>
      <c r="J1716" s="53" t="s">
        <v>30</v>
      </c>
      <c r="K1716" s="51" t="s">
        <v>510</v>
      </c>
      <c r="L1716" s="102">
        <v>1</v>
      </c>
      <c r="M1716" s="19" t="str">
        <f t="shared" si="42"/>
        <v>Apr_2018</v>
      </c>
    </row>
    <row r="1717" spans="1:13">
      <c r="A1717" s="45" t="s">
        <v>11</v>
      </c>
      <c r="B1717" s="52" t="s">
        <v>149</v>
      </c>
      <c r="C1717" s="46">
        <v>43193</v>
      </c>
      <c r="D1717" s="47" t="s">
        <v>14</v>
      </c>
      <c r="E1717" s="48">
        <v>0.70833333333333304</v>
      </c>
      <c r="F1717" s="48">
        <v>0.875</v>
      </c>
      <c r="G1717" s="49">
        <v>8.0000000000000036</v>
      </c>
      <c r="H1717" s="49">
        <v>4.0000000000000036</v>
      </c>
      <c r="I1717" s="49">
        <v>4.0000000000000036</v>
      </c>
      <c r="J1717" s="53" t="s">
        <v>30</v>
      </c>
      <c r="K1717" s="51" t="s">
        <v>510</v>
      </c>
      <c r="L1717" s="102">
        <v>1</v>
      </c>
      <c r="M1717" s="19" t="str">
        <f t="shared" si="42"/>
        <v>Apr_2018</v>
      </c>
    </row>
    <row r="1718" spans="1:13">
      <c r="A1718" s="45" t="s">
        <v>11</v>
      </c>
      <c r="B1718" s="52" t="s">
        <v>161</v>
      </c>
      <c r="C1718" s="46">
        <v>43193</v>
      </c>
      <c r="D1718" s="47" t="s">
        <v>14</v>
      </c>
      <c r="E1718" s="48">
        <v>0.70833333333333304</v>
      </c>
      <c r="F1718" s="48">
        <v>0.75</v>
      </c>
      <c r="G1718" s="49">
        <v>8.0000000000000036</v>
      </c>
      <c r="H1718" s="49">
        <v>1.0000000000000053</v>
      </c>
      <c r="I1718" s="49">
        <v>1.0000000000000053</v>
      </c>
      <c r="J1718" s="53" t="s">
        <v>30</v>
      </c>
      <c r="K1718" s="51" t="s">
        <v>510</v>
      </c>
      <c r="L1718" s="102" t="s">
        <v>281</v>
      </c>
      <c r="M1718" s="19" t="str">
        <f t="shared" si="42"/>
        <v>Apr_2018</v>
      </c>
    </row>
    <row r="1719" spans="1:13">
      <c r="A1719" s="45" t="s">
        <v>22</v>
      </c>
      <c r="B1719" s="52" t="s">
        <v>23</v>
      </c>
      <c r="C1719" s="46">
        <v>43193</v>
      </c>
      <c r="D1719" s="47" t="s">
        <v>14</v>
      </c>
      <c r="E1719" s="48">
        <v>0.33333333333333298</v>
      </c>
      <c r="F1719" s="48">
        <v>0.875</v>
      </c>
      <c r="G1719" s="49">
        <v>0</v>
      </c>
      <c r="H1719" s="49">
        <v>12.000000000000007</v>
      </c>
      <c r="I1719" s="49">
        <v>12.000000000000007</v>
      </c>
      <c r="J1719" s="53" t="s">
        <v>30</v>
      </c>
      <c r="K1719" s="51" t="s">
        <v>510</v>
      </c>
      <c r="L1719" s="102" t="s">
        <v>281</v>
      </c>
      <c r="M1719" s="19" t="str">
        <f t="shared" si="42"/>
        <v>Apr_2018</v>
      </c>
    </row>
    <row r="1720" spans="1:13">
      <c r="A1720" s="45" t="s">
        <v>22</v>
      </c>
      <c r="B1720" s="52" t="s">
        <v>78</v>
      </c>
      <c r="C1720" s="46">
        <v>43193</v>
      </c>
      <c r="D1720" s="47" t="s">
        <v>14</v>
      </c>
      <c r="E1720" s="48">
        <v>0.52083333333333304</v>
      </c>
      <c r="F1720" s="48">
        <v>0.875</v>
      </c>
      <c r="G1720" s="49">
        <v>0</v>
      </c>
      <c r="H1720" s="49">
        <v>7.5000000000000071</v>
      </c>
      <c r="I1720" s="49">
        <v>7.5000000000000071</v>
      </c>
      <c r="J1720" s="53" t="s">
        <v>30</v>
      </c>
      <c r="K1720" s="51" t="s">
        <v>510</v>
      </c>
      <c r="L1720" s="102" t="s">
        <v>281</v>
      </c>
      <c r="M1720" s="19" t="str">
        <f t="shared" si="42"/>
        <v>Apr_2018</v>
      </c>
    </row>
    <row r="1721" spans="1:13">
      <c r="A1721" s="45" t="s">
        <v>22</v>
      </c>
      <c r="B1721" s="52" t="s">
        <v>254</v>
      </c>
      <c r="C1721" s="46">
        <v>43193</v>
      </c>
      <c r="D1721" s="47" t="s">
        <v>14</v>
      </c>
      <c r="E1721" s="48">
        <v>0.33333333333333298</v>
      </c>
      <c r="F1721" s="48">
        <v>0.875</v>
      </c>
      <c r="G1721" s="49">
        <v>0</v>
      </c>
      <c r="H1721" s="49">
        <v>12.000000000000007</v>
      </c>
      <c r="I1721" s="49">
        <v>12.000000000000007</v>
      </c>
      <c r="J1721" s="53" t="s">
        <v>30</v>
      </c>
      <c r="K1721" s="51" t="s">
        <v>510</v>
      </c>
      <c r="L1721" s="102" t="s">
        <v>281</v>
      </c>
      <c r="M1721" s="19" t="str">
        <f t="shared" si="42"/>
        <v>Apr_2018</v>
      </c>
    </row>
    <row r="1722" spans="1:13">
      <c r="A1722" s="45" t="s">
        <v>22</v>
      </c>
      <c r="B1722" s="52" t="s">
        <v>27</v>
      </c>
      <c r="C1722" s="46">
        <v>43193</v>
      </c>
      <c r="D1722" s="47" t="s">
        <v>14</v>
      </c>
      <c r="E1722" s="48">
        <v>0.33333333333333298</v>
      </c>
      <c r="F1722" s="48">
        <v>0.875</v>
      </c>
      <c r="G1722" s="49">
        <v>0</v>
      </c>
      <c r="H1722" s="49">
        <v>12.000000000000007</v>
      </c>
      <c r="I1722" s="49">
        <v>12.000000000000007</v>
      </c>
      <c r="J1722" s="53" t="s">
        <v>30</v>
      </c>
      <c r="K1722" s="51" t="s">
        <v>510</v>
      </c>
      <c r="L1722" s="102" t="s">
        <v>281</v>
      </c>
      <c r="M1722" s="19" t="str">
        <f t="shared" si="42"/>
        <v>Apr_2018</v>
      </c>
    </row>
    <row r="1723" spans="1:13">
      <c r="A1723" s="45" t="s">
        <v>11</v>
      </c>
      <c r="B1723" s="52" t="s">
        <v>12</v>
      </c>
      <c r="C1723" s="54">
        <v>43194</v>
      </c>
      <c r="D1723" s="47" t="s">
        <v>15</v>
      </c>
      <c r="E1723" s="48">
        <v>0.70833333333333304</v>
      </c>
      <c r="F1723" s="48">
        <v>0.875</v>
      </c>
      <c r="G1723" s="49">
        <v>8.0000000000000036</v>
      </c>
      <c r="H1723" s="49">
        <v>4.0000000000000036</v>
      </c>
      <c r="I1723" s="49">
        <v>4.0000000000000036</v>
      </c>
      <c r="J1723" s="53" t="s">
        <v>30</v>
      </c>
      <c r="K1723" s="51" t="s">
        <v>511</v>
      </c>
      <c r="L1723" s="102">
        <v>1</v>
      </c>
      <c r="M1723" s="19" t="str">
        <f t="shared" si="42"/>
        <v>Apr_2018</v>
      </c>
    </row>
    <row r="1724" spans="1:13">
      <c r="A1724" s="45" t="s">
        <v>11</v>
      </c>
      <c r="B1724" s="52" t="s">
        <v>19</v>
      </c>
      <c r="C1724" s="46">
        <v>43194</v>
      </c>
      <c r="D1724" s="47" t="s">
        <v>15</v>
      </c>
      <c r="E1724" s="48">
        <v>0.70833333333333304</v>
      </c>
      <c r="F1724" s="48">
        <v>0.875</v>
      </c>
      <c r="G1724" s="49">
        <v>8.0000000000000036</v>
      </c>
      <c r="H1724" s="49">
        <v>4.0000000000000036</v>
      </c>
      <c r="I1724" s="49">
        <v>4.0000000000000036</v>
      </c>
      <c r="J1724" s="53" t="s">
        <v>30</v>
      </c>
      <c r="K1724" s="51" t="s">
        <v>511</v>
      </c>
      <c r="L1724" s="102">
        <v>1</v>
      </c>
      <c r="M1724" s="19" t="str">
        <f t="shared" si="42"/>
        <v>Apr_2018</v>
      </c>
    </row>
    <row r="1725" spans="1:13">
      <c r="A1725" s="45" t="s">
        <v>11</v>
      </c>
      <c r="B1725" s="52" t="s">
        <v>149</v>
      </c>
      <c r="C1725" s="46">
        <v>43194</v>
      </c>
      <c r="D1725" s="47" t="s">
        <v>15</v>
      </c>
      <c r="E1725" s="48">
        <v>0.70833333333333304</v>
      </c>
      <c r="F1725" s="48">
        <v>0.83333333333333304</v>
      </c>
      <c r="G1725" s="49">
        <v>8.0000000000000036</v>
      </c>
      <c r="H1725" s="49">
        <v>2.9999999999999964</v>
      </c>
      <c r="I1725" s="49">
        <v>2.9999999999999964</v>
      </c>
      <c r="J1725" s="53" t="s">
        <v>30</v>
      </c>
      <c r="K1725" s="51" t="s">
        <v>511</v>
      </c>
      <c r="L1725" s="102">
        <v>1</v>
      </c>
      <c r="M1725" s="19" t="str">
        <f t="shared" si="42"/>
        <v>Apr_2018</v>
      </c>
    </row>
    <row r="1726" spans="1:13">
      <c r="A1726" s="45" t="s">
        <v>11</v>
      </c>
      <c r="B1726" s="52" t="s">
        <v>161</v>
      </c>
      <c r="C1726" s="46">
        <v>43194</v>
      </c>
      <c r="D1726" s="47" t="s">
        <v>15</v>
      </c>
      <c r="E1726" s="48">
        <v>0.66666666666666696</v>
      </c>
      <c r="F1726" s="48">
        <v>0.875</v>
      </c>
      <c r="G1726" s="49">
        <v>8.0000000000000036</v>
      </c>
      <c r="H1726" s="49">
        <v>4.9999999999999893</v>
      </c>
      <c r="I1726" s="49">
        <v>4.9999999999999893</v>
      </c>
      <c r="J1726" s="53" t="s">
        <v>30</v>
      </c>
      <c r="K1726" s="51" t="s">
        <v>511</v>
      </c>
      <c r="L1726" s="102">
        <v>1</v>
      </c>
      <c r="M1726" s="19" t="str">
        <f t="shared" si="42"/>
        <v>Apr_2018</v>
      </c>
    </row>
    <row r="1727" spans="1:13">
      <c r="A1727" s="45" t="s">
        <v>22</v>
      </c>
      <c r="B1727" s="52" t="s">
        <v>23</v>
      </c>
      <c r="C1727" s="46">
        <v>43194</v>
      </c>
      <c r="D1727" s="47" t="s">
        <v>15</v>
      </c>
      <c r="E1727" s="48">
        <v>0.33333333333333298</v>
      </c>
      <c r="F1727" s="48">
        <v>0.875</v>
      </c>
      <c r="G1727" s="49">
        <v>0</v>
      </c>
      <c r="H1727" s="49">
        <v>12.000000000000007</v>
      </c>
      <c r="I1727" s="49">
        <v>12.000000000000007</v>
      </c>
      <c r="J1727" s="53" t="s">
        <v>30</v>
      </c>
      <c r="K1727" s="51" t="s">
        <v>511</v>
      </c>
      <c r="L1727" s="102" t="s">
        <v>281</v>
      </c>
      <c r="M1727" s="19" t="str">
        <f t="shared" si="42"/>
        <v>Apr_2018</v>
      </c>
    </row>
    <row r="1728" spans="1:13">
      <c r="A1728" s="45" t="s">
        <v>22</v>
      </c>
      <c r="B1728" s="52" t="s">
        <v>254</v>
      </c>
      <c r="C1728" s="46">
        <v>43194</v>
      </c>
      <c r="D1728" s="47" t="s">
        <v>15</v>
      </c>
      <c r="E1728" s="48">
        <v>0.33333333333333298</v>
      </c>
      <c r="F1728" s="48">
        <v>0.66666666666666696</v>
      </c>
      <c r="G1728" s="49">
        <v>0</v>
      </c>
      <c r="H1728" s="49">
        <v>7.000000000000016</v>
      </c>
      <c r="I1728" s="49">
        <v>7.000000000000016</v>
      </c>
      <c r="J1728" s="53" t="s">
        <v>30</v>
      </c>
      <c r="K1728" s="51" t="s">
        <v>511</v>
      </c>
      <c r="L1728" s="102" t="s">
        <v>281</v>
      </c>
      <c r="M1728" s="19" t="str">
        <f t="shared" si="42"/>
        <v>Apr_2018</v>
      </c>
    </row>
    <row r="1729" spans="1:13">
      <c r="A1729" s="45" t="s">
        <v>22</v>
      </c>
      <c r="B1729" s="52" t="s">
        <v>255</v>
      </c>
      <c r="C1729" s="46">
        <v>43194</v>
      </c>
      <c r="D1729" s="47" t="s">
        <v>15</v>
      </c>
      <c r="E1729" s="48">
        <v>0.33333333333333298</v>
      </c>
      <c r="F1729" s="48">
        <v>0.6875</v>
      </c>
      <c r="G1729" s="49">
        <v>0</v>
      </c>
      <c r="H1729" s="49">
        <v>7.5000000000000089</v>
      </c>
      <c r="I1729" s="49">
        <v>7.5000000000000089</v>
      </c>
      <c r="J1729" s="53" t="s">
        <v>30</v>
      </c>
      <c r="K1729" s="51" t="s">
        <v>511</v>
      </c>
      <c r="L1729" s="102" t="s">
        <v>281</v>
      </c>
      <c r="M1729" s="19" t="str">
        <f t="shared" si="42"/>
        <v>Apr_2018</v>
      </c>
    </row>
    <row r="1730" spans="1:13">
      <c r="A1730" s="45" t="s">
        <v>22</v>
      </c>
      <c r="B1730" s="52" t="s">
        <v>478</v>
      </c>
      <c r="C1730" s="46">
        <v>43194</v>
      </c>
      <c r="D1730" s="47" t="s">
        <v>15</v>
      </c>
      <c r="E1730" s="48">
        <v>0.77083333333333304</v>
      </c>
      <c r="F1730" s="48">
        <v>0.875</v>
      </c>
      <c r="G1730" s="49">
        <v>0</v>
      </c>
      <c r="H1730" s="49">
        <v>2.5000000000000071</v>
      </c>
      <c r="I1730" s="49">
        <v>2.5000000000000071</v>
      </c>
      <c r="J1730" s="53" t="s">
        <v>30</v>
      </c>
      <c r="K1730" s="51" t="s">
        <v>512</v>
      </c>
      <c r="L1730" s="102" t="s">
        <v>281</v>
      </c>
      <c r="M1730" s="19" t="str">
        <f t="shared" si="42"/>
        <v>Apr_2018</v>
      </c>
    </row>
    <row r="1731" spans="1:13">
      <c r="A1731" s="45" t="s">
        <v>22</v>
      </c>
      <c r="B1731" s="52" t="s">
        <v>479</v>
      </c>
      <c r="C1731" s="46">
        <v>43194</v>
      </c>
      <c r="D1731" s="47" t="s">
        <v>15</v>
      </c>
      <c r="E1731" s="48">
        <v>0.33333333333333298</v>
      </c>
      <c r="F1731" s="48">
        <v>0.70833333333333304</v>
      </c>
      <c r="G1731" s="49">
        <v>0</v>
      </c>
      <c r="H1731" s="49">
        <v>8.0000000000000018</v>
      </c>
      <c r="I1731" s="49">
        <v>8.0000000000000018</v>
      </c>
      <c r="J1731" s="53" t="s">
        <v>30</v>
      </c>
      <c r="K1731" s="51" t="s">
        <v>511</v>
      </c>
      <c r="L1731" s="102" t="s">
        <v>281</v>
      </c>
      <c r="M1731" s="19" t="str">
        <f t="shared" si="42"/>
        <v>Apr_2018</v>
      </c>
    </row>
    <row r="1732" spans="1:13">
      <c r="A1732" s="45" t="s">
        <v>22</v>
      </c>
      <c r="B1732" s="52" t="s">
        <v>484</v>
      </c>
      <c r="C1732" s="46">
        <v>43194</v>
      </c>
      <c r="D1732" s="47" t="s">
        <v>15</v>
      </c>
      <c r="E1732" s="48">
        <v>0.33333333333333298</v>
      </c>
      <c r="F1732" s="48">
        <v>0.875</v>
      </c>
      <c r="G1732" s="49">
        <v>0</v>
      </c>
      <c r="H1732" s="49">
        <v>12.000000000000007</v>
      </c>
      <c r="I1732" s="49">
        <v>12.000000000000007</v>
      </c>
      <c r="J1732" s="53" t="s">
        <v>30</v>
      </c>
      <c r="K1732" s="51" t="s">
        <v>511</v>
      </c>
      <c r="L1732" s="102" t="s">
        <v>281</v>
      </c>
      <c r="M1732" s="19" t="str">
        <f t="shared" si="42"/>
        <v>Apr_2018</v>
      </c>
    </row>
    <row r="1733" spans="1:13">
      <c r="A1733" s="45" t="s">
        <v>22</v>
      </c>
      <c r="B1733" s="52" t="s">
        <v>486</v>
      </c>
      <c r="C1733" s="46">
        <v>43194</v>
      </c>
      <c r="D1733" s="47" t="s">
        <v>15</v>
      </c>
      <c r="E1733" s="48">
        <v>0.77083333333333304</v>
      </c>
      <c r="F1733" s="48">
        <v>0.875</v>
      </c>
      <c r="G1733" s="49">
        <v>0</v>
      </c>
      <c r="H1733" s="49">
        <v>2.5000000000000071</v>
      </c>
      <c r="I1733" s="49">
        <v>2.5000000000000071</v>
      </c>
      <c r="J1733" s="53" t="s">
        <v>30</v>
      </c>
      <c r="K1733" s="51" t="s">
        <v>511</v>
      </c>
      <c r="L1733" s="102" t="s">
        <v>281</v>
      </c>
      <c r="M1733" s="19" t="str">
        <f t="shared" si="42"/>
        <v>Apr_2018</v>
      </c>
    </row>
    <row r="1734" spans="1:13">
      <c r="A1734" s="45" t="s">
        <v>22</v>
      </c>
      <c r="B1734" s="52" t="s">
        <v>487</v>
      </c>
      <c r="C1734" s="46">
        <v>43194</v>
      </c>
      <c r="D1734" s="47" t="s">
        <v>15</v>
      </c>
      <c r="E1734" s="48">
        <v>0.77083333333333304</v>
      </c>
      <c r="F1734" s="48">
        <v>0.875</v>
      </c>
      <c r="G1734" s="49">
        <v>0</v>
      </c>
      <c r="H1734" s="49">
        <v>2.5000000000000071</v>
      </c>
      <c r="I1734" s="49">
        <v>2.5000000000000071</v>
      </c>
      <c r="J1734" s="53" t="s">
        <v>30</v>
      </c>
      <c r="K1734" s="51" t="s">
        <v>511</v>
      </c>
      <c r="L1734" s="102" t="s">
        <v>281</v>
      </c>
      <c r="M1734" s="19" t="str">
        <f t="shared" si="42"/>
        <v>Apr_2018</v>
      </c>
    </row>
    <row r="1735" spans="1:13">
      <c r="A1735" s="45" t="s">
        <v>11</v>
      </c>
      <c r="B1735" s="52" t="s">
        <v>26</v>
      </c>
      <c r="C1735" s="46">
        <v>43195</v>
      </c>
      <c r="D1735" s="47" t="s">
        <v>25</v>
      </c>
      <c r="E1735" s="48">
        <v>0.66666666666666696</v>
      </c>
      <c r="F1735" s="48">
        <v>0.83333333333333304</v>
      </c>
      <c r="G1735" s="49">
        <v>8.0000000000000036</v>
      </c>
      <c r="H1735" s="49">
        <v>3.9999999999999822</v>
      </c>
      <c r="I1735" s="49">
        <v>3.9999999999999822</v>
      </c>
      <c r="J1735" s="53" t="s">
        <v>30</v>
      </c>
      <c r="K1735" s="51" t="s">
        <v>513</v>
      </c>
      <c r="L1735" s="102">
        <v>1</v>
      </c>
      <c r="M1735" s="19" t="str">
        <f t="shared" si="42"/>
        <v>Apr_2018</v>
      </c>
    </row>
    <row r="1736" spans="1:13">
      <c r="A1736" s="45" t="s">
        <v>11</v>
      </c>
      <c r="B1736" s="52" t="s">
        <v>149</v>
      </c>
      <c r="C1736" s="46">
        <v>43195</v>
      </c>
      <c r="D1736" s="47" t="s">
        <v>25</v>
      </c>
      <c r="E1736" s="48">
        <v>0.70833333333333304</v>
      </c>
      <c r="F1736" s="48">
        <v>0.875</v>
      </c>
      <c r="G1736" s="49">
        <v>8.0000000000000036</v>
      </c>
      <c r="H1736" s="49">
        <v>4.0000000000000036</v>
      </c>
      <c r="I1736" s="49">
        <v>4.0000000000000036</v>
      </c>
      <c r="J1736" s="53" t="s">
        <v>30</v>
      </c>
      <c r="K1736" s="51" t="s">
        <v>513</v>
      </c>
      <c r="L1736" s="102">
        <v>1</v>
      </c>
      <c r="M1736" s="19" t="str">
        <f t="shared" si="42"/>
        <v>Apr_2018</v>
      </c>
    </row>
    <row r="1737" spans="1:13">
      <c r="A1737" s="45" t="s">
        <v>11</v>
      </c>
      <c r="B1737" s="52" t="s">
        <v>161</v>
      </c>
      <c r="C1737" s="46">
        <v>43195</v>
      </c>
      <c r="D1737" s="47" t="s">
        <v>25</v>
      </c>
      <c r="E1737" s="48">
        <v>0.70833333333333304</v>
      </c>
      <c r="F1737" s="48">
        <v>0.875</v>
      </c>
      <c r="G1737" s="49">
        <v>8.0000000000000036</v>
      </c>
      <c r="H1737" s="49">
        <v>4.0000000000000036</v>
      </c>
      <c r="I1737" s="49">
        <v>4.0000000000000036</v>
      </c>
      <c r="J1737" s="53" t="s">
        <v>30</v>
      </c>
      <c r="K1737" s="51" t="s">
        <v>513</v>
      </c>
      <c r="L1737" s="102">
        <v>1</v>
      </c>
      <c r="M1737" s="19" t="str">
        <f t="shared" si="42"/>
        <v>Apr_2018</v>
      </c>
    </row>
    <row r="1738" spans="1:13">
      <c r="A1738" s="45" t="s">
        <v>22</v>
      </c>
      <c r="B1738" s="52" t="s">
        <v>23</v>
      </c>
      <c r="C1738" s="46">
        <v>43195</v>
      </c>
      <c r="D1738" s="47" t="s">
        <v>25</v>
      </c>
      <c r="E1738" s="48">
        <v>0.33333333333333298</v>
      </c>
      <c r="F1738" s="48">
        <v>0.875</v>
      </c>
      <c r="G1738" s="49">
        <v>0</v>
      </c>
      <c r="H1738" s="49">
        <v>12.000000000000007</v>
      </c>
      <c r="I1738" s="49">
        <v>12.000000000000007</v>
      </c>
      <c r="J1738" s="53" t="s">
        <v>30</v>
      </c>
      <c r="K1738" s="51" t="s">
        <v>513</v>
      </c>
      <c r="L1738" s="102" t="s">
        <v>281</v>
      </c>
      <c r="M1738" s="19" t="str">
        <f t="shared" si="42"/>
        <v>Apr_2018</v>
      </c>
    </row>
    <row r="1739" spans="1:13">
      <c r="A1739" s="45" t="s">
        <v>22</v>
      </c>
      <c r="B1739" s="52" t="s">
        <v>78</v>
      </c>
      <c r="C1739" s="46">
        <v>43195</v>
      </c>
      <c r="D1739" s="47" t="s">
        <v>25</v>
      </c>
      <c r="E1739" s="48">
        <v>0.625</v>
      </c>
      <c r="F1739" s="48">
        <v>0.875</v>
      </c>
      <c r="G1739" s="49">
        <v>0</v>
      </c>
      <c r="H1739" s="49">
        <v>5</v>
      </c>
      <c r="I1739" s="49">
        <v>5</v>
      </c>
      <c r="J1739" s="53" t="s">
        <v>30</v>
      </c>
      <c r="K1739" s="51" t="s">
        <v>513</v>
      </c>
      <c r="L1739" s="102" t="s">
        <v>281</v>
      </c>
      <c r="M1739" s="19" t="str">
        <f t="shared" si="42"/>
        <v>Apr_2018</v>
      </c>
    </row>
    <row r="1740" spans="1:13">
      <c r="A1740" s="45" t="s">
        <v>22</v>
      </c>
      <c r="B1740" s="52" t="s">
        <v>254</v>
      </c>
      <c r="C1740" s="46">
        <v>43195</v>
      </c>
      <c r="D1740" s="47" t="s">
        <v>25</v>
      </c>
      <c r="E1740" s="48">
        <v>0.33333333333333298</v>
      </c>
      <c r="F1740" s="48">
        <v>0.875</v>
      </c>
      <c r="G1740" s="49">
        <v>0</v>
      </c>
      <c r="H1740" s="49">
        <v>12.000000000000007</v>
      </c>
      <c r="I1740" s="49">
        <v>12.000000000000007</v>
      </c>
      <c r="J1740" s="53" t="s">
        <v>30</v>
      </c>
      <c r="K1740" s="51" t="s">
        <v>513</v>
      </c>
      <c r="L1740" s="102" t="s">
        <v>281</v>
      </c>
      <c r="M1740" s="19" t="str">
        <f t="shared" si="42"/>
        <v>Apr_2018</v>
      </c>
    </row>
    <row r="1741" spans="1:13">
      <c r="A1741" s="45" t="s">
        <v>22</v>
      </c>
      <c r="B1741" s="52" t="s">
        <v>255</v>
      </c>
      <c r="C1741" s="46">
        <v>43195</v>
      </c>
      <c r="D1741" s="47" t="s">
        <v>25</v>
      </c>
      <c r="E1741" s="48">
        <v>0.33333333333333298</v>
      </c>
      <c r="F1741" s="48">
        <v>0.875</v>
      </c>
      <c r="G1741" s="49">
        <v>0</v>
      </c>
      <c r="H1741" s="49">
        <v>12.000000000000007</v>
      </c>
      <c r="I1741" s="49">
        <v>12.000000000000007</v>
      </c>
      <c r="J1741" s="53" t="s">
        <v>30</v>
      </c>
      <c r="K1741" s="51" t="s">
        <v>513</v>
      </c>
      <c r="L1741" s="102" t="s">
        <v>281</v>
      </c>
      <c r="M1741" s="19" t="str">
        <f t="shared" si="42"/>
        <v>Apr_2018</v>
      </c>
    </row>
    <row r="1742" spans="1:13">
      <c r="A1742" s="45" t="s">
        <v>22</v>
      </c>
      <c r="B1742" s="52" t="s">
        <v>27</v>
      </c>
      <c r="C1742" s="46">
        <v>43195</v>
      </c>
      <c r="D1742" s="47" t="s">
        <v>25</v>
      </c>
      <c r="E1742" s="48">
        <v>0.33333333333333298</v>
      </c>
      <c r="F1742" s="48">
        <v>0.875</v>
      </c>
      <c r="G1742" s="49">
        <v>0</v>
      </c>
      <c r="H1742" s="49">
        <v>12.000000000000007</v>
      </c>
      <c r="I1742" s="49">
        <v>12.000000000000007</v>
      </c>
      <c r="J1742" s="53" t="s">
        <v>30</v>
      </c>
      <c r="K1742" s="51" t="s">
        <v>513</v>
      </c>
      <c r="L1742" s="102" t="s">
        <v>281</v>
      </c>
      <c r="M1742" s="19" t="str">
        <f t="shared" si="42"/>
        <v>Apr_2018</v>
      </c>
    </row>
    <row r="1743" spans="1:13">
      <c r="A1743" s="45" t="s">
        <v>22</v>
      </c>
      <c r="B1743" s="52" t="s">
        <v>479</v>
      </c>
      <c r="C1743" s="46">
        <v>43195</v>
      </c>
      <c r="D1743" s="47" t="s">
        <v>25</v>
      </c>
      <c r="E1743" s="48">
        <v>0.33333333333333298</v>
      </c>
      <c r="F1743" s="48">
        <v>0.70833333333333304</v>
      </c>
      <c r="G1743" s="49">
        <v>0</v>
      </c>
      <c r="H1743" s="49">
        <v>8.0000000000000018</v>
      </c>
      <c r="I1743" s="49">
        <v>8.0000000000000018</v>
      </c>
      <c r="J1743" s="53" t="s">
        <v>30</v>
      </c>
      <c r="K1743" s="51" t="s">
        <v>513</v>
      </c>
      <c r="L1743" s="102" t="s">
        <v>281</v>
      </c>
      <c r="M1743" s="19" t="str">
        <f t="shared" si="42"/>
        <v>Apr_2018</v>
      </c>
    </row>
    <row r="1744" spans="1:13">
      <c r="A1744" s="45" t="s">
        <v>22</v>
      </c>
      <c r="B1744" s="52" t="s">
        <v>484</v>
      </c>
      <c r="C1744" s="46">
        <v>43195</v>
      </c>
      <c r="D1744" s="47" t="s">
        <v>25</v>
      </c>
      <c r="E1744" s="48">
        <v>0.33333333333333298</v>
      </c>
      <c r="F1744" s="48">
        <v>0.70833333333333304</v>
      </c>
      <c r="G1744" s="49">
        <v>0</v>
      </c>
      <c r="H1744" s="49">
        <v>8.0000000000000018</v>
      </c>
      <c r="I1744" s="49">
        <v>8.0000000000000018</v>
      </c>
      <c r="J1744" s="53" t="s">
        <v>30</v>
      </c>
      <c r="K1744" s="51" t="s">
        <v>513</v>
      </c>
      <c r="L1744" s="102" t="s">
        <v>281</v>
      </c>
      <c r="M1744" s="19" t="str">
        <f t="shared" si="42"/>
        <v>Apr_2018</v>
      </c>
    </row>
    <row r="1745" spans="1:13">
      <c r="A1745" s="45" t="s">
        <v>11</v>
      </c>
      <c r="B1745" s="52" t="s">
        <v>12</v>
      </c>
      <c r="C1745" s="54">
        <v>43196</v>
      </c>
      <c r="D1745" s="47" t="s">
        <v>17</v>
      </c>
      <c r="E1745" s="48">
        <v>0.70833333333333304</v>
      </c>
      <c r="F1745" s="48">
        <v>0.875</v>
      </c>
      <c r="G1745" s="49">
        <v>8.0000000000000036</v>
      </c>
      <c r="H1745" s="49">
        <v>4.0000000000000036</v>
      </c>
      <c r="I1745" s="49">
        <v>4.0000000000000036</v>
      </c>
      <c r="J1745" s="53" t="s">
        <v>30</v>
      </c>
      <c r="K1745" s="51" t="s">
        <v>514</v>
      </c>
      <c r="L1745" s="102">
        <v>1</v>
      </c>
      <c r="M1745" s="19" t="str">
        <f t="shared" si="42"/>
        <v>Apr_2018</v>
      </c>
    </row>
    <row r="1746" spans="1:13">
      <c r="A1746" s="45" t="s">
        <v>11</v>
      </c>
      <c r="B1746" s="52" t="s">
        <v>19</v>
      </c>
      <c r="C1746" s="46">
        <v>43196</v>
      </c>
      <c r="D1746" s="47" t="s">
        <v>17</v>
      </c>
      <c r="E1746" s="48">
        <v>0.70833333333333304</v>
      </c>
      <c r="F1746" s="48">
        <v>0.85416666666666696</v>
      </c>
      <c r="G1746" s="49">
        <v>8.0000000000000036</v>
      </c>
      <c r="H1746" s="49">
        <v>3.5000000000000107</v>
      </c>
      <c r="I1746" s="49">
        <v>3.5000000000000107</v>
      </c>
      <c r="J1746" s="53" t="s">
        <v>30</v>
      </c>
      <c r="K1746" s="51" t="s">
        <v>514</v>
      </c>
      <c r="L1746" s="102">
        <v>1</v>
      </c>
      <c r="M1746" s="19" t="str">
        <f t="shared" si="42"/>
        <v>Apr_2018</v>
      </c>
    </row>
    <row r="1747" spans="1:13">
      <c r="A1747" s="45" t="s">
        <v>11</v>
      </c>
      <c r="B1747" s="52" t="s">
        <v>26</v>
      </c>
      <c r="C1747" s="46">
        <v>43196</v>
      </c>
      <c r="D1747" s="47" t="s">
        <v>17</v>
      </c>
      <c r="E1747" s="48">
        <v>0.70833333333333304</v>
      </c>
      <c r="F1747" s="48">
        <v>0.875</v>
      </c>
      <c r="G1747" s="49">
        <v>8.0000000000000036</v>
      </c>
      <c r="H1747" s="49">
        <v>4.0000000000000036</v>
      </c>
      <c r="I1747" s="49">
        <v>4.0000000000000036</v>
      </c>
      <c r="J1747" s="53" t="s">
        <v>30</v>
      </c>
      <c r="K1747" s="51" t="s">
        <v>514</v>
      </c>
      <c r="L1747" s="102">
        <v>1</v>
      </c>
      <c r="M1747" s="19" t="str">
        <f t="shared" si="42"/>
        <v>Apr_2018</v>
      </c>
    </row>
    <row r="1748" spans="1:13">
      <c r="A1748" s="45" t="s">
        <v>11</v>
      </c>
      <c r="B1748" s="52" t="s">
        <v>149</v>
      </c>
      <c r="C1748" s="46">
        <v>43196</v>
      </c>
      <c r="D1748" s="47" t="s">
        <v>17</v>
      </c>
      <c r="E1748" s="48">
        <v>0.70833333333333304</v>
      </c>
      <c r="F1748" s="48">
        <v>0.875</v>
      </c>
      <c r="G1748" s="49">
        <v>8.0000000000000036</v>
      </c>
      <c r="H1748" s="49">
        <v>4.0000000000000036</v>
      </c>
      <c r="I1748" s="49">
        <v>4.0000000000000036</v>
      </c>
      <c r="J1748" s="53" t="s">
        <v>30</v>
      </c>
      <c r="K1748" s="51" t="s">
        <v>514</v>
      </c>
      <c r="L1748" s="102">
        <v>1</v>
      </c>
      <c r="M1748" s="19" t="str">
        <f t="shared" si="42"/>
        <v>Apr_2018</v>
      </c>
    </row>
    <row r="1749" spans="1:13">
      <c r="A1749" s="45" t="s">
        <v>11</v>
      </c>
      <c r="B1749" s="52" t="s">
        <v>161</v>
      </c>
      <c r="C1749" s="46">
        <v>43196</v>
      </c>
      <c r="D1749" s="47" t="s">
        <v>17</v>
      </c>
      <c r="E1749" s="48">
        <v>0.70833333333333304</v>
      </c>
      <c r="F1749" s="48">
        <v>0.875</v>
      </c>
      <c r="G1749" s="49">
        <v>8.0000000000000036</v>
      </c>
      <c r="H1749" s="49">
        <v>4.0000000000000036</v>
      </c>
      <c r="I1749" s="49">
        <v>4.0000000000000036</v>
      </c>
      <c r="J1749" s="53" t="s">
        <v>30</v>
      </c>
      <c r="K1749" s="51" t="s">
        <v>514</v>
      </c>
      <c r="L1749" s="102">
        <v>1</v>
      </c>
      <c r="M1749" s="19" t="str">
        <f t="shared" si="42"/>
        <v>Apr_2018</v>
      </c>
    </row>
    <row r="1750" spans="1:13">
      <c r="A1750" s="45" t="s">
        <v>22</v>
      </c>
      <c r="B1750" s="52" t="s">
        <v>23</v>
      </c>
      <c r="C1750" s="46">
        <v>43196</v>
      </c>
      <c r="D1750" s="47" t="s">
        <v>17</v>
      </c>
      <c r="E1750" s="48">
        <v>0.33333333333333298</v>
      </c>
      <c r="F1750" s="48">
        <v>0.875</v>
      </c>
      <c r="G1750" s="49">
        <v>0</v>
      </c>
      <c r="H1750" s="49">
        <v>12.000000000000007</v>
      </c>
      <c r="I1750" s="49">
        <v>12.000000000000007</v>
      </c>
      <c r="J1750" s="53" t="s">
        <v>30</v>
      </c>
      <c r="K1750" s="51" t="s">
        <v>514</v>
      </c>
      <c r="L1750" s="102" t="s">
        <v>281</v>
      </c>
      <c r="M1750" s="19" t="str">
        <f t="shared" si="42"/>
        <v>Apr_2018</v>
      </c>
    </row>
    <row r="1751" spans="1:13">
      <c r="A1751" s="45" t="s">
        <v>22</v>
      </c>
      <c r="B1751" s="52" t="s">
        <v>78</v>
      </c>
      <c r="C1751" s="46">
        <v>43196</v>
      </c>
      <c r="D1751" s="47" t="s">
        <v>17</v>
      </c>
      <c r="E1751" s="48">
        <v>0.39583333333333298</v>
      </c>
      <c r="F1751" s="48">
        <v>0.875</v>
      </c>
      <c r="G1751" s="49">
        <v>0</v>
      </c>
      <c r="H1751" s="49">
        <v>10.500000000000009</v>
      </c>
      <c r="I1751" s="49">
        <v>10.500000000000009</v>
      </c>
      <c r="J1751" s="53" t="s">
        <v>30</v>
      </c>
      <c r="K1751" s="51" t="s">
        <v>514</v>
      </c>
      <c r="L1751" s="102" t="s">
        <v>281</v>
      </c>
      <c r="M1751" s="19" t="str">
        <f t="shared" si="42"/>
        <v>Apr_2018</v>
      </c>
    </row>
    <row r="1752" spans="1:13">
      <c r="A1752" s="45" t="s">
        <v>22</v>
      </c>
      <c r="B1752" s="52" t="s">
        <v>254</v>
      </c>
      <c r="C1752" s="46">
        <v>43196</v>
      </c>
      <c r="D1752" s="47" t="s">
        <v>17</v>
      </c>
      <c r="E1752" s="48">
        <v>0.33333333333333298</v>
      </c>
      <c r="F1752" s="48">
        <v>0.875</v>
      </c>
      <c r="G1752" s="49">
        <v>0</v>
      </c>
      <c r="H1752" s="49">
        <v>12.000000000000007</v>
      </c>
      <c r="I1752" s="49">
        <v>12.000000000000007</v>
      </c>
      <c r="J1752" s="53" t="s">
        <v>30</v>
      </c>
      <c r="K1752" s="51" t="s">
        <v>514</v>
      </c>
      <c r="L1752" s="102" t="s">
        <v>281</v>
      </c>
      <c r="M1752" s="19" t="str">
        <f t="shared" si="42"/>
        <v>Apr_2018</v>
      </c>
    </row>
    <row r="1753" spans="1:13">
      <c r="A1753" s="45" t="s">
        <v>22</v>
      </c>
      <c r="B1753" s="52" t="s">
        <v>255</v>
      </c>
      <c r="C1753" s="46">
        <v>43196</v>
      </c>
      <c r="D1753" s="47" t="s">
        <v>17</v>
      </c>
      <c r="E1753" s="48">
        <v>0.33333333333333298</v>
      </c>
      <c r="F1753" s="48">
        <v>0.6875</v>
      </c>
      <c r="G1753" s="49">
        <v>0</v>
      </c>
      <c r="H1753" s="49">
        <v>7.5000000000000089</v>
      </c>
      <c r="I1753" s="49">
        <v>7.5000000000000089</v>
      </c>
      <c r="J1753" s="53" t="s">
        <v>30</v>
      </c>
      <c r="K1753" s="51" t="s">
        <v>514</v>
      </c>
      <c r="L1753" s="102" t="s">
        <v>281</v>
      </c>
      <c r="M1753" s="19" t="str">
        <f t="shared" si="42"/>
        <v>Apr_2018</v>
      </c>
    </row>
    <row r="1754" spans="1:13">
      <c r="A1754" s="45" t="s">
        <v>22</v>
      </c>
      <c r="B1754" s="52" t="s">
        <v>27</v>
      </c>
      <c r="C1754" s="46">
        <v>43196</v>
      </c>
      <c r="D1754" s="47" t="s">
        <v>17</v>
      </c>
      <c r="E1754" s="48">
        <v>0.33333333333333298</v>
      </c>
      <c r="F1754" s="48">
        <v>0.875</v>
      </c>
      <c r="G1754" s="49">
        <v>0</v>
      </c>
      <c r="H1754" s="49">
        <v>12.000000000000007</v>
      </c>
      <c r="I1754" s="49">
        <v>12.000000000000007</v>
      </c>
      <c r="J1754" s="53" t="s">
        <v>30</v>
      </c>
      <c r="K1754" s="51" t="s">
        <v>514</v>
      </c>
      <c r="L1754" s="102" t="s">
        <v>281</v>
      </c>
      <c r="M1754" s="19" t="str">
        <f t="shared" si="42"/>
        <v>Apr_2018</v>
      </c>
    </row>
    <row r="1755" spans="1:13">
      <c r="A1755" s="45" t="s">
        <v>22</v>
      </c>
      <c r="B1755" s="52" t="s">
        <v>484</v>
      </c>
      <c r="C1755" s="46">
        <v>43196</v>
      </c>
      <c r="D1755" s="47" t="s">
        <v>17</v>
      </c>
      <c r="E1755" s="48">
        <v>0.625</v>
      </c>
      <c r="F1755" s="48">
        <v>0.875</v>
      </c>
      <c r="G1755" s="49">
        <v>0</v>
      </c>
      <c r="H1755" s="49">
        <v>6</v>
      </c>
      <c r="I1755" s="49">
        <v>6</v>
      </c>
      <c r="J1755" s="53" t="s">
        <v>30</v>
      </c>
      <c r="K1755" s="51" t="s">
        <v>514</v>
      </c>
      <c r="L1755" s="102" t="s">
        <v>281</v>
      </c>
      <c r="M1755" s="19" t="str">
        <f t="shared" si="42"/>
        <v>Apr_2018</v>
      </c>
    </row>
    <row r="1756" spans="1:13">
      <c r="A1756" s="45" t="s">
        <v>11</v>
      </c>
      <c r="B1756" s="52" t="s">
        <v>12</v>
      </c>
      <c r="C1756" s="54">
        <v>43197</v>
      </c>
      <c r="D1756" s="47" t="s">
        <v>24</v>
      </c>
      <c r="E1756" s="48">
        <v>0.33333333333333298</v>
      </c>
      <c r="F1756" s="48">
        <v>0.70833333333333304</v>
      </c>
      <c r="G1756" s="49">
        <v>8.0000000000000036</v>
      </c>
      <c r="H1756" s="49">
        <v>0</v>
      </c>
      <c r="I1756" s="49">
        <v>8.0000000000000036</v>
      </c>
      <c r="J1756" s="53" t="s">
        <v>281</v>
      </c>
      <c r="K1756" s="51" t="s">
        <v>515</v>
      </c>
      <c r="L1756" s="102" t="s">
        <v>281</v>
      </c>
      <c r="M1756" s="19" t="str">
        <f t="shared" si="42"/>
        <v>Apr_2018</v>
      </c>
    </row>
    <row r="1757" spans="1:13">
      <c r="A1757" s="45" t="s">
        <v>11</v>
      </c>
      <c r="B1757" s="52" t="s">
        <v>19</v>
      </c>
      <c r="C1757" s="46">
        <v>43197</v>
      </c>
      <c r="D1757" s="47" t="s">
        <v>24</v>
      </c>
      <c r="E1757" s="48">
        <v>0.375</v>
      </c>
      <c r="F1757" s="48">
        <v>0.70833333333333304</v>
      </c>
      <c r="G1757" s="49">
        <v>6.9999999999999929</v>
      </c>
      <c r="H1757" s="49">
        <v>0</v>
      </c>
      <c r="I1757" s="49">
        <v>6.9999999999999929</v>
      </c>
      <c r="J1757" s="53" t="s">
        <v>281</v>
      </c>
      <c r="K1757" s="51" t="s">
        <v>515</v>
      </c>
      <c r="L1757" s="102" t="s">
        <v>281</v>
      </c>
      <c r="M1757" s="19" t="str">
        <f t="shared" si="42"/>
        <v>Apr_2018</v>
      </c>
    </row>
    <row r="1758" spans="1:13">
      <c r="A1758" s="45" t="s">
        <v>11</v>
      </c>
      <c r="B1758" s="52" t="s">
        <v>26</v>
      </c>
      <c r="C1758" s="46">
        <v>43197</v>
      </c>
      <c r="D1758" s="47" t="s">
        <v>24</v>
      </c>
      <c r="E1758" s="48">
        <v>0.45833333333333298</v>
      </c>
      <c r="F1758" s="48">
        <v>0.70833333333333304</v>
      </c>
      <c r="G1758" s="49">
        <v>5.0000000000000018</v>
      </c>
      <c r="H1758" s="49">
        <v>0</v>
      </c>
      <c r="I1758" s="49">
        <v>5.0000000000000018</v>
      </c>
      <c r="J1758" s="53" t="s">
        <v>281</v>
      </c>
      <c r="K1758" s="51" t="s">
        <v>515</v>
      </c>
      <c r="L1758" s="102" t="s">
        <v>281</v>
      </c>
      <c r="M1758" s="19" t="str">
        <f t="shared" si="42"/>
        <v>Apr_2018</v>
      </c>
    </row>
    <row r="1759" spans="1:13">
      <c r="A1759" s="45" t="s">
        <v>22</v>
      </c>
      <c r="B1759" s="52" t="s">
        <v>23</v>
      </c>
      <c r="C1759" s="46">
        <v>43197</v>
      </c>
      <c r="D1759" s="47" t="s">
        <v>24</v>
      </c>
      <c r="E1759" s="48">
        <v>0.33333333333333298</v>
      </c>
      <c r="F1759" s="48">
        <v>0.70833333333333304</v>
      </c>
      <c r="G1759" s="49">
        <v>0</v>
      </c>
      <c r="H1759" s="49">
        <v>8.0000000000000018</v>
      </c>
      <c r="I1759" s="49">
        <v>8.0000000000000018</v>
      </c>
      <c r="J1759" s="53" t="s">
        <v>52</v>
      </c>
      <c r="K1759" s="51" t="s">
        <v>515</v>
      </c>
      <c r="L1759" s="102" t="s">
        <v>281</v>
      </c>
      <c r="M1759" s="19" t="str">
        <f t="shared" si="42"/>
        <v>Apr_2018</v>
      </c>
    </row>
    <row r="1760" spans="1:13">
      <c r="A1760" s="45" t="s">
        <v>22</v>
      </c>
      <c r="B1760" s="52" t="s">
        <v>78</v>
      </c>
      <c r="C1760" s="46">
        <v>43197</v>
      </c>
      <c r="D1760" s="47" t="s">
        <v>24</v>
      </c>
      <c r="E1760" s="48">
        <v>0.33333333333333298</v>
      </c>
      <c r="F1760" s="48">
        <v>0.70833333333333304</v>
      </c>
      <c r="G1760" s="49">
        <v>0</v>
      </c>
      <c r="H1760" s="49">
        <v>8.0000000000000018</v>
      </c>
      <c r="I1760" s="49">
        <v>8.0000000000000018</v>
      </c>
      <c r="J1760" s="53" t="s">
        <v>52</v>
      </c>
      <c r="K1760" s="51" t="s">
        <v>515</v>
      </c>
      <c r="L1760" s="102" t="s">
        <v>281</v>
      </c>
      <c r="M1760" s="19" t="str">
        <f t="shared" si="42"/>
        <v>Apr_2018</v>
      </c>
    </row>
    <row r="1761" spans="1:13">
      <c r="A1761" s="45" t="s">
        <v>22</v>
      </c>
      <c r="B1761" s="52" t="s">
        <v>254</v>
      </c>
      <c r="C1761" s="46">
        <v>43197</v>
      </c>
      <c r="D1761" s="47" t="s">
        <v>24</v>
      </c>
      <c r="E1761" s="48">
        <v>0.35416666666666702</v>
      </c>
      <c r="F1761" s="48">
        <v>0.70833333333333304</v>
      </c>
      <c r="G1761" s="49">
        <v>0</v>
      </c>
      <c r="H1761" s="49">
        <v>7.499999999999984</v>
      </c>
      <c r="I1761" s="49">
        <v>7.499999999999984</v>
      </c>
      <c r="J1761" s="53" t="s">
        <v>52</v>
      </c>
      <c r="K1761" s="51" t="s">
        <v>515</v>
      </c>
      <c r="L1761" s="102" t="s">
        <v>281</v>
      </c>
      <c r="M1761" s="19" t="str">
        <f t="shared" si="42"/>
        <v>Apr_2018</v>
      </c>
    </row>
    <row r="1762" spans="1:13">
      <c r="A1762" s="45" t="s">
        <v>22</v>
      </c>
      <c r="B1762" s="52" t="s">
        <v>27</v>
      </c>
      <c r="C1762" s="46">
        <v>43197</v>
      </c>
      <c r="D1762" s="47" t="s">
        <v>24</v>
      </c>
      <c r="E1762" s="48">
        <v>0.35416666666666702</v>
      </c>
      <c r="F1762" s="48">
        <v>0.70833333333333304</v>
      </c>
      <c r="G1762" s="49">
        <v>0</v>
      </c>
      <c r="H1762" s="49">
        <v>7.499999999999984</v>
      </c>
      <c r="I1762" s="49">
        <v>7.499999999999984</v>
      </c>
      <c r="J1762" s="53" t="s">
        <v>52</v>
      </c>
      <c r="K1762" s="51" t="s">
        <v>515</v>
      </c>
      <c r="L1762" s="102" t="s">
        <v>281</v>
      </c>
      <c r="M1762" s="19" t="str">
        <f t="shared" si="42"/>
        <v>Apr_2018</v>
      </c>
    </row>
    <row r="1763" spans="1:13">
      <c r="A1763" s="45" t="s">
        <v>22</v>
      </c>
      <c r="B1763" s="52" t="s">
        <v>479</v>
      </c>
      <c r="C1763" s="46">
        <v>43197</v>
      </c>
      <c r="D1763" s="47" t="s">
        <v>24</v>
      </c>
      <c r="E1763" s="48">
        <v>0.33333333333333298</v>
      </c>
      <c r="F1763" s="48">
        <v>0.70833333333333304</v>
      </c>
      <c r="G1763" s="49">
        <v>0</v>
      </c>
      <c r="H1763" s="49">
        <v>8.0000000000000018</v>
      </c>
      <c r="I1763" s="49">
        <v>8.0000000000000018</v>
      </c>
      <c r="J1763" s="53" t="s">
        <v>52</v>
      </c>
      <c r="K1763" s="51" t="s">
        <v>515</v>
      </c>
      <c r="L1763" s="102" t="s">
        <v>281</v>
      </c>
      <c r="M1763" s="19" t="str">
        <f t="shared" si="42"/>
        <v>Apr_2018</v>
      </c>
    </row>
    <row r="1764" spans="1:13">
      <c r="A1764" s="45" t="s">
        <v>22</v>
      </c>
      <c r="B1764" s="52" t="s">
        <v>484</v>
      </c>
      <c r="C1764" s="46">
        <v>43197</v>
      </c>
      <c r="D1764" s="47" t="s">
        <v>24</v>
      </c>
      <c r="E1764" s="48">
        <v>0.33333333333333298</v>
      </c>
      <c r="F1764" s="48">
        <v>0.70833333333333304</v>
      </c>
      <c r="G1764" s="49">
        <v>0</v>
      </c>
      <c r="H1764" s="49">
        <v>8.0000000000000018</v>
      </c>
      <c r="I1764" s="49">
        <v>8.0000000000000018</v>
      </c>
      <c r="J1764" s="53" t="s">
        <v>52</v>
      </c>
      <c r="K1764" s="51" t="s">
        <v>515</v>
      </c>
      <c r="L1764" s="102" t="s">
        <v>281</v>
      </c>
      <c r="M1764" s="19" t="str">
        <f t="shared" si="42"/>
        <v>Apr_2018</v>
      </c>
    </row>
    <row r="1765" spans="1:13">
      <c r="A1765" s="45" t="s">
        <v>11</v>
      </c>
      <c r="B1765" s="52" t="s">
        <v>12</v>
      </c>
      <c r="C1765" s="54">
        <v>43198</v>
      </c>
      <c r="D1765" s="47" t="s">
        <v>13</v>
      </c>
      <c r="E1765" s="48">
        <v>0.33333333333333298</v>
      </c>
      <c r="F1765" s="48">
        <v>0.6875</v>
      </c>
      <c r="G1765" s="49" t="s">
        <v>281</v>
      </c>
      <c r="H1765" s="49">
        <v>7.5000000000000089</v>
      </c>
      <c r="I1765" s="49">
        <v>7.5000000000000089</v>
      </c>
      <c r="J1765" s="53" t="s">
        <v>52</v>
      </c>
      <c r="K1765" s="51" t="s">
        <v>516</v>
      </c>
      <c r="L1765" s="102" t="s">
        <v>281</v>
      </c>
      <c r="M1765" s="19" t="str">
        <f t="shared" si="42"/>
        <v>Apr_2018</v>
      </c>
    </row>
    <row r="1766" spans="1:13">
      <c r="A1766" s="45" t="s">
        <v>11</v>
      </c>
      <c r="B1766" s="52" t="s">
        <v>19</v>
      </c>
      <c r="C1766" s="46">
        <v>43198</v>
      </c>
      <c r="D1766" s="47" t="s">
        <v>13</v>
      </c>
      <c r="E1766" s="48">
        <v>0.33333333333333298</v>
      </c>
      <c r="F1766" s="48">
        <v>0.6875</v>
      </c>
      <c r="G1766" s="49" t="s">
        <v>281</v>
      </c>
      <c r="H1766" s="49">
        <v>7.5000000000000089</v>
      </c>
      <c r="I1766" s="49">
        <v>7.5000000000000089</v>
      </c>
      <c r="J1766" s="53" t="s">
        <v>52</v>
      </c>
      <c r="K1766" s="51" t="s">
        <v>516</v>
      </c>
      <c r="L1766" s="102" t="s">
        <v>281</v>
      </c>
      <c r="M1766" s="19" t="str">
        <f t="shared" si="42"/>
        <v>Apr_2018</v>
      </c>
    </row>
    <row r="1767" spans="1:13">
      <c r="A1767" s="45" t="s">
        <v>11</v>
      </c>
      <c r="B1767" s="52" t="s">
        <v>26</v>
      </c>
      <c r="C1767" s="46">
        <v>43198</v>
      </c>
      <c r="D1767" s="47" t="s">
        <v>13</v>
      </c>
      <c r="E1767" s="48">
        <v>0.33333333333333298</v>
      </c>
      <c r="F1767" s="48">
        <v>0.6875</v>
      </c>
      <c r="G1767" s="49" t="s">
        <v>281</v>
      </c>
      <c r="H1767" s="49">
        <v>7.5000000000000089</v>
      </c>
      <c r="I1767" s="49">
        <v>7.5000000000000089</v>
      </c>
      <c r="J1767" s="53" t="s">
        <v>52</v>
      </c>
      <c r="K1767" s="51" t="s">
        <v>516</v>
      </c>
      <c r="L1767" s="102" t="s">
        <v>281</v>
      </c>
      <c r="M1767" s="19" t="str">
        <f t="shared" si="42"/>
        <v>Apr_2018</v>
      </c>
    </row>
    <row r="1768" spans="1:13">
      <c r="A1768" s="45" t="s">
        <v>11</v>
      </c>
      <c r="B1768" s="52" t="s">
        <v>149</v>
      </c>
      <c r="C1768" s="46">
        <v>43198</v>
      </c>
      <c r="D1768" s="47" t="s">
        <v>13</v>
      </c>
      <c r="E1768" s="48">
        <v>0.33333333333333298</v>
      </c>
      <c r="F1768" s="48">
        <v>0.6875</v>
      </c>
      <c r="G1768" s="49" t="s">
        <v>281</v>
      </c>
      <c r="H1768" s="49">
        <v>7.5000000000000089</v>
      </c>
      <c r="I1768" s="49">
        <v>7.5000000000000089</v>
      </c>
      <c r="J1768" s="53" t="s">
        <v>52</v>
      </c>
      <c r="K1768" s="51" t="s">
        <v>516</v>
      </c>
      <c r="L1768" s="102" t="s">
        <v>281</v>
      </c>
      <c r="M1768" s="19" t="str">
        <f t="shared" ref="M1768:M1831" si="43">IF($C1768="","",TEXT(DATE(YEAR($C1768),MONTH($C1768),DAY($C1768)),"MMM")&amp;"_"&amp;YEAR($C1768))</f>
        <v>Apr_2018</v>
      </c>
    </row>
    <row r="1769" spans="1:13">
      <c r="A1769" s="45" t="s">
        <v>11</v>
      </c>
      <c r="B1769" s="52" t="s">
        <v>161</v>
      </c>
      <c r="C1769" s="46">
        <v>43198</v>
      </c>
      <c r="D1769" s="47" t="s">
        <v>13</v>
      </c>
      <c r="E1769" s="48">
        <v>0.33333333333333298</v>
      </c>
      <c r="F1769" s="48">
        <v>0.6875</v>
      </c>
      <c r="G1769" s="49" t="s">
        <v>281</v>
      </c>
      <c r="H1769" s="49">
        <v>7.5000000000000089</v>
      </c>
      <c r="I1769" s="49">
        <v>7.5000000000000089</v>
      </c>
      <c r="J1769" s="53" t="s">
        <v>52</v>
      </c>
      <c r="K1769" s="51" t="s">
        <v>516</v>
      </c>
      <c r="L1769" s="102" t="s">
        <v>281</v>
      </c>
      <c r="M1769" s="19" t="str">
        <f t="shared" si="43"/>
        <v>Apr_2018</v>
      </c>
    </row>
    <row r="1770" spans="1:13">
      <c r="A1770" s="45" t="s">
        <v>22</v>
      </c>
      <c r="B1770" s="52" t="s">
        <v>23</v>
      </c>
      <c r="C1770" s="46">
        <v>43198</v>
      </c>
      <c r="D1770" s="47" t="s">
        <v>13</v>
      </c>
      <c r="E1770" s="48">
        <v>0.33333333333333298</v>
      </c>
      <c r="F1770" s="48">
        <v>0.6875</v>
      </c>
      <c r="G1770" s="49" t="s">
        <v>281</v>
      </c>
      <c r="H1770" s="49">
        <v>7.5000000000000089</v>
      </c>
      <c r="I1770" s="49">
        <v>7.5000000000000089</v>
      </c>
      <c r="J1770" s="53" t="s">
        <v>52</v>
      </c>
      <c r="K1770" s="51" t="s">
        <v>516</v>
      </c>
      <c r="L1770" s="102" t="s">
        <v>281</v>
      </c>
      <c r="M1770" s="19" t="str">
        <f t="shared" si="43"/>
        <v>Apr_2018</v>
      </c>
    </row>
    <row r="1771" spans="1:13">
      <c r="A1771" s="45" t="s">
        <v>22</v>
      </c>
      <c r="B1771" s="52" t="s">
        <v>254</v>
      </c>
      <c r="C1771" s="46">
        <v>43198</v>
      </c>
      <c r="D1771" s="47" t="s">
        <v>13</v>
      </c>
      <c r="E1771" s="48">
        <v>0.33333333333333298</v>
      </c>
      <c r="F1771" s="48">
        <v>0.6875</v>
      </c>
      <c r="G1771" s="49" t="s">
        <v>281</v>
      </c>
      <c r="H1771" s="49">
        <v>7.5000000000000089</v>
      </c>
      <c r="I1771" s="49">
        <v>7.5000000000000089</v>
      </c>
      <c r="J1771" s="53" t="s">
        <v>52</v>
      </c>
      <c r="K1771" s="51" t="s">
        <v>516</v>
      </c>
      <c r="L1771" s="102" t="s">
        <v>281</v>
      </c>
      <c r="M1771" s="19" t="str">
        <f t="shared" si="43"/>
        <v>Apr_2018</v>
      </c>
    </row>
    <row r="1772" spans="1:13">
      <c r="A1772" s="45" t="s">
        <v>22</v>
      </c>
      <c r="B1772" s="52" t="s">
        <v>255</v>
      </c>
      <c r="C1772" s="46">
        <v>43198</v>
      </c>
      <c r="D1772" s="47" t="s">
        <v>13</v>
      </c>
      <c r="E1772" s="48">
        <v>0.33333333333333298</v>
      </c>
      <c r="F1772" s="48">
        <v>0.6875</v>
      </c>
      <c r="G1772" s="49" t="s">
        <v>281</v>
      </c>
      <c r="H1772" s="49">
        <v>7.5000000000000089</v>
      </c>
      <c r="I1772" s="49">
        <v>7.5000000000000089</v>
      </c>
      <c r="J1772" s="53" t="s">
        <v>52</v>
      </c>
      <c r="K1772" s="51" t="s">
        <v>516</v>
      </c>
      <c r="L1772" s="102" t="s">
        <v>281</v>
      </c>
      <c r="M1772" s="19" t="str">
        <f t="shared" si="43"/>
        <v>Apr_2018</v>
      </c>
    </row>
    <row r="1773" spans="1:13">
      <c r="A1773" s="45" t="s">
        <v>22</v>
      </c>
      <c r="B1773" s="52" t="s">
        <v>27</v>
      </c>
      <c r="C1773" s="46">
        <v>43198</v>
      </c>
      <c r="D1773" s="47" t="s">
        <v>13</v>
      </c>
      <c r="E1773" s="48">
        <v>0.33333333333333298</v>
      </c>
      <c r="F1773" s="48">
        <v>0.6875</v>
      </c>
      <c r="G1773" s="49" t="s">
        <v>281</v>
      </c>
      <c r="H1773" s="49">
        <v>7.5000000000000089</v>
      </c>
      <c r="I1773" s="49">
        <v>7.5000000000000089</v>
      </c>
      <c r="J1773" s="53" t="s">
        <v>52</v>
      </c>
      <c r="K1773" s="51" t="s">
        <v>516</v>
      </c>
      <c r="L1773" s="102" t="s">
        <v>281</v>
      </c>
      <c r="M1773" s="19" t="str">
        <f t="shared" si="43"/>
        <v>Apr_2018</v>
      </c>
    </row>
    <row r="1774" spans="1:13">
      <c r="A1774" s="45" t="s">
        <v>22</v>
      </c>
      <c r="B1774" s="52" t="s">
        <v>479</v>
      </c>
      <c r="C1774" s="46">
        <v>43198</v>
      </c>
      <c r="D1774" s="47" t="s">
        <v>13</v>
      </c>
      <c r="E1774" s="48">
        <v>0.33333333333333298</v>
      </c>
      <c r="F1774" s="48">
        <v>0.6875</v>
      </c>
      <c r="G1774" s="49" t="s">
        <v>281</v>
      </c>
      <c r="H1774" s="49">
        <v>7.5000000000000089</v>
      </c>
      <c r="I1774" s="49">
        <v>7.5000000000000089</v>
      </c>
      <c r="J1774" s="53" t="s">
        <v>52</v>
      </c>
      <c r="K1774" s="51" t="s">
        <v>516</v>
      </c>
      <c r="L1774" s="102" t="s">
        <v>281</v>
      </c>
      <c r="M1774" s="19" t="str">
        <f t="shared" si="43"/>
        <v>Apr_2018</v>
      </c>
    </row>
    <row r="1775" spans="1:13">
      <c r="A1775" s="45" t="s">
        <v>22</v>
      </c>
      <c r="B1775" s="52" t="s">
        <v>23</v>
      </c>
      <c r="C1775" s="46">
        <v>43199</v>
      </c>
      <c r="D1775" s="47" t="s">
        <v>16</v>
      </c>
      <c r="E1775" s="48">
        <v>0.35416666666666702</v>
      </c>
      <c r="F1775" s="48">
        <v>0.72916666666666696</v>
      </c>
      <c r="G1775" s="49">
        <v>0</v>
      </c>
      <c r="H1775" s="49">
        <v>7.9999999999999982</v>
      </c>
      <c r="I1775" s="49">
        <v>7.9999999999999982</v>
      </c>
      <c r="J1775" s="53" t="s">
        <v>30</v>
      </c>
      <c r="K1775" s="51" t="s">
        <v>517</v>
      </c>
      <c r="L1775" s="102" t="s">
        <v>281</v>
      </c>
      <c r="M1775" s="19" t="str">
        <f t="shared" si="43"/>
        <v>Apr_2018</v>
      </c>
    </row>
    <row r="1776" spans="1:13">
      <c r="A1776" s="45" t="s">
        <v>22</v>
      </c>
      <c r="B1776" s="52" t="s">
        <v>23</v>
      </c>
      <c r="C1776" s="46">
        <v>43200</v>
      </c>
      <c r="D1776" s="47" t="s">
        <v>14</v>
      </c>
      <c r="E1776" s="48">
        <v>0.35416666666666702</v>
      </c>
      <c r="F1776" s="48">
        <v>0.72916666666666696</v>
      </c>
      <c r="G1776" s="49">
        <v>0</v>
      </c>
      <c r="H1776" s="49">
        <v>7.9999999999999982</v>
      </c>
      <c r="I1776" s="49">
        <v>7.9999999999999982</v>
      </c>
      <c r="J1776" s="53" t="s">
        <v>30</v>
      </c>
      <c r="K1776" s="51" t="s">
        <v>518</v>
      </c>
      <c r="L1776" s="102" t="s">
        <v>281</v>
      </c>
      <c r="M1776" s="19" t="str">
        <f t="shared" si="43"/>
        <v>Apr_2018</v>
      </c>
    </row>
    <row r="1777" spans="1:13">
      <c r="A1777" s="45" t="s">
        <v>22</v>
      </c>
      <c r="B1777" s="52" t="s">
        <v>23</v>
      </c>
      <c r="C1777" s="46">
        <v>43201</v>
      </c>
      <c r="D1777" s="47" t="s">
        <v>15</v>
      </c>
      <c r="E1777" s="48">
        <v>0.35416666666666702</v>
      </c>
      <c r="F1777" s="48">
        <v>0.72916666666666696</v>
      </c>
      <c r="G1777" s="49">
        <v>0</v>
      </c>
      <c r="H1777" s="49">
        <v>7.9999999999999982</v>
      </c>
      <c r="I1777" s="49">
        <v>7.9999999999999982</v>
      </c>
      <c r="J1777" s="53" t="s">
        <v>30</v>
      </c>
      <c r="K1777" s="51" t="s">
        <v>520</v>
      </c>
      <c r="L1777" s="102" t="s">
        <v>281</v>
      </c>
      <c r="M1777" s="19" t="str">
        <f t="shared" si="43"/>
        <v>Apr_2018</v>
      </c>
    </row>
    <row r="1778" spans="1:13">
      <c r="A1778" s="45" t="s">
        <v>22</v>
      </c>
      <c r="B1778" s="52" t="s">
        <v>23</v>
      </c>
      <c r="C1778" s="46">
        <v>43202</v>
      </c>
      <c r="D1778" s="47" t="s">
        <v>25</v>
      </c>
      <c r="E1778" s="48">
        <v>0.35416666666666702</v>
      </c>
      <c r="F1778" s="48">
        <v>0.72916666666666696</v>
      </c>
      <c r="G1778" s="49">
        <v>0</v>
      </c>
      <c r="H1778" s="49">
        <v>7.9999999999999982</v>
      </c>
      <c r="I1778" s="49">
        <v>7.9999999999999982</v>
      </c>
      <c r="J1778" s="53" t="s">
        <v>30</v>
      </c>
      <c r="K1778" s="51" t="s">
        <v>521</v>
      </c>
      <c r="L1778" s="102" t="s">
        <v>281</v>
      </c>
      <c r="M1778" s="19" t="str">
        <f t="shared" si="43"/>
        <v>Apr_2018</v>
      </c>
    </row>
    <row r="1779" spans="1:13">
      <c r="A1779" s="45" t="s">
        <v>22</v>
      </c>
      <c r="B1779" s="52" t="s">
        <v>23</v>
      </c>
      <c r="C1779" s="46">
        <v>43203</v>
      </c>
      <c r="D1779" s="47" t="s">
        <v>17</v>
      </c>
      <c r="E1779" s="48">
        <v>0.35416666666666702</v>
      </c>
      <c r="F1779" s="48">
        <v>0.72916666666666696</v>
      </c>
      <c r="G1779" s="49">
        <v>0</v>
      </c>
      <c r="H1779" s="49">
        <v>7.9999999999999982</v>
      </c>
      <c r="I1779" s="49">
        <v>7.9999999999999982</v>
      </c>
      <c r="J1779" s="53" t="s">
        <v>30</v>
      </c>
      <c r="K1779" s="51" t="s">
        <v>522</v>
      </c>
      <c r="L1779" s="102" t="s">
        <v>281</v>
      </c>
      <c r="M1779" s="19" t="str">
        <f t="shared" si="43"/>
        <v>Apr_2018</v>
      </c>
    </row>
    <row r="1780" spans="1:13">
      <c r="A1780" s="45" t="s">
        <v>22</v>
      </c>
      <c r="B1780" s="52" t="s">
        <v>27</v>
      </c>
      <c r="C1780" s="46">
        <v>43203</v>
      </c>
      <c r="D1780" s="47" t="s">
        <v>17</v>
      </c>
      <c r="E1780" s="48">
        <v>0.35416666666666702</v>
      </c>
      <c r="F1780" s="48">
        <v>0.72916666666666696</v>
      </c>
      <c r="G1780" s="49">
        <v>0</v>
      </c>
      <c r="H1780" s="49">
        <v>7.9999999999999982</v>
      </c>
      <c r="I1780" s="49">
        <v>7.9999999999999982</v>
      </c>
      <c r="J1780" s="53" t="s">
        <v>30</v>
      </c>
      <c r="K1780" s="51" t="s">
        <v>522</v>
      </c>
      <c r="L1780" s="102" t="s">
        <v>281</v>
      </c>
      <c r="M1780" s="19" t="str">
        <f t="shared" si="43"/>
        <v>Apr_2018</v>
      </c>
    </row>
    <row r="1781" spans="1:13">
      <c r="A1781" s="45" t="s">
        <v>22</v>
      </c>
      <c r="B1781" s="52" t="s">
        <v>23</v>
      </c>
      <c r="C1781" s="46">
        <v>43206</v>
      </c>
      <c r="D1781" s="47" t="s">
        <v>16</v>
      </c>
      <c r="E1781" s="48">
        <v>0.35416666666666702</v>
      </c>
      <c r="F1781" s="48">
        <v>0.72916666666666696</v>
      </c>
      <c r="G1781" s="49">
        <v>0</v>
      </c>
      <c r="H1781" s="49">
        <v>7.9999999999999982</v>
      </c>
      <c r="I1781" s="49">
        <v>7.9999999999999982</v>
      </c>
      <c r="J1781" s="53" t="s">
        <v>30</v>
      </c>
      <c r="K1781" s="51" t="s">
        <v>523</v>
      </c>
      <c r="L1781" s="102" t="s">
        <v>281</v>
      </c>
      <c r="M1781" s="19" t="str">
        <f t="shared" si="43"/>
        <v>Apr_2018</v>
      </c>
    </row>
    <row r="1782" spans="1:13">
      <c r="A1782" s="45" t="s">
        <v>22</v>
      </c>
      <c r="B1782" s="52" t="s">
        <v>27</v>
      </c>
      <c r="C1782" s="46">
        <v>43206</v>
      </c>
      <c r="D1782" s="47" t="s">
        <v>16</v>
      </c>
      <c r="E1782" s="48">
        <v>0.35416666666666702</v>
      </c>
      <c r="F1782" s="48">
        <v>0.60416666666666696</v>
      </c>
      <c r="G1782" s="49">
        <v>0</v>
      </c>
      <c r="H1782" s="49">
        <v>4.9999999999999982</v>
      </c>
      <c r="I1782" s="49">
        <v>4.9999999999999982</v>
      </c>
      <c r="J1782" s="53" t="s">
        <v>30</v>
      </c>
      <c r="K1782" s="51" t="s">
        <v>523</v>
      </c>
      <c r="L1782" s="102" t="s">
        <v>281</v>
      </c>
      <c r="M1782" s="19" t="str">
        <f t="shared" si="43"/>
        <v>Apr_2018</v>
      </c>
    </row>
    <row r="1783" spans="1:13">
      <c r="A1783" s="45" t="s">
        <v>11</v>
      </c>
      <c r="B1783" s="52" t="s">
        <v>12</v>
      </c>
      <c r="C1783" s="54">
        <v>43207</v>
      </c>
      <c r="D1783" s="47" t="s">
        <v>14</v>
      </c>
      <c r="E1783" s="48">
        <v>0.72916666666666696</v>
      </c>
      <c r="F1783" s="48">
        <v>0.86458333333333304</v>
      </c>
      <c r="G1783" s="49">
        <v>8.0000000000000036</v>
      </c>
      <c r="H1783" s="49">
        <v>3.2499999999999822</v>
      </c>
      <c r="I1783" s="49">
        <v>3.2499999999999822</v>
      </c>
      <c r="J1783" s="53" t="s">
        <v>30</v>
      </c>
      <c r="K1783" s="51" t="s">
        <v>524</v>
      </c>
      <c r="L1783" s="102">
        <v>1</v>
      </c>
      <c r="M1783" s="19" t="str">
        <f t="shared" si="43"/>
        <v>Apr_2018</v>
      </c>
    </row>
    <row r="1784" spans="1:13">
      <c r="A1784" s="45" t="s">
        <v>11</v>
      </c>
      <c r="B1784" s="52" t="s">
        <v>19</v>
      </c>
      <c r="C1784" s="46">
        <v>43207</v>
      </c>
      <c r="D1784" s="47" t="s">
        <v>14</v>
      </c>
      <c r="E1784" s="48">
        <v>0.72916666666666696</v>
      </c>
      <c r="F1784" s="48">
        <v>0.86458333333333304</v>
      </c>
      <c r="G1784" s="49">
        <v>8.0000000000000036</v>
      </c>
      <c r="H1784" s="49">
        <v>3.2499999999999822</v>
      </c>
      <c r="I1784" s="49">
        <v>3.2499999999999822</v>
      </c>
      <c r="J1784" s="53" t="s">
        <v>30</v>
      </c>
      <c r="K1784" s="51" t="s">
        <v>524</v>
      </c>
      <c r="L1784" s="102">
        <v>1</v>
      </c>
      <c r="M1784" s="19" t="str">
        <f t="shared" si="43"/>
        <v>Apr_2018</v>
      </c>
    </row>
    <row r="1785" spans="1:13">
      <c r="A1785" s="45" t="s">
        <v>11</v>
      </c>
      <c r="B1785" s="52" t="s">
        <v>26</v>
      </c>
      <c r="C1785" s="46">
        <v>43207</v>
      </c>
      <c r="D1785" s="47" t="s">
        <v>14</v>
      </c>
      <c r="E1785" s="48">
        <v>0.72916666666666696</v>
      </c>
      <c r="F1785" s="48">
        <v>0.86458333333333304</v>
      </c>
      <c r="G1785" s="49">
        <v>8.0000000000000036</v>
      </c>
      <c r="H1785" s="49">
        <v>3.2499999999999822</v>
      </c>
      <c r="I1785" s="49">
        <v>3.2499999999999822</v>
      </c>
      <c r="J1785" s="53" t="s">
        <v>30</v>
      </c>
      <c r="K1785" s="51" t="s">
        <v>524</v>
      </c>
      <c r="L1785" s="102">
        <v>1</v>
      </c>
      <c r="M1785" s="19" t="str">
        <f t="shared" si="43"/>
        <v>Apr_2018</v>
      </c>
    </row>
    <row r="1786" spans="1:13">
      <c r="A1786" s="45" t="s">
        <v>11</v>
      </c>
      <c r="B1786" s="52" t="s">
        <v>161</v>
      </c>
      <c r="C1786" s="46">
        <v>43207</v>
      </c>
      <c r="D1786" s="47" t="s">
        <v>14</v>
      </c>
      <c r="E1786" s="48">
        <v>0.72916666666666696</v>
      </c>
      <c r="F1786" s="48">
        <v>0.86458333333333304</v>
      </c>
      <c r="G1786" s="49">
        <v>8.0000000000000036</v>
      </c>
      <c r="H1786" s="49">
        <v>3.2499999999999822</v>
      </c>
      <c r="I1786" s="49">
        <v>3.2499999999999822</v>
      </c>
      <c r="J1786" s="53" t="s">
        <v>30</v>
      </c>
      <c r="K1786" s="51" t="s">
        <v>524</v>
      </c>
      <c r="L1786" s="102">
        <v>1</v>
      </c>
      <c r="M1786" s="19" t="str">
        <f t="shared" si="43"/>
        <v>Apr_2018</v>
      </c>
    </row>
    <row r="1787" spans="1:13">
      <c r="A1787" s="45" t="s">
        <v>22</v>
      </c>
      <c r="B1787" s="52" t="s">
        <v>23</v>
      </c>
      <c r="C1787" s="46">
        <v>43207</v>
      </c>
      <c r="D1787" s="47" t="s">
        <v>14</v>
      </c>
      <c r="E1787" s="48">
        <v>0.35416666666666702</v>
      </c>
      <c r="F1787" s="48">
        <v>0.86458333333333304</v>
      </c>
      <c r="G1787" s="49">
        <v>0</v>
      </c>
      <c r="H1787" s="49">
        <v>11.249999999999986</v>
      </c>
      <c r="I1787" s="49">
        <v>11.249999999999986</v>
      </c>
      <c r="J1787" s="53" t="s">
        <v>30</v>
      </c>
      <c r="K1787" s="51" t="s">
        <v>524</v>
      </c>
      <c r="L1787" s="102" t="s">
        <v>281</v>
      </c>
      <c r="M1787" s="19" t="str">
        <f t="shared" si="43"/>
        <v>Apr_2018</v>
      </c>
    </row>
    <row r="1788" spans="1:13">
      <c r="A1788" s="45" t="s">
        <v>22</v>
      </c>
      <c r="B1788" s="52" t="s">
        <v>479</v>
      </c>
      <c r="C1788" s="46">
        <v>43207</v>
      </c>
      <c r="D1788" s="47" t="s">
        <v>14</v>
      </c>
      <c r="E1788" s="48">
        <v>0.35416666666666702</v>
      </c>
      <c r="F1788" s="48">
        <v>0.72916666666666696</v>
      </c>
      <c r="G1788" s="49">
        <v>0</v>
      </c>
      <c r="H1788" s="49">
        <v>7.9999999999999982</v>
      </c>
      <c r="I1788" s="49">
        <v>7.9999999999999982</v>
      </c>
      <c r="J1788" s="53" t="s">
        <v>30</v>
      </c>
      <c r="K1788" s="51" t="s">
        <v>524</v>
      </c>
      <c r="L1788" s="102" t="s">
        <v>281</v>
      </c>
      <c r="M1788" s="19" t="str">
        <f t="shared" si="43"/>
        <v>Apr_2018</v>
      </c>
    </row>
    <row r="1789" spans="1:13">
      <c r="A1789" s="45" t="s">
        <v>22</v>
      </c>
      <c r="B1789" s="52" t="s">
        <v>484</v>
      </c>
      <c r="C1789" s="46">
        <v>43207</v>
      </c>
      <c r="D1789" s="47" t="s">
        <v>14</v>
      </c>
      <c r="E1789" s="48">
        <v>0.4375</v>
      </c>
      <c r="F1789" s="48">
        <v>0.86458333333333304</v>
      </c>
      <c r="G1789" s="49">
        <v>0</v>
      </c>
      <c r="H1789" s="49">
        <v>9.2499999999999929</v>
      </c>
      <c r="I1789" s="49">
        <v>9.2499999999999929</v>
      </c>
      <c r="J1789" s="53" t="s">
        <v>30</v>
      </c>
      <c r="K1789" s="51" t="s">
        <v>524</v>
      </c>
      <c r="L1789" s="102" t="s">
        <v>281</v>
      </c>
      <c r="M1789" s="19" t="str">
        <f t="shared" si="43"/>
        <v>Apr_2018</v>
      </c>
    </row>
    <row r="1790" spans="1:13">
      <c r="A1790" s="45" t="s">
        <v>22</v>
      </c>
      <c r="B1790" s="52" t="s">
        <v>486</v>
      </c>
      <c r="C1790" s="46">
        <v>43207</v>
      </c>
      <c r="D1790" s="47" t="s">
        <v>14</v>
      </c>
      <c r="E1790" s="48">
        <v>0.64583333333333304</v>
      </c>
      <c r="F1790" s="48">
        <v>0.86458333333333304</v>
      </c>
      <c r="G1790" s="49">
        <v>0</v>
      </c>
      <c r="H1790" s="49">
        <v>4.25</v>
      </c>
      <c r="I1790" s="49">
        <v>4.25</v>
      </c>
      <c r="J1790" s="53" t="s">
        <v>30</v>
      </c>
      <c r="K1790" s="51" t="s">
        <v>524</v>
      </c>
      <c r="L1790" s="102" t="s">
        <v>281</v>
      </c>
      <c r="M1790" s="19" t="str">
        <f t="shared" si="43"/>
        <v>Apr_2018</v>
      </c>
    </row>
    <row r="1791" spans="1:13">
      <c r="A1791" s="45" t="s">
        <v>22</v>
      </c>
      <c r="B1791" s="52" t="s">
        <v>23</v>
      </c>
      <c r="C1791" s="46">
        <v>43208</v>
      </c>
      <c r="D1791" s="47" t="s">
        <v>15</v>
      </c>
      <c r="E1791" s="48">
        <v>0.35416666666666702</v>
      </c>
      <c r="F1791" s="48">
        <v>0.72916666666666696</v>
      </c>
      <c r="G1791" s="49">
        <v>0</v>
      </c>
      <c r="H1791" s="49">
        <v>7.9999999999999982</v>
      </c>
      <c r="I1791" s="49">
        <v>7.9999999999999982</v>
      </c>
      <c r="J1791" s="53" t="s">
        <v>30</v>
      </c>
      <c r="K1791" s="51" t="s">
        <v>525</v>
      </c>
      <c r="L1791" s="102" t="s">
        <v>281</v>
      </c>
      <c r="M1791" s="19" t="str">
        <f t="shared" si="43"/>
        <v>Apr_2018</v>
      </c>
    </row>
    <row r="1792" spans="1:13">
      <c r="A1792" s="45" t="s">
        <v>22</v>
      </c>
      <c r="B1792" s="52" t="s">
        <v>484</v>
      </c>
      <c r="C1792" s="46">
        <v>43208</v>
      </c>
      <c r="D1792" s="47" t="s">
        <v>15</v>
      </c>
      <c r="E1792" s="48">
        <v>0.35416666666666702</v>
      </c>
      <c r="F1792" s="48">
        <v>0.66666666666666696</v>
      </c>
      <c r="G1792" s="49">
        <v>0</v>
      </c>
      <c r="H1792" s="49">
        <v>6.4999999999999982</v>
      </c>
      <c r="I1792" s="49">
        <v>6.4999999999999982</v>
      </c>
      <c r="J1792" s="53" t="s">
        <v>30</v>
      </c>
      <c r="K1792" s="51" t="s">
        <v>525</v>
      </c>
      <c r="L1792" s="102" t="s">
        <v>281</v>
      </c>
      <c r="M1792" s="19" t="str">
        <f t="shared" si="43"/>
        <v>Apr_2018</v>
      </c>
    </row>
    <row r="1793" spans="1:13">
      <c r="A1793" s="45" t="s">
        <v>22</v>
      </c>
      <c r="B1793" s="52" t="s">
        <v>23</v>
      </c>
      <c r="C1793" s="46">
        <v>43209</v>
      </c>
      <c r="D1793" s="47" t="s">
        <v>25</v>
      </c>
      <c r="E1793" s="48">
        <v>0.35416666666666702</v>
      </c>
      <c r="F1793" s="48">
        <v>0.72916666666666696</v>
      </c>
      <c r="G1793" s="49">
        <v>0</v>
      </c>
      <c r="H1793" s="49">
        <v>7.9999999999999982</v>
      </c>
      <c r="I1793" s="49">
        <v>7.9999999999999982</v>
      </c>
      <c r="J1793" s="53" t="s">
        <v>30</v>
      </c>
      <c r="K1793" s="51" t="s">
        <v>526</v>
      </c>
      <c r="L1793" s="102" t="s">
        <v>281</v>
      </c>
      <c r="M1793" s="19" t="str">
        <f t="shared" si="43"/>
        <v>Apr_2018</v>
      </c>
    </row>
    <row r="1794" spans="1:13">
      <c r="A1794" s="45" t="s">
        <v>22</v>
      </c>
      <c r="B1794" s="52" t="s">
        <v>254</v>
      </c>
      <c r="C1794" s="46">
        <v>43209</v>
      </c>
      <c r="D1794" s="47" t="s">
        <v>25</v>
      </c>
      <c r="E1794" s="48">
        <v>0.5625</v>
      </c>
      <c r="F1794" s="48">
        <v>0.72916666666666696</v>
      </c>
      <c r="G1794" s="49">
        <v>0</v>
      </c>
      <c r="H1794" s="49">
        <v>4.0000000000000071</v>
      </c>
      <c r="I1794" s="49">
        <v>4.0000000000000071</v>
      </c>
      <c r="J1794" s="53" t="s">
        <v>30</v>
      </c>
      <c r="K1794" s="51" t="s">
        <v>526</v>
      </c>
      <c r="L1794" s="102" t="s">
        <v>281</v>
      </c>
      <c r="M1794" s="19" t="str">
        <f t="shared" si="43"/>
        <v>Apr_2018</v>
      </c>
    </row>
    <row r="1795" spans="1:13">
      <c r="A1795" s="45" t="s">
        <v>22</v>
      </c>
      <c r="B1795" s="52" t="s">
        <v>484</v>
      </c>
      <c r="C1795" s="46">
        <v>43209</v>
      </c>
      <c r="D1795" s="47" t="s">
        <v>25</v>
      </c>
      <c r="E1795" s="48">
        <v>0.35416666666666702</v>
      </c>
      <c r="F1795" s="48">
        <v>0.72916666666666696</v>
      </c>
      <c r="G1795" s="49">
        <v>0</v>
      </c>
      <c r="H1795" s="49">
        <v>7.9999999999999982</v>
      </c>
      <c r="I1795" s="49">
        <v>7.9999999999999982</v>
      </c>
      <c r="J1795" s="53" t="s">
        <v>30</v>
      </c>
      <c r="K1795" s="51" t="s">
        <v>526</v>
      </c>
      <c r="L1795" s="102" t="s">
        <v>281</v>
      </c>
      <c r="M1795" s="19" t="str">
        <f t="shared" si="43"/>
        <v>Apr_2018</v>
      </c>
    </row>
    <row r="1796" spans="1:13">
      <c r="A1796" s="45" t="s">
        <v>22</v>
      </c>
      <c r="B1796" s="52" t="s">
        <v>23</v>
      </c>
      <c r="C1796" s="46">
        <v>43210</v>
      </c>
      <c r="D1796" s="47" t="s">
        <v>17</v>
      </c>
      <c r="E1796" s="48">
        <v>0.35416666666666702</v>
      </c>
      <c r="F1796" s="48">
        <v>0.72916666666666696</v>
      </c>
      <c r="G1796" s="49">
        <v>0</v>
      </c>
      <c r="H1796" s="49">
        <v>7.9999999999999982</v>
      </c>
      <c r="I1796" s="49">
        <v>7.9999999999999982</v>
      </c>
      <c r="J1796" s="53" t="s">
        <v>30</v>
      </c>
      <c r="K1796" s="51" t="s">
        <v>527</v>
      </c>
      <c r="L1796" s="102" t="s">
        <v>281</v>
      </c>
      <c r="M1796" s="19" t="str">
        <f t="shared" si="43"/>
        <v>Apr_2018</v>
      </c>
    </row>
    <row r="1797" spans="1:13">
      <c r="A1797" s="45" t="s">
        <v>22</v>
      </c>
      <c r="B1797" s="52" t="s">
        <v>254</v>
      </c>
      <c r="C1797" s="46">
        <v>43210</v>
      </c>
      <c r="D1797" s="47" t="s">
        <v>17</v>
      </c>
      <c r="E1797" s="48">
        <v>0.52083333333333304</v>
      </c>
      <c r="F1797" s="48">
        <v>0.72916666666666696</v>
      </c>
      <c r="G1797" s="49">
        <v>0</v>
      </c>
      <c r="H1797" s="49">
        <v>4.0000000000000142</v>
      </c>
      <c r="I1797" s="49">
        <v>4.0000000000000142</v>
      </c>
      <c r="J1797" s="53" t="s">
        <v>30</v>
      </c>
      <c r="K1797" s="51" t="s">
        <v>527</v>
      </c>
      <c r="L1797" s="102" t="s">
        <v>281</v>
      </c>
      <c r="M1797" s="19" t="str">
        <f t="shared" si="43"/>
        <v>Apr_2018</v>
      </c>
    </row>
    <row r="1798" spans="1:13">
      <c r="A1798" s="45" t="s">
        <v>22</v>
      </c>
      <c r="B1798" s="52" t="s">
        <v>479</v>
      </c>
      <c r="C1798" s="46">
        <v>43210</v>
      </c>
      <c r="D1798" s="47" t="s">
        <v>17</v>
      </c>
      <c r="E1798" s="48">
        <v>0.35416666666666702</v>
      </c>
      <c r="F1798" s="48">
        <v>0.72916666666666696</v>
      </c>
      <c r="G1798" s="49">
        <v>0</v>
      </c>
      <c r="H1798" s="49">
        <v>7.9999999999999982</v>
      </c>
      <c r="I1798" s="49">
        <v>7.9999999999999982</v>
      </c>
      <c r="J1798" s="53" t="s">
        <v>30</v>
      </c>
      <c r="K1798" s="51" t="s">
        <v>527</v>
      </c>
      <c r="L1798" s="102" t="s">
        <v>281</v>
      </c>
      <c r="M1798" s="19" t="str">
        <f t="shared" si="43"/>
        <v>Apr_2018</v>
      </c>
    </row>
    <row r="1799" spans="1:13">
      <c r="A1799" s="45" t="s">
        <v>22</v>
      </c>
      <c r="B1799" s="52" t="s">
        <v>484</v>
      </c>
      <c r="C1799" s="46">
        <v>43210</v>
      </c>
      <c r="D1799" s="47" t="s">
        <v>17</v>
      </c>
      <c r="E1799" s="48">
        <v>0.35416666666666702</v>
      </c>
      <c r="F1799" s="48">
        <v>0.72916666666666696</v>
      </c>
      <c r="G1799" s="49">
        <v>0</v>
      </c>
      <c r="H1799" s="49">
        <v>7.9999999999999982</v>
      </c>
      <c r="I1799" s="49">
        <v>7.9999999999999982</v>
      </c>
      <c r="J1799" s="53" t="s">
        <v>30</v>
      </c>
      <c r="K1799" s="51" t="s">
        <v>527</v>
      </c>
      <c r="L1799" s="102" t="s">
        <v>281</v>
      </c>
      <c r="M1799" s="19" t="str">
        <f t="shared" si="43"/>
        <v>Apr_2018</v>
      </c>
    </row>
    <row r="1800" spans="1:13">
      <c r="A1800" s="45" t="s">
        <v>22</v>
      </c>
      <c r="B1800" s="52" t="s">
        <v>23</v>
      </c>
      <c r="C1800" s="46">
        <v>43213</v>
      </c>
      <c r="D1800" s="47" t="s">
        <v>16</v>
      </c>
      <c r="E1800" s="48">
        <v>0.35416666666666702</v>
      </c>
      <c r="F1800" s="48">
        <v>0.72916666666666696</v>
      </c>
      <c r="G1800" s="49">
        <v>0</v>
      </c>
      <c r="H1800" s="49">
        <v>7.9999999999999982</v>
      </c>
      <c r="I1800" s="49">
        <v>7.9999999999999982</v>
      </c>
      <c r="J1800" s="53" t="s">
        <v>30</v>
      </c>
      <c r="K1800" s="51" t="s">
        <v>528</v>
      </c>
      <c r="L1800" s="102" t="s">
        <v>281</v>
      </c>
      <c r="M1800" s="19" t="str">
        <f t="shared" si="43"/>
        <v>Apr_2018</v>
      </c>
    </row>
    <row r="1801" spans="1:13">
      <c r="A1801" s="45" t="s">
        <v>22</v>
      </c>
      <c r="B1801" s="52" t="s">
        <v>27</v>
      </c>
      <c r="C1801" s="46">
        <v>43213</v>
      </c>
      <c r="D1801" s="47" t="s">
        <v>16</v>
      </c>
      <c r="E1801" s="48">
        <v>0.52083333333333304</v>
      </c>
      <c r="F1801" s="48">
        <v>0.72916666666666696</v>
      </c>
      <c r="G1801" s="49">
        <v>0</v>
      </c>
      <c r="H1801" s="49">
        <v>5.0000000000000142</v>
      </c>
      <c r="I1801" s="49">
        <v>5.0000000000000142</v>
      </c>
      <c r="J1801" s="53" t="s">
        <v>30</v>
      </c>
      <c r="K1801" s="51" t="s">
        <v>528</v>
      </c>
      <c r="L1801" s="102" t="s">
        <v>281</v>
      </c>
      <c r="M1801" s="19" t="str">
        <f t="shared" si="43"/>
        <v>Apr_2018</v>
      </c>
    </row>
    <row r="1802" spans="1:13">
      <c r="A1802" s="45" t="s">
        <v>22</v>
      </c>
      <c r="B1802" s="52" t="s">
        <v>479</v>
      </c>
      <c r="C1802" s="46">
        <v>43213</v>
      </c>
      <c r="D1802" s="47" t="s">
        <v>16</v>
      </c>
      <c r="E1802" s="48">
        <v>0.35416666666666702</v>
      </c>
      <c r="F1802" s="48">
        <v>0.72916666666666696</v>
      </c>
      <c r="G1802" s="49">
        <v>0</v>
      </c>
      <c r="H1802" s="49">
        <v>7.9999999999999982</v>
      </c>
      <c r="I1802" s="49">
        <v>7.9999999999999982</v>
      </c>
      <c r="J1802" s="53" t="s">
        <v>30</v>
      </c>
      <c r="K1802" s="51" t="s">
        <v>528</v>
      </c>
      <c r="L1802" s="102" t="s">
        <v>281</v>
      </c>
      <c r="M1802" s="19" t="str">
        <f t="shared" si="43"/>
        <v>Apr_2018</v>
      </c>
    </row>
    <row r="1803" spans="1:13">
      <c r="A1803" s="45" t="s">
        <v>22</v>
      </c>
      <c r="B1803" s="52" t="s">
        <v>484</v>
      </c>
      <c r="C1803" s="46">
        <v>43213</v>
      </c>
      <c r="D1803" s="47" t="s">
        <v>16</v>
      </c>
      <c r="E1803" s="48">
        <v>0.4375</v>
      </c>
      <c r="F1803" s="48">
        <v>0.72916666666666696</v>
      </c>
      <c r="G1803" s="49">
        <v>0</v>
      </c>
      <c r="H1803" s="49">
        <v>6.0000000000000071</v>
      </c>
      <c r="I1803" s="49">
        <v>6.0000000000000071</v>
      </c>
      <c r="J1803" s="53" t="s">
        <v>30</v>
      </c>
      <c r="K1803" s="51" t="s">
        <v>528</v>
      </c>
      <c r="L1803" s="102" t="s">
        <v>281</v>
      </c>
      <c r="M1803" s="19" t="str">
        <f t="shared" si="43"/>
        <v>Apr_2018</v>
      </c>
    </row>
    <row r="1804" spans="1:13">
      <c r="A1804" s="45" t="s">
        <v>11</v>
      </c>
      <c r="B1804" s="52" t="s">
        <v>12</v>
      </c>
      <c r="C1804" s="54">
        <v>43214</v>
      </c>
      <c r="D1804" s="47" t="s">
        <v>14</v>
      </c>
      <c r="E1804" s="48">
        <v>0.72916666666666696</v>
      </c>
      <c r="F1804" s="48">
        <v>0.89583333333333304</v>
      </c>
      <c r="G1804" s="49">
        <v>8.0000000000000036</v>
      </c>
      <c r="H1804" s="49">
        <v>3.9999999999999822</v>
      </c>
      <c r="I1804" s="49">
        <v>3.9999999999999822</v>
      </c>
      <c r="J1804" s="53" t="s">
        <v>30</v>
      </c>
      <c r="K1804" s="51" t="s">
        <v>529</v>
      </c>
      <c r="L1804" s="102">
        <v>1</v>
      </c>
      <c r="M1804" s="19" t="str">
        <f t="shared" si="43"/>
        <v>Apr_2018</v>
      </c>
    </row>
    <row r="1805" spans="1:13">
      <c r="A1805" s="45" t="s">
        <v>11</v>
      </c>
      <c r="B1805" s="52" t="s">
        <v>149</v>
      </c>
      <c r="C1805" s="46">
        <v>43214</v>
      </c>
      <c r="D1805" s="47" t="s">
        <v>14</v>
      </c>
      <c r="E1805" s="48">
        <v>0.72916666666666696</v>
      </c>
      <c r="F1805" s="48">
        <v>0.89583333333333304</v>
      </c>
      <c r="G1805" s="49">
        <v>8.0000000000000036</v>
      </c>
      <c r="H1805" s="49">
        <v>3.9999999999999822</v>
      </c>
      <c r="I1805" s="49">
        <v>3.9999999999999822</v>
      </c>
      <c r="J1805" s="53" t="s">
        <v>30</v>
      </c>
      <c r="K1805" s="51" t="s">
        <v>529</v>
      </c>
      <c r="L1805" s="102">
        <v>1</v>
      </c>
      <c r="M1805" s="19" t="str">
        <f t="shared" si="43"/>
        <v>Apr_2018</v>
      </c>
    </row>
    <row r="1806" spans="1:13">
      <c r="A1806" s="45" t="s">
        <v>11</v>
      </c>
      <c r="B1806" s="52" t="s">
        <v>161</v>
      </c>
      <c r="C1806" s="46">
        <v>43214</v>
      </c>
      <c r="D1806" s="47" t="s">
        <v>14</v>
      </c>
      <c r="E1806" s="48">
        <v>0.72916666666666696</v>
      </c>
      <c r="F1806" s="48">
        <v>0.89583333333333304</v>
      </c>
      <c r="G1806" s="49">
        <v>8.0000000000000036</v>
      </c>
      <c r="H1806" s="49">
        <v>3.9999999999999822</v>
      </c>
      <c r="I1806" s="49">
        <v>3.9999999999999822</v>
      </c>
      <c r="J1806" s="53" t="s">
        <v>30</v>
      </c>
      <c r="K1806" s="51" t="s">
        <v>529</v>
      </c>
      <c r="L1806" s="102">
        <v>1</v>
      </c>
      <c r="M1806" s="19" t="str">
        <f t="shared" si="43"/>
        <v>Apr_2018</v>
      </c>
    </row>
    <row r="1807" spans="1:13">
      <c r="A1807" s="45" t="s">
        <v>22</v>
      </c>
      <c r="B1807" s="52" t="s">
        <v>23</v>
      </c>
      <c r="C1807" s="46">
        <v>43214</v>
      </c>
      <c r="D1807" s="47" t="s">
        <v>14</v>
      </c>
      <c r="E1807" s="48">
        <v>0.35416666666666702</v>
      </c>
      <c r="F1807" s="48">
        <v>0.89583333333333304</v>
      </c>
      <c r="G1807" s="49">
        <v>0</v>
      </c>
      <c r="H1807" s="49">
        <v>11.999999999999986</v>
      </c>
      <c r="I1807" s="49">
        <v>11.999999999999986</v>
      </c>
      <c r="J1807" s="53" t="s">
        <v>30</v>
      </c>
      <c r="K1807" s="51" t="s">
        <v>529</v>
      </c>
      <c r="L1807" s="102" t="s">
        <v>281</v>
      </c>
      <c r="M1807" s="19" t="str">
        <f t="shared" si="43"/>
        <v>Apr_2018</v>
      </c>
    </row>
    <row r="1808" spans="1:13">
      <c r="A1808" s="45" t="s">
        <v>22</v>
      </c>
      <c r="B1808" s="52" t="s">
        <v>346</v>
      </c>
      <c r="C1808" s="46">
        <v>43214</v>
      </c>
      <c r="D1808" s="47" t="s">
        <v>14</v>
      </c>
      <c r="E1808" s="48">
        <v>0.58333333333333304</v>
      </c>
      <c r="F1808" s="48">
        <v>0.89583333333333304</v>
      </c>
      <c r="G1808" s="49">
        <v>0</v>
      </c>
      <c r="H1808" s="49">
        <v>6.5</v>
      </c>
      <c r="I1808" s="49">
        <v>6.5</v>
      </c>
      <c r="J1808" s="53" t="s">
        <v>30</v>
      </c>
      <c r="K1808" s="51" t="s">
        <v>529</v>
      </c>
      <c r="L1808" s="102" t="s">
        <v>281</v>
      </c>
      <c r="M1808" s="19" t="str">
        <f t="shared" si="43"/>
        <v>Apr_2018</v>
      </c>
    </row>
    <row r="1809" spans="1:13">
      <c r="A1809" s="45" t="s">
        <v>22</v>
      </c>
      <c r="B1809" s="52" t="s">
        <v>479</v>
      </c>
      <c r="C1809" s="46">
        <v>43214</v>
      </c>
      <c r="D1809" s="47" t="s">
        <v>14</v>
      </c>
      <c r="E1809" s="48">
        <v>0.35416666666666702</v>
      </c>
      <c r="F1809" s="48">
        <v>0.72916666666666696</v>
      </c>
      <c r="G1809" s="49">
        <v>0</v>
      </c>
      <c r="H1809" s="49">
        <v>7.9999999999999982</v>
      </c>
      <c r="I1809" s="49">
        <v>7.9999999999999982</v>
      </c>
      <c r="J1809" s="53" t="s">
        <v>30</v>
      </c>
      <c r="K1809" s="51" t="s">
        <v>529</v>
      </c>
      <c r="L1809" s="102" t="s">
        <v>281</v>
      </c>
      <c r="M1809" s="19" t="str">
        <f t="shared" si="43"/>
        <v>Apr_2018</v>
      </c>
    </row>
    <row r="1810" spans="1:13">
      <c r="A1810" s="45" t="s">
        <v>11</v>
      </c>
      <c r="B1810" s="52" t="s">
        <v>12</v>
      </c>
      <c r="C1810" s="54">
        <v>43216</v>
      </c>
      <c r="D1810" s="47" t="s">
        <v>25</v>
      </c>
      <c r="E1810" s="48">
        <v>0.70833333333333304</v>
      </c>
      <c r="F1810" s="48">
        <v>0.72916666666666696</v>
      </c>
      <c r="G1810" s="49">
        <v>8.0000000000000036</v>
      </c>
      <c r="H1810" s="49">
        <v>0.50000000000001243</v>
      </c>
      <c r="I1810" s="49">
        <v>0.50000000000001243</v>
      </c>
      <c r="J1810" s="53" t="s">
        <v>30</v>
      </c>
      <c r="K1810" s="51" t="s">
        <v>530</v>
      </c>
      <c r="L1810" s="102" t="s">
        <v>281</v>
      </c>
      <c r="M1810" s="19" t="str">
        <f t="shared" si="43"/>
        <v>Apr_2018</v>
      </c>
    </row>
    <row r="1811" spans="1:13">
      <c r="A1811" s="45" t="s">
        <v>11</v>
      </c>
      <c r="B1811" s="52" t="s">
        <v>19</v>
      </c>
      <c r="C1811" s="46">
        <v>43216</v>
      </c>
      <c r="D1811" s="47" t="s">
        <v>25</v>
      </c>
      <c r="E1811" s="48">
        <v>0.70833333333333304</v>
      </c>
      <c r="F1811" s="48">
        <v>0.72916666666666696</v>
      </c>
      <c r="G1811" s="49">
        <v>8.0000000000000036</v>
      </c>
      <c r="H1811" s="49">
        <v>0.50000000000001243</v>
      </c>
      <c r="I1811" s="49">
        <v>0.50000000000001243</v>
      </c>
      <c r="J1811" s="53" t="s">
        <v>30</v>
      </c>
      <c r="K1811" s="51" t="s">
        <v>530</v>
      </c>
      <c r="L1811" s="102" t="s">
        <v>281</v>
      </c>
      <c r="M1811" s="19" t="str">
        <f t="shared" si="43"/>
        <v>Apr_2018</v>
      </c>
    </row>
    <row r="1812" spans="1:13">
      <c r="A1812" s="45" t="s">
        <v>11</v>
      </c>
      <c r="B1812" s="52" t="s">
        <v>26</v>
      </c>
      <c r="C1812" s="46">
        <v>43216</v>
      </c>
      <c r="D1812" s="47" t="s">
        <v>25</v>
      </c>
      <c r="E1812" s="48">
        <v>0.64583333333333304</v>
      </c>
      <c r="F1812" s="48">
        <v>0.8125</v>
      </c>
      <c r="G1812" s="49">
        <v>8.0000000000000036</v>
      </c>
      <c r="H1812" s="49">
        <v>4.0000000000000036</v>
      </c>
      <c r="I1812" s="49">
        <v>4.0000000000000036</v>
      </c>
      <c r="J1812" s="53" t="s">
        <v>30</v>
      </c>
      <c r="K1812" s="51" t="s">
        <v>530</v>
      </c>
      <c r="L1812" s="102">
        <v>1</v>
      </c>
      <c r="M1812" s="19" t="str">
        <f t="shared" si="43"/>
        <v>Apr_2018</v>
      </c>
    </row>
    <row r="1813" spans="1:13">
      <c r="A1813" s="45" t="s">
        <v>11</v>
      </c>
      <c r="B1813" s="52" t="s">
        <v>149</v>
      </c>
      <c r="C1813" s="46">
        <v>43216</v>
      </c>
      <c r="D1813" s="47" t="s">
        <v>25</v>
      </c>
      <c r="E1813" s="48">
        <v>0.70833333333333304</v>
      </c>
      <c r="F1813" s="48">
        <v>0.72916666666666696</v>
      </c>
      <c r="G1813" s="49">
        <v>8.0000000000000036</v>
      </c>
      <c r="H1813" s="49">
        <v>0.50000000000001243</v>
      </c>
      <c r="I1813" s="49">
        <v>0.50000000000001243</v>
      </c>
      <c r="J1813" s="53" t="s">
        <v>30</v>
      </c>
      <c r="K1813" s="51" t="s">
        <v>530</v>
      </c>
      <c r="L1813" s="102" t="s">
        <v>281</v>
      </c>
      <c r="M1813" s="19" t="str">
        <f t="shared" si="43"/>
        <v>Apr_2018</v>
      </c>
    </row>
    <row r="1814" spans="1:13">
      <c r="A1814" s="45" t="s">
        <v>11</v>
      </c>
      <c r="B1814" s="52" t="s">
        <v>161</v>
      </c>
      <c r="C1814" s="46">
        <v>43216</v>
      </c>
      <c r="D1814" s="47" t="s">
        <v>25</v>
      </c>
      <c r="E1814" s="48">
        <v>0.70833333333333304</v>
      </c>
      <c r="F1814" s="48">
        <v>0.72916666666666696</v>
      </c>
      <c r="G1814" s="49">
        <v>8.0000000000000036</v>
      </c>
      <c r="H1814" s="49">
        <v>0.50000000000001243</v>
      </c>
      <c r="I1814" s="49">
        <v>0.50000000000001243</v>
      </c>
      <c r="J1814" s="53" t="s">
        <v>30</v>
      </c>
      <c r="K1814" s="51" t="s">
        <v>530</v>
      </c>
      <c r="L1814" s="102" t="s">
        <v>281</v>
      </c>
      <c r="M1814" s="19" t="str">
        <f t="shared" si="43"/>
        <v>Apr_2018</v>
      </c>
    </row>
    <row r="1815" spans="1:13">
      <c r="A1815" s="45" t="s">
        <v>22</v>
      </c>
      <c r="B1815" s="52" t="s">
        <v>23</v>
      </c>
      <c r="C1815" s="46">
        <v>43216</v>
      </c>
      <c r="D1815" s="47" t="s">
        <v>25</v>
      </c>
      <c r="E1815" s="48">
        <v>0.33333333333333298</v>
      </c>
      <c r="F1815" s="48">
        <v>0.72916666666666696</v>
      </c>
      <c r="G1815" s="49">
        <v>0</v>
      </c>
      <c r="H1815" s="49">
        <v>8.500000000000016</v>
      </c>
      <c r="I1815" s="49">
        <v>8.500000000000016</v>
      </c>
      <c r="J1815" s="53" t="s">
        <v>30</v>
      </c>
      <c r="K1815" s="51" t="s">
        <v>530</v>
      </c>
      <c r="L1815" s="102" t="s">
        <v>281</v>
      </c>
      <c r="M1815" s="19" t="str">
        <f t="shared" si="43"/>
        <v>Apr_2018</v>
      </c>
    </row>
    <row r="1816" spans="1:13">
      <c r="A1816" s="45" t="s">
        <v>22</v>
      </c>
      <c r="B1816" s="52" t="s">
        <v>78</v>
      </c>
      <c r="C1816" s="46">
        <v>43216</v>
      </c>
      <c r="D1816" s="47" t="s">
        <v>25</v>
      </c>
      <c r="E1816" s="48">
        <v>0.625</v>
      </c>
      <c r="F1816" s="48">
        <v>0.72916666666666696</v>
      </c>
      <c r="G1816" s="49">
        <v>0</v>
      </c>
      <c r="H1816" s="49">
        <v>2.5000000000000071</v>
      </c>
      <c r="I1816" s="49">
        <v>2.5000000000000071</v>
      </c>
      <c r="J1816" s="53" t="s">
        <v>30</v>
      </c>
      <c r="K1816" s="51" t="s">
        <v>530</v>
      </c>
      <c r="L1816" s="102" t="s">
        <v>281</v>
      </c>
      <c r="M1816" s="19" t="str">
        <f t="shared" si="43"/>
        <v>Apr_2018</v>
      </c>
    </row>
    <row r="1817" spans="1:13">
      <c r="A1817" s="45" t="s">
        <v>22</v>
      </c>
      <c r="B1817" s="52" t="s">
        <v>254</v>
      </c>
      <c r="C1817" s="46">
        <v>43216</v>
      </c>
      <c r="D1817" s="47" t="s">
        <v>25</v>
      </c>
      <c r="E1817" s="48">
        <v>0.33333333333333298</v>
      </c>
      <c r="F1817" s="48">
        <v>0.72916666666666696</v>
      </c>
      <c r="G1817" s="49">
        <v>0</v>
      </c>
      <c r="H1817" s="49">
        <v>8.500000000000016</v>
      </c>
      <c r="I1817" s="49">
        <v>8.500000000000016</v>
      </c>
      <c r="J1817" s="53" t="s">
        <v>30</v>
      </c>
      <c r="K1817" s="51" t="s">
        <v>530</v>
      </c>
      <c r="L1817" s="102" t="s">
        <v>281</v>
      </c>
      <c r="M1817" s="19" t="str">
        <f t="shared" si="43"/>
        <v>Apr_2018</v>
      </c>
    </row>
    <row r="1818" spans="1:13">
      <c r="A1818" s="45" t="s">
        <v>22</v>
      </c>
      <c r="B1818" s="52" t="s">
        <v>27</v>
      </c>
      <c r="C1818" s="46">
        <v>43216</v>
      </c>
      <c r="D1818" s="47" t="s">
        <v>25</v>
      </c>
      <c r="E1818" s="48">
        <v>0.52083333333333304</v>
      </c>
      <c r="F1818" s="48">
        <v>0.72916666666666696</v>
      </c>
      <c r="G1818" s="49">
        <v>0</v>
      </c>
      <c r="H1818" s="49">
        <v>4.0000000000000142</v>
      </c>
      <c r="I1818" s="49">
        <v>4.0000000000000142</v>
      </c>
      <c r="J1818" s="53" t="s">
        <v>30</v>
      </c>
      <c r="K1818" s="51" t="s">
        <v>530</v>
      </c>
      <c r="L1818" s="102" t="s">
        <v>281</v>
      </c>
      <c r="M1818" s="19" t="str">
        <f t="shared" si="43"/>
        <v>Apr_2018</v>
      </c>
    </row>
    <row r="1819" spans="1:13">
      <c r="A1819" s="45" t="s">
        <v>22</v>
      </c>
      <c r="B1819" s="52" t="s">
        <v>479</v>
      </c>
      <c r="C1819" s="46">
        <v>43216</v>
      </c>
      <c r="D1819" s="47" t="s">
        <v>25</v>
      </c>
      <c r="E1819" s="48">
        <v>0.33333333333333298</v>
      </c>
      <c r="F1819" s="48">
        <v>0.72916666666666696</v>
      </c>
      <c r="G1819" s="49">
        <v>0</v>
      </c>
      <c r="H1819" s="49">
        <v>8.500000000000016</v>
      </c>
      <c r="I1819" s="49">
        <v>8.500000000000016</v>
      </c>
      <c r="J1819" s="53" t="s">
        <v>30</v>
      </c>
      <c r="K1819" s="51" t="s">
        <v>530</v>
      </c>
      <c r="L1819" s="102" t="s">
        <v>281</v>
      </c>
      <c r="M1819" s="19" t="str">
        <f t="shared" si="43"/>
        <v>Apr_2018</v>
      </c>
    </row>
    <row r="1820" spans="1:13">
      <c r="A1820" s="45" t="s">
        <v>22</v>
      </c>
      <c r="B1820" s="52" t="s">
        <v>484</v>
      </c>
      <c r="C1820" s="46">
        <v>43216</v>
      </c>
      <c r="D1820" s="47" t="s">
        <v>25</v>
      </c>
      <c r="E1820" s="48">
        <v>0.33333333333333298</v>
      </c>
      <c r="F1820" s="48">
        <v>0.72916666666666696</v>
      </c>
      <c r="G1820" s="49">
        <v>0</v>
      </c>
      <c r="H1820" s="49">
        <v>8.500000000000016</v>
      </c>
      <c r="I1820" s="49">
        <v>8.500000000000016</v>
      </c>
      <c r="J1820" s="53" t="s">
        <v>30</v>
      </c>
      <c r="K1820" s="51" t="s">
        <v>530</v>
      </c>
      <c r="L1820" s="102" t="s">
        <v>281</v>
      </c>
      <c r="M1820" s="19" t="str">
        <f t="shared" si="43"/>
        <v>Apr_2018</v>
      </c>
    </row>
    <row r="1821" spans="1:13">
      <c r="A1821" s="45" t="s">
        <v>11</v>
      </c>
      <c r="B1821" s="52" t="s">
        <v>12</v>
      </c>
      <c r="C1821" s="54">
        <v>43217</v>
      </c>
      <c r="D1821" s="47" t="s">
        <v>17</v>
      </c>
      <c r="E1821" s="48">
        <v>0.70833333333333304</v>
      </c>
      <c r="F1821" s="48">
        <v>0.875</v>
      </c>
      <c r="G1821" s="49">
        <v>8.0000000000000036</v>
      </c>
      <c r="H1821" s="49">
        <v>4.0000000000000036</v>
      </c>
      <c r="I1821" s="49">
        <v>4.0000000000000036</v>
      </c>
      <c r="J1821" s="53" t="s">
        <v>30</v>
      </c>
      <c r="K1821" s="51" t="s">
        <v>531</v>
      </c>
      <c r="L1821" s="102">
        <v>1</v>
      </c>
      <c r="M1821" s="19" t="str">
        <f t="shared" si="43"/>
        <v>Apr_2018</v>
      </c>
    </row>
    <row r="1822" spans="1:13">
      <c r="A1822" s="45" t="s">
        <v>11</v>
      </c>
      <c r="B1822" s="52" t="s">
        <v>19</v>
      </c>
      <c r="C1822" s="46">
        <v>43217</v>
      </c>
      <c r="D1822" s="47" t="s">
        <v>17</v>
      </c>
      <c r="E1822" s="48">
        <v>0.64583333333333304</v>
      </c>
      <c r="F1822" s="48">
        <v>0.8125</v>
      </c>
      <c r="G1822" s="49">
        <v>8.0000000000000036</v>
      </c>
      <c r="H1822" s="49">
        <v>4.0000000000000036</v>
      </c>
      <c r="I1822" s="49">
        <v>4.0000000000000036</v>
      </c>
      <c r="J1822" s="53" t="s">
        <v>30</v>
      </c>
      <c r="K1822" s="51" t="s">
        <v>532</v>
      </c>
      <c r="L1822" s="102">
        <v>1</v>
      </c>
      <c r="M1822" s="19" t="str">
        <f t="shared" si="43"/>
        <v>Apr_2018</v>
      </c>
    </row>
    <row r="1823" spans="1:13">
      <c r="A1823" s="45" t="s">
        <v>11</v>
      </c>
      <c r="B1823" s="52" t="s">
        <v>26</v>
      </c>
      <c r="C1823" s="46">
        <v>43217</v>
      </c>
      <c r="D1823" s="47" t="s">
        <v>17</v>
      </c>
      <c r="E1823" s="48">
        <v>0.70833333333333304</v>
      </c>
      <c r="F1823" s="48">
        <v>0.875</v>
      </c>
      <c r="G1823" s="49">
        <v>8.0000000000000036</v>
      </c>
      <c r="H1823" s="49">
        <v>4.0000000000000036</v>
      </c>
      <c r="I1823" s="49">
        <v>4.0000000000000036</v>
      </c>
      <c r="J1823" s="53" t="s">
        <v>30</v>
      </c>
      <c r="K1823" s="51" t="s">
        <v>532</v>
      </c>
      <c r="L1823" s="102">
        <v>1</v>
      </c>
      <c r="M1823" s="19" t="str">
        <f t="shared" si="43"/>
        <v>Apr_2018</v>
      </c>
    </row>
    <row r="1824" spans="1:13">
      <c r="A1824" s="45" t="s">
        <v>22</v>
      </c>
      <c r="B1824" s="52" t="s">
        <v>23</v>
      </c>
      <c r="C1824" s="46">
        <v>43217</v>
      </c>
      <c r="D1824" s="47" t="s">
        <v>17</v>
      </c>
      <c r="E1824" s="48">
        <v>0.33333333333333298</v>
      </c>
      <c r="F1824" s="48">
        <v>0.875</v>
      </c>
      <c r="G1824" s="49">
        <v>0</v>
      </c>
      <c r="H1824" s="49">
        <v>12.000000000000007</v>
      </c>
      <c r="I1824" s="49">
        <v>12.000000000000007</v>
      </c>
      <c r="J1824" s="53" t="s">
        <v>30</v>
      </c>
      <c r="K1824" s="51" t="s">
        <v>532</v>
      </c>
      <c r="L1824" s="102" t="s">
        <v>281</v>
      </c>
      <c r="M1824" s="19" t="str">
        <f t="shared" si="43"/>
        <v>Apr_2018</v>
      </c>
    </row>
    <row r="1825" spans="1:13">
      <c r="A1825" s="45" t="s">
        <v>22</v>
      </c>
      <c r="B1825" s="52" t="s">
        <v>78</v>
      </c>
      <c r="C1825" s="46">
        <v>43217</v>
      </c>
      <c r="D1825" s="47" t="s">
        <v>17</v>
      </c>
      <c r="E1825" s="48">
        <v>0.52083333333333304</v>
      </c>
      <c r="F1825" s="48">
        <v>0.875</v>
      </c>
      <c r="G1825" s="49">
        <v>0</v>
      </c>
      <c r="H1825" s="49">
        <v>7.5000000000000071</v>
      </c>
      <c r="I1825" s="49">
        <v>7.5000000000000071</v>
      </c>
      <c r="J1825" s="53" t="s">
        <v>30</v>
      </c>
      <c r="K1825" s="51" t="s">
        <v>532</v>
      </c>
      <c r="L1825" s="102" t="s">
        <v>281</v>
      </c>
      <c r="M1825" s="19" t="str">
        <f t="shared" si="43"/>
        <v>Apr_2018</v>
      </c>
    </row>
    <row r="1826" spans="1:13">
      <c r="A1826" s="45" t="s">
        <v>22</v>
      </c>
      <c r="B1826" s="52" t="s">
        <v>254</v>
      </c>
      <c r="C1826" s="46">
        <v>43217</v>
      </c>
      <c r="D1826" s="47" t="s">
        <v>17</v>
      </c>
      <c r="E1826" s="48">
        <v>0.52083333333333304</v>
      </c>
      <c r="F1826" s="48">
        <v>0.875</v>
      </c>
      <c r="G1826" s="49">
        <v>0</v>
      </c>
      <c r="H1826" s="49">
        <v>7.5000000000000071</v>
      </c>
      <c r="I1826" s="49">
        <v>7.5000000000000071</v>
      </c>
      <c r="J1826" s="53" t="s">
        <v>30</v>
      </c>
      <c r="K1826" s="51" t="s">
        <v>532</v>
      </c>
      <c r="L1826" s="102" t="s">
        <v>281</v>
      </c>
      <c r="M1826" s="19" t="str">
        <f t="shared" si="43"/>
        <v>Apr_2018</v>
      </c>
    </row>
    <row r="1827" spans="1:13">
      <c r="A1827" s="45" t="s">
        <v>22</v>
      </c>
      <c r="B1827" s="52" t="s">
        <v>27</v>
      </c>
      <c r="C1827" s="46">
        <v>43217</v>
      </c>
      <c r="D1827" s="47" t="s">
        <v>17</v>
      </c>
      <c r="E1827" s="48">
        <v>0.52083333333333304</v>
      </c>
      <c r="F1827" s="48">
        <v>0.875</v>
      </c>
      <c r="G1827" s="49">
        <v>0</v>
      </c>
      <c r="H1827" s="49">
        <v>7.5000000000000071</v>
      </c>
      <c r="I1827" s="49">
        <v>7.5000000000000071</v>
      </c>
      <c r="J1827" s="53" t="s">
        <v>30</v>
      </c>
      <c r="K1827" s="51" t="s">
        <v>532</v>
      </c>
      <c r="L1827" s="102" t="s">
        <v>281</v>
      </c>
      <c r="M1827" s="19" t="str">
        <f t="shared" si="43"/>
        <v>Apr_2018</v>
      </c>
    </row>
    <row r="1828" spans="1:13">
      <c r="A1828" s="45" t="s">
        <v>22</v>
      </c>
      <c r="B1828" s="52" t="s">
        <v>478</v>
      </c>
      <c r="C1828" s="46">
        <v>43217</v>
      </c>
      <c r="D1828" s="47" t="s">
        <v>17</v>
      </c>
      <c r="E1828" s="48">
        <v>0.33333333333333298</v>
      </c>
      <c r="F1828" s="48">
        <v>0.875</v>
      </c>
      <c r="G1828" s="49">
        <v>0</v>
      </c>
      <c r="H1828" s="49">
        <v>12.000000000000007</v>
      </c>
      <c r="I1828" s="49">
        <v>12.000000000000007</v>
      </c>
      <c r="J1828" s="53" t="s">
        <v>30</v>
      </c>
      <c r="K1828" s="51" t="s">
        <v>532</v>
      </c>
      <c r="L1828" s="102" t="s">
        <v>281</v>
      </c>
      <c r="M1828" s="19" t="str">
        <f t="shared" si="43"/>
        <v>Apr_2018</v>
      </c>
    </row>
    <row r="1829" spans="1:13">
      <c r="A1829" s="45" t="s">
        <v>22</v>
      </c>
      <c r="B1829" s="52" t="s">
        <v>479</v>
      </c>
      <c r="C1829" s="46">
        <v>43217</v>
      </c>
      <c r="D1829" s="47" t="s">
        <v>17</v>
      </c>
      <c r="E1829" s="48">
        <v>0.33333333333333298</v>
      </c>
      <c r="F1829" s="48">
        <v>0.70833333333333304</v>
      </c>
      <c r="G1829" s="49">
        <v>0</v>
      </c>
      <c r="H1829" s="49">
        <v>8.0000000000000018</v>
      </c>
      <c r="I1829" s="49">
        <v>8.0000000000000018</v>
      </c>
      <c r="J1829" s="53" t="s">
        <v>30</v>
      </c>
      <c r="K1829" s="51" t="s">
        <v>532</v>
      </c>
      <c r="L1829" s="102" t="s">
        <v>281</v>
      </c>
      <c r="M1829" s="19" t="str">
        <f t="shared" si="43"/>
        <v>Apr_2018</v>
      </c>
    </row>
    <row r="1830" spans="1:13">
      <c r="A1830" s="45" t="s">
        <v>22</v>
      </c>
      <c r="B1830" s="52" t="s">
        <v>484</v>
      </c>
      <c r="C1830" s="46">
        <v>43217</v>
      </c>
      <c r="D1830" s="47" t="s">
        <v>17</v>
      </c>
      <c r="E1830" s="48">
        <v>0.33333333333333298</v>
      </c>
      <c r="F1830" s="48">
        <v>0.5625</v>
      </c>
      <c r="G1830" s="49">
        <v>0</v>
      </c>
      <c r="H1830" s="49">
        <v>4.5000000000000089</v>
      </c>
      <c r="I1830" s="49">
        <v>4.5000000000000089</v>
      </c>
      <c r="J1830" s="53" t="s">
        <v>30</v>
      </c>
      <c r="K1830" s="51" t="s">
        <v>532</v>
      </c>
      <c r="L1830" s="102" t="s">
        <v>281</v>
      </c>
      <c r="M1830" s="19" t="str">
        <f t="shared" si="43"/>
        <v>Apr_2018</v>
      </c>
    </row>
    <row r="1831" spans="1:13">
      <c r="A1831" s="45" t="s">
        <v>11</v>
      </c>
      <c r="B1831" s="52" t="s">
        <v>12</v>
      </c>
      <c r="C1831" s="54">
        <v>43218</v>
      </c>
      <c r="D1831" s="47" t="s">
        <v>24</v>
      </c>
      <c r="E1831" s="48">
        <v>0.64583333333333304</v>
      </c>
      <c r="F1831" s="48">
        <v>0.8125</v>
      </c>
      <c r="G1831" s="49">
        <v>8.0000000000000036</v>
      </c>
      <c r="H1831" s="49">
        <v>4.0000000000000036</v>
      </c>
      <c r="I1831" s="49">
        <v>12.000000000000007</v>
      </c>
      <c r="J1831" s="53" t="s">
        <v>52</v>
      </c>
      <c r="K1831" s="51" t="s">
        <v>533</v>
      </c>
      <c r="L1831" s="102">
        <v>1</v>
      </c>
      <c r="M1831" s="19" t="str">
        <f t="shared" si="43"/>
        <v>Apr_2018</v>
      </c>
    </row>
    <row r="1832" spans="1:13">
      <c r="A1832" s="45" t="s">
        <v>11</v>
      </c>
      <c r="B1832" s="52" t="s">
        <v>149</v>
      </c>
      <c r="C1832" s="46">
        <v>43218</v>
      </c>
      <c r="D1832" s="47" t="s">
        <v>24</v>
      </c>
      <c r="E1832" s="48">
        <v>0.70833333333333304</v>
      </c>
      <c r="F1832" s="48">
        <v>0.875</v>
      </c>
      <c r="G1832" s="49">
        <v>8.0000000000000036</v>
      </c>
      <c r="H1832" s="49">
        <v>4.0000000000000036</v>
      </c>
      <c r="I1832" s="49">
        <v>12.000000000000007</v>
      </c>
      <c r="J1832" s="53" t="s">
        <v>52</v>
      </c>
      <c r="K1832" s="51" t="s">
        <v>533</v>
      </c>
      <c r="L1832" s="102">
        <v>1</v>
      </c>
      <c r="M1832" s="19" t="str">
        <f t="shared" ref="M1832:M1850" si="44">IF($C1832="","",TEXT(DATE(YEAR($C1832),MONTH($C1832),DAY($C1832)),"MMM")&amp;"_"&amp;YEAR($C1832))</f>
        <v>Apr_2018</v>
      </c>
    </row>
    <row r="1833" spans="1:13">
      <c r="A1833" s="45" t="s">
        <v>11</v>
      </c>
      <c r="B1833" s="52" t="s">
        <v>161</v>
      </c>
      <c r="C1833" s="46">
        <v>43218</v>
      </c>
      <c r="D1833" s="47" t="s">
        <v>24</v>
      </c>
      <c r="E1833" s="48">
        <v>0.70833333333333304</v>
      </c>
      <c r="F1833" s="48">
        <v>0.875</v>
      </c>
      <c r="G1833" s="49">
        <v>8.0000000000000036</v>
      </c>
      <c r="H1833" s="49">
        <v>4.0000000000000036</v>
      </c>
      <c r="I1833" s="49">
        <v>12.000000000000007</v>
      </c>
      <c r="J1833" s="53" t="s">
        <v>52</v>
      </c>
      <c r="K1833" s="51" t="s">
        <v>533</v>
      </c>
      <c r="L1833" s="102">
        <v>1</v>
      </c>
      <c r="M1833" s="19" t="str">
        <f t="shared" si="44"/>
        <v>Apr_2018</v>
      </c>
    </row>
    <row r="1834" spans="1:13">
      <c r="A1834" s="45" t="s">
        <v>22</v>
      </c>
      <c r="B1834" s="52" t="s">
        <v>254</v>
      </c>
      <c r="C1834" s="46">
        <v>43218</v>
      </c>
      <c r="D1834" s="47" t="s">
        <v>24</v>
      </c>
      <c r="E1834" s="48">
        <v>0.33333333333333298</v>
      </c>
      <c r="F1834" s="48">
        <v>0.875</v>
      </c>
      <c r="G1834" s="49">
        <v>0</v>
      </c>
      <c r="H1834" s="49">
        <v>12.000000000000007</v>
      </c>
      <c r="I1834" s="49">
        <v>12.000000000000007</v>
      </c>
      <c r="J1834" s="53" t="s">
        <v>52</v>
      </c>
      <c r="K1834" s="51" t="s">
        <v>533</v>
      </c>
      <c r="L1834" s="102" t="s">
        <v>281</v>
      </c>
      <c r="M1834" s="19" t="str">
        <f t="shared" si="44"/>
        <v>Apr_2018</v>
      </c>
    </row>
    <row r="1835" spans="1:13">
      <c r="A1835" s="45" t="s">
        <v>22</v>
      </c>
      <c r="B1835" s="52" t="s">
        <v>27</v>
      </c>
      <c r="C1835" s="46">
        <v>43218</v>
      </c>
      <c r="D1835" s="47" t="s">
        <v>24</v>
      </c>
      <c r="E1835" s="48">
        <v>0.33333333333333298</v>
      </c>
      <c r="F1835" s="48">
        <v>0.875</v>
      </c>
      <c r="G1835" s="49">
        <v>0</v>
      </c>
      <c r="H1835" s="49">
        <v>12.000000000000007</v>
      </c>
      <c r="I1835" s="49">
        <v>12.000000000000007</v>
      </c>
      <c r="J1835" s="53" t="s">
        <v>52</v>
      </c>
      <c r="K1835" s="51" t="s">
        <v>533</v>
      </c>
      <c r="L1835" s="102" t="s">
        <v>281</v>
      </c>
      <c r="M1835" s="19" t="str">
        <f t="shared" si="44"/>
        <v>Apr_2018</v>
      </c>
    </row>
    <row r="1836" spans="1:13">
      <c r="A1836" s="45" t="s">
        <v>22</v>
      </c>
      <c r="B1836" s="52" t="s">
        <v>478</v>
      </c>
      <c r="C1836" s="46">
        <v>43218</v>
      </c>
      <c r="D1836" s="47" t="s">
        <v>24</v>
      </c>
      <c r="E1836" s="48">
        <v>0.33333333333333298</v>
      </c>
      <c r="F1836" s="48">
        <v>0.70833333333333304</v>
      </c>
      <c r="G1836" s="49">
        <v>0</v>
      </c>
      <c r="H1836" s="49">
        <v>8.0000000000000018</v>
      </c>
      <c r="I1836" s="49">
        <v>8.0000000000000018</v>
      </c>
      <c r="J1836" s="53" t="s">
        <v>52</v>
      </c>
      <c r="K1836" s="51" t="s">
        <v>533</v>
      </c>
      <c r="L1836" s="102" t="s">
        <v>281</v>
      </c>
      <c r="M1836" s="19" t="str">
        <f t="shared" si="44"/>
        <v>Apr_2018</v>
      </c>
    </row>
    <row r="1837" spans="1:13">
      <c r="A1837" s="45" t="s">
        <v>22</v>
      </c>
      <c r="B1837" s="52" t="s">
        <v>479</v>
      </c>
      <c r="C1837" s="46">
        <v>43218</v>
      </c>
      <c r="D1837" s="47" t="s">
        <v>24</v>
      </c>
      <c r="E1837" s="48">
        <v>0.33333333333333298</v>
      </c>
      <c r="F1837" s="48">
        <v>0.875</v>
      </c>
      <c r="G1837" s="49">
        <v>0</v>
      </c>
      <c r="H1837" s="49">
        <v>12.000000000000007</v>
      </c>
      <c r="I1837" s="49">
        <v>12.000000000000007</v>
      </c>
      <c r="J1837" s="53" t="s">
        <v>52</v>
      </c>
      <c r="K1837" s="51" t="s">
        <v>533</v>
      </c>
      <c r="L1837" s="102" t="s">
        <v>281</v>
      </c>
      <c r="M1837" s="19" t="str">
        <f t="shared" si="44"/>
        <v>Apr_2018</v>
      </c>
    </row>
    <row r="1838" spans="1:13">
      <c r="A1838" s="45" t="s">
        <v>22</v>
      </c>
      <c r="B1838" s="52" t="s">
        <v>548</v>
      </c>
      <c r="C1838" s="46">
        <v>43218</v>
      </c>
      <c r="D1838" s="47" t="s">
        <v>24</v>
      </c>
      <c r="E1838" s="48">
        <v>0.33333333333333298</v>
      </c>
      <c r="F1838" s="48">
        <v>0.875</v>
      </c>
      <c r="G1838" s="49">
        <v>0</v>
      </c>
      <c r="H1838" s="49">
        <v>12.000000000000007</v>
      </c>
      <c r="I1838" s="49">
        <v>12.000000000000007</v>
      </c>
      <c r="J1838" s="53" t="s">
        <v>52</v>
      </c>
      <c r="K1838" s="51" t="s">
        <v>533</v>
      </c>
      <c r="L1838" s="102" t="s">
        <v>281</v>
      </c>
      <c r="M1838" s="19" t="str">
        <f t="shared" si="44"/>
        <v>Apr_2018</v>
      </c>
    </row>
    <row r="1839" spans="1:13">
      <c r="A1839" s="45" t="s">
        <v>22</v>
      </c>
      <c r="B1839" s="52" t="s">
        <v>534</v>
      </c>
      <c r="C1839" s="46">
        <v>43218</v>
      </c>
      <c r="D1839" s="47" t="s">
        <v>24</v>
      </c>
      <c r="E1839" s="48">
        <v>0.33333333333333298</v>
      </c>
      <c r="F1839" s="48">
        <v>0.875</v>
      </c>
      <c r="G1839" s="49">
        <v>0</v>
      </c>
      <c r="H1839" s="49">
        <v>12.000000000000007</v>
      </c>
      <c r="I1839" s="49">
        <v>12.000000000000007</v>
      </c>
      <c r="J1839" s="53" t="s">
        <v>52</v>
      </c>
      <c r="K1839" s="51" t="s">
        <v>533</v>
      </c>
      <c r="L1839" s="102" t="s">
        <v>281</v>
      </c>
      <c r="M1839" s="19" t="str">
        <f t="shared" si="44"/>
        <v>Apr_2018</v>
      </c>
    </row>
    <row r="1840" spans="1:13">
      <c r="A1840" s="45" t="s">
        <v>22</v>
      </c>
      <c r="B1840" s="52" t="s">
        <v>484</v>
      </c>
      <c r="C1840" s="46">
        <v>43218</v>
      </c>
      <c r="D1840" s="47" t="s">
        <v>24</v>
      </c>
      <c r="E1840" s="48">
        <v>0.33333333333333298</v>
      </c>
      <c r="F1840" s="48">
        <v>0.875</v>
      </c>
      <c r="G1840" s="49">
        <v>0</v>
      </c>
      <c r="H1840" s="49">
        <v>12.000000000000007</v>
      </c>
      <c r="I1840" s="49">
        <v>12.000000000000007</v>
      </c>
      <c r="J1840" s="53" t="s">
        <v>52</v>
      </c>
      <c r="K1840" s="51" t="s">
        <v>533</v>
      </c>
      <c r="L1840" s="102" t="s">
        <v>281</v>
      </c>
      <c r="M1840" s="19" t="str">
        <f t="shared" si="44"/>
        <v>Apr_2018</v>
      </c>
    </row>
    <row r="1841" spans="1:13">
      <c r="A1841" s="45" t="s">
        <v>11</v>
      </c>
      <c r="B1841" s="52" t="s">
        <v>19</v>
      </c>
      <c r="C1841" s="46">
        <v>43219</v>
      </c>
      <c r="D1841" s="47" t="s">
        <v>13</v>
      </c>
      <c r="E1841" s="48">
        <v>0.33333333333333298</v>
      </c>
      <c r="F1841" s="48">
        <v>0.89583333333333304</v>
      </c>
      <c r="G1841" s="49" t="s">
        <v>281</v>
      </c>
      <c r="H1841" s="49">
        <v>12.5</v>
      </c>
      <c r="I1841" s="49">
        <v>12.5</v>
      </c>
      <c r="J1841" s="53" t="s">
        <v>52</v>
      </c>
      <c r="K1841" s="51" t="s">
        <v>535</v>
      </c>
      <c r="L1841" s="102" t="s">
        <v>281</v>
      </c>
      <c r="M1841" s="19" t="str">
        <f t="shared" si="44"/>
        <v>Apr_2018</v>
      </c>
    </row>
    <row r="1842" spans="1:13">
      <c r="A1842" s="45" t="s">
        <v>11</v>
      </c>
      <c r="B1842" s="52" t="s">
        <v>26</v>
      </c>
      <c r="C1842" s="46">
        <v>43219</v>
      </c>
      <c r="D1842" s="47" t="s">
        <v>13</v>
      </c>
      <c r="E1842" s="48">
        <v>0.27083333333333298</v>
      </c>
      <c r="F1842" s="48">
        <v>0.8125</v>
      </c>
      <c r="G1842" s="49" t="s">
        <v>281</v>
      </c>
      <c r="H1842" s="49">
        <v>12.000000000000007</v>
      </c>
      <c r="I1842" s="49">
        <v>12.000000000000007</v>
      </c>
      <c r="J1842" s="53" t="s">
        <v>52</v>
      </c>
      <c r="K1842" s="51" t="s">
        <v>535</v>
      </c>
      <c r="L1842" s="102" t="s">
        <v>281</v>
      </c>
      <c r="M1842" s="19" t="str">
        <f t="shared" si="44"/>
        <v>Apr_2018</v>
      </c>
    </row>
    <row r="1843" spans="1:13">
      <c r="A1843" s="45" t="s">
        <v>22</v>
      </c>
      <c r="B1843" s="52" t="s">
        <v>23</v>
      </c>
      <c r="C1843" s="46">
        <v>43219</v>
      </c>
      <c r="D1843" s="47" t="s">
        <v>13</v>
      </c>
      <c r="E1843" s="48">
        <v>0.33333333333333298</v>
      </c>
      <c r="F1843" s="48">
        <v>0.875</v>
      </c>
      <c r="G1843" s="49" t="s">
        <v>281</v>
      </c>
      <c r="H1843" s="49">
        <v>12.000000000000007</v>
      </c>
      <c r="I1843" s="49">
        <v>12.000000000000007</v>
      </c>
      <c r="J1843" s="53" t="s">
        <v>52</v>
      </c>
      <c r="K1843" s="51" t="s">
        <v>535</v>
      </c>
      <c r="L1843" s="102" t="s">
        <v>281</v>
      </c>
      <c r="M1843" s="19" t="str">
        <f t="shared" si="44"/>
        <v>Apr_2018</v>
      </c>
    </row>
    <row r="1844" spans="1:13">
      <c r="A1844" s="45" t="s">
        <v>22</v>
      </c>
      <c r="B1844" s="52" t="s">
        <v>78</v>
      </c>
      <c r="C1844" s="46">
        <v>43219</v>
      </c>
      <c r="D1844" s="47" t="s">
        <v>13</v>
      </c>
      <c r="E1844" s="48">
        <v>0.33333333333333298</v>
      </c>
      <c r="F1844" s="48">
        <v>0.875</v>
      </c>
      <c r="G1844" s="49" t="s">
        <v>281</v>
      </c>
      <c r="H1844" s="49">
        <v>12.000000000000007</v>
      </c>
      <c r="I1844" s="49">
        <v>12.000000000000007</v>
      </c>
      <c r="J1844" s="53" t="s">
        <v>52</v>
      </c>
      <c r="K1844" s="51" t="s">
        <v>535</v>
      </c>
      <c r="L1844" s="102" t="s">
        <v>281</v>
      </c>
      <c r="M1844" s="19" t="str">
        <f t="shared" si="44"/>
        <v>Apr_2018</v>
      </c>
    </row>
    <row r="1845" spans="1:13">
      <c r="A1845" s="45" t="s">
        <v>22</v>
      </c>
      <c r="B1845" s="52" t="s">
        <v>254</v>
      </c>
      <c r="C1845" s="46">
        <v>43219</v>
      </c>
      <c r="D1845" s="47" t="s">
        <v>13</v>
      </c>
      <c r="E1845" s="48">
        <v>0.35416666666666702</v>
      </c>
      <c r="F1845" s="48">
        <v>0.875</v>
      </c>
      <c r="G1845" s="49" t="s">
        <v>281</v>
      </c>
      <c r="H1845" s="49">
        <v>11.499999999999993</v>
      </c>
      <c r="I1845" s="49">
        <v>11.499999999999993</v>
      </c>
      <c r="J1845" s="53" t="s">
        <v>52</v>
      </c>
      <c r="K1845" s="51" t="s">
        <v>535</v>
      </c>
      <c r="L1845" s="102" t="s">
        <v>281</v>
      </c>
      <c r="M1845" s="19" t="str">
        <f t="shared" si="44"/>
        <v>Apr_2018</v>
      </c>
    </row>
    <row r="1846" spans="1:13">
      <c r="A1846" s="45" t="s">
        <v>22</v>
      </c>
      <c r="B1846" s="52" t="s">
        <v>27</v>
      </c>
      <c r="C1846" s="46">
        <v>43219</v>
      </c>
      <c r="D1846" s="47" t="s">
        <v>13</v>
      </c>
      <c r="E1846" s="48">
        <v>0.35416666666666702</v>
      </c>
      <c r="F1846" s="48">
        <v>0.875</v>
      </c>
      <c r="G1846" s="49" t="s">
        <v>281</v>
      </c>
      <c r="H1846" s="49">
        <v>11.499999999999993</v>
      </c>
      <c r="I1846" s="49">
        <v>11.499999999999993</v>
      </c>
      <c r="J1846" s="53" t="s">
        <v>52</v>
      </c>
      <c r="K1846" s="51" t="s">
        <v>536</v>
      </c>
      <c r="L1846" s="102" t="s">
        <v>281</v>
      </c>
      <c r="M1846" s="19" t="str">
        <f t="shared" si="44"/>
        <v>Apr_2018</v>
      </c>
    </row>
    <row r="1847" spans="1:13">
      <c r="A1847" s="45" t="s">
        <v>22</v>
      </c>
      <c r="B1847" s="52" t="s">
        <v>479</v>
      </c>
      <c r="C1847" s="46">
        <v>43219</v>
      </c>
      <c r="D1847" s="47" t="s">
        <v>13</v>
      </c>
      <c r="E1847" s="48">
        <v>0.33333333333333298</v>
      </c>
      <c r="F1847" s="48">
        <v>0.875</v>
      </c>
      <c r="G1847" s="49" t="s">
        <v>281</v>
      </c>
      <c r="H1847" s="49">
        <v>12.000000000000007</v>
      </c>
      <c r="I1847" s="49">
        <v>12.000000000000007</v>
      </c>
      <c r="J1847" s="53" t="s">
        <v>52</v>
      </c>
      <c r="K1847" s="51" t="s">
        <v>535</v>
      </c>
      <c r="L1847" s="102" t="s">
        <v>281</v>
      </c>
      <c r="M1847" s="19" t="str">
        <f t="shared" si="44"/>
        <v>Apr_2018</v>
      </c>
    </row>
    <row r="1848" spans="1:13">
      <c r="A1848" s="45" t="s">
        <v>22</v>
      </c>
      <c r="B1848" s="52" t="s">
        <v>548</v>
      </c>
      <c r="C1848" s="46">
        <v>43219</v>
      </c>
      <c r="D1848" s="47" t="s">
        <v>13</v>
      </c>
      <c r="E1848" s="48">
        <v>0.33333333333333298</v>
      </c>
      <c r="F1848" s="48">
        <v>0.875</v>
      </c>
      <c r="G1848" s="49" t="s">
        <v>281</v>
      </c>
      <c r="H1848" s="49">
        <v>12.000000000000007</v>
      </c>
      <c r="I1848" s="49">
        <v>12.000000000000007</v>
      </c>
      <c r="J1848" s="53" t="s">
        <v>52</v>
      </c>
      <c r="K1848" s="51" t="s">
        <v>535</v>
      </c>
      <c r="L1848" s="102" t="s">
        <v>281</v>
      </c>
      <c r="M1848" s="19" t="str">
        <f t="shared" si="44"/>
        <v>Apr_2018</v>
      </c>
    </row>
    <row r="1849" spans="1:13">
      <c r="A1849" s="45" t="s">
        <v>22</v>
      </c>
      <c r="B1849" s="52" t="s">
        <v>534</v>
      </c>
      <c r="C1849" s="46">
        <v>43219</v>
      </c>
      <c r="D1849" s="47" t="s">
        <v>13</v>
      </c>
      <c r="E1849" s="48">
        <v>0.33333333333333298</v>
      </c>
      <c r="F1849" s="48">
        <v>0.875</v>
      </c>
      <c r="G1849" s="49" t="s">
        <v>281</v>
      </c>
      <c r="H1849" s="49">
        <v>12.000000000000007</v>
      </c>
      <c r="I1849" s="49">
        <v>12.000000000000007</v>
      </c>
      <c r="J1849" s="53" t="s">
        <v>52</v>
      </c>
      <c r="K1849" s="51" t="s">
        <v>535</v>
      </c>
      <c r="L1849" s="102" t="s">
        <v>281</v>
      </c>
      <c r="M1849" s="19" t="str">
        <f t="shared" si="44"/>
        <v>Apr_2018</v>
      </c>
    </row>
    <row r="1850" spans="1:13">
      <c r="A1850" s="45" t="s">
        <v>22</v>
      </c>
      <c r="B1850" s="52" t="s">
        <v>484</v>
      </c>
      <c r="C1850" s="46">
        <v>43219</v>
      </c>
      <c r="D1850" s="47" t="s">
        <v>13</v>
      </c>
      <c r="E1850" s="48">
        <v>0.33333333333333298</v>
      </c>
      <c r="F1850" s="48">
        <v>0.875</v>
      </c>
      <c r="G1850" s="49" t="s">
        <v>281</v>
      </c>
      <c r="H1850" s="49">
        <v>12.000000000000007</v>
      </c>
      <c r="I1850" s="49">
        <v>12.000000000000007</v>
      </c>
      <c r="J1850" s="53" t="s">
        <v>52</v>
      </c>
      <c r="K1850" s="51" t="s">
        <v>535</v>
      </c>
      <c r="L1850" s="102" t="s">
        <v>281</v>
      </c>
      <c r="M1850" s="19" t="str">
        <f t="shared" si="44"/>
        <v>Apr_2018</v>
      </c>
    </row>
    <row r="1851" spans="1:13">
      <c r="A1851" s="45" t="s">
        <v>11</v>
      </c>
      <c r="B1851" s="52" t="s">
        <v>12</v>
      </c>
      <c r="C1851" s="54">
        <v>43222</v>
      </c>
      <c r="D1851" s="47" t="s">
        <v>15</v>
      </c>
      <c r="E1851" s="48">
        <v>0.70833333333333304</v>
      </c>
      <c r="F1851" s="48">
        <v>0.875</v>
      </c>
      <c r="G1851" s="49">
        <v>8.0000000000000036</v>
      </c>
      <c r="H1851" s="49">
        <v>4.0000000000000036</v>
      </c>
      <c r="I1851" s="49">
        <v>4.0000000000000036</v>
      </c>
      <c r="J1851" s="53" t="s">
        <v>30</v>
      </c>
      <c r="K1851" s="51" t="s">
        <v>537</v>
      </c>
      <c r="L1851" s="102">
        <v>1</v>
      </c>
      <c r="M1851" s="19" t="str">
        <f>IF($C1851="","",TEXT(DATE(YEAR($C1851),MONTH($C1851),DAY($C1851)),"MMM")&amp;"_"&amp;YEAR($C1851))</f>
        <v>May_2018</v>
      </c>
    </row>
    <row r="1852" spans="1:13">
      <c r="A1852" s="45" t="s">
        <v>11</v>
      </c>
      <c r="B1852" s="52" t="s">
        <v>19</v>
      </c>
      <c r="C1852" s="46">
        <v>43222</v>
      </c>
      <c r="D1852" s="47" t="s">
        <v>15</v>
      </c>
      <c r="E1852" s="48">
        <v>0.70833333333333304</v>
      </c>
      <c r="F1852" s="48">
        <v>0.875</v>
      </c>
      <c r="G1852" s="49">
        <v>8.0000000000000036</v>
      </c>
      <c r="H1852" s="49">
        <v>4.0000000000000036</v>
      </c>
      <c r="I1852" s="49">
        <v>4.0000000000000036</v>
      </c>
      <c r="J1852" s="53" t="s">
        <v>30</v>
      </c>
      <c r="K1852" s="51" t="s">
        <v>537</v>
      </c>
      <c r="L1852" s="102">
        <v>1</v>
      </c>
      <c r="M1852" s="19" t="str">
        <f t="shared" ref="M1852:M1915" si="45">IF($C1852="","",TEXT(DATE(YEAR($C1852),MONTH($C1852),DAY($C1852)),"MMM")&amp;"_"&amp;YEAR($C1852))</f>
        <v>May_2018</v>
      </c>
    </row>
    <row r="1853" spans="1:13">
      <c r="A1853" s="45" t="s">
        <v>11</v>
      </c>
      <c r="B1853" s="52" t="s">
        <v>161</v>
      </c>
      <c r="C1853" s="46">
        <v>43222</v>
      </c>
      <c r="D1853" s="47" t="s">
        <v>15</v>
      </c>
      <c r="E1853" s="48">
        <v>0.64583333333333304</v>
      </c>
      <c r="F1853" s="48">
        <v>0.79166666666666696</v>
      </c>
      <c r="G1853" s="49">
        <v>8.0000000000000036</v>
      </c>
      <c r="H1853" s="49">
        <v>3.5000000000000107</v>
      </c>
      <c r="I1853" s="49">
        <v>3.5000000000000107</v>
      </c>
      <c r="J1853" s="53" t="s">
        <v>30</v>
      </c>
      <c r="K1853" s="51" t="s">
        <v>537</v>
      </c>
      <c r="L1853" s="102">
        <v>1</v>
      </c>
      <c r="M1853" s="19" t="str">
        <f t="shared" si="45"/>
        <v>May_2018</v>
      </c>
    </row>
    <row r="1854" spans="1:13">
      <c r="A1854" s="45" t="s">
        <v>22</v>
      </c>
      <c r="B1854" s="52" t="s">
        <v>23</v>
      </c>
      <c r="C1854" s="46">
        <v>43222</v>
      </c>
      <c r="D1854" s="47" t="s">
        <v>15</v>
      </c>
      <c r="E1854" s="48">
        <v>0.33333333333333298</v>
      </c>
      <c r="F1854" s="48">
        <v>0.875</v>
      </c>
      <c r="G1854" s="49">
        <v>0</v>
      </c>
      <c r="H1854" s="49">
        <v>12.000000000000007</v>
      </c>
      <c r="I1854" s="49">
        <v>12.000000000000007</v>
      </c>
      <c r="J1854" s="53" t="s">
        <v>30</v>
      </c>
      <c r="K1854" s="51" t="s">
        <v>537</v>
      </c>
      <c r="L1854" s="102" t="s">
        <v>281</v>
      </c>
      <c r="M1854" s="19" t="str">
        <f t="shared" si="45"/>
        <v>May_2018</v>
      </c>
    </row>
    <row r="1855" spans="1:13">
      <c r="A1855" s="45" t="s">
        <v>22</v>
      </c>
      <c r="B1855" s="52" t="s">
        <v>78</v>
      </c>
      <c r="C1855" s="46">
        <v>43222</v>
      </c>
      <c r="D1855" s="47" t="s">
        <v>15</v>
      </c>
      <c r="E1855" s="48">
        <v>0.625</v>
      </c>
      <c r="F1855" s="48">
        <v>0.875</v>
      </c>
      <c r="G1855" s="49">
        <v>0</v>
      </c>
      <c r="H1855" s="49">
        <v>5</v>
      </c>
      <c r="I1855" s="49">
        <v>5</v>
      </c>
      <c r="J1855" s="53" t="s">
        <v>30</v>
      </c>
      <c r="K1855" s="51" t="s">
        <v>537</v>
      </c>
      <c r="L1855" s="102" t="s">
        <v>281</v>
      </c>
      <c r="M1855" s="19" t="str">
        <f t="shared" si="45"/>
        <v>May_2018</v>
      </c>
    </row>
    <row r="1856" spans="1:13">
      <c r="A1856" s="45" t="s">
        <v>22</v>
      </c>
      <c r="B1856" s="52" t="s">
        <v>254</v>
      </c>
      <c r="C1856" s="46">
        <v>43222</v>
      </c>
      <c r="D1856" s="47" t="s">
        <v>15</v>
      </c>
      <c r="E1856" s="48">
        <v>0.34375</v>
      </c>
      <c r="F1856" s="48">
        <v>0.66666666666666696</v>
      </c>
      <c r="G1856" s="49">
        <v>0</v>
      </c>
      <c r="H1856" s="49">
        <v>6.7500000000000071</v>
      </c>
      <c r="I1856" s="49">
        <v>6.7500000000000071</v>
      </c>
      <c r="J1856" s="53" t="s">
        <v>30</v>
      </c>
      <c r="K1856" s="51" t="s">
        <v>537</v>
      </c>
      <c r="L1856" s="102" t="s">
        <v>281</v>
      </c>
      <c r="M1856" s="19" t="str">
        <f t="shared" si="45"/>
        <v>May_2018</v>
      </c>
    </row>
    <row r="1857" spans="1:13">
      <c r="A1857" s="45" t="s">
        <v>22</v>
      </c>
      <c r="B1857" s="52" t="s">
        <v>27</v>
      </c>
      <c r="C1857" s="46">
        <v>43222</v>
      </c>
      <c r="D1857" s="47" t="s">
        <v>15</v>
      </c>
      <c r="E1857" s="48">
        <v>0.52083333333333304</v>
      </c>
      <c r="F1857" s="48">
        <v>0.875</v>
      </c>
      <c r="G1857" s="49">
        <v>0</v>
      </c>
      <c r="H1857" s="49">
        <v>7.5000000000000071</v>
      </c>
      <c r="I1857" s="49">
        <v>7.5000000000000071</v>
      </c>
      <c r="J1857" s="53" t="s">
        <v>30</v>
      </c>
      <c r="K1857" s="51" t="s">
        <v>537</v>
      </c>
      <c r="L1857" s="102" t="s">
        <v>281</v>
      </c>
      <c r="M1857" s="19" t="str">
        <f t="shared" si="45"/>
        <v>May_2018</v>
      </c>
    </row>
    <row r="1858" spans="1:13">
      <c r="A1858" s="45" t="s">
        <v>22</v>
      </c>
      <c r="B1858" s="52" t="s">
        <v>479</v>
      </c>
      <c r="C1858" s="46">
        <v>43222</v>
      </c>
      <c r="D1858" s="47" t="s">
        <v>15</v>
      </c>
      <c r="E1858" s="48">
        <v>0.34027777777777801</v>
      </c>
      <c r="F1858" s="48">
        <v>0.70833333333333304</v>
      </c>
      <c r="G1858" s="49">
        <v>0</v>
      </c>
      <c r="H1858" s="49">
        <v>7.8333333333333215</v>
      </c>
      <c r="I1858" s="49">
        <v>7.8333333333333215</v>
      </c>
      <c r="J1858" s="53" t="s">
        <v>30</v>
      </c>
      <c r="K1858" s="51" t="s">
        <v>537</v>
      </c>
      <c r="L1858" s="102" t="s">
        <v>281</v>
      </c>
      <c r="M1858" s="19" t="str">
        <f t="shared" si="45"/>
        <v>May_2018</v>
      </c>
    </row>
    <row r="1859" spans="1:13">
      <c r="A1859" s="45" t="s">
        <v>22</v>
      </c>
      <c r="B1859" s="52" t="s">
        <v>484</v>
      </c>
      <c r="C1859" s="46">
        <v>43222</v>
      </c>
      <c r="D1859" s="47" t="s">
        <v>15</v>
      </c>
      <c r="E1859" s="48">
        <v>0.33333333333333298</v>
      </c>
      <c r="F1859" s="48">
        <v>0.875</v>
      </c>
      <c r="G1859" s="49">
        <v>0</v>
      </c>
      <c r="H1859" s="49">
        <v>12.000000000000007</v>
      </c>
      <c r="I1859" s="49">
        <v>12.000000000000007</v>
      </c>
      <c r="J1859" s="53" t="s">
        <v>30</v>
      </c>
      <c r="K1859" s="51" t="s">
        <v>537</v>
      </c>
      <c r="L1859" s="102" t="s">
        <v>281</v>
      </c>
      <c r="M1859" s="19" t="str">
        <f t="shared" si="45"/>
        <v>May_2018</v>
      </c>
    </row>
    <row r="1860" spans="1:13">
      <c r="A1860" s="45" t="s">
        <v>22</v>
      </c>
      <c r="B1860" s="52" t="s">
        <v>538</v>
      </c>
      <c r="C1860" s="46">
        <v>43222</v>
      </c>
      <c r="D1860" s="47" t="s">
        <v>15</v>
      </c>
      <c r="E1860" s="48">
        <v>0.625</v>
      </c>
      <c r="F1860" s="48">
        <v>0.875</v>
      </c>
      <c r="G1860" s="49">
        <v>0</v>
      </c>
      <c r="H1860" s="49">
        <v>5</v>
      </c>
      <c r="I1860" s="49">
        <v>5</v>
      </c>
      <c r="J1860" s="53" t="s">
        <v>30</v>
      </c>
      <c r="K1860" s="51" t="s">
        <v>537</v>
      </c>
      <c r="L1860" s="102" t="s">
        <v>281</v>
      </c>
      <c r="M1860" s="19" t="str">
        <f t="shared" si="45"/>
        <v>May_2018</v>
      </c>
    </row>
    <row r="1861" spans="1:13">
      <c r="A1861" s="45" t="s">
        <v>11</v>
      </c>
      <c r="B1861" s="52" t="s">
        <v>12</v>
      </c>
      <c r="C1861" s="54">
        <v>43223</v>
      </c>
      <c r="D1861" s="47" t="s">
        <v>25</v>
      </c>
      <c r="E1861" s="48">
        <v>0.70833333333333304</v>
      </c>
      <c r="F1861" s="48">
        <v>0.875</v>
      </c>
      <c r="G1861" s="49">
        <v>8.0000000000000036</v>
      </c>
      <c r="H1861" s="49">
        <v>4.0000000000000036</v>
      </c>
      <c r="I1861" s="49">
        <v>4.0000000000000036</v>
      </c>
      <c r="J1861" s="53" t="s">
        <v>30</v>
      </c>
      <c r="K1861" s="51" t="s">
        <v>539</v>
      </c>
      <c r="L1861" s="102">
        <v>1</v>
      </c>
      <c r="M1861" s="19" t="str">
        <f t="shared" si="45"/>
        <v>May_2018</v>
      </c>
    </row>
    <row r="1862" spans="1:13">
      <c r="A1862" s="45" t="s">
        <v>11</v>
      </c>
      <c r="B1862" s="52" t="s">
        <v>26</v>
      </c>
      <c r="C1862" s="46">
        <v>43223</v>
      </c>
      <c r="D1862" s="47" t="s">
        <v>25</v>
      </c>
      <c r="E1862" s="48">
        <v>0.64583333333333304</v>
      </c>
      <c r="F1862" s="48">
        <v>0.79166666666666696</v>
      </c>
      <c r="G1862" s="49">
        <v>8.0000000000000036</v>
      </c>
      <c r="H1862" s="49">
        <v>3.5000000000000107</v>
      </c>
      <c r="I1862" s="49">
        <v>3.5000000000000107</v>
      </c>
      <c r="J1862" s="53" t="s">
        <v>30</v>
      </c>
      <c r="K1862" s="51" t="s">
        <v>539</v>
      </c>
      <c r="L1862" s="102">
        <v>1</v>
      </c>
      <c r="M1862" s="19" t="str">
        <f t="shared" si="45"/>
        <v>May_2018</v>
      </c>
    </row>
    <row r="1863" spans="1:13">
      <c r="A1863" s="45" t="s">
        <v>11</v>
      </c>
      <c r="B1863" s="52" t="s">
        <v>149</v>
      </c>
      <c r="C1863" s="46">
        <v>43223</v>
      </c>
      <c r="D1863" s="47" t="s">
        <v>25</v>
      </c>
      <c r="E1863" s="48">
        <v>0.70833333333333304</v>
      </c>
      <c r="F1863" s="48">
        <v>0.875</v>
      </c>
      <c r="G1863" s="49">
        <v>8.0000000000000036</v>
      </c>
      <c r="H1863" s="49">
        <v>4.0000000000000036</v>
      </c>
      <c r="I1863" s="49">
        <v>4.0000000000000036</v>
      </c>
      <c r="J1863" s="53" t="s">
        <v>30</v>
      </c>
      <c r="K1863" s="51" t="s">
        <v>539</v>
      </c>
      <c r="L1863" s="102">
        <v>1</v>
      </c>
      <c r="M1863" s="19" t="str">
        <f t="shared" si="45"/>
        <v>May_2018</v>
      </c>
    </row>
    <row r="1864" spans="1:13">
      <c r="A1864" s="45" t="s">
        <v>11</v>
      </c>
      <c r="B1864" s="52" t="s">
        <v>161</v>
      </c>
      <c r="C1864" s="46">
        <v>43223</v>
      </c>
      <c r="D1864" s="47" t="s">
        <v>25</v>
      </c>
      <c r="E1864" s="48">
        <v>0.70833333333333304</v>
      </c>
      <c r="F1864" s="48">
        <v>0.875</v>
      </c>
      <c r="G1864" s="49">
        <v>8.0000000000000036</v>
      </c>
      <c r="H1864" s="49">
        <v>4.0000000000000036</v>
      </c>
      <c r="I1864" s="49">
        <v>4.0000000000000036</v>
      </c>
      <c r="J1864" s="53" t="s">
        <v>30</v>
      </c>
      <c r="K1864" s="51" t="s">
        <v>539</v>
      </c>
      <c r="L1864" s="102">
        <v>1</v>
      </c>
      <c r="M1864" s="19" t="str">
        <f t="shared" si="45"/>
        <v>May_2018</v>
      </c>
    </row>
    <row r="1865" spans="1:13">
      <c r="A1865" s="45" t="s">
        <v>22</v>
      </c>
      <c r="B1865" s="52" t="s">
        <v>23</v>
      </c>
      <c r="C1865" s="46">
        <v>43223</v>
      </c>
      <c r="D1865" s="47" t="s">
        <v>25</v>
      </c>
      <c r="E1865" s="48">
        <v>0.33333333333333298</v>
      </c>
      <c r="F1865" s="48">
        <v>0.875</v>
      </c>
      <c r="G1865" s="49">
        <v>0</v>
      </c>
      <c r="H1865" s="49">
        <v>12.000000000000007</v>
      </c>
      <c r="I1865" s="49">
        <v>12.000000000000007</v>
      </c>
      <c r="J1865" s="53" t="s">
        <v>30</v>
      </c>
      <c r="K1865" s="51" t="s">
        <v>539</v>
      </c>
      <c r="L1865" s="102" t="s">
        <v>281</v>
      </c>
      <c r="M1865" s="19" t="str">
        <f t="shared" si="45"/>
        <v>May_2018</v>
      </c>
    </row>
    <row r="1866" spans="1:13">
      <c r="A1866" s="45" t="s">
        <v>22</v>
      </c>
      <c r="B1866" s="52" t="s">
        <v>78</v>
      </c>
      <c r="C1866" s="46">
        <v>43223</v>
      </c>
      <c r="D1866" s="47" t="s">
        <v>25</v>
      </c>
      <c r="E1866" s="48">
        <v>0.625</v>
      </c>
      <c r="F1866" s="48">
        <v>0.875</v>
      </c>
      <c r="G1866" s="49">
        <v>0</v>
      </c>
      <c r="H1866" s="49">
        <v>5</v>
      </c>
      <c r="I1866" s="49">
        <v>5</v>
      </c>
      <c r="J1866" s="53" t="s">
        <v>30</v>
      </c>
      <c r="K1866" s="51" t="s">
        <v>539</v>
      </c>
      <c r="L1866" s="102" t="s">
        <v>281</v>
      </c>
      <c r="M1866" s="19" t="str">
        <f t="shared" si="45"/>
        <v>May_2018</v>
      </c>
    </row>
    <row r="1867" spans="1:13">
      <c r="A1867" s="45" t="s">
        <v>22</v>
      </c>
      <c r="B1867" s="52" t="s">
        <v>254</v>
      </c>
      <c r="C1867" s="46">
        <v>43223</v>
      </c>
      <c r="D1867" s="47" t="s">
        <v>25</v>
      </c>
      <c r="E1867" s="48">
        <v>0.39583333333333298</v>
      </c>
      <c r="F1867" s="48">
        <v>0.875</v>
      </c>
      <c r="G1867" s="49">
        <v>0</v>
      </c>
      <c r="H1867" s="49">
        <v>10.500000000000009</v>
      </c>
      <c r="I1867" s="49">
        <v>10.500000000000009</v>
      </c>
      <c r="J1867" s="53" t="s">
        <v>30</v>
      </c>
      <c r="K1867" s="51" t="s">
        <v>539</v>
      </c>
      <c r="L1867" s="102" t="s">
        <v>281</v>
      </c>
      <c r="M1867" s="19" t="str">
        <f t="shared" si="45"/>
        <v>May_2018</v>
      </c>
    </row>
    <row r="1868" spans="1:13">
      <c r="A1868" s="45" t="s">
        <v>22</v>
      </c>
      <c r="B1868" s="52" t="s">
        <v>27</v>
      </c>
      <c r="C1868" s="46">
        <v>43223</v>
      </c>
      <c r="D1868" s="47" t="s">
        <v>25</v>
      </c>
      <c r="E1868" s="48">
        <v>0.39583333333333298</v>
      </c>
      <c r="F1868" s="48">
        <v>0.875</v>
      </c>
      <c r="G1868" s="49">
        <v>0</v>
      </c>
      <c r="H1868" s="49">
        <v>10.500000000000009</v>
      </c>
      <c r="I1868" s="49">
        <v>10.500000000000009</v>
      </c>
      <c r="J1868" s="53" t="s">
        <v>30</v>
      </c>
      <c r="K1868" s="51" t="s">
        <v>539</v>
      </c>
      <c r="L1868" s="102" t="s">
        <v>281</v>
      </c>
      <c r="M1868" s="19" t="str">
        <f t="shared" si="45"/>
        <v>May_2018</v>
      </c>
    </row>
    <row r="1869" spans="1:13">
      <c r="A1869" s="45" t="s">
        <v>22</v>
      </c>
      <c r="B1869" s="52" t="s">
        <v>478</v>
      </c>
      <c r="C1869" s="46">
        <v>43223</v>
      </c>
      <c r="D1869" s="47" t="s">
        <v>25</v>
      </c>
      <c r="E1869" s="48">
        <v>0.33333333333333298</v>
      </c>
      <c r="F1869" s="48">
        <v>0.625</v>
      </c>
      <c r="G1869" s="49">
        <v>0</v>
      </c>
      <c r="H1869" s="49">
        <v>6.0000000000000089</v>
      </c>
      <c r="I1869" s="49">
        <v>6.0000000000000089</v>
      </c>
      <c r="J1869" s="53" t="s">
        <v>30</v>
      </c>
      <c r="K1869" s="51" t="s">
        <v>539</v>
      </c>
      <c r="L1869" s="102" t="s">
        <v>281</v>
      </c>
      <c r="M1869" s="19" t="str">
        <f t="shared" si="45"/>
        <v>May_2018</v>
      </c>
    </row>
    <row r="1870" spans="1:13">
      <c r="A1870" s="45" t="s">
        <v>22</v>
      </c>
      <c r="B1870" s="52" t="s">
        <v>534</v>
      </c>
      <c r="C1870" s="46">
        <v>43223</v>
      </c>
      <c r="D1870" s="47" t="s">
        <v>25</v>
      </c>
      <c r="E1870" s="48">
        <v>0.33333333333333298</v>
      </c>
      <c r="F1870" s="48">
        <v>0.625</v>
      </c>
      <c r="G1870" s="49">
        <v>0</v>
      </c>
      <c r="H1870" s="49">
        <v>6.0000000000000089</v>
      </c>
      <c r="I1870" s="49">
        <v>6.0000000000000089</v>
      </c>
      <c r="J1870" s="53" t="s">
        <v>30</v>
      </c>
      <c r="K1870" s="51" t="s">
        <v>539</v>
      </c>
      <c r="L1870" s="102" t="s">
        <v>281</v>
      </c>
      <c r="M1870" s="19" t="str">
        <f t="shared" si="45"/>
        <v>May_2018</v>
      </c>
    </row>
    <row r="1871" spans="1:13">
      <c r="A1871" s="45" t="s">
        <v>22</v>
      </c>
      <c r="B1871" s="52" t="s">
        <v>484</v>
      </c>
      <c r="C1871" s="46">
        <v>43223</v>
      </c>
      <c r="D1871" s="47" t="s">
        <v>25</v>
      </c>
      <c r="E1871" s="48">
        <v>0.33333333333333298</v>
      </c>
      <c r="F1871" s="48">
        <v>0.875</v>
      </c>
      <c r="G1871" s="49">
        <v>0</v>
      </c>
      <c r="H1871" s="49">
        <v>12.000000000000007</v>
      </c>
      <c r="I1871" s="49">
        <v>12.000000000000007</v>
      </c>
      <c r="J1871" s="53" t="s">
        <v>30</v>
      </c>
      <c r="K1871" s="51" t="s">
        <v>539</v>
      </c>
      <c r="L1871" s="102" t="s">
        <v>281</v>
      </c>
      <c r="M1871" s="19" t="str">
        <f t="shared" si="45"/>
        <v>May_2018</v>
      </c>
    </row>
    <row r="1872" spans="1:13">
      <c r="A1872" s="45" t="s">
        <v>22</v>
      </c>
      <c r="B1872" s="52" t="s">
        <v>538</v>
      </c>
      <c r="C1872" s="46">
        <v>43223</v>
      </c>
      <c r="D1872" s="47" t="s">
        <v>25</v>
      </c>
      <c r="E1872" s="48">
        <v>0.625</v>
      </c>
      <c r="F1872" s="48">
        <v>0.875</v>
      </c>
      <c r="G1872" s="49">
        <v>0</v>
      </c>
      <c r="H1872" s="49">
        <v>5</v>
      </c>
      <c r="I1872" s="49">
        <v>5</v>
      </c>
      <c r="J1872" s="53" t="s">
        <v>30</v>
      </c>
      <c r="K1872" s="51" t="s">
        <v>539</v>
      </c>
      <c r="L1872" s="102" t="s">
        <v>281</v>
      </c>
      <c r="M1872" s="19" t="str">
        <f t="shared" si="45"/>
        <v>May_2018</v>
      </c>
    </row>
    <row r="1873" spans="1:13">
      <c r="A1873" s="45" t="s">
        <v>11</v>
      </c>
      <c r="B1873" s="52" t="s">
        <v>19</v>
      </c>
      <c r="C1873" s="46">
        <v>43224</v>
      </c>
      <c r="D1873" s="47" t="s">
        <v>17</v>
      </c>
      <c r="E1873" s="48">
        <v>0.70833333333333304</v>
      </c>
      <c r="F1873" s="48">
        <v>0.875</v>
      </c>
      <c r="G1873" s="49">
        <v>8.0000000000000036</v>
      </c>
      <c r="H1873" s="49">
        <v>4.0000000000000036</v>
      </c>
      <c r="I1873" s="49">
        <v>4.0000000000000036</v>
      </c>
      <c r="J1873" s="53" t="s">
        <v>30</v>
      </c>
      <c r="K1873" s="51" t="s">
        <v>540</v>
      </c>
      <c r="L1873" s="102">
        <v>1</v>
      </c>
      <c r="M1873" s="19" t="str">
        <f t="shared" si="45"/>
        <v>May_2018</v>
      </c>
    </row>
    <row r="1874" spans="1:13">
      <c r="A1874" s="45" t="s">
        <v>11</v>
      </c>
      <c r="B1874" s="52" t="s">
        <v>26</v>
      </c>
      <c r="C1874" s="46">
        <v>43224</v>
      </c>
      <c r="D1874" s="47" t="s">
        <v>17</v>
      </c>
      <c r="E1874" s="48">
        <v>0.70833333333333304</v>
      </c>
      <c r="F1874" s="48">
        <v>0.875</v>
      </c>
      <c r="G1874" s="49">
        <v>8.0000000000000036</v>
      </c>
      <c r="H1874" s="49">
        <v>4.0000000000000036</v>
      </c>
      <c r="I1874" s="49">
        <v>4.0000000000000036</v>
      </c>
      <c r="J1874" s="53" t="s">
        <v>30</v>
      </c>
      <c r="K1874" s="51" t="s">
        <v>540</v>
      </c>
      <c r="L1874" s="102">
        <v>1</v>
      </c>
      <c r="M1874" s="19" t="str">
        <f t="shared" si="45"/>
        <v>May_2018</v>
      </c>
    </row>
    <row r="1875" spans="1:13">
      <c r="A1875" s="45" t="s">
        <v>11</v>
      </c>
      <c r="B1875" s="52" t="s">
        <v>149</v>
      </c>
      <c r="C1875" s="46">
        <v>43224</v>
      </c>
      <c r="D1875" s="47" t="s">
        <v>17</v>
      </c>
      <c r="E1875" s="48">
        <v>0.70833333333333304</v>
      </c>
      <c r="F1875" s="48">
        <v>0.875</v>
      </c>
      <c r="G1875" s="49">
        <v>8.0000000000000036</v>
      </c>
      <c r="H1875" s="49">
        <v>4.0000000000000036</v>
      </c>
      <c r="I1875" s="49">
        <v>4.0000000000000036</v>
      </c>
      <c r="J1875" s="53" t="s">
        <v>30</v>
      </c>
      <c r="K1875" s="51" t="s">
        <v>540</v>
      </c>
      <c r="L1875" s="102">
        <v>1</v>
      </c>
      <c r="M1875" s="19" t="str">
        <f t="shared" si="45"/>
        <v>May_2018</v>
      </c>
    </row>
    <row r="1876" spans="1:13">
      <c r="A1876" s="45" t="s">
        <v>11</v>
      </c>
      <c r="B1876" s="52" t="s">
        <v>161</v>
      </c>
      <c r="C1876" s="46">
        <v>43224</v>
      </c>
      <c r="D1876" s="47" t="s">
        <v>17</v>
      </c>
      <c r="E1876" s="48">
        <v>0.64583333333333304</v>
      </c>
      <c r="F1876" s="48">
        <v>0.79166666666666696</v>
      </c>
      <c r="G1876" s="49">
        <v>8.0000000000000036</v>
      </c>
      <c r="H1876" s="49">
        <v>3.5000000000000107</v>
      </c>
      <c r="I1876" s="49">
        <v>3.5000000000000107</v>
      </c>
      <c r="J1876" s="53" t="s">
        <v>30</v>
      </c>
      <c r="K1876" s="51" t="s">
        <v>540</v>
      </c>
      <c r="L1876" s="102">
        <v>1</v>
      </c>
      <c r="M1876" s="19" t="str">
        <f t="shared" si="45"/>
        <v>May_2018</v>
      </c>
    </row>
    <row r="1877" spans="1:13">
      <c r="A1877" s="45" t="s">
        <v>22</v>
      </c>
      <c r="B1877" s="52" t="s">
        <v>23</v>
      </c>
      <c r="C1877" s="46">
        <v>43224</v>
      </c>
      <c r="D1877" s="47" t="s">
        <v>17</v>
      </c>
      <c r="E1877" s="48">
        <v>0.33333333333333298</v>
      </c>
      <c r="F1877" s="48">
        <v>0.875</v>
      </c>
      <c r="G1877" s="49">
        <v>0</v>
      </c>
      <c r="H1877" s="49">
        <v>12.000000000000007</v>
      </c>
      <c r="I1877" s="49">
        <v>12.000000000000007</v>
      </c>
      <c r="J1877" s="53" t="s">
        <v>30</v>
      </c>
      <c r="K1877" s="51" t="s">
        <v>540</v>
      </c>
      <c r="L1877" s="102" t="s">
        <v>281</v>
      </c>
      <c r="M1877" s="19" t="str">
        <f t="shared" si="45"/>
        <v>May_2018</v>
      </c>
    </row>
    <row r="1878" spans="1:13">
      <c r="A1878" s="45" t="s">
        <v>22</v>
      </c>
      <c r="B1878" s="52" t="s">
        <v>78</v>
      </c>
      <c r="C1878" s="46">
        <v>43224</v>
      </c>
      <c r="D1878" s="47" t="s">
        <v>17</v>
      </c>
      <c r="E1878" s="48">
        <v>0.52083333333333304</v>
      </c>
      <c r="F1878" s="48">
        <v>0.875</v>
      </c>
      <c r="G1878" s="49">
        <v>0</v>
      </c>
      <c r="H1878" s="49">
        <v>7.5000000000000071</v>
      </c>
      <c r="I1878" s="49">
        <v>7.5000000000000071</v>
      </c>
      <c r="J1878" s="53" t="s">
        <v>30</v>
      </c>
      <c r="K1878" s="51" t="s">
        <v>540</v>
      </c>
      <c r="L1878" s="102" t="s">
        <v>281</v>
      </c>
      <c r="M1878" s="19" t="str">
        <f t="shared" si="45"/>
        <v>May_2018</v>
      </c>
    </row>
    <row r="1879" spans="1:13">
      <c r="A1879" s="45" t="s">
        <v>22</v>
      </c>
      <c r="B1879" s="52" t="s">
        <v>254</v>
      </c>
      <c r="C1879" s="46">
        <v>43224</v>
      </c>
      <c r="D1879" s="47" t="s">
        <v>17</v>
      </c>
      <c r="E1879" s="48">
        <v>0.33333333333333298</v>
      </c>
      <c r="F1879" s="48">
        <v>0.60416666666666696</v>
      </c>
      <c r="G1879" s="49">
        <v>0</v>
      </c>
      <c r="H1879" s="49">
        <v>5.500000000000016</v>
      </c>
      <c r="I1879" s="49">
        <v>5.500000000000016</v>
      </c>
      <c r="J1879" s="53" t="s">
        <v>30</v>
      </c>
      <c r="K1879" s="51" t="s">
        <v>540</v>
      </c>
      <c r="L1879" s="102" t="s">
        <v>281</v>
      </c>
      <c r="M1879" s="19" t="str">
        <f t="shared" si="45"/>
        <v>May_2018</v>
      </c>
    </row>
    <row r="1880" spans="1:13">
      <c r="A1880" s="45" t="s">
        <v>22</v>
      </c>
      <c r="B1880" s="52" t="s">
        <v>27</v>
      </c>
      <c r="C1880" s="46">
        <v>43224</v>
      </c>
      <c r="D1880" s="47" t="s">
        <v>17</v>
      </c>
      <c r="E1880" s="48">
        <v>0.52083333333333304</v>
      </c>
      <c r="F1880" s="48">
        <v>0.875</v>
      </c>
      <c r="G1880" s="49">
        <v>0</v>
      </c>
      <c r="H1880" s="49">
        <v>7.5000000000000071</v>
      </c>
      <c r="I1880" s="49">
        <v>7.5000000000000071</v>
      </c>
      <c r="J1880" s="53" t="s">
        <v>30</v>
      </c>
      <c r="K1880" s="51" t="s">
        <v>540</v>
      </c>
      <c r="L1880" s="102" t="s">
        <v>281</v>
      </c>
      <c r="M1880" s="19" t="str">
        <f t="shared" si="45"/>
        <v>May_2018</v>
      </c>
    </row>
    <row r="1881" spans="1:13">
      <c r="A1881" s="45" t="s">
        <v>22</v>
      </c>
      <c r="B1881" s="52" t="s">
        <v>478</v>
      </c>
      <c r="C1881" s="46">
        <v>43224</v>
      </c>
      <c r="D1881" s="47" t="s">
        <v>17</v>
      </c>
      <c r="E1881" s="48">
        <v>0.33333333333333298</v>
      </c>
      <c r="F1881" s="48">
        <v>0.875</v>
      </c>
      <c r="G1881" s="49">
        <v>0</v>
      </c>
      <c r="H1881" s="49">
        <v>12.000000000000007</v>
      </c>
      <c r="I1881" s="49">
        <v>12.000000000000007</v>
      </c>
      <c r="J1881" s="53" t="s">
        <v>30</v>
      </c>
      <c r="K1881" s="51" t="s">
        <v>540</v>
      </c>
      <c r="L1881" s="102" t="s">
        <v>281</v>
      </c>
      <c r="M1881" s="19" t="str">
        <f t="shared" si="45"/>
        <v>May_2018</v>
      </c>
    </row>
    <row r="1882" spans="1:13">
      <c r="A1882" s="45" t="s">
        <v>22</v>
      </c>
      <c r="B1882" s="52" t="s">
        <v>534</v>
      </c>
      <c r="C1882" s="46">
        <v>43224</v>
      </c>
      <c r="D1882" s="47" t="s">
        <v>17</v>
      </c>
      <c r="E1882" s="48">
        <v>0.33333333333333298</v>
      </c>
      <c r="F1882" s="48">
        <v>0.66666666666666696</v>
      </c>
      <c r="G1882" s="49">
        <v>0</v>
      </c>
      <c r="H1882" s="49">
        <v>7.000000000000016</v>
      </c>
      <c r="I1882" s="49">
        <v>7.000000000000016</v>
      </c>
      <c r="J1882" s="53" t="s">
        <v>30</v>
      </c>
      <c r="K1882" s="51" t="s">
        <v>540</v>
      </c>
      <c r="L1882" s="102" t="s">
        <v>281</v>
      </c>
      <c r="M1882" s="19" t="str">
        <f t="shared" si="45"/>
        <v>May_2018</v>
      </c>
    </row>
    <row r="1883" spans="1:13">
      <c r="A1883" s="45" t="s">
        <v>11</v>
      </c>
      <c r="B1883" s="52" t="s">
        <v>12</v>
      </c>
      <c r="C1883" s="54">
        <v>43227</v>
      </c>
      <c r="D1883" s="47" t="s">
        <v>16</v>
      </c>
      <c r="E1883" s="48">
        <v>0.72916666666666696</v>
      </c>
      <c r="F1883" s="48">
        <v>0.89583333333333304</v>
      </c>
      <c r="G1883" s="49">
        <v>8.0000000000000036</v>
      </c>
      <c r="H1883" s="49">
        <v>3.9999999999999822</v>
      </c>
      <c r="I1883" s="49">
        <v>3.9999999999999822</v>
      </c>
      <c r="J1883" s="53" t="s">
        <v>30</v>
      </c>
      <c r="K1883" s="51" t="s">
        <v>541</v>
      </c>
      <c r="L1883" s="102">
        <v>1</v>
      </c>
      <c r="M1883" s="19" t="str">
        <f t="shared" si="45"/>
        <v>May_2018</v>
      </c>
    </row>
    <row r="1884" spans="1:13">
      <c r="A1884" s="45" t="s">
        <v>11</v>
      </c>
      <c r="B1884" s="52" t="s">
        <v>26</v>
      </c>
      <c r="C1884" s="46">
        <v>43227</v>
      </c>
      <c r="D1884" s="47" t="s">
        <v>16</v>
      </c>
      <c r="E1884" s="48">
        <v>0.72916666666666696</v>
      </c>
      <c r="F1884" s="48">
        <v>0.79166666666666696</v>
      </c>
      <c r="G1884" s="49">
        <v>8.0000000000000036</v>
      </c>
      <c r="H1884" s="49">
        <v>1.4999999999999947</v>
      </c>
      <c r="I1884" s="49">
        <v>1.4999999999999947</v>
      </c>
      <c r="J1884" s="53" t="s">
        <v>30</v>
      </c>
      <c r="K1884" s="51" t="s">
        <v>541</v>
      </c>
      <c r="L1884" s="102" t="s">
        <v>281</v>
      </c>
      <c r="M1884" s="19" t="str">
        <f t="shared" si="45"/>
        <v>May_2018</v>
      </c>
    </row>
    <row r="1885" spans="1:13">
      <c r="A1885" s="45" t="s">
        <v>11</v>
      </c>
      <c r="B1885" s="52" t="s">
        <v>149</v>
      </c>
      <c r="C1885" s="46">
        <v>43227</v>
      </c>
      <c r="D1885" s="47" t="s">
        <v>16</v>
      </c>
      <c r="E1885" s="48">
        <v>0.72916666666666696</v>
      </c>
      <c r="F1885" s="48">
        <v>0.89583333333333304</v>
      </c>
      <c r="G1885" s="49">
        <v>8.0000000000000036</v>
      </c>
      <c r="H1885" s="49">
        <v>3.9999999999999822</v>
      </c>
      <c r="I1885" s="49">
        <v>3.9999999999999822</v>
      </c>
      <c r="J1885" s="53" t="s">
        <v>30</v>
      </c>
      <c r="K1885" s="51" t="s">
        <v>541</v>
      </c>
      <c r="L1885" s="102">
        <v>1</v>
      </c>
      <c r="M1885" s="19" t="str">
        <f t="shared" si="45"/>
        <v>May_2018</v>
      </c>
    </row>
    <row r="1886" spans="1:13">
      <c r="A1886" s="45" t="s">
        <v>11</v>
      </c>
      <c r="B1886" s="52" t="s">
        <v>161</v>
      </c>
      <c r="C1886" s="46">
        <v>43227</v>
      </c>
      <c r="D1886" s="47" t="s">
        <v>16</v>
      </c>
      <c r="E1886" s="48">
        <v>0.72916666666666696</v>
      </c>
      <c r="F1886" s="48">
        <v>0.89583333333333304</v>
      </c>
      <c r="G1886" s="49">
        <v>8.0000000000000036</v>
      </c>
      <c r="H1886" s="49">
        <v>3.9999999999999822</v>
      </c>
      <c r="I1886" s="49">
        <v>3.9999999999999822</v>
      </c>
      <c r="J1886" s="53" t="s">
        <v>30</v>
      </c>
      <c r="K1886" s="51" t="s">
        <v>541</v>
      </c>
      <c r="L1886" s="102">
        <v>1</v>
      </c>
      <c r="M1886" s="19" t="str">
        <f t="shared" si="45"/>
        <v>May_2018</v>
      </c>
    </row>
    <row r="1887" spans="1:13">
      <c r="A1887" s="45" t="s">
        <v>22</v>
      </c>
      <c r="B1887" s="52" t="s">
        <v>23</v>
      </c>
      <c r="C1887" s="46">
        <v>43227</v>
      </c>
      <c r="D1887" s="47" t="s">
        <v>16</v>
      </c>
      <c r="E1887" s="48">
        <v>0.35416666666666702</v>
      </c>
      <c r="F1887" s="48">
        <v>0.72916666666666696</v>
      </c>
      <c r="G1887" s="49">
        <v>0</v>
      </c>
      <c r="H1887" s="49">
        <v>7.9999999999999982</v>
      </c>
      <c r="I1887" s="49">
        <v>7.9999999999999982</v>
      </c>
      <c r="J1887" s="53" t="s">
        <v>30</v>
      </c>
      <c r="K1887" s="51" t="s">
        <v>541</v>
      </c>
      <c r="L1887" s="102" t="s">
        <v>281</v>
      </c>
      <c r="M1887" s="19" t="str">
        <f t="shared" si="45"/>
        <v>May_2018</v>
      </c>
    </row>
    <row r="1888" spans="1:13">
      <c r="A1888" s="45" t="s">
        <v>11</v>
      </c>
      <c r="B1888" s="52" t="s">
        <v>542</v>
      </c>
      <c r="C1888" s="46">
        <v>43227</v>
      </c>
      <c r="D1888" s="47" t="s">
        <v>16</v>
      </c>
      <c r="E1888" s="48">
        <v>0.72916666666666696</v>
      </c>
      <c r="F1888" s="48">
        <v>0.89583333333333304</v>
      </c>
      <c r="G1888" s="49">
        <v>8.0000000000000036</v>
      </c>
      <c r="H1888" s="49">
        <v>3.9999999999999822</v>
      </c>
      <c r="I1888" s="49">
        <v>3.9999999999999822</v>
      </c>
      <c r="J1888" s="53" t="s">
        <v>30</v>
      </c>
      <c r="K1888" s="51" t="s">
        <v>541</v>
      </c>
      <c r="L1888" s="102">
        <v>1</v>
      </c>
      <c r="M1888" s="19" t="str">
        <f t="shared" si="45"/>
        <v>May_2018</v>
      </c>
    </row>
    <row r="1889" spans="1:13">
      <c r="A1889" s="45" t="s">
        <v>11</v>
      </c>
      <c r="B1889" s="52" t="s">
        <v>547</v>
      </c>
      <c r="C1889" s="46">
        <v>43227</v>
      </c>
      <c r="D1889" s="47" t="s">
        <v>16</v>
      </c>
      <c r="E1889" s="48">
        <v>0.72916666666666696</v>
      </c>
      <c r="F1889" s="48">
        <v>0.89583333333333304</v>
      </c>
      <c r="G1889" s="49">
        <v>8.0000000000000036</v>
      </c>
      <c r="H1889" s="49">
        <v>3.9999999999999822</v>
      </c>
      <c r="I1889" s="49">
        <v>3.9999999999999822</v>
      </c>
      <c r="J1889" s="53" t="s">
        <v>30</v>
      </c>
      <c r="K1889" s="51" t="s">
        <v>541</v>
      </c>
      <c r="L1889" s="102">
        <v>1</v>
      </c>
      <c r="M1889" s="19" t="str">
        <f t="shared" si="45"/>
        <v>May_2018</v>
      </c>
    </row>
    <row r="1890" spans="1:13">
      <c r="A1890" s="45" t="s">
        <v>11</v>
      </c>
      <c r="B1890" s="52" t="s">
        <v>543</v>
      </c>
      <c r="C1890" s="46">
        <v>43227</v>
      </c>
      <c r="D1890" s="47" t="s">
        <v>16</v>
      </c>
      <c r="E1890" s="48">
        <v>0.72916666666666696</v>
      </c>
      <c r="F1890" s="48">
        <v>0.89583333333333304</v>
      </c>
      <c r="G1890" s="49">
        <v>8.0000000000000036</v>
      </c>
      <c r="H1890" s="49">
        <v>3.9999999999999822</v>
      </c>
      <c r="I1890" s="49">
        <v>3.9999999999999822</v>
      </c>
      <c r="J1890" s="53" t="s">
        <v>30</v>
      </c>
      <c r="K1890" s="51" t="s">
        <v>541</v>
      </c>
      <c r="L1890" s="102">
        <v>1</v>
      </c>
      <c r="M1890" s="19" t="str">
        <f t="shared" si="45"/>
        <v>May_2018</v>
      </c>
    </row>
    <row r="1891" spans="1:13">
      <c r="A1891" s="45" t="s">
        <v>22</v>
      </c>
      <c r="B1891" s="52" t="s">
        <v>23</v>
      </c>
      <c r="C1891" s="46">
        <v>43228</v>
      </c>
      <c r="D1891" s="47" t="s">
        <v>14</v>
      </c>
      <c r="E1891" s="48">
        <v>0.35416666666666702</v>
      </c>
      <c r="F1891" s="48">
        <v>0.72916666666666696</v>
      </c>
      <c r="G1891" s="49">
        <v>0</v>
      </c>
      <c r="H1891" s="49">
        <v>7.9999999999999982</v>
      </c>
      <c r="I1891" s="49">
        <v>7.9999999999999982</v>
      </c>
      <c r="J1891" s="53" t="s">
        <v>30</v>
      </c>
      <c r="K1891" s="51" t="s">
        <v>544</v>
      </c>
      <c r="L1891" s="102" t="s">
        <v>281</v>
      </c>
      <c r="M1891" s="19" t="str">
        <f t="shared" si="45"/>
        <v>May_2018</v>
      </c>
    </row>
    <row r="1892" spans="1:13">
      <c r="A1892" s="45" t="s">
        <v>22</v>
      </c>
      <c r="B1892" s="52" t="s">
        <v>23</v>
      </c>
      <c r="C1892" s="46">
        <v>43229</v>
      </c>
      <c r="D1892" s="47" t="s">
        <v>15</v>
      </c>
      <c r="E1892" s="48">
        <v>0.35416666666666702</v>
      </c>
      <c r="F1892" s="48">
        <v>0.72916666666666696</v>
      </c>
      <c r="G1892" s="49">
        <v>0</v>
      </c>
      <c r="H1892" s="49">
        <v>7.9999999999999982</v>
      </c>
      <c r="I1892" s="49">
        <v>7.9999999999999982</v>
      </c>
      <c r="J1892" s="53" t="s">
        <v>30</v>
      </c>
      <c r="K1892" s="51" t="s">
        <v>545</v>
      </c>
      <c r="L1892" s="102" t="s">
        <v>281</v>
      </c>
      <c r="M1892" s="19" t="str">
        <f t="shared" si="45"/>
        <v>May_2018</v>
      </c>
    </row>
    <row r="1893" spans="1:13">
      <c r="A1893" s="45" t="s">
        <v>22</v>
      </c>
      <c r="B1893" s="52" t="s">
        <v>23</v>
      </c>
      <c r="C1893" s="46">
        <v>43230</v>
      </c>
      <c r="D1893" s="47" t="s">
        <v>25</v>
      </c>
      <c r="E1893" s="48">
        <v>0.35416666666666702</v>
      </c>
      <c r="F1893" s="48">
        <v>0.72916666666666696</v>
      </c>
      <c r="G1893" s="49">
        <v>0</v>
      </c>
      <c r="H1893" s="49">
        <v>7.9999999999999982</v>
      </c>
      <c r="I1893" s="49">
        <v>7.9999999999999982</v>
      </c>
      <c r="J1893" s="53" t="s">
        <v>30</v>
      </c>
      <c r="K1893" s="51" t="s">
        <v>546</v>
      </c>
      <c r="L1893" s="102" t="s">
        <v>281</v>
      </c>
      <c r="M1893" s="19" t="str">
        <f t="shared" si="45"/>
        <v>May_2018</v>
      </c>
    </row>
    <row r="1894" spans="1:13">
      <c r="A1894" s="45" t="s">
        <v>11</v>
      </c>
      <c r="B1894" s="52" t="s">
        <v>12</v>
      </c>
      <c r="C1894" s="54">
        <v>43231</v>
      </c>
      <c r="D1894" s="47" t="s">
        <v>17</v>
      </c>
      <c r="E1894" s="48">
        <v>0.72916666666666696</v>
      </c>
      <c r="F1894" s="48">
        <v>0.95833333333333304</v>
      </c>
      <c r="G1894" s="49">
        <v>8.0000000000000036</v>
      </c>
      <c r="H1894" s="49">
        <v>5.4999999999999822</v>
      </c>
      <c r="I1894" s="49">
        <v>5.4999999999999822</v>
      </c>
      <c r="J1894" s="53" t="s">
        <v>56</v>
      </c>
      <c r="K1894" s="51" t="s">
        <v>549</v>
      </c>
      <c r="L1894" s="102">
        <v>1</v>
      </c>
      <c r="M1894" s="19" t="str">
        <f t="shared" si="45"/>
        <v>May_2018</v>
      </c>
    </row>
    <row r="1895" spans="1:13">
      <c r="A1895" s="45" t="s">
        <v>11</v>
      </c>
      <c r="B1895" s="52" t="s">
        <v>19</v>
      </c>
      <c r="C1895" s="46">
        <v>43231</v>
      </c>
      <c r="D1895" s="47" t="s">
        <v>17</v>
      </c>
      <c r="E1895" s="48">
        <v>0.72916666666666696</v>
      </c>
      <c r="F1895" s="48">
        <v>0.95833333333333304</v>
      </c>
      <c r="G1895" s="49">
        <v>8.0000000000000036</v>
      </c>
      <c r="H1895" s="49">
        <v>5.4999999999999822</v>
      </c>
      <c r="I1895" s="49">
        <v>5.4999999999999822</v>
      </c>
      <c r="J1895" s="53" t="s">
        <v>56</v>
      </c>
      <c r="K1895" s="51" t="s">
        <v>549</v>
      </c>
      <c r="L1895" s="102">
        <v>1</v>
      </c>
      <c r="M1895" s="19" t="str">
        <f t="shared" si="45"/>
        <v>May_2018</v>
      </c>
    </row>
    <row r="1896" spans="1:13">
      <c r="A1896" s="45" t="s">
        <v>11</v>
      </c>
      <c r="B1896" s="52" t="s">
        <v>26</v>
      </c>
      <c r="C1896" s="46">
        <v>43231</v>
      </c>
      <c r="D1896" s="47" t="s">
        <v>17</v>
      </c>
      <c r="E1896" s="48">
        <v>0.72916666666666696</v>
      </c>
      <c r="F1896" s="48">
        <v>0.95833333333333304</v>
      </c>
      <c r="G1896" s="49">
        <v>8.0000000000000036</v>
      </c>
      <c r="H1896" s="49">
        <v>5.4999999999999822</v>
      </c>
      <c r="I1896" s="49">
        <v>5.4999999999999822</v>
      </c>
      <c r="J1896" s="53" t="s">
        <v>56</v>
      </c>
      <c r="K1896" s="51" t="s">
        <v>549</v>
      </c>
      <c r="L1896" s="102">
        <v>1</v>
      </c>
      <c r="M1896" s="19" t="str">
        <f t="shared" si="45"/>
        <v>May_2018</v>
      </c>
    </row>
    <row r="1897" spans="1:13">
      <c r="A1897" s="45" t="s">
        <v>11</v>
      </c>
      <c r="B1897" s="52" t="s">
        <v>149</v>
      </c>
      <c r="C1897" s="46">
        <v>43231</v>
      </c>
      <c r="D1897" s="47" t="s">
        <v>17</v>
      </c>
      <c r="E1897" s="48">
        <v>0.72916666666666696</v>
      </c>
      <c r="F1897" s="48">
        <v>0.95833333333333304</v>
      </c>
      <c r="G1897" s="49">
        <v>8.0000000000000036</v>
      </c>
      <c r="H1897" s="49">
        <v>5.4999999999999822</v>
      </c>
      <c r="I1897" s="49">
        <v>5.4999999999999822</v>
      </c>
      <c r="J1897" s="53" t="s">
        <v>56</v>
      </c>
      <c r="K1897" s="51" t="s">
        <v>549</v>
      </c>
      <c r="L1897" s="102">
        <v>1</v>
      </c>
      <c r="M1897" s="19" t="str">
        <f t="shared" si="45"/>
        <v>May_2018</v>
      </c>
    </row>
    <row r="1898" spans="1:13">
      <c r="A1898" s="45" t="s">
        <v>22</v>
      </c>
      <c r="B1898" s="52" t="s">
        <v>23</v>
      </c>
      <c r="C1898" s="46">
        <v>43231</v>
      </c>
      <c r="D1898" s="47" t="s">
        <v>17</v>
      </c>
      <c r="E1898" s="48">
        <v>0.35416666666666702</v>
      </c>
      <c r="F1898" s="48">
        <v>0.95833333333333304</v>
      </c>
      <c r="G1898" s="49">
        <v>0</v>
      </c>
      <c r="H1898" s="49">
        <v>13.499999999999986</v>
      </c>
      <c r="I1898" s="49">
        <v>13.499999999999986</v>
      </c>
      <c r="J1898" s="53" t="s">
        <v>56</v>
      </c>
      <c r="K1898" s="51" t="s">
        <v>549</v>
      </c>
      <c r="L1898" s="102" t="s">
        <v>281</v>
      </c>
      <c r="M1898" s="19" t="str">
        <f t="shared" si="45"/>
        <v>May_2018</v>
      </c>
    </row>
    <row r="1899" spans="1:13">
      <c r="A1899" s="45" t="s">
        <v>11</v>
      </c>
      <c r="B1899" s="52" t="s">
        <v>542</v>
      </c>
      <c r="C1899" s="46">
        <v>43231</v>
      </c>
      <c r="D1899" s="47" t="s">
        <v>17</v>
      </c>
      <c r="E1899" s="48">
        <v>0.72916666666666696</v>
      </c>
      <c r="F1899" s="48">
        <v>0.95833333333333304</v>
      </c>
      <c r="G1899" s="49">
        <v>8.0000000000000036</v>
      </c>
      <c r="H1899" s="49">
        <v>5.4999999999999822</v>
      </c>
      <c r="I1899" s="49">
        <v>5.4999999999999822</v>
      </c>
      <c r="J1899" s="53" t="s">
        <v>56</v>
      </c>
      <c r="K1899" s="51" t="s">
        <v>549</v>
      </c>
      <c r="L1899" s="102">
        <v>1</v>
      </c>
      <c r="M1899" s="19" t="str">
        <f t="shared" si="45"/>
        <v>May_2018</v>
      </c>
    </row>
    <row r="1900" spans="1:13">
      <c r="A1900" s="45" t="s">
        <v>11</v>
      </c>
      <c r="B1900" s="52" t="s">
        <v>547</v>
      </c>
      <c r="C1900" s="46">
        <v>43231</v>
      </c>
      <c r="D1900" s="47" t="s">
        <v>17</v>
      </c>
      <c r="E1900" s="48">
        <v>0.72916666666666696</v>
      </c>
      <c r="F1900" s="48">
        <v>0.95833333333333304</v>
      </c>
      <c r="G1900" s="49">
        <v>8.0000000000000036</v>
      </c>
      <c r="H1900" s="49">
        <v>5.4999999999999822</v>
      </c>
      <c r="I1900" s="49">
        <v>5.4999999999999822</v>
      </c>
      <c r="J1900" s="53" t="s">
        <v>56</v>
      </c>
      <c r="K1900" s="51" t="s">
        <v>549</v>
      </c>
      <c r="L1900" s="102">
        <v>1</v>
      </c>
      <c r="M1900" s="19" t="str">
        <f t="shared" si="45"/>
        <v>May_2018</v>
      </c>
    </row>
    <row r="1901" spans="1:13">
      <c r="A1901" s="45" t="s">
        <v>11</v>
      </c>
      <c r="B1901" s="52" t="s">
        <v>543</v>
      </c>
      <c r="C1901" s="46">
        <v>43231</v>
      </c>
      <c r="D1901" s="47" t="s">
        <v>17</v>
      </c>
      <c r="E1901" s="48">
        <v>0.72916666666666696</v>
      </c>
      <c r="F1901" s="48">
        <v>0.95833333333333304</v>
      </c>
      <c r="G1901" s="49">
        <v>8.0000000000000036</v>
      </c>
      <c r="H1901" s="49">
        <v>5.4999999999999822</v>
      </c>
      <c r="I1901" s="49">
        <v>5.4999999999999822</v>
      </c>
      <c r="J1901" s="53" t="s">
        <v>56</v>
      </c>
      <c r="K1901" s="51" t="s">
        <v>549</v>
      </c>
      <c r="L1901" s="102">
        <v>1</v>
      </c>
      <c r="M1901" s="19" t="str">
        <f t="shared" si="45"/>
        <v>May_2018</v>
      </c>
    </row>
    <row r="1902" spans="1:13">
      <c r="A1902" s="45" t="s">
        <v>11</v>
      </c>
      <c r="B1902" s="52" t="s">
        <v>12</v>
      </c>
      <c r="C1902" s="54">
        <v>43234</v>
      </c>
      <c r="D1902" s="47" t="s">
        <v>16</v>
      </c>
      <c r="E1902" s="48">
        <v>0.70833333333333304</v>
      </c>
      <c r="F1902" s="48">
        <v>0.875</v>
      </c>
      <c r="G1902" s="49">
        <v>8.0000000000000036</v>
      </c>
      <c r="H1902" s="49">
        <v>4.0000000000000036</v>
      </c>
      <c r="I1902" s="49">
        <v>4.0000000000000036</v>
      </c>
      <c r="J1902" s="53" t="s">
        <v>30</v>
      </c>
      <c r="K1902" s="51" t="s">
        <v>550</v>
      </c>
      <c r="L1902" s="102">
        <v>1</v>
      </c>
      <c r="M1902" s="19" t="str">
        <f t="shared" si="45"/>
        <v>May_2018</v>
      </c>
    </row>
    <row r="1903" spans="1:13">
      <c r="A1903" s="45" t="s">
        <v>11</v>
      </c>
      <c r="B1903" s="52" t="s">
        <v>19</v>
      </c>
      <c r="C1903" s="46">
        <v>43234</v>
      </c>
      <c r="D1903" s="47" t="s">
        <v>16</v>
      </c>
      <c r="E1903" s="48">
        <v>0.66666666666666696</v>
      </c>
      <c r="F1903" s="48">
        <v>0.79166666666666696</v>
      </c>
      <c r="G1903" s="49">
        <v>8.0000000000000036</v>
      </c>
      <c r="H1903" s="49">
        <v>2.9999999999999947</v>
      </c>
      <c r="I1903" s="49">
        <v>2.9999999999999947</v>
      </c>
      <c r="J1903" s="53" t="s">
        <v>30</v>
      </c>
      <c r="K1903" s="51" t="s">
        <v>550</v>
      </c>
      <c r="L1903" s="102">
        <v>1</v>
      </c>
      <c r="M1903" s="19" t="str">
        <f t="shared" si="45"/>
        <v>May_2018</v>
      </c>
    </row>
    <row r="1904" spans="1:13">
      <c r="A1904" s="45" t="s">
        <v>11</v>
      </c>
      <c r="B1904" s="52" t="s">
        <v>149</v>
      </c>
      <c r="C1904" s="46">
        <v>43234</v>
      </c>
      <c r="D1904" s="47" t="s">
        <v>16</v>
      </c>
      <c r="E1904" s="48">
        <v>0.70833333333333304</v>
      </c>
      <c r="F1904" s="48">
        <v>0.875</v>
      </c>
      <c r="G1904" s="49">
        <v>8.0000000000000036</v>
      </c>
      <c r="H1904" s="49">
        <v>4.0000000000000036</v>
      </c>
      <c r="I1904" s="49">
        <v>4.0000000000000036</v>
      </c>
      <c r="J1904" s="53" t="s">
        <v>30</v>
      </c>
      <c r="K1904" s="51" t="s">
        <v>550</v>
      </c>
      <c r="L1904" s="102">
        <v>1</v>
      </c>
      <c r="M1904" s="19" t="str">
        <f t="shared" si="45"/>
        <v>May_2018</v>
      </c>
    </row>
    <row r="1905" spans="1:13">
      <c r="A1905" s="45" t="s">
        <v>11</v>
      </c>
      <c r="B1905" s="52" t="s">
        <v>161</v>
      </c>
      <c r="C1905" s="46">
        <v>43234</v>
      </c>
      <c r="D1905" s="47" t="s">
        <v>16</v>
      </c>
      <c r="E1905" s="48">
        <v>0.70833333333333304</v>
      </c>
      <c r="F1905" s="48">
        <v>0.875</v>
      </c>
      <c r="G1905" s="49">
        <v>8.0000000000000036</v>
      </c>
      <c r="H1905" s="49">
        <v>4.0000000000000036</v>
      </c>
      <c r="I1905" s="49">
        <v>4.0000000000000036</v>
      </c>
      <c r="J1905" s="53" t="s">
        <v>30</v>
      </c>
      <c r="K1905" s="51" t="s">
        <v>550</v>
      </c>
      <c r="L1905" s="102">
        <v>1</v>
      </c>
      <c r="M1905" s="19" t="str">
        <f t="shared" si="45"/>
        <v>May_2018</v>
      </c>
    </row>
    <row r="1906" spans="1:13">
      <c r="A1906" s="45" t="s">
        <v>22</v>
      </c>
      <c r="B1906" s="52" t="s">
        <v>23</v>
      </c>
      <c r="C1906" s="46">
        <v>43234</v>
      </c>
      <c r="D1906" s="47" t="s">
        <v>16</v>
      </c>
      <c r="E1906" s="48">
        <v>0.33333333333333298</v>
      </c>
      <c r="F1906" s="48">
        <v>0.875</v>
      </c>
      <c r="G1906" s="49">
        <v>0</v>
      </c>
      <c r="H1906" s="49">
        <v>12.000000000000007</v>
      </c>
      <c r="I1906" s="49">
        <v>12.000000000000007</v>
      </c>
      <c r="J1906" s="53" t="s">
        <v>30</v>
      </c>
      <c r="K1906" s="51" t="s">
        <v>550</v>
      </c>
      <c r="L1906" s="102" t="s">
        <v>281</v>
      </c>
      <c r="M1906" s="19" t="str">
        <f t="shared" si="45"/>
        <v>May_2018</v>
      </c>
    </row>
    <row r="1907" spans="1:13">
      <c r="A1907" s="45" t="s">
        <v>11</v>
      </c>
      <c r="B1907" s="52" t="s">
        <v>542</v>
      </c>
      <c r="C1907" s="46">
        <v>43234</v>
      </c>
      <c r="D1907" s="47" t="s">
        <v>16</v>
      </c>
      <c r="E1907" s="48">
        <v>0.70833333333333304</v>
      </c>
      <c r="F1907" s="48">
        <v>0.875</v>
      </c>
      <c r="G1907" s="49">
        <v>8.0000000000000036</v>
      </c>
      <c r="H1907" s="49">
        <v>4.0000000000000036</v>
      </c>
      <c r="I1907" s="49">
        <v>4.0000000000000036</v>
      </c>
      <c r="J1907" s="53" t="s">
        <v>30</v>
      </c>
      <c r="K1907" s="51" t="s">
        <v>550</v>
      </c>
      <c r="L1907" s="102">
        <v>1</v>
      </c>
      <c r="M1907" s="19" t="str">
        <f t="shared" si="45"/>
        <v>May_2018</v>
      </c>
    </row>
    <row r="1908" spans="1:13">
      <c r="A1908" s="45" t="s">
        <v>11</v>
      </c>
      <c r="B1908" s="52" t="s">
        <v>543</v>
      </c>
      <c r="C1908" s="46">
        <v>43234</v>
      </c>
      <c r="D1908" s="47" t="s">
        <v>16</v>
      </c>
      <c r="E1908" s="48">
        <v>0.70833333333333304</v>
      </c>
      <c r="F1908" s="48">
        <v>0.875</v>
      </c>
      <c r="G1908" s="49">
        <v>8.0000000000000036</v>
      </c>
      <c r="H1908" s="49">
        <v>4.0000000000000036</v>
      </c>
      <c r="I1908" s="49">
        <v>4.0000000000000036</v>
      </c>
      <c r="J1908" s="53" t="s">
        <v>30</v>
      </c>
      <c r="K1908" s="51" t="s">
        <v>550</v>
      </c>
      <c r="L1908" s="102">
        <v>1</v>
      </c>
      <c r="M1908" s="19" t="str">
        <f t="shared" si="45"/>
        <v>May_2018</v>
      </c>
    </row>
    <row r="1909" spans="1:13">
      <c r="A1909" s="45" t="s">
        <v>11</v>
      </c>
      <c r="B1909" s="52" t="s">
        <v>12</v>
      </c>
      <c r="C1909" s="54">
        <v>43235</v>
      </c>
      <c r="D1909" s="47" t="s">
        <v>14</v>
      </c>
      <c r="E1909" s="48">
        <v>0.75</v>
      </c>
      <c r="F1909" s="48">
        <v>0.875</v>
      </c>
      <c r="G1909" s="49">
        <v>8.0000000000000036</v>
      </c>
      <c r="H1909" s="49">
        <v>2.9999999999999964</v>
      </c>
      <c r="I1909" s="49">
        <v>2.9999999999999964</v>
      </c>
      <c r="J1909" s="53" t="s">
        <v>30</v>
      </c>
      <c r="K1909" s="51" t="s">
        <v>551</v>
      </c>
      <c r="L1909" s="102">
        <v>1</v>
      </c>
      <c r="M1909" s="19" t="str">
        <f t="shared" si="45"/>
        <v>May_2018</v>
      </c>
    </row>
    <row r="1910" spans="1:13">
      <c r="A1910" s="45" t="s">
        <v>11</v>
      </c>
      <c r="B1910" s="52" t="s">
        <v>19</v>
      </c>
      <c r="C1910" s="46">
        <v>43235</v>
      </c>
      <c r="D1910" s="47" t="s">
        <v>14</v>
      </c>
      <c r="E1910" s="48">
        <v>0.70833333333333304</v>
      </c>
      <c r="F1910" s="48">
        <v>0.875</v>
      </c>
      <c r="G1910" s="49">
        <v>8.0000000000000036</v>
      </c>
      <c r="H1910" s="49">
        <v>4.0000000000000036</v>
      </c>
      <c r="I1910" s="49">
        <v>4.0000000000000036</v>
      </c>
      <c r="J1910" s="53" t="s">
        <v>30</v>
      </c>
      <c r="K1910" s="51" t="s">
        <v>551</v>
      </c>
      <c r="L1910" s="102">
        <v>1</v>
      </c>
      <c r="M1910" s="19" t="str">
        <f t="shared" si="45"/>
        <v>May_2018</v>
      </c>
    </row>
    <row r="1911" spans="1:13">
      <c r="A1911" s="45" t="s">
        <v>11</v>
      </c>
      <c r="B1911" s="52" t="s">
        <v>26</v>
      </c>
      <c r="C1911" s="46">
        <v>43235</v>
      </c>
      <c r="D1911" s="47" t="s">
        <v>14</v>
      </c>
      <c r="E1911" s="48">
        <v>0.70833333333333304</v>
      </c>
      <c r="F1911" s="48">
        <v>0.875</v>
      </c>
      <c r="G1911" s="49">
        <v>8.0000000000000036</v>
      </c>
      <c r="H1911" s="49">
        <v>4.0000000000000036</v>
      </c>
      <c r="I1911" s="49">
        <v>4.0000000000000036</v>
      </c>
      <c r="J1911" s="53" t="s">
        <v>30</v>
      </c>
      <c r="K1911" s="51" t="s">
        <v>551</v>
      </c>
      <c r="L1911" s="102">
        <v>1</v>
      </c>
      <c r="M1911" s="19" t="str">
        <f t="shared" si="45"/>
        <v>May_2018</v>
      </c>
    </row>
    <row r="1912" spans="1:13">
      <c r="A1912" s="45" t="s">
        <v>11</v>
      </c>
      <c r="B1912" s="52" t="s">
        <v>149</v>
      </c>
      <c r="C1912" s="46">
        <v>43235</v>
      </c>
      <c r="D1912" s="47" t="s">
        <v>14</v>
      </c>
      <c r="E1912" s="48">
        <v>0.70833333333333304</v>
      </c>
      <c r="F1912" s="48">
        <v>0.875</v>
      </c>
      <c r="G1912" s="49">
        <v>8.0000000000000036</v>
      </c>
      <c r="H1912" s="49">
        <v>4.0000000000000036</v>
      </c>
      <c r="I1912" s="49">
        <v>4.0000000000000036</v>
      </c>
      <c r="J1912" s="53" t="s">
        <v>30</v>
      </c>
      <c r="K1912" s="51" t="s">
        <v>551</v>
      </c>
      <c r="L1912" s="102">
        <v>1</v>
      </c>
      <c r="M1912" s="19" t="str">
        <f t="shared" si="45"/>
        <v>May_2018</v>
      </c>
    </row>
    <row r="1913" spans="1:13">
      <c r="A1913" s="45" t="s">
        <v>11</v>
      </c>
      <c r="B1913" s="52" t="s">
        <v>161</v>
      </c>
      <c r="C1913" s="46">
        <v>43235</v>
      </c>
      <c r="D1913" s="47" t="s">
        <v>14</v>
      </c>
      <c r="E1913" s="48">
        <v>0.64583333333333304</v>
      </c>
      <c r="F1913" s="48">
        <v>0.79166666666666696</v>
      </c>
      <c r="G1913" s="49">
        <v>8.0000000000000036</v>
      </c>
      <c r="H1913" s="49">
        <v>3.5000000000000107</v>
      </c>
      <c r="I1913" s="49">
        <v>3.5000000000000107</v>
      </c>
      <c r="J1913" s="53" t="s">
        <v>30</v>
      </c>
      <c r="K1913" s="51" t="s">
        <v>551</v>
      </c>
      <c r="L1913" s="102">
        <v>1</v>
      </c>
      <c r="M1913" s="19" t="str">
        <f t="shared" si="45"/>
        <v>May_2018</v>
      </c>
    </row>
    <row r="1914" spans="1:13">
      <c r="A1914" s="45" t="s">
        <v>22</v>
      </c>
      <c r="B1914" s="52" t="s">
        <v>23</v>
      </c>
      <c r="C1914" s="46">
        <v>43235</v>
      </c>
      <c r="D1914" s="47" t="s">
        <v>14</v>
      </c>
      <c r="E1914" s="48">
        <v>0.33333333333333298</v>
      </c>
      <c r="F1914" s="48">
        <v>0.875</v>
      </c>
      <c r="G1914" s="49">
        <v>0</v>
      </c>
      <c r="H1914" s="49">
        <v>12.000000000000007</v>
      </c>
      <c r="I1914" s="49">
        <v>12.000000000000007</v>
      </c>
      <c r="J1914" s="53" t="s">
        <v>30</v>
      </c>
      <c r="K1914" s="51" t="s">
        <v>551</v>
      </c>
      <c r="L1914" s="102" t="s">
        <v>281</v>
      </c>
      <c r="M1914" s="19" t="str">
        <f t="shared" si="45"/>
        <v>May_2018</v>
      </c>
    </row>
    <row r="1915" spans="1:13">
      <c r="A1915" s="45" t="s">
        <v>11</v>
      </c>
      <c r="B1915" s="52" t="s">
        <v>542</v>
      </c>
      <c r="C1915" s="46">
        <v>43235</v>
      </c>
      <c r="D1915" s="47" t="s">
        <v>14</v>
      </c>
      <c r="E1915" s="48">
        <v>0.70833333333333304</v>
      </c>
      <c r="F1915" s="48">
        <v>0.875</v>
      </c>
      <c r="G1915" s="49">
        <v>8.0000000000000036</v>
      </c>
      <c r="H1915" s="49">
        <v>4.0000000000000036</v>
      </c>
      <c r="I1915" s="49">
        <v>4.0000000000000036</v>
      </c>
      <c r="J1915" s="53" t="s">
        <v>30</v>
      </c>
      <c r="K1915" s="51" t="s">
        <v>551</v>
      </c>
      <c r="L1915" s="102">
        <v>1</v>
      </c>
      <c r="M1915" s="19" t="str">
        <f t="shared" si="45"/>
        <v>May_2018</v>
      </c>
    </row>
    <row r="1916" spans="1:13">
      <c r="A1916" s="45" t="s">
        <v>11</v>
      </c>
      <c r="B1916" s="52" t="s">
        <v>543</v>
      </c>
      <c r="C1916" s="46">
        <v>43235</v>
      </c>
      <c r="D1916" s="47" t="s">
        <v>14</v>
      </c>
      <c r="E1916" s="48">
        <v>0.70833333333333304</v>
      </c>
      <c r="F1916" s="48">
        <v>0.875</v>
      </c>
      <c r="G1916" s="49">
        <v>8.0000000000000036</v>
      </c>
      <c r="H1916" s="49">
        <v>4.0000000000000036</v>
      </c>
      <c r="I1916" s="49">
        <v>4.0000000000000036</v>
      </c>
      <c r="J1916" s="53" t="s">
        <v>30</v>
      </c>
      <c r="K1916" s="51" t="s">
        <v>551</v>
      </c>
      <c r="L1916" s="102">
        <v>1</v>
      </c>
      <c r="M1916" s="19" t="str">
        <f t="shared" ref="M1916:M1969" si="46">IF($C1916="","",TEXT(DATE(YEAR($C1916),MONTH($C1916),DAY($C1916)),"MMM")&amp;"_"&amp;YEAR($C1916))</f>
        <v>May_2018</v>
      </c>
    </row>
    <row r="1917" spans="1:13">
      <c r="A1917" s="45" t="s">
        <v>22</v>
      </c>
      <c r="B1917" s="52" t="s">
        <v>23</v>
      </c>
      <c r="C1917" s="46">
        <v>43236</v>
      </c>
      <c r="D1917" s="47" t="s">
        <v>15</v>
      </c>
      <c r="E1917" s="48">
        <v>0.35416666666666702</v>
      </c>
      <c r="F1917" s="48">
        <v>0.72916666666666696</v>
      </c>
      <c r="G1917" s="49">
        <v>0</v>
      </c>
      <c r="H1917" s="49">
        <v>7.9999999999999982</v>
      </c>
      <c r="I1917" s="49">
        <v>7.9999999999999982</v>
      </c>
      <c r="J1917" s="53" t="s">
        <v>30</v>
      </c>
      <c r="K1917" s="51" t="s">
        <v>552</v>
      </c>
      <c r="L1917" s="102" t="s">
        <v>281</v>
      </c>
      <c r="M1917" s="19" t="str">
        <f t="shared" si="46"/>
        <v>May_2018</v>
      </c>
    </row>
    <row r="1918" spans="1:13">
      <c r="A1918" s="45" t="s">
        <v>11</v>
      </c>
      <c r="B1918" s="52" t="s">
        <v>161</v>
      </c>
      <c r="C1918" s="46">
        <v>43237</v>
      </c>
      <c r="D1918" s="47" t="s">
        <v>25</v>
      </c>
      <c r="E1918" s="48">
        <v>0.72916666666666696</v>
      </c>
      <c r="F1918" s="48">
        <v>0.89583333333333304</v>
      </c>
      <c r="G1918" s="49">
        <v>8.0000000000000036</v>
      </c>
      <c r="H1918" s="49">
        <v>3.9999999999999822</v>
      </c>
      <c r="I1918" s="49">
        <v>3.9999999999999822</v>
      </c>
      <c r="J1918" s="53" t="s">
        <v>30</v>
      </c>
      <c r="K1918" s="51" t="s">
        <v>553</v>
      </c>
      <c r="L1918" s="102">
        <v>1</v>
      </c>
      <c r="M1918" s="19" t="str">
        <f t="shared" si="46"/>
        <v>May_2018</v>
      </c>
    </row>
    <row r="1919" spans="1:13">
      <c r="A1919" s="45" t="s">
        <v>22</v>
      </c>
      <c r="B1919" s="52" t="s">
        <v>23</v>
      </c>
      <c r="C1919" s="46">
        <v>43237</v>
      </c>
      <c r="D1919" s="47" t="s">
        <v>25</v>
      </c>
      <c r="E1919" s="48">
        <v>0.35416666666666702</v>
      </c>
      <c r="F1919" s="48">
        <v>0.72916666666666696</v>
      </c>
      <c r="G1919" s="49">
        <v>0</v>
      </c>
      <c r="H1919" s="49">
        <v>7.9999999999999982</v>
      </c>
      <c r="I1919" s="49">
        <v>7.9999999999999982</v>
      </c>
      <c r="J1919" s="53" t="s">
        <v>30</v>
      </c>
      <c r="K1919" s="51" t="s">
        <v>554</v>
      </c>
      <c r="L1919" s="102" t="s">
        <v>281</v>
      </c>
      <c r="M1919" s="19" t="str">
        <f t="shared" si="46"/>
        <v>May_2018</v>
      </c>
    </row>
    <row r="1920" spans="1:13">
      <c r="A1920" s="45" t="s">
        <v>22</v>
      </c>
      <c r="B1920" s="52" t="s">
        <v>23</v>
      </c>
      <c r="C1920" s="46">
        <v>43238</v>
      </c>
      <c r="D1920" s="47" t="s">
        <v>17</v>
      </c>
      <c r="E1920" s="48">
        <v>0.35416666666666702</v>
      </c>
      <c r="F1920" s="48">
        <v>0.72916666666666696</v>
      </c>
      <c r="G1920" s="49">
        <v>0</v>
      </c>
      <c r="H1920" s="49">
        <v>7.9999999999999982</v>
      </c>
      <c r="I1920" s="49">
        <v>7.9999999999999982</v>
      </c>
      <c r="J1920" s="53" t="s">
        <v>30</v>
      </c>
      <c r="K1920" s="51" t="s">
        <v>555</v>
      </c>
      <c r="L1920" s="102" t="s">
        <v>281</v>
      </c>
      <c r="M1920" s="19" t="str">
        <f t="shared" si="46"/>
        <v>May_2018</v>
      </c>
    </row>
    <row r="1921" spans="1:13">
      <c r="A1921" s="45" t="s">
        <v>11</v>
      </c>
      <c r="B1921" s="52" t="s">
        <v>12</v>
      </c>
      <c r="C1921" s="54">
        <v>43241</v>
      </c>
      <c r="D1921" s="47" t="s">
        <v>16</v>
      </c>
      <c r="E1921" s="48">
        <v>0.72916666666666696</v>
      </c>
      <c r="F1921" s="48">
        <v>0.85416666666666696</v>
      </c>
      <c r="G1921" s="49">
        <v>8.0000000000000036</v>
      </c>
      <c r="H1921" s="49">
        <v>2.9999999999999947</v>
      </c>
      <c r="I1921" s="49">
        <v>2.9999999999999947</v>
      </c>
      <c r="J1921" s="53" t="s">
        <v>30</v>
      </c>
      <c r="K1921" s="51" t="s">
        <v>556</v>
      </c>
      <c r="L1921" s="102">
        <v>1</v>
      </c>
      <c r="M1921" s="19" t="str">
        <f t="shared" si="46"/>
        <v>May_2018</v>
      </c>
    </row>
    <row r="1922" spans="1:13">
      <c r="A1922" s="45" t="s">
        <v>11</v>
      </c>
      <c r="B1922" s="52" t="s">
        <v>19</v>
      </c>
      <c r="C1922" s="46">
        <v>43241</v>
      </c>
      <c r="D1922" s="47" t="s">
        <v>16</v>
      </c>
      <c r="E1922" s="48">
        <v>0.72916666666666696</v>
      </c>
      <c r="F1922" s="48">
        <v>0.85416666666666696</v>
      </c>
      <c r="G1922" s="49">
        <v>8.0000000000000036</v>
      </c>
      <c r="H1922" s="49">
        <v>2.9999999999999947</v>
      </c>
      <c r="I1922" s="49">
        <v>2.9999999999999947</v>
      </c>
      <c r="J1922" s="53" t="s">
        <v>30</v>
      </c>
      <c r="K1922" s="51" t="s">
        <v>556</v>
      </c>
      <c r="L1922" s="102">
        <v>1</v>
      </c>
      <c r="M1922" s="19" t="str">
        <f t="shared" si="46"/>
        <v>May_2018</v>
      </c>
    </row>
    <row r="1923" spans="1:13">
      <c r="A1923" s="45" t="s">
        <v>11</v>
      </c>
      <c r="B1923" s="52" t="s">
        <v>26</v>
      </c>
      <c r="C1923" s="46">
        <v>43241</v>
      </c>
      <c r="D1923" s="47" t="s">
        <v>16</v>
      </c>
      <c r="E1923" s="48">
        <v>0.72916666666666696</v>
      </c>
      <c r="F1923" s="48">
        <v>0.85416666666666696</v>
      </c>
      <c r="G1923" s="49">
        <v>8.0000000000000036</v>
      </c>
      <c r="H1923" s="49">
        <v>2.9999999999999947</v>
      </c>
      <c r="I1923" s="49">
        <v>2.9999999999999947</v>
      </c>
      <c r="J1923" s="53" t="s">
        <v>30</v>
      </c>
      <c r="K1923" s="51" t="s">
        <v>556</v>
      </c>
      <c r="L1923" s="102">
        <v>1</v>
      </c>
      <c r="M1923" s="19" t="str">
        <f t="shared" si="46"/>
        <v>May_2018</v>
      </c>
    </row>
    <row r="1924" spans="1:13">
      <c r="A1924" s="45" t="s">
        <v>11</v>
      </c>
      <c r="B1924" s="52" t="s">
        <v>149</v>
      </c>
      <c r="C1924" s="46">
        <v>43241</v>
      </c>
      <c r="D1924" s="47" t="s">
        <v>16</v>
      </c>
      <c r="E1924" s="48">
        <v>0.72916666666666696</v>
      </c>
      <c r="F1924" s="48">
        <v>0.85416666666666696</v>
      </c>
      <c r="G1924" s="49">
        <v>8.0000000000000036</v>
      </c>
      <c r="H1924" s="49">
        <v>2.9999999999999947</v>
      </c>
      <c r="I1924" s="49">
        <v>2.9999999999999947</v>
      </c>
      <c r="J1924" s="53" t="s">
        <v>30</v>
      </c>
      <c r="K1924" s="51" t="s">
        <v>556</v>
      </c>
      <c r="L1924" s="102">
        <v>1</v>
      </c>
      <c r="M1924" s="19" t="str">
        <f t="shared" si="46"/>
        <v>May_2018</v>
      </c>
    </row>
    <row r="1925" spans="1:13">
      <c r="A1925" s="45" t="s">
        <v>11</v>
      </c>
      <c r="B1925" s="52" t="s">
        <v>161</v>
      </c>
      <c r="C1925" s="46">
        <v>43241</v>
      </c>
      <c r="D1925" s="47" t="s">
        <v>16</v>
      </c>
      <c r="E1925" s="48">
        <v>0.72916666666666696</v>
      </c>
      <c r="F1925" s="48">
        <v>0.85416666666666696</v>
      </c>
      <c r="G1925" s="49">
        <v>8.0000000000000036</v>
      </c>
      <c r="H1925" s="49">
        <v>2.9999999999999947</v>
      </c>
      <c r="I1925" s="49">
        <v>2.9999999999999947</v>
      </c>
      <c r="J1925" s="53" t="s">
        <v>30</v>
      </c>
      <c r="K1925" s="51" t="s">
        <v>556</v>
      </c>
      <c r="L1925" s="102">
        <v>1</v>
      </c>
      <c r="M1925" s="19" t="str">
        <f t="shared" si="46"/>
        <v>May_2018</v>
      </c>
    </row>
    <row r="1926" spans="1:13">
      <c r="A1926" s="45" t="s">
        <v>22</v>
      </c>
      <c r="B1926" s="52" t="s">
        <v>23</v>
      </c>
      <c r="C1926" s="46">
        <v>43241</v>
      </c>
      <c r="D1926" s="47" t="s">
        <v>16</v>
      </c>
      <c r="E1926" s="48">
        <v>0.35416666666666702</v>
      </c>
      <c r="F1926" s="48">
        <v>0.85416666666666696</v>
      </c>
      <c r="G1926" s="49">
        <v>0</v>
      </c>
      <c r="H1926" s="49">
        <v>10.999999999999998</v>
      </c>
      <c r="I1926" s="49">
        <v>10.999999999999998</v>
      </c>
      <c r="J1926" s="53" t="s">
        <v>30</v>
      </c>
      <c r="K1926" s="51" t="s">
        <v>556</v>
      </c>
      <c r="L1926" s="102" t="s">
        <v>281</v>
      </c>
      <c r="M1926" s="19" t="str">
        <f t="shared" si="46"/>
        <v>May_2018</v>
      </c>
    </row>
    <row r="1927" spans="1:13">
      <c r="A1927" s="45" t="s">
        <v>11</v>
      </c>
      <c r="B1927" s="52" t="s">
        <v>542</v>
      </c>
      <c r="C1927" s="46">
        <v>43241</v>
      </c>
      <c r="D1927" s="47" t="s">
        <v>16</v>
      </c>
      <c r="E1927" s="48">
        <v>0.72916666666666696</v>
      </c>
      <c r="F1927" s="48">
        <v>0.85416666666666696</v>
      </c>
      <c r="G1927" s="49">
        <v>8.0000000000000036</v>
      </c>
      <c r="H1927" s="49">
        <v>2.9999999999999947</v>
      </c>
      <c r="I1927" s="49">
        <v>2.9999999999999947</v>
      </c>
      <c r="J1927" s="53" t="s">
        <v>30</v>
      </c>
      <c r="K1927" s="51" t="s">
        <v>556</v>
      </c>
      <c r="L1927" s="102">
        <v>1</v>
      </c>
      <c r="M1927" s="19" t="str">
        <f t="shared" si="46"/>
        <v>May_2018</v>
      </c>
    </row>
    <row r="1928" spans="1:13">
      <c r="A1928" s="45" t="s">
        <v>11</v>
      </c>
      <c r="B1928" s="52" t="s">
        <v>547</v>
      </c>
      <c r="C1928" s="46">
        <v>43241</v>
      </c>
      <c r="D1928" s="47" t="s">
        <v>16</v>
      </c>
      <c r="E1928" s="48">
        <v>0.72916666666666696</v>
      </c>
      <c r="F1928" s="48">
        <v>0.85416666666666696</v>
      </c>
      <c r="G1928" s="49">
        <v>8.0000000000000036</v>
      </c>
      <c r="H1928" s="49">
        <v>2.9999999999999947</v>
      </c>
      <c r="I1928" s="49">
        <v>2.9999999999999947</v>
      </c>
      <c r="J1928" s="53" t="s">
        <v>30</v>
      </c>
      <c r="K1928" s="51" t="s">
        <v>556</v>
      </c>
      <c r="L1928" s="102">
        <v>1</v>
      </c>
      <c r="M1928" s="19" t="str">
        <f t="shared" si="46"/>
        <v>May_2018</v>
      </c>
    </row>
    <row r="1929" spans="1:13">
      <c r="A1929" s="45" t="s">
        <v>22</v>
      </c>
      <c r="B1929" s="52" t="s">
        <v>23</v>
      </c>
      <c r="C1929" s="46">
        <v>43242</v>
      </c>
      <c r="D1929" s="47" t="s">
        <v>14</v>
      </c>
      <c r="E1929" s="48">
        <v>0.35416666666666702</v>
      </c>
      <c r="F1929" s="48">
        <v>0.72916666666666696</v>
      </c>
      <c r="G1929" s="49">
        <v>0</v>
      </c>
      <c r="H1929" s="49">
        <v>7.9999999999999982</v>
      </c>
      <c r="I1929" s="49">
        <v>7.9999999999999982</v>
      </c>
      <c r="J1929" s="53" t="s">
        <v>30</v>
      </c>
      <c r="K1929" s="51" t="s">
        <v>557</v>
      </c>
      <c r="L1929" s="102" t="s">
        <v>281</v>
      </c>
      <c r="M1929" s="19" t="str">
        <f t="shared" si="46"/>
        <v>May_2018</v>
      </c>
    </row>
    <row r="1930" spans="1:13">
      <c r="A1930" s="45" t="s">
        <v>22</v>
      </c>
      <c r="B1930" s="52" t="s">
        <v>23</v>
      </c>
      <c r="C1930" s="46">
        <v>43243</v>
      </c>
      <c r="D1930" s="47" t="s">
        <v>15</v>
      </c>
      <c r="E1930" s="48">
        <v>0.35416666666666702</v>
      </c>
      <c r="F1930" s="48">
        <v>0.72916666666666696</v>
      </c>
      <c r="G1930" s="49">
        <v>0</v>
      </c>
      <c r="H1930" s="49">
        <v>7.9999999999999982</v>
      </c>
      <c r="I1930" s="49">
        <v>7.9999999999999982</v>
      </c>
      <c r="J1930" s="53" t="s">
        <v>30</v>
      </c>
      <c r="K1930" s="51" t="s">
        <v>558</v>
      </c>
      <c r="L1930" s="102" t="s">
        <v>281</v>
      </c>
      <c r="M1930" s="19" t="str">
        <f t="shared" si="46"/>
        <v>May_2018</v>
      </c>
    </row>
    <row r="1931" spans="1:13">
      <c r="A1931" s="45" t="s">
        <v>22</v>
      </c>
      <c r="B1931" s="52" t="s">
        <v>23</v>
      </c>
      <c r="C1931" s="46">
        <v>43244</v>
      </c>
      <c r="D1931" s="47" t="s">
        <v>25</v>
      </c>
      <c r="E1931" s="48">
        <v>0.35416666666666702</v>
      </c>
      <c r="F1931" s="48">
        <v>0.72916666666666696</v>
      </c>
      <c r="G1931" s="49">
        <v>0</v>
      </c>
      <c r="H1931" s="49">
        <v>7.9999999999999982</v>
      </c>
      <c r="I1931" s="49">
        <v>7.9999999999999982</v>
      </c>
      <c r="J1931" s="53" t="s">
        <v>30</v>
      </c>
      <c r="K1931" s="51" t="s">
        <v>559</v>
      </c>
      <c r="L1931" s="102" t="s">
        <v>281</v>
      </c>
      <c r="M1931" s="19" t="str">
        <f t="shared" si="46"/>
        <v>May_2018</v>
      </c>
    </row>
    <row r="1932" spans="1:13">
      <c r="A1932" s="45" t="s">
        <v>22</v>
      </c>
      <c r="B1932" s="52" t="s">
        <v>23</v>
      </c>
      <c r="C1932" s="46">
        <v>43245</v>
      </c>
      <c r="D1932" s="47" t="s">
        <v>17</v>
      </c>
      <c r="E1932" s="48">
        <v>0.35416666666666702</v>
      </c>
      <c r="F1932" s="48">
        <v>0.72916666666666696</v>
      </c>
      <c r="G1932" s="49">
        <v>0</v>
      </c>
      <c r="H1932" s="49">
        <v>7.9999999999999982</v>
      </c>
      <c r="I1932" s="49">
        <v>7.9999999999999982</v>
      </c>
      <c r="J1932" s="53" t="s">
        <v>30</v>
      </c>
      <c r="K1932" s="51" t="s">
        <v>560</v>
      </c>
      <c r="L1932" s="102" t="s">
        <v>281</v>
      </c>
      <c r="M1932" s="19" t="str">
        <f t="shared" si="46"/>
        <v>May_2018</v>
      </c>
    </row>
    <row r="1933" spans="1:13">
      <c r="A1933" s="45" t="s">
        <v>22</v>
      </c>
      <c r="B1933" s="52" t="s">
        <v>346</v>
      </c>
      <c r="C1933" s="46">
        <v>43245</v>
      </c>
      <c r="D1933" s="47" t="s">
        <v>17</v>
      </c>
      <c r="E1933" s="48">
        <v>0.52083333333333304</v>
      </c>
      <c r="F1933" s="48">
        <v>0.72916666666666696</v>
      </c>
      <c r="G1933" s="49">
        <v>0</v>
      </c>
      <c r="H1933" s="49">
        <v>5.0000000000000142</v>
      </c>
      <c r="I1933" s="49">
        <v>5.0000000000000142</v>
      </c>
      <c r="J1933" s="53" t="s">
        <v>30</v>
      </c>
      <c r="K1933" s="51" t="s">
        <v>561</v>
      </c>
      <c r="L1933" s="102" t="s">
        <v>281</v>
      </c>
      <c r="M1933" s="19" t="str">
        <f t="shared" si="46"/>
        <v>May_2018</v>
      </c>
    </row>
    <row r="1934" spans="1:13">
      <c r="A1934" s="45" t="s">
        <v>11</v>
      </c>
      <c r="B1934" s="52" t="s">
        <v>12</v>
      </c>
      <c r="C1934" s="54">
        <v>43246</v>
      </c>
      <c r="D1934" s="47" t="s">
        <v>24</v>
      </c>
      <c r="E1934" s="48">
        <v>0.45833333333333298</v>
      </c>
      <c r="F1934" s="48">
        <v>0.64583333333333304</v>
      </c>
      <c r="G1934" s="49">
        <v>3.5000000000000018</v>
      </c>
      <c r="H1934" s="49">
        <v>0</v>
      </c>
      <c r="I1934" s="49">
        <v>3.5000000000000018</v>
      </c>
      <c r="J1934" s="53" t="s">
        <v>52</v>
      </c>
      <c r="K1934" s="51" t="s">
        <v>562</v>
      </c>
      <c r="L1934" s="102" t="s">
        <v>281</v>
      </c>
      <c r="M1934" s="19" t="str">
        <f t="shared" si="46"/>
        <v>May_2018</v>
      </c>
    </row>
    <row r="1935" spans="1:13">
      <c r="A1935" s="45" t="s">
        <v>11</v>
      </c>
      <c r="B1935" s="52" t="s">
        <v>19</v>
      </c>
      <c r="C1935" s="46">
        <v>43246</v>
      </c>
      <c r="D1935" s="47" t="s">
        <v>24</v>
      </c>
      <c r="E1935" s="48">
        <v>0.52083333333333304</v>
      </c>
      <c r="F1935" s="48">
        <v>0.64583333333333304</v>
      </c>
      <c r="G1935" s="49">
        <v>3</v>
      </c>
      <c r="H1935" s="49">
        <v>0</v>
      </c>
      <c r="I1935" s="49">
        <v>3</v>
      </c>
      <c r="J1935" s="53" t="s">
        <v>52</v>
      </c>
      <c r="K1935" s="51" t="s">
        <v>562</v>
      </c>
      <c r="L1935" s="102" t="s">
        <v>281</v>
      </c>
      <c r="M1935" s="19" t="str">
        <f t="shared" si="46"/>
        <v>May_2018</v>
      </c>
    </row>
    <row r="1936" spans="1:13">
      <c r="A1936" s="45" t="s">
        <v>11</v>
      </c>
      <c r="B1936" s="52" t="s">
        <v>26</v>
      </c>
      <c r="C1936" s="46">
        <v>43246</v>
      </c>
      <c r="D1936" s="47" t="s">
        <v>24</v>
      </c>
      <c r="E1936" s="48">
        <v>0.45833333333333298</v>
      </c>
      <c r="F1936" s="48">
        <v>0.64583333333333304</v>
      </c>
      <c r="G1936" s="49">
        <v>3.5000000000000018</v>
      </c>
      <c r="H1936" s="49">
        <v>0</v>
      </c>
      <c r="I1936" s="49">
        <v>3.5000000000000018</v>
      </c>
      <c r="J1936" s="53" t="s">
        <v>52</v>
      </c>
      <c r="K1936" s="51" t="s">
        <v>562</v>
      </c>
      <c r="L1936" s="102" t="s">
        <v>281</v>
      </c>
      <c r="M1936" s="19" t="str">
        <f t="shared" si="46"/>
        <v>May_2018</v>
      </c>
    </row>
    <row r="1937" spans="1:13">
      <c r="A1937" s="45" t="s">
        <v>11</v>
      </c>
      <c r="B1937" s="52" t="s">
        <v>149</v>
      </c>
      <c r="C1937" s="46">
        <v>43246</v>
      </c>
      <c r="D1937" s="47" t="s">
        <v>24</v>
      </c>
      <c r="E1937" s="48">
        <v>0.33333333333333298</v>
      </c>
      <c r="F1937" s="48">
        <v>0.64583333333333304</v>
      </c>
      <c r="G1937" s="49">
        <v>6.5000000000000018</v>
      </c>
      <c r="H1937" s="49">
        <v>0</v>
      </c>
      <c r="I1937" s="49">
        <v>6.5000000000000018</v>
      </c>
      <c r="J1937" s="53" t="s">
        <v>52</v>
      </c>
      <c r="K1937" s="51" t="s">
        <v>562</v>
      </c>
      <c r="L1937" s="102" t="s">
        <v>281</v>
      </c>
      <c r="M1937" s="19" t="str">
        <f t="shared" si="46"/>
        <v>May_2018</v>
      </c>
    </row>
    <row r="1938" spans="1:13">
      <c r="A1938" s="45" t="s">
        <v>11</v>
      </c>
      <c r="B1938" s="52" t="s">
        <v>161</v>
      </c>
      <c r="C1938" s="46">
        <v>43246</v>
      </c>
      <c r="D1938" s="47" t="s">
        <v>24</v>
      </c>
      <c r="E1938" s="48">
        <v>0.27083333333333298</v>
      </c>
      <c r="F1938" s="48">
        <v>0.64583333333333304</v>
      </c>
      <c r="G1938" s="49">
        <v>8.0000000000000036</v>
      </c>
      <c r="H1938" s="49">
        <v>0</v>
      </c>
      <c r="I1938" s="49">
        <v>8.0000000000000036</v>
      </c>
      <c r="J1938" s="53" t="s">
        <v>52</v>
      </c>
      <c r="K1938" s="51" t="s">
        <v>562</v>
      </c>
      <c r="L1938" s="102" t="s">
        <v>281</v>
      </c>
      <c r="M1938" s="19" t="str">
        <f t="shared" si="46"/>
        <v>May_2018</v>
      </c>
    </row>
    <row r="1939" spans="1:13">
      <c r="A1939" s="45" t="s">
        <v>22</v>
      </c>
      <c r="B1939" s="52" t="s">
        <v>254</v>
      </c>
      <c r="C1939" s="46">
        <v>43246</v>
      </c>
      <c r="D1939" s="47" t="s">
        <v>24</v>
      </c>
      <c r="E1939" s="48">
        <v>0.33333333333333298</v>
      </c>
      <c r="F1939" s="48">
        <v>0.64583333333333304</v>
      </c>
      <c r="G1939" s="49">
        <v>0</v>
      </c>
      <c r="H1939" s="49">
        <v>6.5000000000000018</v>
      </c>
      <c r="I1939" s="49">
        <v>6.5000000000000018</v>
      </c>
      <c r="J1939" s="53" t="s">
        <v>52</v>
      </c>
      <c r="K1939" s="51" t="s">
        <v>562</v>
      </c>
      <c r="L1939" s="102" t="s">
        <v>281</v>
      </c>
      <c r="M1939" s="19" t="str">
        <f t="shared" si="46"/>
        <v>May_2018</v>
      </c>
    </row>
    <row r="1940" spans="1:13">
      <c r="A1940" s="45" t="s">
        <v>22</v>
      </c>
      <c r="B1940" s="52" t="s">
        <v>27</v>
      </c>
      <c r="C1940" s="46">
        <v>43246</v>
      </c>
      <c r="D1940" s="47" t="s">
        <v>24</v>
      </c>
      <c r="E1940" s="48">
        <v>0.33333333333333298</v>
      </c>
      <c r="F1940" s="48">
        <v>0.64583333333333304</v>
      </c>
      <c r="G1940" s="49">
        <v>0</v>
      </c>
      <c r="H1940" s="49">
        <v>6.5000000000000018</v>
      </c>
      <c r="I1940" s="49">
        <v>6.5000000000000018</v>
      </c>
      <c r="J1940" s="53" t="s">
        <v>52</v>
      </c>
      <c r="K1940" s="51" t="s">
        <v>562</v>
      </c>
      <c r="L1940" s="102" t="s">
        <v>281</v>
      </c>
      <c r="M1940" s="19" t="str">
        <f t="shared" si="46"/>
        <v>May_2018</v>
      </c>
    </row>
    <row r="1941" spans="1:13">
      <c r="A1941" s="45" t="s">
        <v>11</v>
      </c>
      <c r="B1941" s="52" t="s">
        <v>542</v>
      </c>
      <c r="C1941" s="46">
        <v>43246</v>
      </c>
      <c r="D1941" s="47" t="s">
        <v>24</v>
      </c>
      <c r="E1941" s="48">
        <v>0.45833333333333298</v>
      </c>
      <c r="F1941" s="48">
        <v>0.64583333333333304</v>
      </c>
      <c r="G1941" s="49">
        <v>3.5000000000000018</v>
      </c>
      <c r="H1941" s="49">
        <v>0</v>
      </c>
      <c r="I1941" s="49">
        <v>3.5000000000000018</v>
      </c>
      <c r="J1941" s="53" t="s">
        <v>52</v>
      </c>
      <c r="K1941" s="51" t="s">
        <v>562</v>
      </c>
      <c r="L1941" s="102" t="s">
        <v>281</v>
      </c>
      <c r="M1941" s="19" t="str">
        <f t="shared" si="46"/>
        <v>May_2018</v>
      </c>
    </row>
    <row r="1942" spans="1:13">
      <c r="A1942" s="45" t="s">
        <v>11</v>
      </c>
      <c r="B1942" s="52" t="s">
        <v>547</v>
      </c>
      <c r="C1942" s="46">
        <v>43246</v>
      </c>
      <c r="D1942" s="47" t="s">
        <v>24</v>
      </c>
      <c r="E1942" s="48">
        <v>0.4375</v>
      </c>
      <c r="F1942" s="48">
        <v>0.64583333333333304</v>
      </c>
      <c r="G1942" s="49">
        <v>3.9999999999999929</v>
      </c>
      <c r="H1942" s="49">
        <v>0</v>
      </c>
      <c r="I1942" s="49">
        <v>3.9999999999999929</v>
      </c>
      <c r="J1942" s="53" t="s">
        <v>52</v>
      </c>
      <c r="K1942" s="51" t="s">
        <v>562</v>
      </c>
      <c r="L1942" s="102" t="s">
        <v>281</v>
      </c>
      <c r="M1942" s="19" t="str">
        <f t="shared" si="46"/>
        <v>May_2018</v>
      </c>
    </row>
    <row r="1943" spans="1:13">
      <c r="A1943" s="45" t="s">
        <v>11</v>
      </c>
      <c r="B1943" s="52" t="s">
        <v>543</v>
      </c>
      <c r="C1943" s="46">
        <v>43246</v>
      </c>
      <c r="D1943" s="47" t="s">
        <v>24</v>
      </c>
      <c r="E1943" s="48">
        <v>0.45833333333333298</v>
      </c>
      <c r="F1943" s="48">
        <v>0.64583333333333304</v>
      </c>
      <c r="G1943" s="49">
        <v>3.5000000000000018</v>
      </c>
      <c r="H1943" s="49">
        <v>0</v>
      </c>
      <c r="I1943" s="49">
        <v>3.5000000000000018</v>
      </c>
      <c r="J1943" s="53" t="s">
        <v>52</v>
      </c>
      <c r="K1943" s="51" t="s">
        <v>562</v>
      </c>
      <c r="L1943" s="102" t="s">
        <v>281</v>
      </c>
      <c r="M1943" s="19" t="str">
        <f t="shared" si="46"/>
        <v>May_2018</v>
      </c>
    </row>
    <row r="1944" spans="1:13">
      <c r="A1944" s="45" t="s">
        <v>22</v>
      </c>
      <c r="B1944" s="52" t="s">
        <v>23</v>
      </c>
      <c r="C1944" s="46">
        <v>43248</v>
      </c>
      <c r="D1944" s="47" t="s">
        <v>16</v>
      </c>
      <c r="E1944" s="48">
        <v>0.33333333333333298</v>
      </c>
      <c r="F1944" s="48">
        <v>0.70833333333333304</v>
      </c>
      <c r="G1944" s="49">
        <v>0</v>
      </c>
      <c r="H1944" s="49">
        <v>8.0000000000000018</v>
      </c>
      <c r="I1944" s="49">
        <v>8.0000000000000018</v>
      </c>
      <c r="J1944" s="53" t="s">
        <v>30</v>
      </c>
      <c r="K1944" s="51" t="s">
        <v>563</v>
      </c>
      <c r="L1944" s="102" t="s">
        <v>281</v>
      </c>
      <c r="M1944" s="19" t="str">
        <f t="shared" si="46"/>
        <v>May_2018</v>
      </c>
    </row>
    <row r="1945" spans="1:13">
      <c r="A1945" s="45" t="s">
        <v>11</v>
      </c>
      <c r="B1945" s="52" t="s">
        <v>12</v>
      </c>
      <c r="C1945" s="54">
        <v>43249</v>
      </c>
      <c r="D1945" s="47" t="s">
        <v>14</v>
      </c>
      <c r="E1945" s="48">
        <v>0.70833333333333304</v>
      </c>
      <c r="F1945" s="48">
        <v>0.875</v>
      </c>
      <c r="G1945" s="49">
        <v>8.0000000000000036</v>
      </c>
      <c r="H1945" s="49">
        <v>4.0000000000000036</v>
      </c>
      <c r="I1945" s="49">
        <v>4.0000000000000036</v>
      </c>
      <c r="J1945" s="53" t="s">
        <v>30</v>
      </c>
      <c r="K1945" s="51" t="s">
        <v>564</v>
      </c>
      <c r="L1945" s="102">
        <v>1</v>
      </c>
      <c r="M1945" s="19" t="str">
        <f t="shared" si="46"/>
        <v>May_2018</v>
      </c>
    </row>
    <row r="1946" spans="1:13">
      <c r="A1946" s="45" t="s">
        <v>11</v>
      </c>
      <c r="B1946" s="52" t="s">
        <v>19</v>
      </c>
      <c r="C1946" s="46">
        <v>43249</v>
      </c>
      <c r="D1946" s="47" t="s">
        <v>14</v>
      </c>
      <c r="E1946" s="48">
        <v>0.64583333333333304</v>
      </c>
      <c r="F1946" s="48">
        <v>0.79166666666666696</v>
      </c>
      <c r="G1946" s="49">
        <v>8.0000000000000036</v>
      </c>
      <c r="H1946" s="49">
        <v>3.5000000000000107</v>
      </c>
      <c r="I1946" s="49">
        <v>3.5000000000000107</v>
      </c>
      <c r="J1946" s="53" t="s">
        <v>30</v>
      </c>
      <c r="K1946" s="51" t="s">
        <v>564</v>
      </c>
      <c r="L1946" s="102">
        <v>1</v>
      </c>
      <c r="M1946" s="19" t="str">
        <f t="shared" si="46"/>
        <v>May_2018</v>
      </c>
    </row>
    <row r="1947" spans="1:13">
      <c r="A1947" s="45" t="s">
        <v>11</v>
      </c>
      <c r="B1947" s="52" t="s">
        <v>26</v>
      </c>
      <c r="C1947" s="46">
        <v>43249</v>
      </c>
      <c r="D1947" s="47" t="s">
        <v>14</v>
      </c>
      <c r="E1947" s="48">
        <v>0.70833333333333304</v>
      </c>
      <c r="F1947" s="48">
        <v>0.875</v>
      </c>
      <c r="G1947" s="49">
        <v>8.0000000000000036</v>
      </c>
      <c r="H1947" s="49">
        <v>4.0000000000000036</v>
      </c>
      <c r="I1947" s="49">
        <v>4.0000000000000036</v>
      </c>
      <c r="J1947" s="53" t="s">
        <v>30</v>
      </c>
      <c r="K1947" s="51" t="s">
        <v>564</v>
      </c>
      <c r="L1947" s="102">
        <v>1</v>
      </c>
      <c r="M1947" s="19" t="str">
        <f t="shared" si="46"/>
        <v>May_2018</v>
      </c>
    </row>
    <row r="1948" spans="1:13">
      <c r="A1948" s="45" t="s">
        <v>22</v>
      </c>
      <c r="B1948" s="52" t="s">
        <v>23</v>
      </c>
      <c r="C1948" s="46">
        <v>43249</v>
      </c>
      <c r="D1948" s="47" t="s">
        <v>14</v>
      </c>
      <c r="E1948" s="48">
        <v>0.33333333333333298</v>
      </c>
      <c r="F1948" s="48">
        <v>0.875</v>
      </c>
      <c r="G1948" s="49">
        <v>0</v>
      </c>
      <c r="H1948" s="49">
        <v>12.000000000000007</v>
      </c>
      <c r="I1948" s="49">
        <v>12.000000000000007</v>
      </c>
      <c r="J1948" s="53" t="s">
        <v>30</v>
      </c>
      <c r="K1948" s="51" t="s">
        <v>564</v>
      </c>
      <c r="L1948" s="102" t="s">
        <v>281</v>
      </c>
      <c r="M1948" s="19" t="str">
        <f t="shared" si="46"/>
        <v>May_2018</v>
      </c>
    </row>
    <row r="1949" spans="1:13">
      <c r="A1949" s="45" t="s">
        <v>11</v>
      </c>
      <c r="B1949" s="52" t="s">
        <v>542</v>
      </c>
      <c r="C1949" s="46">
        <v>43249</v>
      </c>
      <c r="D1949" s="47" t="s">
        <v>14</v>
      </c>
      <c r="E1949" s="48">
        <v>0.70833333333333304</v>
      </c>
      <c r="F1949" s="48">
        <v>0.875</v>
      </c>
      <c r="G1949" s="49">
        <v>8.0000000000000036</v>
      </c>
      <c r="H1949" s="49">
        <v>4.0000000000000036</v>
      </c>
      <c r="I1949" s="49">
        <v>4.0000000000000036</v>
      </c>
      <c r="J1949" s="53" t="s">
        <v>30</v>
      </c>
      <c r="K1949" s="51" t="s">
        <v>564</v>
      </c>
      <c r="L1949" s="102">
        <v>1</v>
      </c>
      <c r="M1949" s="19" t="str">
        <f t="shared" si="46"/>
        <v>May_2018</v>
      </c>
    </row>
    <row r="1950" spans="1:13">
      <c r="A1950" s="45" t="s">
        <v>11</v>
      </c>
      <c r="B1950" s="52" t="s">
        <v>547</v>
      </c>
      <c r="C1950" s="46">
        <v>43249</v>
      </c>
      <c r="D1950" s="47" t="s">
        <v>14</v>
      </c>
      <c r="E1950" s="48">
        <v>0.70833333333333304</v>
      </c>
      <c r="F1950" s="48">
        <v>0.875</v>
      </c>
      <c r="G1950" s="49">
        <v>8.0000000000000036</v>
      </c>
      <c r="H1950" s="49">
        <v>4.0000000000000036</v>
      </c>
      <c r="I1950" s="49">
        <v>4.0000000000000036</v>
      </c>
      <c r="J1950" s="53" t="s">
        <v>30</v>
      </c>
      <c r="K1950" s="51" t="s">
        <v>564</v>
      </c>
      <c r="L1950" s="102">
        <v>1</v>
      </c>
      <c r="M1950" s="19" t="str">
        <f t="shared" si="46"/>
        <v>May_2018</v>
      </c>
    </row>
    <row r="1951" spans="1:13">
      <c r="A1951" s="45" t="s">
        <v>11</v>
      </c>
      <c r="B1951" s="52" t="s">
        <v>543</v>
      </c>
      <c r="C1951" s="46">
        <v>43249</v>
      </c>
      <c r="D1951" s="47" t="s">
        <v>14</v>
      </c>
      <c r="E1951" s="48">
        <v>0.70833333333333304</v>
      </c>
      <c r="F1951" s="48">
        <v>0.875</v>
      </c>
      <c r="G1951" s="49">
        <v>8.0000000000000036</v>
      </c>
      <c r="H1951" s="49">
        <v>4.0000000000000036</v>
      </c>
      <c r="I1951" s="49">
        <v>4.0000000000000036</v>
      </c>
      <c r="J1951" s="53" t="s">
        <v>30</v>
      </c>
      <c r="K1951" s="51" t="s">
        <v>564</v>
      </c>
      <c r="L1951" s="102">
        <v>1</v>
      </c>
      <c r="M1951" s="19" t="str">
        <f t="shared" si="46"/>
        <v>May_2018</v>
      </c>
    </row>
    <row r="1952" spans="1:13">
      <c r="A1952" s="45" t="s">
        <v>11</v>
      </c>
      <c r="B1952" s="52" t="s">
        <v>12</v>
      </c>
      <c r="C1952" s="54">
        <v>43250</v>
      </c>
      <c r="D1952" s="47" t="s">
        <v>15</v>
      </c>
      <c r="E1952" s="48">
        <v>0.72916666666666696</v>
      </c>
      <c r="F1952" s="48">
        <v>0.875</v>
      </c>
      <c r="G1952" s="49">
        <v>8.0000000000000036</v>
      </c>
      <c r="H1952" s="49">
        <v>3.4999999999999893</v>
      </c>
      <c r="I1952" s="49">
        <v>3.4999999999999893</v>
      </c>
      <c r="J1952" s="53" t="s">
        <v>30</v>
      </c>
      <c r="K1952" s="51" t="s">
        <v>565</v>
      </c>
      <c r="L1952" s="102">
        <v>1</v>
      </c>
      <c r="M1952" s="19" t="str">
        <f t="shared" si="46"/>
        <v>May_2018</v>
      </c>
    </row>
    <row r="1953" spans="1:13">
      <c r="A1953" s="45" t="s">
        <v>11</v>
      </c>
      <c r="B1953" s="52" t="s">
        <v>19</v>
      </c>
      <c r="C1953" s="46">
        <v>43250</v>
      </c>
      <c r="D1953" s="47" t="s">
        <v>15</v>
      </c>
      <c r="E1953" s="48">
        <v>0.70833333333333304</v>
      </c>
      <c r="F1953" s="48">
        <v>0.875</v>
      </c>
      <c r="G1953" s="49">
        <v>8.0000000000000036</v>
      </c>
      <c r="H1953" s="49">
        <v>4.0000000000000036</v>
      </c>
      <c r="I1953" s="49">
        <v>4.0000000000000036</v>
      </c>
      <c r="J1953" s="53" t="s">
        <v>30</v>
      </c>
      <c r="K1953" s="51" t="s">
        <v>565</v>
      </c>
      <c r="L1953" s="102">
        <v>1</v>
      </c>
      <c r="M1953" s="19" t="str">
        <f t="shared" si="46"/>
        <v>May_2018</v>
      </c>
    </row>
    <row r="1954" spans="1:13">
      <c r="A1954" s="45" t="s">
        <v>11</v>
      </c>
      <c r="B1954" s="52" t="s">
        <v>149</v>
      </c>
      <c r="C1954" s="46">
        <v>43250</v>
      </c>
      <c r="D1954" s="47" t="s">
        <v>15</v>
      </c>
      <c r="E1954" s="48">
        <v>0.64583333333333304</v>
      </c>
      <c r="F1954" s="48">
        <v>0.79166666666666696</v>
      </c>
      <c r="G1954" s="49">
        <v>8.0000000000000036</v>
      </c>
      <c r="H1954" s="49">
        <v>3.5000000000000107</v>
      </c>
      <c r="I1954" s="49">
        <v>3.5000000000000107</v>
      </c>
      <c r="J1954" s="53" t="s">
        <v>30</v>
      </c>
      <c r="K1954" s="51" t="s">
        <v>565</v>
      </c>
      <c r="L1954" s="102">
        <v>1</v>
      </c>
      <c r="M1954" s="19" t="str">
        <f t="shared" si="46"/>
        <v>May_2018</v>
      </c>
    </row>
    <row r="1955" spans="1:13">
      <c r="A1955" s="45" t="s">
        <v>11</v>
      </c>
      <c r="B1955" s="52" t="s">
        <v>161</v>
      </c>
      <c r="C1955" s="46">
        <v>43250</v>
      </c>
      <c r="D1955" s="47" t="s">
        <v>15</v>
      </c>
      <c r="E1955" s="48">
        <v>0.70833333333333304</v>
      </c>
      <c r="F1955" s="48">
        <v>0.875</v>
      </c>
      <c r="G1955" s="49">
        <v>8.0000000000000036</v>
      </c>
      <c r="H1955" s="49">
        <v>4.0000000000000036</v>
      </c>
      <c r="I1955" s="49">
        <v>4.0000000000000036</v>
      </c>
      <c r="J1955" s="53" t="s">
        <v>30</v>
      </c>
      <c r="K1955" s="51" t="s">
        <v>565</v>
      </c>
      <c r="L1955" s="102">
        <v>1</v>
      </c>
      <c r="M1955" s="19" t="str">
        <f t="shared" si="46"/>
        <v>May_2018</v>
      </c>
    </row>
    <row r="1956" spans="1:13">
      <c r="A1956" s="45" t="s">
        <v>22</v>
      </c>
      <c r="B1956" s="52" t="s">
        <v>23</v>
      </c>
      <c r="C1956" s="46">
        <v>43250</v>
      </c>
      <c r="D1956" s="47" t="s">
        <v>15</v>
      </c>
      <c r="E1956" s="48">
        <v>0.5</v>
      </c>
      <c r="F1956" s="48">
        <v>0.875</v>
      </c>
      <c r="G1956" s="49">
        <v>0</v>
      </c>
      <c r="H1956" s="49">
        <v>8</v>
      </c>
      <c r="I1956" s="49">
        <v>8</v>
      </c>
      <c r="J1956" s="53" t="s">
        <v>30</v>
      </c>
      <c r="K1956" s="51" t="s">
        <v>565</v>
      </c>
      <c r="L1956" s="102" t="s">
        <v>281</v>
      </c>
      <c r="M1956" s="19" t="str">
        <f t="shared" si="46"/>
        <v>May_2018</v>
      </c>
    </row>
    <row r="1957" spans="1:13">
      <c r="A1957" s="45" t="s">
        <v>22</v>
      </c>
      <c r="B1957" s="52" t="s">
        <v>254</v>
      </c>
      <c r="C1957" s="46">
        <v>43250</v>
      </c>
      <c r="D1957" s="47" t="s">
        <v>15</v>
      </c>
      <c r="E1957" s="48">
        <v>0.4375</v>
      </c>
      <c r="F1957" s="48">
        <v>0.875</v>
      </c>
      <c r="G1957" s="49">
        <v>0</v>
      </c>
      <c r="H1957" s="49">
        <v>9.5</v>
      </c>
      <c r="I1957" s="49">
        <v>9.5</v>
      </c>
      <c r="J1957" s="53" t="s">
        <v>30</v>
      </c>
      <c r="K1957" s="51" t="s">
        <v>565</v>
      </c>
      <c r="L1957" s="102" t="s">
        <v>281</v>
      </c>
      <c r="M1957" s="19" t="str">
        <f t="shared" si="46"/>
        <v>May_2018</v>
      </c>
    </row>
    <row r="1958" spans="1:13">
      <c r="A1958" s="45" t="s">
        <v>11</v>
      </c>
      <c r="B1958" s="52" t="s">
        <v>542</v>
      </c>
      <c r="C1958" s="46">
        <v>43250</v>
      </c>
      <c r="D1958" s="47" t="s">
        <v>15</v>
      </c>
      <c r="E1958" s="48">
        <v>0.70833333333333304</v>
      </c>
      <c r="F1958" s="48">
        <v>0.875</v>
      </c>
      <c r="G1958" s="49">
        <v>8.0000000000000036</v>
      </c>
      <c r="H1958" s="49">
        <v>4.0000000000000036</v>
      </c>
      <c r="I1958" s="49">
        <v>4.0000000000000036</v>
      </c>
      <c r="J1958" s="53" t="s">
        <v>30</v>
      </c>
      <c r="K1958" s="51" t="s">
        <v>565</v>
      </c>
      <c r="L1958" s="102">
        <v>1</v>
      </c>
      <c r="M1958" s="19" t="str">
        <f t="shared" si="46"/>
        <v>May_2018</v>
      </c>
    </row>
    <row r="1959" spans="1:13">
      <c r="A1959" s="45" t="s">
        <v>11</v>
      </c>
      <c r="B1959" s="52" t="s">
        <v>547</v>
      </c>
      <c r="C1959" s="46">
        <v>43250</v>
      </c>
      <c r="D1959" s="47" t="s">
        <v>15</v>
      </c>
      <c r="E1959" s="48">
        <v>0.70833333333333304</v>
      </c>
      <c r="F1959" s="48">
        <v>0.875</v>
      </c>
      <c r="G1959" s="49">
        <v>8.0000000000000036</v>
      </c>
      <c r="H1959" s="49">
        <v>4.0000000000000036</v>
      </c>
      <c r="I1959" s="49">
        <v>4.0000000000000036</v>
      </c>
      <c r="J1959" s="53" t="s">
        <v>30</v>
      </c>
      <c r="K1959" s="51" t="s">
        <v>565</v>
      </c>
      <c r="L1959" s="102">
        <v>1</v>
      </c>
      <c r="M1959" s="19" t="str">
        <f t="shared" si="46"/>
        <v>May_2018</v>
      </c>
    </row>
    <row r="1960" spans="1:13">
      <c r="A1960" s="45" t="s">
        <v>11</v>
      </c>
      <c r="B1960" s="52" t="s">
        <v>543</v>
      </c>
      <c r="C1960" s="46">
        <v>43250</v>
      </c>
      <c r="D1960" s="47" t="s">
        <v>15</v>
      </c>
      <c r="E1960" s="48">
        <v>0.70833333333333304</v>
      </c>
      <c r="F1960" s="48">
        <v>0.875</v>
      </c>
      <c r="G1960" s="49">
        <v>8.0000000000000036</v>
      </c>
      <c r="H1960" s="49">
        <v>4.0000000000000036</v>
      </c>
      <c r="I1960" s="49">
        <v>4.0000000000000036</v>
      </c>
      <c r="J1960" s="53" t="s">
        <v>30</v>
      </c>
      <c r="K1960" s="51" t="s">
        <v>565</v>
      </c>
      <c r="L1960" s="102">
        <v>1</v>
      </c>
      <c r="M1960" s="19" t="str">
        <f t="shared" si="46"/>
        <v>May_2018</v>
      </c>
    </row>
    <row r="1961" spans="1:13">
      <c r="A1961" s="45" t="s">
        <v>11</v>
      </c>
      <c r="B1961" s="52" t="s">
        <v>12</v>
      </c>
      <c r="C1961" s="54">
        <v>43251</v>
      </c>
      <c r="D1961" s="47" t="s">
        <v>25</v>
      </c>
      <c r="E1961" s="48">
        <v>0.64583333333333304</v>
      </c>
      <c r="F1961" s="48">
        <v>0.79166666666666696</v>
      </c>
      <c r="G1961" s="49">
        <v>8.0000000000000036</v>
      </c>
      <c r="H1961" s="49">
        <v>3.5000000000000107</v>
      </c>
      <c r="I1961" s="49">
        <v>3.5000000000000107</v>
      </c>
      <c r="J1961" s="53" t="s">
        <v>30</v>
      </c>
      <c r="K1961" s="51" t="s">
        <v>566</v>
      </c>
      <c r="L1961" s="102">
        <v>1</v>
      </c>
      <c r="M1961" s="19" t="str">
        <f t="shared" si="46"/>
        <v>May_2018</v>
      </c>
    </row>
    <row r="1962" spans="1:13">
      <c r="A1962" s="45" t="s">
        <v>11</v>
      </c>
      <c r="B1962" s="52" t="s">
        <v>19</v>
      </c>
      <c r="C1962" s="46">
        <v>43251</v>
      </c>
      <c r="D1962" s="47" t="s">
        <v>25</v>
      </c>
      <c r="E1962" s="48">
        <v>0.70833333333333304</v>
      </c>
      <c r="F1962" s="48">
        <v>0.875</v>
      </c>
      <c r="G1962" s="49">
        <v>8.0000000000000036</v>
      </c>
      <c r="H1962" s="49">
        <v>4.0000000000000036</v>
      </c>
      <c r="I1962" s="49">
        <v>4.0000000000000036</v>
      </c>
      <c r="J1962" s="53" t="s">
        <v>30</v>
      </c>
      <c r="K1962" s="51" t="s">
        <v>566</v>
      </c>
      <c r="L1962" s="102">
        <v>1</v>
      </c>
      <c r="M1962" s="19" t="str">
        <f t="shared" si="46"/>
        <v>May_2018</v>
      </c>
    </row>
    <row r="1963" spans="1:13">
      <c r="A1963" s="45" t="s">
        <v>11</v>
      </c>
      <c r="B1963" s="52" t="s">
        <v>26</v>
      </c>
      <c r="C1963" s="46">
        <v>43251</v>
      </c>
      <c r="D1963" s="47" t="s">
        <v>25</v>
      </c>
      <c r="E1963" s="48">
        <v>0.70833333333333304</v>
      </c>
      <c r="F1963" s="48">
        <v>0.875</v>
      </c>
      <c r="G1963" s="49">
        <v>8.0000000000000036</v>
      </c>
      <c r="H1963" s="49">
        <v>4.0000000000000036</v>
      </c>
      <c r="I1963" s="49">
        <v>4.0000000000000036</v>
      </c>
      <c r="J1963" s="53" t="s">
        <v>30</v>
      </c>
      <c r="K1963" s="51" t="s">
        <v>566</v>
      </c>
      <c r="L1963" s="102">
        <v>1</v>
      </c>
      <c r="M1963" s="19" t="str">
        <f t="shared" si="46"/>
        <v>May_2018</v>
      </c>
    </row>
    <row r="1964" spans="1:13">
      <c r="A1964" s="45" t="s">
        <v>11</v>
      </c>
      <c r="B1964" s="52" t="s">
        <v>149</v>
      </c>
      <c r="C1964" s="46">
        <v>43251</v>
      </c>
      <c r="D1964" s="47" t="s">
        <v>25</v>
      </c>
      <c r="E1964" s="48">
        <v>0.70833333333333304</v>
      </c>
      <c r="F1964" s="48">
        <v>0.875</v>
      </c>
      <c r="G1964" s="49">
        <v>8.0000000000000036</v>
      </c>
      <c r="H1964" s="49">
        <v>4.0000000000000036</v>
      </c>
      <c r="I1964" s="49">
        <v>4.0000000000000036</v>
      </c>
      <c r="J1964" s="53" t="s">
        <v>30</v>
      </c>
      <c r="K1964" s="51" t="s">
        <v>566</v>
      </c>
      <c r="L1964" s="102">
        <v>1</v>
      </c>
      <c r="M1964" s="19" t="str">
        <f t="shared" si="46"/>
        <v>May_2018</v>
      </c>
    </row>
    <row r="1965" spans="1:13">
      <c r="A1965" s="45" t="s">
        <v>11</v>
      </c>
      <c r="B1965" s="52" t="s">
        <v>161</v>
      </c>
      <c r="C1965" s="46">
        <v>43251</v>
      </c>
      <c r="D1965" s="47" t="s">
        <v>25</v>
      </c>
      <c r="E1965" s="48">
        <v>0.70833333333333304</v>
      </c>
      <c r="F1965" s="48">
        <v>0.875</v>
      </c>
      <c r="G1965" s="49">
        <v>8.0000000000000036</v>
      </c>
      <c r="H1965" s="49">
        <v>4.0000000000000036</v>
      </c>
      <c r="I1965" s="49">
        <v>4.0000000000000036</v>
      </c>
      <c r="J1965" s="53" t="s">
        <v>30</v>
      </c>
      <c r="K1965" s="51" t="s">
        <v>566</v>
      </c>
      <c r="L1965" s="102">
        <v>1</v>
      </c>
      <c r="M1965" s="19" t="str">
        <f t="shared" si="46"/>
        <v>May_2018</v>
      </c>
    </row>
    <row r="1966" spans="1:13">
      <c r="A1966" s="45" t="s">
        <v>22</v>
      </c>
      <c r="B1966" s="52" t="s">
        <v>23</v>
      </c>
      <c r="C1966" s="46">
        <v>43251</v>
      </c>
      <c r="D1966" s="47" t="s">
        <v>25</v>
      </c>
      <c r="E1966" s="48">
        <v>0.33333333333333298</v>
      </c>
      <c r="F1966" s="48">
        <v>0.875</v>
      </c>
      <c r="G1966" s="49">
        <v>0</v>
      </c>
      <c r="H1966" s="49">
        <v>12.000000000000007</v>
      </c>
      <c r="I1966" s="49">
        <v>12.000000000000007</v>
      </c>
      <c r="J1966" s="53" t="s">
        <v>30</v>
      </c>
      <c r="K1966" s="51" t="s">
        <v>566</v>
      </c>
      <c r="L1966" s="102" t="s">
        <v>281</v>
      </c>
      <c r="M1966" s="19" t="str">
        <f t="shared" si="46"/>
        <v>May_2018</v>
      </c>
    </row>
    <row r="1967" spans="1:13">
      <c r="A1967" s="45" t="s">
        <v>22</v>
      </c>
      <c r="B1967" s="52" t="s">
        <v>254</v>
      </c>
      <c r="C1967" s="46">
        <v>43251</v>
      </c>
      <c r="D1967" s="47" t="s">
        <v>25</v>
      </c>
      <c r="E1967" s="48">
        <v>0.35416666666666702</v>
      </c>
      <c r="F1967" s="48">
        <v>0.67708333333333304</v>
      </c>
      <c r="G1967" s="49">
        <v>0</v>
      </c>
      <c r="H1967" s="49">
        <v>6.749999999999984</v>
      </c>
      <c r="I1967" s="49">
        <v>6.749999999999984</v>
      </c>
      <c r="J1967" s="53" t="s">
        <v>30</v>
      </c>
      <c r="K1967" s="51" t="s">
        <v>566</v>
      </c>
      <c r="L1967" s="102" t="s">
        <v>281</v>
      </c>
      <c r="M1967" s="19" t="str">
        <f t="shared" si="46"/>
        <v>May_2018</v>
      </c>
    </row>
    <row r="1968" spans="1:13">
      <c r="A1968" s="45" t="s">
        <v>11</v>
      </c>
      <c r="B1968" s="52" t="s">
        <v>542</v>
      </c>
      <c r="C1968" s="46">
        <v>43251</v>
      </c>
      <c r="D1968" s="47" t="s">
        <v>25</v>
      </c>
      <c r="E1968" s="48">
        <v>0.70833333333333304</v>
      </c>
      <c r="F1968" s="48">
        <v>0.875</v>
      </c>
      <c r="G1968" s="49">
        <v>8.0000000000000036</v>
      </c>
      <c r="H1968" s="49">
        <v>4.0000000000000036</v>
      </c>
      <c r="I1968" s="49">
        <v>4.0000000000000036</v>
      </c>
      <c r="J1968" s="53" t="s">
        <v>30</v>
      </c>
      <c r="K1968" s="51" t="s">
        <v>566</v>
      </c>
      <c r="L1968" s="102">
        <v>1</v>
      </c>
      <c r="M1968" s="19" t="str">
        <f t="shared" si="46"/>
        <v>May_2018</v>
      </c>
    </row>
    <row r="1969" spans="1:13">
      <c r="A1969" s="45" t="s">
        <v>11</v>
      </c>
      <c r="B1969" s="52" t="s">
        <v>543</v>
      </c>
      <c r="C1969" s="46">
        <v>43251</v>
      </c>
      <c r="D1969" s="47" t="s">
        <v>25</v>
      </c>
      <c r="E1969" s="48">
        <v>0.70833333333333304</v>
      </c>
      <c r="F1969" s="48">
        <v>0.875</v>
      </c>
      <c r="G1969" s="49">
        <v>8.0000000000000036</v>
      </c>
      <c r="H1969" s="49">
        <v>4.0000000000000036</v>
      </c>
      <c r="I1969" s="49">
        <v>4.0000000000000036</v>
      </c>
      <c r="J1969" s="53" t="s">
        <v>30</v>
      </c>
      <c r="K1969" s="51" t="s">
        <v>566</v>
      </c>
      <c r="L1969" s="102">
        <v>1</v>
      </c>
      <c r="M1969" s="19" t="str">
        <f t="shared" si="46"/>
        <v>May_2018</v>
      </c>
    </row>
    <row r="1970" spans="1:13">
      <c r="A1970" s="45" t="s">
        <v>11</v>
      </c>
      <c r="B1970" s="52" t="s">
        <v>12</v>
      </c>
      <c r="C1970" s="54">
        <v>43252</v>
      </c>
      <c r="D1970" s="47" t="s">
        <v>17</v>
      </c>
      <c r="E1970" s="48">
        <v>0.70833333333333304</v>
      </c>
      <c r="F1970" s="48">
        <v>0.875</v>
      </c>
      <c r="G1970" s="49">
        <v>8.0000000000000036</v>
      </c>
      <c r="H1970" s="49">
        <v>4.0000000000000036</v>
      </c>
      <c r="I1970" s="49">
        <v>4.0000000000000036</v>
      </c>
      <c r="J1970" s="53" t="s">
        <v>30</v>
      </c>
      <c r="K1970" s="51" t="s">
        <v>567</v>
      </c>
      <c r="L1970" s="102">
        <v>1</v>
      </c>
      <c r="M1970" s="19" t="str">
        <f>IF($C1970="","",TEXT(DATE(YEAR($C1970),MONTH($C1970),DAY($C1970)),"MMM")&amp;"_"&amp;YEAR($C1970))</f>
        <v>Jun_2018</v>
      </c>
    </row>
    <row r="1971" spans="1:13">
      <c r="A1971" s="45" t="s">
        <v>11</v>
      </c>
      <c r="B1971" s="52" t="s">
        <v>26</v>
      </c>
      <c r="C1971" s="46">
        <v>43252</v>
      </c>
      <c r="D1971" s="47" t="s">
        <v>17</v>
      </c>
      <c r="E1971" s="48">
        <v>0.64583333333333304</v>
      </c>
      <c r="F1971" s="48">
        <v>0.79166666666666696</v>
      </c>
      <c r="G1971" s="49">
        <v>8.0000000000000036</v>
      </c>
      <c r="H1971" s="49">
        <v>3.5000000000000107</v>
      </c>
      <c r="I1971" s="49">
        <v>3.5000000000000107</v>
      </c>
      <c r="J1971" s="53" t="s">
        <v>30</v>
      </c>
      <c r="K1971" s="51" t="s">
        <v>567</v>
      </c>
      <c r="L1971" s="102">
        <v>1</v>
      </c>
      <c r="M1971" s="19" t="str">
        <f t="shared" ref="M1971:M2034" si="47">IF($C1971="","",TEXT(DATE(YEAR($C1971),MONTH($C1971),DAY($C1971)),"MMM")&amp;"_"&amp;YEAR($C1971))</f>
        <v>Jun_2018</v>
      </c>
    </row>
    <row r="1972" spans="1:13">
      <c r="A1972" s="45" t="s">
        <v>11</v>
      </c>
      <c r="B1972" s="52" t="s">
        <v>149</v>
      </c>
      <c r="C1972" s="46">
        <v>43252</v>
      </c>
      <c r="D1972" s="47" t="s">
        <v>17</v>
      </c>
      <c r="E1972" s="48">
        <v>0.70833333333333304</v>
      </c>
      <c r="F1972" s="48">
        <v>0.875</v>
      </c>
      <c r="G1972" s="49">
        <v>8.0000000000000036</v>
      </c>
      <c r="H1972" s="49">
        <v>4.0000000000000036</v>
      </c>
      <c r="I1972" s="49">
        <v>4.0000000000000036</v>
      </c>
      <c r="J1972" s="53" t="s">
        <v>30</v>
      </c>
      <c r="K1972" s="51" t="s">
        <v>567</v>
      </c>
      <c r="L1972" s="102">
        <v>1</v>
      </c>
      <c r="M1972" s="19" t="str">
        <f t="shared" si="47"/>
        <v>Jun_2018</v>
      </c>
    </row>
    <row r="1973" spans="1:13">
      <c r="A1973" s="45" t="s">
        <v>11</v>
      </c>
      <c r="B1973" s="52" t="s">
        <v>161</v>
      </c>
      <c r="C1973" s="46">
        <v>43252</v>
      </c>
      <c r="D1973" s="47" t="s">
        <v>17</v>
      </c>
      <c r="E1973" s="48">
        <v>0.70833333333333304</v>
      </c>
      <c r="F1973" s="48">
        <v>0.875</v>
      </c>
      <c r="G1973" s="49">
        <v>8.0000000000000036</v>
      </c>
      <c r="H1973" s="49">
        <v>4.0000000000000036</v>
      </c>
      <c r="I1973" s="49">
        <v>4.0000000000000036</v>
      </c>
      <c r="J1973" s="53" t="s">
        <v>30</v>
      </c>
      <c r="K1973" s="51" t="s">
        <v>567</v>
      </c>
      <c r="L1973" s="102">
        <v>1</v>
      </c>
      <c r="M1973" s="19" t="str">
        <f t="shared" si="47"/>
        <v>Jun_2018</v>
      </c>
    </row>
    <row r="1974" spans="1:13">
      <c r="A1974" s="45" t="s">
        <v>11</v>
      </c>
      <c r="B1974" s="52" t="s">
        <v>542</v>
      </c>
      <c r="C1974" s="46">
        <v>43252</v>
      </c>
      <c r="D1974" s="47" t="s">
        <v>17</v>
      </c>
      <c r="E1974" s="48">
        <v>0.70833333333333304</v>
      </c>
      <c r="F1974" s="48">
        <v>0.875</v>
      </c>
      <c r="G1974" s="49">
        <v>8.0000000000000036</v>
      </c>
      <c r="H1974" s="49">
        <v>4.0000000000000036</v>
      </c>
      <c r="I1974" s="49">
        <v>4.0000000000000036</v>
      </c>
      <c r="J1974" s="53" t="s">
        <v>30</v>
      </c>
      <c r="K1974" s="51" t="s">
        <v>567</v>
      </c>
      <c r="L1974" s="102">
        <v>1</v>
      </c>
      <c r="M1974" s="19" t="str">
        <f t="shared" si="47"/>
        <v>Jun_2018</v>
      </c>
    </row>
    <row r="1975" spans="1:13">
      <c r="A1975" s="45" t="s">
        <v>11</v>
      </c>
      <c r="B1975" s="52" t="s">
        <v>547</v>
      </c>
      <c r="C1975" s="46">
        <v>43252</v>
      </c>
      <c r="D1975" s="47" t="s">
        <v>17</v>
      </c>
      <c r="E1975" s="48">
        <v>0.70833333333333304</v>
      </c>
      <c r="F1975" s="48">
        <v>0.875</v>
      </c>
      <c r="G1975" s="49">
        <v>8.0000000000000036</v>
      </c>
      <c r="H1975" s="49">
        <v>4.0000000000000036</v>
      </c>
      <c r="I1975" s="49">
        <v>4.0000000000000036</v>
      </c>
      <c r="J1975" s="53" t="s">
        <v>30</v>
      </c>
      <c r="K1975" s="51" t="s">
        <v>567</v>
      </c>
      <c r="L1975" s="102">
        <v>1</v>
      </c>
      <c r="M1975" s="19" t="str">
        <f t="shared" si="47"/>
        <v>Jun_2018</v>
      </c>
    </row>
    <row r="1976" spans="1:13">
      <c r="A1976" s="45" t="s">
        <v>22</v>
      </c>
      <c r="B1976" s="52" t="s">
        <v>23</v>
      </c>
      <c r="C1976" s="46">
        <v>43252</v>
      </c>
      <c r="D1976" s="47" t="s">
        <v>17</v>
      </c>
      <c r="E1976" s="48">
        <v>0.33333333333333298</v>
      </c>
      <c r="F1976" s="48">
        <v>0.875</v>
      </c>
      <c r="G1976" s="49">
        <v>0</v>
      </c>
      <c r="H1976" s="49">
        <v>12.000000000000007</v>
      </c>
      <c r="I1976" s="49">
        <v>12.000000000000007</v>
      </c>
      <c r="J1976" s="53" t="s">
        <v>30</v>
      </c>
      <c r="K1976" s="51" t="s">
        <v>567</v>
      </c>
      <c r="L1976" s="102" t="s">
        <v>281</v>
      </c>
      <c r="M1976" s="19" t="str">
        <f t="shared" si="47"/>
        <v>Jun_2018</v>
      </c>
    </row>
    <row r="1977" spans="1:13">
      <c r="A1977" s="45" t="s">
        <v>22</v>
      </c>
      <c r="B1977" s="69" t="s">
        <v>78</v>
      </c>
      <c r="C1977" s="46">
        <v>43252</v>
      </c>
      <c r="D1977" s="46" t="s">
        <v>17</v>
      </c>
      <c r="E1977" s="48">
        <v>0.33333333333333298</v>
      </c>
      <c r="F1977" s="48">
        <v>0.875</v>
      </c>
      <c r="G1977" s="49">
        <v>0</v>
      </c>
      <c r="H1977" s="49">
        <v>12.000000000000007</v>
      </c>
      <c r="I1977" s="49">
        <v>12.000000000000007</v>
      </c>
      <c r="J1977" s="53" t="s">
        <v>30</v>
      </c>
      <c r="K1977" s="51" t="s">
        <v>567</v>
      </c>
      <c r="L1977" s="102" t="s">
        <v>281</v>
      </c>
      <c r="M1977" s="19" t="str">
        <f t="shared" si="47"/>
        <v>Jun_2018</v>
      </c>
    </row>
    <row r="1978" spans="1:13">
      <c r="A1978" s="45" t="s">
        <v>11</v>
      </c>
      <c r="B1978" s="52" t="s">
        <v>12</v>
      </c>
      <c r="C1978" s="54">
        <v>43253</v>
      </c>
      <c r="D1978" s="47" t="s">
        <v>24</v>
      </c>
      <c r="E1978" s="48">
        <v>0.70833333333333304</v>
      </c>
      <c r="F1978" s="48">
        <v>0.875</v>
      </c>
      <c r="G1978" s="49">
        <v>8.0000000000000036</v>
      </c>
      <c r="H1978" s="49">
        <v>4.0000000000000036</v>
      </c>
      <c r="I1978" s="49">
        <v>12.000000000000007</v>
      </c>
      <c r="J1978" s="53" t="s">
        <v>52</v>
      </c>
      <c r="K1978" s="51" t="s">
        <v>568</v>
      </c>
      <c r="L1978" s="102">
        <v>1</v>
      </c>
      <c r="M1978" s="19" t="str">
        <f t="shared" si="47"/>
        <v>Jun_2018</v>
      </c>
    </row>
    <row r="1979" spans="1:13">
      <c r="A1979" s="45" t="s">
        <v>11</v>
      </c>
      <c r="B1979" s="52" t="s">
        <v>19</v>
      </c>
      <c r="C1979" s="46">
        <v>43253</v>
      </c>
      <c r="D1979" s="47" t="s">
        <v>24</v>
      </c>
      <c r="E1979" s="48">
        <v>0.70833333333333304</v>
      </c>
      <c r="F1979" s="48">
        <v>0.875</v>
      </c>
      <c r="G1979" s="49">
        <v>8.0000000000000036</v>
      </c>
      <c r="H1979" s="49">
        <v>4.0000000000000036</v>
      </c>
      <c r="I1979" s="49">
        <v>12.000000000000007</v>
      </c>
      <c r="J1979" s="53" t="s">
        <v>52</v>
      </c>
      <c r="K1979" s="51" t="s">
        <v>568</v>
      </c>
      <c r="L1979" s="102">
        <v>1</v>
      </c>
      <c r="M1979" s="19" t="str">
        <f t="shared" si="47"/>
        <v>Jun_2018</v>
      </c>
    </row>
    <row r="1980" spans="1:13">
      <c r="A1980" s="45" t="s">
        <v>11</v>
      </c>
      <c r="B1980" s="52" t="s">
        <v>26</v>
      </c>
      <c r="C1980" s="46">
        <v>43253</v>
      </c>
      <c r="D1980" s="47" t="s">
        <v>24</v>
      </c>
      <c r="E1980" s="48">
        <v>0.70833333333333304</v>
      </c>
      <c r="F1980" s="48">
        <v>0.875</v>
      </c>
      <c r="G1980" s="49">
        <v>8.0000000000000036</v>
      </c>
      <c r="H1980" s="49">
        <v>4.0000000000000036</v>
      </c>
      <c r="I1980" s="49">
        <v>12.000000000000007</v>
      </c>
      <c r="J1980" s="53" t="s">
        <v>52</v>
      </c>
      <c r="K1980" s="51" t="s">
        <v>568</v>
      </c>
      <c r="L1980" s="102">
        <v>1</v>
      </c>
      <c r="M1980" s="19" t="str">
        <f t="shared" si="47"/>
        <v>Jun_2018</v>
      </c>
    </row>
    <row r="1981" spans="1:13">
      <c r="A1981" s="45" t="s">
        <v>11</v>
      </c>
      <c r="B1981" s="52" t="s">
        <v>149</v>
      </c>
      <c r="C1981" s="46">
        <v>43253</v>
      </c>
      <c r="D1981" s="47" t="s">
        <v>24</v>
      </c>
      <c r="E1981" s="48">
        <v>0.52083333333333304</v>
      </c>
      <c r="F1981" s="48">
        <v>0.875</v>
      </c>
      <c r="G1981" s="49">
        <v>7.5000000000000071</v>
      </c>
      <c r="H1981" s="49">
        <v>0</v>
      </c>
      <c r="I1981" s="49">
        <v>7.5000000000000071</v>
      </c>
      <c r="J1981" s="53" t="s">
        <v>52</v>
      </c>
      <c r="K1981" s="51" t="s">
        <v>568</v>
      </c>
      <c r="L1981" s="102" t="s">
        <v>281</v>
      </c>
      <c r="M1981" s="19" t="str">
        <f t="shared" si="47"/>
        <v>Jun_2018</v>
      </c>
    </row>
    <row r="1982" spans="1:13">
      <c r="A1982" s="45" t="s">
        <v>11</v>
      </c>
      <c r="B1982" s="52" t="s">
        <v>161</v>
      </c>
      <c r="C1982" s="46">
        <v>43253</v>
      </c>
      <c r="D1982" s="47" t="s">
        <v>24</v>
      </c>
      <c r="E1982" s="48">
        <v>0.64583333333333304</v>
      </c>
      <c r="F1982" s="48">
        <v>0.79166666666666696</v>
      </c>
      <c r="G1982" s="49">
        <v>8.0000000000000036</v>
      </c>
      <c r="H1982" s="49">
        <v>3.5000000000000107</v>
      </c>
      <c r="I1982" s="49">
        <v>11.500000000000014</v>
      </c>
      <c r="J1982" s="53" t="s">
        <v>52</v>
      </c>
      <c r="K1982" s="51" t="s">
        <v>568</v>
      </c>
      <c r="L1982" s="102">
        <v>1</v>
      </c>
      <c r="M1982" s="19" t="str">
        <f t="shared" si="47"/>
        <v>Jun_2018</v>
      </c>
    </row>
    <row r="1983" spans="1:13">
      <c r="A1983" s="45" t="s">
        <v>11</v>
      </c>
      <c r="B1983" s="52" t="s">
        <v>542</v>
      </c>
      <c r="C1983" s="46">
        <v>43253</v>
      </c>
      <c r="D1983" s="47" t="s">
        <v>24</v>
      </c>
      <c r="E1983" s="48">
        <v>0.5</v>
      </c>
      <c r="F1983" s="48">
        <v>0.875</v>
      </c>
      <c r="G1983" s="49">
        <v>8.0000000000000036</v>
      </c>
      <c r="H1983" s="49">
        <v>0</v>
      </c>
      <c r="I1983" s="49">
        <v>8.0000000000000036</v>
      </c>
      <c r="J1983" s="53" t="s">
        <v>52</v>
      </c>
      <c r="K1983" s="51" t="s">
        <v>568</v>
      </c>
      <c r="L1983" s="102" t="s">
        <v>281</v>
      </c>
      <c r="M1983" s="19" t="str">
        <f t="shared" si="47"/>
        <v>Jun_2018</v>
      </c>
    </row>
    <row r="1984" spans="1:13">
      <c r="A1984" s="45" t="s">
        <v>11</v>
      </c>
      <c r="B1984" s="52" t="s">
        <v>547</v>
      </c>
      <c r="C1984" s="46">
        <v>43253</v>
      </c>
      <c r="D1984" s="47" t="s">
        <v>24</v>
      </c>
      <c r="E1984" s="48">
        <v>0.70833333333333304</v>
      </c>
      <c r="F1984" s="48">
        <v>0.875</v>
      </c>
      <c r="G1984" s="49">
        <v>8.0000000000000036</v>
      </c>
      <c r="H1984" s="49">
        <v>4.0000000000000036</v>
      </c>
      <c r="I1984" s="49">
        <v>12.000000000000007</v>
      </c>
      <c r="J1984" s="53" t="s">
        <v>52</v>
      </c>
      <c r="K1984" s="51" t="s">
        <v>568</v>
      </c>
      <c r="L1984" s="102">
        <v>1</v>
      </c>
      <c r="M1984" s="19" t="str">
        <f t="shared" si="47"/>
        <v>Jun_2018</v>
      </c>
    </row>
    <row r="1985" spans="1:13">
      <c r="A1985" s="45" t="s">
        <v>11</v>
      </c>
      <c r="B1985" s="52" t="s">
        <v>543</v>
      </c>
      <c r="C1985" s="46">
        <v>43253</v>
      </c>
      <c r="D1985" s="47" t="s">
        <v>24</v>
      </c>
      <c r="E1985" s="48">
        <v>0.70833333333333304</v>
      </c>
      <c r="F1985" s="48">
        <v>0.875</v>
      </c>
      <c r="G1985" s="49">
        <v>8.0000000000000036</v>
      </c>
      <c r="H1985" s="49">
        <v>4.0000000000000036</v>
      </c>
      <c r="I1985" s="49">
        <v>12.000000000000007</v>
      </c>
      <c r="J1985" s="53" t="s">
        <v>52</v>
      </c>
      <c r="K1985" s="51" t="s">
        <v>568</v>
      </c>
      <c r="L1985" s="102">
        <v>1</v>
      </c>
      <c r="M1985" s="19" t="str">
        <f t="shared" si="47"/>
        <v>Jun_2018</v>
      </c>
    </row>
    <row r="1986" spans="1:13">
      <c r="A1986" s="45" t="s">
        <v>22</v>
      </c>
      <c r="B1986" s="52" t="s">
        <v>23</v>
      </c>
      <c r="C1986" s="46">
        <v>43253</v>
      </c>
      <c r="D1986" s="47" t="s">
        <v>24</v>
      </c>
      <c r="E1986" s="48">
        <v>0.33333333333333298</v>
      </c>
      <c r="F1986" s="48">
        <v>0.875</v>
      </c>
      <c r="G1986" s="49">
        <v>0</v>
      </c>
      <c r="H1986" s="49">
        <v>12.000000000000007</v>
      </c>
      <c r="I1986" s="49">
        <v>12.000000000000007</v>
      </c>
      <c r="J1986" s="53" t="s">
        <v>52</v>
      </c>
      <c r="K1986" s="51" t="s">
        <v>568</v>
      </c>
      <c r="L1986" s="102" t="s">
        <v>281</v>
      </c>
      <c r="M1986" s="19" t="str">
        <f t="shared" si="47"/>
        <v>Jun_2018</v>
      </c>
    </row>
    <row r="1987" spans="1:13">
      <c r="A1987" s="45" t="s">
        <v>22</v>
      </c>
      <c r="B1987" s="52" t="s">
        <v>23</v>
      </c>
      <c r="C1987" s="46">
        <v>43255</v>
      </c>
      <c r="D1987" s="47" t="s">
        <v>16</v>
      </c>
      <c r="E1987" s="48">
        <v>0.35416666666666702</v>
      </c>
      <c r="F1987" s="48">
        <v>0.72916666666666696</v>
      </c>
      <c r="G1987" s="49">
        <v>0</v>
      </c>
      <c r="H1987" s="49">
        <v>7.9999999999999982</v>
      </c>
      <c r="I1987" s="49">
        <v>7.9999999999999982</v>
      </c>
      <c r="J1987" s="53" t="s">
        <v>30</v>
      </c>
      <c r="K1987" s="51" t="s">
        <v>569</v>
      </c>
      <c r="L1987" s="102" t="s">
        <v>281</v>
      </c>
      <c r="M1987" s="19" t="str">
        <f t="shared" si="47"/>
        <v>Jun_2018</v>
      </c>
    </row>
    <row r="1988" spans="1:13">
      <c r="A1988" s="45" t="s">
        <v>22</v>
      </c>
      <c r="B1988" s="52" t="s">
        <v>23</v>
      </c>
      <c r="C1988" s="46">
        <v>43256</v>
      </c>
      <c r="D1988" s="47" t="s">
        <v>14</v>
      </c>
      <c r="E1988" s="48">
        <v>0.35416666666666702</v>
      </c>
      <c r="F1988" s="48">
        <v>0.72916666666666696</v>
      </c>
      <c r="G1988" s="49">
        <v>0</v>
      </c>
      <c r="H1988" s="49">
        <v>7.9999999999999982</v>
      </c>
      <c r="I1988" s="49">
        <v>7.9999999999999982</v>
      </c>
      <c r="J1988" s="53" t="s">
        <v>30</v>
      </c>
      <c r="K1988" s="51" t="s">
        <v>570</v>
      </c>
      <c r="L1988" s="102" t="s">
        <v>281</v>
      </c>
      <c r="M1988" s="19" t="str">
        <f t="shared" si="47"/>
        <v>Jun_2018</v>
      </c>
    </row>
    <row r="1989" spans="1:13">
      <c r="A1989" s="45" t="s">
        <v>22</v>
      </c>
      <c r="B1989" s="52" t="s">
        <v>23</v>
      </c>
      <c r="C1989" s="46">
        <v>43257</v>
      </c>
      <c r="D1989" s="47" t="s">
        <v>15</v>
      </c>
      <c r="E1989" s="48">
        <v>0.35416666666666702</v>
      </c>
      <c r="F1989" s="48">
        <v>0.72916666666666696</v>
      </c>
      <c r="G1989" s="49">
        <v>0</v>
      </c>
      <c r="H1989" s="49">
        <v>7.9999999999999982</v>
      </c>
      <c r="I1989" s="49">
        <v>7.9999999999999982</v>
      </c>
      <c r="J1989" s="53" t="s">
        <v>30</v>
      </c>
      <c r="K1989" s="51" t="s">
        <v>571</v>
      </c>
      <c r="L1989" s="102" t="s">
        <v>281</v>
      </c>
      <c r="M1989" s="19" t="str">
        <f t="shared" si="47"/>
        <v>Jun_2018</v>
      </c>
    </row>
    <row r="1990" spans="1:13">
      <c r="A1990" s="45" t="s">
        <v>22</v>
      </c>
      <c r="B1990" s="52" t="s">
        <v>78</v>
      </c>
      <c r="C1990" s="46">
        <v>43257</v>
      </c>
      <c r="D1990" s="47" t="s">
        <v>15</v>
      </c>
      <c r="E1990" s="48">
        <v>0.35416666666666702</v>
      </c>
      <c r="F1990" s="48">
        <v>0.72916666666666696</v>
      </c>
      <c r="G1990" s="49">
        <v>0</v>
      </c>
      <c r="H1990" s="49">
        <v>7.9999999999999982</v>
      </c>
      <c r="I1990" s="49">
        <v>7.9999999999999982</v>
      </c>
      <c r="J1990" s="53" t="s">
        <v>30</v>
      </c>
      <c r="K1990" s="51" t="s">
        <v>571</v>
      </c>
      <c r="L1990" s="102" t="s">
        <v>281</v>
      </c>
      <c r="M1990" s="19" t="str">
        <f t="shared" si="47"/>
        <v>Jun_2018</v>
      </c>
    </row>
    <row r="1991" spans="1:13">
      <c r="A1991" s="45" t="s">
        <v>22</v>
      </c>
      <c r="B1991" s="52" t="s">
        <v>23</v>
      </c>
      <c r="C1991" s="46">
        <v>43258</v>
      </c>
      <c r="D1991" s="47" t="s">
        <v>25</v>
      </c>
      <c r="E1991" s="48">
        <v>0.35416666666666702</v>
      </c>
      <c r="F1991" s="48">
        <v>0.72916666666666696</v>
      </c>
      <c r="G1991" s="49">
        <v>0</v>
      </c>
      <c r="H1991" s="49">
        <v>7.9999999999999982</v>
      </c>
      <c r="I1991" s="49">
        <v>7.9999999999999982</v>
      </c>
      <c r="J1991" s="53" t="s">
        <v>30</v>
      </c>
      <c r="K1991" s="51" t="s">
        <v>572</v>
      </c>
      <c r="L1991" s="102" t="s">
        <v>281</v>
      </c>
      <c r="M1991" s="19" t="str">
        <f t="shared" si="47"/>
        <v>Jun_2018</v>
      </c>
    </row>
    <row r="1992" spans="1:13">
      <c r="A1992" s="45" t="s">
        <v>11</v>
      </c>
      <c r="B1992" s="52" t="s">
        <v>12</v>
      </c>
      <c r="C1992" s="54">
        <v>43259</v>
      </c>
      <c r="D1992" s="47" t="s">
        <v>17</v>
      </c>
      <c r="E1992" s="48">
        <v>0.72916666666666696</v>
      </c>
      <c r="F1992" s="48">
        <v>0.875</v>
      </c>
      <c r="G1992" s="49">
        <v>8.0000000000000036</v>
      </c>
      <c r="H1992" s="49">
        <v>3.4999999999999893</v>
      </c>
      <c r="I1992" s="49">
        <v>3.4999999999999893</v>
      </c>
      <c r="J1992" s="53" t="s">
        <v>30</v>
      </c>
      <c r="K1992" s="51" t="s">
        <v>573</v>
      </c>
      <c r="L1992" s="102">
        <v>1</v>
      </c>
      <c r="M1992" s="19" t="str">
        <f t="shared" si="47"/>
        <v>Jun_2018</v>
      </c>
    </row>
    <row r="1993" spans="1:13">
      <c r="A1993" s="45" t="s">
        <v>11</v>
      </c>
      <c r="B1993" s="52" t="s">
        <v>26</v>
      </c>
      <c r="C1993" s="46">
        <v>43259</v>
      </c>
      <c r="D1993" s="47" t="s">
        <v>17</v>
      </c>
      <c r="E1993" s="48">
        <v>0.72916666666666696</v>
      </c>
      <c r="F1993" s="48">
        <v>0.875</v>
      </c>
      <c r="G1993" s="49">
        <v>8.0000000000000036</v>
      </c>
      <c r="H1993" s="49">
        <v>3.4999999999999893</v>
      </c>
      <c r="I1993" s="49">
        <v>3.4999999999999893</v>
      </c>
      <c r="J1993" s="53" t="s">
        <v>30</v>
      </c>
      <c r="K1993" s="51" t="s">
        <v>573</v>
      </c>
      <c r="L1993" s="102">
        <v>1</v>
      </c>
      <c r="M1993" s="19" t="str">
        <f t="shared" si="47"/>
        <v>Jun_2018</v>
      </c>
    </row>
    <row r="1994" spans="1:13">
      <c r="A1994" s="45" t="s">
        <v>11</v>
      </c>
      <c r="B1994" s="52" t="s">
        <v>542</v>
      </c>
      <c r="C1994" s="46">
        <v>43259</v>
      </c>
      <c r="D1994" s="47" t="s">
        <v>17</v>
      </c>
      <c r="E1994" s="48">
        <v>0.72916666666666696</v>
      </c>
      <c r="F1994" s="48">
        <v>0.875</v>
      </c>
      <c r="G1994" s="49">
        <v>8.0000000000000036</v>
      </c>
      <c r="H1994" s="49">
        <v>3.4999999999999893</v>
      </c>
      <c r="I1994" s="49">
        <v>3.4999999999999893</v>
      </c>
      <c r="J1994" s="53" t="s">
        <v>30</v>
      </c>
      <c r="K1994" s="51" t="s">
        <v>573</v>
      </c>
      <c r="L1994" s="102">
        <v>1</v>
      </c>
      <c r="M1994" s="19" t="str">
        <f t="shared" si="47"/>
        <v>Jun_2018</v>
      </c>
    </row>
    <row r="1995" spans="1:13">
      <c r="A1995" s="45" t="s">
        <v>11</v>
      </c>
      <c r="B1995" s="52" t="s">
        <v>547</v>
      </c>
      <c r="C1995" s="46">
        <v>43259</v>
      </c>
      <c r="D1995" s="47" t="s">
        <v>17</v>
      </c>
      <c r="E1995" s="48">
        <v>0.72916666666666696</v>
      </c>
      <c r="F1995" s="48">
        <v>0.875</v>
      </c>
      <c r="G1995" s="49">
        <v>8.0000000000000036</v>
      </c>
      <c r="H1995" s="49">
        <v>3.4999999999999893</v>
      </c>
      <c r="I1995" s="49">
        <v>3.4999999999999893</v>
      </c>
      <c r="J1995" s="53" t="s">
        <v>30</v>
      </c>
      <c r="K1995" s="51" t="s">
        <v>573</v>
      </c>
      <c r="L1995" s="102">
        <v>1</v>
      </c>
      <c r="M1995" s="19" t="str">
        <f t="shared" si="47"/>
        <v>Jun_2018</v>
      </c>
    </row>
    <row r="1996" spans="1:13">
      <c r="A1996" s="45" t="s">
        <v>11</v>
      </c>
      <c r="B1996" s="52" t="s">
        <v>543</v>
      </c>
      <c r="C1996" s="46">
        <v>43259</v>
      </c>
      <c r="D1996" s="47" t="s">
        <v>17</v>
      </c>
      <c r="E1996" s="48">
        <v>0.72916666666666696</v>
      </c>
      <c r="F1996" s="48">
        <v>0.875</v>
      </c>
      <c r="G1996" s="49">
        <v>8.0000000000000036</v>
      </c>
      <c r="H1996" s="49">
        <v>3.4999999999999893</v>
      </c>
      <c r="I1996" s="49">
        <v>3.4999999999999893</v>
      </c>
      <c r="J1996" s="53" t="s">
        <v>30</v>
      </c>
      <c r="K1996" s="51" t="s">
        <v>573</v>
      </c>
      <c r="L1996" s="102">
        <v>1</v>
      </c>
      <c r="M1996" s="19" t="str">
        <f t="shared" si="47"/>
        <v>Jun_2018</v>
      </c>
    </row>
    <row r="1997" spans="1:13">
      <c r="A1997" s="45" t="s">
        <v>11</v>
      </c>
      <c r="B1997" s="52" t="s">
        <v>574</v>
      </c>
      <c r="C1997" s="46">
        <v>43259</v>
      </c>
      <c r="D1997" s="47" t="s">
        <v>17</v>
      </c>
      <c r="E1997" s="48">
        <v>0.72916666666666696</v>
      </c>
      <c r="F1997" s="48">
        <v>0.875</v>
      </c>
      <c r="G1997" s="49">
        <v>8.0000000000000036</v>
      </c>
      <c r="H1997" s="49">
        <v>3.4999999999999893</v>
      </c>
      <c r="I1997" s="49">
        <v>3.4999999999999893</v>
      </c>
      <c r="J1997" s="53" t="s">
        <v>30</v>
      </c>
      <c r="K1997" s="51" t="s">
        <v>573</v>
      </c>
      <c r="L1997" s="102">
        <v>1</v>
      </c>
      <c r="M1997" s="19" t="str">
        <f t="shared" si="47"/>
        <v>Jun_2018</v>
      </c>
    </row>
    <row r="1998" spans="1:13">
      <c r="A1998" s="45" t="s">
        <v>22</v>
      </c>
      <c r="B1998" s="52" t="s">
        <v>23</v>
      </c>
      <c r="C1998" s="46">
        <v>43259</v>
      </c>
      <c r="D1998" s="47" t="s">
        <v>17</v>
      </c>
      <c r="E1998" s="48">
        <v>0.35416666666666702</v>
      </c>
      <c r="F1998" s="48">
        <v>0.875</v>
      </c>
      <c r="G1998" s="49">
        <v>0</v>
      </c>
      <c r="H1998" s="49">
        <v>11.499999999999993</v>
      </c>
      <c r="I1998" s="49">
        <v>11.499999999999993</v>
      </c>
      <c r="J1998" s="53" t="s">
        <v>30</v>
      </c>
      <c r="K1998" s="51" t="s">
        <v>573</v>
      </c>
      <c r="L1998" s="102" t="s">
        <v>281</v>
      </c>
      <c r="M1998" s="19" t="str">
        <f t="shared" si="47"/>
        <v>Jun_2018</v>
      </c>
    </row>
    <row r="1999" spans="1:13">
      <c r="A1999" s="45" t="s">
        <v>11</v>
      </c>
      <c r="B1999" s="52" t="s">
        <v>12</v>
      </c>
      <c r="C1999" s="54">
        <v>43260</v>
      </c>
      <c r="D1999" s="47" t="s">
        <v>24</v>
      </c>
      <c r="E1999" s="48">
        <v>0.66666666666666696</v>
      </c>
      <c r="F1999" s="48">
        <v>0.875</v>
      </c>
      <c r="G1999" s="49">
        <v>8.0000000000000036</v>
      </c>
      <c r="H1999" s="49">
        <v>4.9999999999999893</v>
      </c>
      <c r="I1999" s="49">
        <v>12.999999999999993</v>
      </c>
      <c r="J1999" s="53" t="s">
        <v>52</v>
      </c>
      <c r="K1999" s="51" t="s">
        <v>575</v>
      </c>
      <c r="L1999" s="102">
        <v>1</v>
      </c>
      <c r="M1999" s="19" t="str">
        <f t="shared" si="47"/>
        <v>Jun_2018</v>
      </c>
    </row>
    <row r="2000" spans="1:13">
      <c r="A2000" s="45" t="s">
        <v>11</v>
      </c>
      <c r="B2000" s="52" t="s">
        <v>542</v>
      </c>
      <c r="C2000" s="46">
        <v>43260</v>
      </c>
      <c r="D2000" s="47" t="s">
        <v>24</v>
      </c>
      <c r="E2000" s="48">
        <v>0.70833333333333304</v>
      </c>
      <c r="F2000" s="48">
        <v>0.875</v>
      </c>
      <c r="G2000" s="49">
        <v>8.0000000000000036</v>
      </c>
      <c r="H2000" s="49">
        <v>4.0000000000000036</v>
      </c>
      <c r="I2000" s="49">
        <v>12.000000000000007</v>
      </c>
      <c r="J2000" s="53" t="s">
        <v>52</v>
      </c>
      <c r="K2000" s="51" t="s">
        <v>575</v>
      </c>
      <c r="L2000" s="102">
        <v>1</v>
      </c>
      <c r="M2000" s="19" t="str">
        <f t="shared" si="47"/>
        <v>Jun_2018</v>
      </c>
    </row>
    <row r="2001" spans="1:13">
      <c r="A2001" s="45" t="s">
        <v>11</v>
      </c>
      <c r="B2001" s="52" t="s">
        <v>547</v>
      </c>
      <c r="C2001" s="46">
        <v>43260</v>
      </c>
      <c r="D2001" s="47" t="s">
        <v>24</v>
      </c>
      <c r="E2001" s="48">
        <v>0.70833333333333304</v>
      </c>
      <c r="F2001" s="48">
        <v>0.875</v>
      </c>
      <c r="G2001" s="49">
        <v>8.0000000000000036</v>
      </c>
      <c r="H2001" s="49">
        <v>4.0000000000000036</v>
      </c>
      <c r="I2001" s="49">
        <v>12.000000000000007</v>
      </c>
      <c r="J2001" s="53" t="s">
        <v>52</v>
      </c>
      <c r="K2001" s="51" t="s">
        <v>575</v>
      </c>
      <c r="L2001" s="102">
        <v>1</v>
      </c>
      <c r="M2001" s="19" t="str">
        <f t="shared" si="47"/>
        <v>Jun_2018</v>
      </c>
    </row>
    <row r="2002" spans="1:13">
      <c r="A2002" s="45" t="s">
        <v>11</v>
      </c>
      <c r="B2002" s="52" t="s">
        <v>574</v>
      </c>
      <c r="C2002" s="46">
        <v>43260</v>
      </c>
      <c r="D2002" s="47" t="s">
        <v>24</v>
      </c>
      <c r="E2002" s="48">
        <v>0.70833333333333304</v>
      </c>
      <c r="F2002" s="48">
        <v>0.875</v>
      </c>
      <c r="G2002" s="49">
        <v>8.0000000000000036</v>
      </c>
      <c r="H2002" s="49">
        <v>4.0000000000000036</v>
      </c>
      <c r="I2002" s="49">
        <v>12.000000000000007</v>
      </c>
      <c r="J2002" s="53" t="s">
        <v>52</v>
      </c>
      <c r="K2002" s="51" t="s">
        <v>575</v>
      </c>
      <c r="L2002" s="102">
        <v>1</v>
      </c>
      <c r="M2002" s="19" t="str">
        <f t="shared" si="47"/>
        <v>Jun_2018</v>
      </c>
    </row>
    <row r="2003" spans="1:13">
      <c r="A2003" s="45" t="s">
        <v>22</v>
      </c>
      <c r="B2003" s="52" t="s">
        <v>23</v>
      </c>
      <c r="C2003" s="46">
        <v>43260</v>
      </c>
      <c r="D2003" s="47" t="s">
        <v>24</v>
      </c>
      <c r="E2003" s="48">
        <v>0.33333333333333298</v>
      </c>
      <c r="F2003" s="48">
        <v>0.875</v>
      </c>
      <c r="G2003" s="49">
        <v>0</v>
      </c>
      <c r="H2003" s="49">
        <v>12.000000000000007</v>
      </c>
      <c r="I2003" s="49">
        <v>12.000000000000007</v>
      </c>
      <c r="J2003" s="53" t="s">
        <v>52</v>
      </c>
      <c r="K2003" s="51" t="s">
        <v>575</v>
      </c>
      <c r="L2003" s="102" t="s">
        <v>281</v>
      </c>
      <c r="M2003" s="19" t="str">
        <f t="shared" si="47"/>
        <v>Jun_2018</v>
      </c>
    </row>
    <row r="2004" spans="1:13">
      <c r="A2004" s="45" t="s">
        <v>22</v>
      </c>
      <c r="B2004" s="52" t="s">
        <v>548</v>
      </c>
      <c r="C2004" s="46">
        <v>43260</v>
      </c>
      <c r="D2004" s="47" t="s">
        <v>24</v>
      </c>
      <c r="E2004" s="48">
        <v>0.33333333333333298</v>
      </c>
      <c r="F2004" s="48">
        <v>0.875</v>
      </c>
      <c r="G2004" s="49">
        <v>0</v>
      </c>
      <c r="H2004" s="49">
        <v>12.000000000000007</v>
      </c>
      <c r="I2004" s="49">
        <v>12.000000000000007</v>
      </c>
      <c r="J2004" s="53" t="s">
        <v>52</v>
      </c>
      <c r="K2004" s="51" t="s">
        <v>575</v>
      </c>
      <c r="L2004" s="102" t="s">
        <v>281</v>
      </c>
      <c r="M2004" s="19" t="str">
        <f t="shared" si="47"/>
        <v>Jun_2018</v>
      </c>
    </row>
    <row r="2005" spans="1:13">
      <c r="A2005" s="45" t="s">
        <v>22</v>
      </c>
      <c r="B2005" s="52" t="s">
        <v>484</v>
      </c>
      <c r="C2005" s="46">
        <v>43260</v>
      </c>
      <c r="D2005" s="47" t="s">
        <v>24</v>
      </c>
      <c r="E2005" s="48">
        <v>0.33333333333333298</v>
      </c>
      <c r="F2005" s="48">
        <v>0.875</v>
      </c>
      <c r="G2005" s="49">
        <v>0</v>
      </c>
      <c r="H2005" s="49">
        <v>12.000000000000007</v>
      </c>
      <c r="I2005" s="49">
        <v>12.000000000000007</v>
      </c>
      <c r="J2005" s="53" t="s">
        <v>52</v>
      </c>
      <c r="K2005" s="51" t="s">
        <v>575</v>
      </c>
      <c r="L2005" s="102" t="s">
        <v>281</v>
      </c>
      <c r="M2005" s="19" t="str">
        <f t="shared" si="47"/>
        <v>Jun_2018</v>
      </c>
    </row>
    <row r="2006" spans="1:13">
      <c r="A2006" s="45" t="s">
        <v>11</v>
      </c>
      <c r="B2006" s="52" t="s">
        <v>12</v>
      </c>
      <c r="C2006" s="54">
        <v>43261</v>
      </c>
      <c r="D2006" s="47" t="s">
        <v>13</v>
      </c>
      <c r="E2006" s="48">
        <v>0.29166666666666702</v>
      </c>
      <c r="F2006" s="48">
        <v>0.83333333333333304</v>
      </c>
      <c r="G2006" s="49" t="s">
        <v>281</v>
      </c>
      <c r="H2006" s="49">
        <v>11.999999999999986</v>
      </c>
      <c r="I2006" s="49">
        <v>11.999999999999986</v>
      </c>
      <c r="J2006" s="53" t="s">
        <v>52</v>
      </c>
      <c r="K2006" s="51" t="s">
        <v>576</v>
      </c>
      <c r="L2006" s="102" t="s">
        <v>281</v>
      </c>
      <c r="M2006" s="19" t="str">
        <f t="shared" si="47"/>
        <v>Jun_2018</v>
      </c>
    </row>
    <row r="2007" spans="1:13">
      <c r="A2007" s="45" t="s">
        <v>11</v>
      </c>
      <c r="B2007" s="52" t="s">
        <v>542</v>
      </c>
      <c r="C2007" s="46">
        <v>43261</v>
      </c>
      <c r="D2007" s="47" t="s">
        <v>13</v>
      </c>
      <c r="E2007" s="48">
        <v>0.33333333333333298</v>
      </c>
      <c r="F2007" s="48">
        <v>0.83333333333333304</v>
      </c>
      <c r="G2007" s="49" t="s">
        <v>281</v>
      </c>
      <c r="H2007" s="49">
        <v>11</v>
      </c>
      <c r="I2007" s="49">
        <v>11</v>
      </c>
      <c r="J2007" s="53" t="s">
        <v>52</v>
      </c>
      <c r="K2007" s="51" t="s">
        <v>576</v>
      </c>
      <c r="L2007" s="102" t="s">
        <v>281</v>
      </c>
      <c r="M2007" s="19" t="str">
        <f t="shared" si="47"/>
        <v>Jun_2018</v>
      </c>
    </row>
    <row r="2008" spans="1:13">
      <c r="A2008" s="45" t="s">
        <v>11</v>
      </c>
      <c r="B2008" s="52" t="s">
        <v>547</v>
      </c>
      <c r="C2008" s="46">
        <v>43261</v>
      </c>
      <c r="D2008" s="47" t="s">
        <v>13</v>
      </c>
      <c r="E2008" s="48">
        <v>0.33333333333333298</v>
      </c>
      <c r="F2008" s="48">
        <v>0.70833333333333304</v>
      </c>
      <c r="G2008" s="49" t="s">
        <v>281</v>
      </c>
      <c r="H2008" s="49">
        <v>8.0000000000000018</v>
      </c>
      <c r="I2008" s="49">
        <v>8.0000000000000018</v>
      </c>
      <c r="J2008" s="53" t="s">
        <v>52</v>
      </c>
      <c r="K2008" s="51" t="s">
        <v>576</v>
      </c>
      <c r="L2008" s="102" t="s">
        <v>281</v>
      </c>
      <c r="M2008" s="19" t="str">
        <f t="shared" si="47"/>
        <v>Jun_2018</v>
      </c>
    </row>
    <row r="2009" spans="1:13">
      <c r="A2009" s="45" t="s">
        <v>11</v>
      </c>
      <c r="B2009" s="52" t="s">
        <v>574</v>
      </c>
      <c r="C2009" s="46">
        <v>43261</v>
      </c>
      <c r="D2009" s="47" t="s">
        <v>13</v>
      </c>
      <c r="E2009" s="48">
        <v>0.33333333333333298</v>
      </c>
      <c r="F2009" s="48">
        <v>0.70833333333333304</v>
      </c>
      <c r="G2009" s="49" t="s">
        <v>281</v>
      </c>
      <c r="H2009" s="49">
        <v>8.0000000000000018</v>
      </c>
      <c r="I2009" s="49">
        <v>8.0000000000000018</v>
      </c>
      <c r="J2009" s="53" t="s">
        <v>52</v>
      </c>
      <c r="K2009" s="51" t="s">
        <v>576</v>
      </c>
      <c r="L2009" s="102" t="s">
        <v>281</v>
      </c>
      <c r="M2009" s="19" t="str">
        <f t="shared" si="47"/>
        <v>Jun_2018</v>
      </c>
    </row>
    <row r="2010" spans="1:13">
      <c r="A2010" s="45" t="s">
        <v>22</v>
      </c>
      <c r="B2010" s="52" t="s">
        <v>23</v>
      </c>
      <c r="C2010" s="46">
        <v>43261</v>
      </c>
      <c r="D2010" s="47" t="s">
        <v>13</v>
      </c>
      <c r="E2010" s="48">
        <v>0.33333333333333298</v>
      </c>
      <c r="F2010" s="48">
        <v>0.83333333333333304</v>
      </c>
      <c r="G2010" s="49" t="s">
        <v>281</v>
      </c>
      <c r="H2010" s="49">
        <v>11</v>
      </c>
      <c r="I2010" s="49">
        <v>11</v>
      </c>
      <c r="J2010" s="53" t="s">
        <v>52</v>
      </c>
      <c r="K2010" s="51" t="s">
        <v>576</v>
      </c>
      <c r="L2010" s="102" t="s">
        <v>281</v>
      </c>
      <c r="M2010" s="19" t="str">
        <f t="shared" si="47"/>
        <v>Jun_2018</v>
      </c>
    </row>
    <row r="2011" spans="1:13">
      <c r="A2011" s="45" t="s">
        <v>22</v>
      </c>
      <c r="B2011" s="52" t="s">
        <v>78</v>
      </c>
      <c r="C2011" s="46">
        <v>43261</v>
      </c>
      <c r="D2011" s="47" t="s">
        <v>13</v>
      </c>
      <c r="E2011" s="48">
        <v>0.33333333333333298</v>
      </c>
      <c r="F2011" s="48">
        <v>0.83333333333333304</v>
      </c>
      <c r="G2011" s="49" t="s">
        <v>281</v>
      </c>
      <c r="H2011" s="49">
        <v>11</v>
      </c>
      <c r="I2011" s="49">
        <v>11</v>
      </c>
      <c r="J2011" s="53" t="s">
        <v>52</v>
      </c>
      <c r="K2011" s="51" t="s">
        <v>576</v>
      </c>
      <c r="L2011" s="102" t="s">
        <v>281</v>
      </c>
      <c r="M2011" s="19" t="str">
        <f t="shared" si="47"/>
        <v>Jun_2018</v>
      </c>
    </row>
    <row r="2012" spans="1:13">
      <c r="A2012" s="45" t="s">
        <v>22</v>
      </c>
      <c r="B2012" s="52" t="s">
        <v>548</v>
      </c>
      <c r="C2012" s="46">
        <v>43261</v>
      </c>
      <c r="D2012" s="47" t="s">
        <v>13</v>
      </c>
      <c r="E2012" s="48">
        <v>0.33333333333333298</v>
      </c>
      <c r="F2012" s="48">
        <v>0.83333333333333304</v>
      </c>
      <c r="G2012" s="49" t="s">
        <v>281</v>
      </c>
      <c r="H2012" s="49">
        <v>11</v>
      </c>
      <c r="I2012" s="49">
        <v>11</v>
      </c>
      <c r="J2012" s="53" t="s">
        <v>52</v>
      </c>
      <c r="K2012" s="51" t="s">
        <v>576</v>
      </c>
      <c r="L2012" s="102" t="s">
        <v>281</v>
      </c>
      <c r="M2012" s="19" t="str">
        <f t="shared" si="47"/>
        <v>Jun_2018</v>
      </c>
    </row>
    <row r="2013" spans="1:13">
      <c r="A2013" s="45" t="s">
        <v>22</v>
      </c>
      <c r="B2013" s="52" t="s">
        <v>538</v>
      </c>
      <c r="C2013" s="46">
        <v>43261</v>
      </c>
      <c r="D2013" s="47" t="s">
        <v>13</v>
      </c>
      <c r="E2013" s="48">
        <v>0.33333333333333298</v>
      </c>
      <c r="F2013" s="48">
        <v>0.83333333333333304</v>
      </c>
      <c r="G2013" s="49" t="s">
        <v>281</v>
      </c>
      <c r="H2013" s="49">
        <v>11</v>
      </c>
      <c r="I2013" s="49">
        <v>11</v>
      </c>
      <c r="J2013" s="53" t="s">
        <v>52</v>
      </c>
      <c r="K2013" s="51" t="s">
        <v>576</v>
      </c>
      <c r="L2013" s="102" t="s">
        <v>281</v>
      </c>
      <c r="M2013" s="19" t="str">
        <f t="shared" si="47"/>
        <v>Jun_2018</v>
      </c>
    </row>
    <row r="2014" spans="1:13">
      <c r="A2014" s="45" t="s">
        <v>22</v>
      </c>
      <c r="B2014" s="52" t="s">
        <v>484</v>
      </c>
      <c r="C2014" s="46">
        <v>43261</v>
      </c>
      <c r="D2014" s="47" t="s">
        <v>13</v>
      </c>
      <c r="E2014" s="48">
        <v>0.33333333333333298</v>
      </c>
      <c r="F2014" s="48">
        <v>0.83333333333333304</v>
      </c>
      <c r="G2014" s="49" t="s">
        <v>281</v>
      </c>
      <c r="H2014" s="49">
        <v>11</v>
      </c>
      <c r="I2014" s="49">
        <v>11</v>
      </c>
      <c r="J2014" s="53" t="s">
        <v>52</v>
      </c>
      <c r="K2014" s="51" t="s">
        <v>576</v>
      </c>
      <c r="L2014" s="102" t="s">
        <v>281</v>
      </c>
      <c r="M2014" s="19" t="str">
        <f t="shared" si="47"/>
        <v>Jun_2018</v>
      </c>
    </row>
    <row r="2015" spans="1:13">
      <c r="A2015" s="45" t="s">
        <v>22</v>
      </c>
      <c r="B2015" s="52" t="s">
        <v>23</v>
      </c>
      <c r="C2015" s="46">
        <v>43262</v>
      </c>
      <c r="D2015" s="47" t="s">
        <v>16</v>
      </c>
      <c r="E2015" s="48">
        <v>0.35416666666666702</v>
      </c>
      <c r="F2015" s="48">
        <v>0.72916666666666696</v>
      </c>
      <c r="G2015" s="49">
        <v>0</v>
      </c>
      <c r="H2015" s="49">
        <v>7.9999999999999982</v>
      </c>
      <c r="I2015" s="49">
        <v>7.9999999999999982</v>
      </c>
      <c r="J2015" s="53" t="s">
        <v>30</v>
      </c>
      <c r="K2015" s="51" t="s">
        <v>577</v>
      </c>
      <c r="L2015" s="102" t="s">
        <v>281</v>
      </c>
      <c r="M2015" s="19" t="str">
        <f t="shared" si="47"/>
        <v>Jun_2018</v>
      </c>
    </row>
    <row r="2016" spans="1:13">
      <c r="A2016" s="45" t="s">
        <v>11</v>
      </c>
      <c r="B2016" s="52" t="s">
        <v>12</v>
      </c>
      <c r="C2016" s="54">
        <v>43263</v>
      </c>
      <c r="D2016" s="47" t="s">
        <v>14</v>
      </c>
      <c r="E2016" s="48">
        <v>0.72916666666666696</v>
      </c>
      <c r="F2016" s="48">
        <v>0.85416666666666696</v>
      </c>
      <c r="G2016" s="49">
        <v>8.0000000000000036</v>
      </c>
      <c r="H2016" s="49">
        <v>2.9999999999999947</v>
      </c>
      <c r="I2016" s="49">
        <v>2.9999999999999947</v>
      </c>
      <c r="J2016" s="53" t="s">
        <v>30</v>
      </c>
      <c r="K2016" s="51" t="s">
        <v>578</v>
      </c>
      <c r="L2016" s="102">
        <v>1</v>
      </c>
      <c r="M2016" s="19" t="str">
        <f t="shared" si="47"/>
        <v>Jun_2018</v>
      </c>
    </row>
    <row r="2017" spans="1:13">
      <c r="A2017" s="45" t="s">
        <v>11</v>
      </c>
      <c r="B2017" s="52" t="s">
        <v>19</v>
      </c>
      <c r="C2017" s="46">
        <v>43263</v>
      </c>
      <c r="D2017" s="47" t="s">
        <v>14</v>
      </c>
      <c r="E2017" s="48">
        <v>0.72916666666666696</v>
      </c>
      <c r="F2017" s="48">
        <v>0.85416666666666696</v>
      </c>
      <c r="G2017" s="49">
        <v>8.0000000000000036</v>
      </c>
      <c r="H2017" s="49">
        <v>2.9999999999999947</v>
      </c>
      <c r="I2017" s="49">
        <v>2.9999999999999947</v>
      </c>
      <c r="J2017" s="53" t="s">
        <v>30</v>
      </c>
      <c r="K2017" s="51" t="s">
        <v>578</v>
      </c>
      <c r="L2017" s="102">
        <v>1</v>
      </c>
      <c r="M2017" s="19" t="str">
        <f t="shared" si="47"/>
        <v>Jun_2018</v>
      </c>
    </row>
    <row r="2018" spans="1:13">
      <c r="A2018" s="45" t="s">
        <v>11</v>
      </c>
      <c r="B2018" s="52" t="s">
        <v>26</v>
      </c>
      <c r="C2018" s="46">
        <v>43263</v>
      </c>
      <c r="D2018" s="47" t="s">
        <v>14</v>
      </c>
      <c r="E2018" s="48">
        <v>0.72916666666666696</v>
      </c>
      <c r="F2018" s="48">
        <v>0.75</v>
      </c>
      <c r="G2018" s="49">
        <v>8.0000000000000036</v>
      </c>
      <c r="H2018" s="49">
        <v>0.49999999999998757</v>
      </c>
      <c r="I2018" s="49">
        <v>0.49999999999998757</v>
      </c>
      <c r="J2018" s="53" t="s">
        <v>30</v>
      </c>
      <c r="K2018" s="51" t="s">
        <v>578</v>
      </c>
      <c r="L2018" s="102" t="s">
        <v>281</v>
      </c>
      <c r="M2018" s="19" t="str">
        <f t="shared" si="47"/>
        <v>Jun_2018</v>
      </c>
    </row>
    <row r="2019" spans="1:13">
      <c r="A2019" s="45" t="s">
        <v>11</v>
      </c>
      <c r="B2019" s="52" t="s">
        <v>149</v>
      </c>
      <c r="C2019" s="46">
        <v>43263</v>
      </c>
      <c r="D2019" s="47" t="s">
        <v>14</v>
      </c>
      <c r="E2019" s="48">
        <v>0.72916666666666696</v>
      </c>
      <c r="F2019" s="48">
        <v>0.85416666666666696</v>
      </c>
      <c r="G2019" s="49">
        <v>8.0000000000000036</v>
      </c>
      <c r="H2019" s="49">
        <v>2.9999999999999947</v>
      </c>
      <c r="I2019" s="49">
        <v>2.9999999999999947</v>
      </c>
      <c r="J2019" s="53" t="s">
        <v>30</v>
      </c>
      <c r="K2019" s="51" t="s">
        <v>578</v>
      </c>
      <c r="L2019" s="102">
        <v>1</v>
      </c>
      <c r="M2019" s="19" t="str">
        <f t="shared" si="47"/>
        <v>Jun_2018</v>
      </c>
    </row>
    <row r="2020" spans="1:13">
      <c r="A2020" s="45" t="s">
        <v>11</v>
      </c>
      <c r="B2020" s="52" t="s">
        <v>161</v>
      </c>
      <c r="C2020" s="46">
        <v>43263</v>
      </c>
      <c r="D2020" s="47" t="s">
        <v>14</v>
      </c>
      <c r="E2020" s="48">
        <v>0.72916666666666696</v>
      </c>
      <c r="F2020" s="48">
        <v>0.85416666666666696</v>
      </c>
      <c r="G2020" s="49">
        <v>8.0000000000000036</v>
      </c>
      <c r="H2020" s="49">
        <v>2.9999999999999947</v>
      </c>
      <c r="I2020" s="49">
        <v>2.9999999999999947</v>
      </c>
      <c r="J2020" s="53" t="s">
        <v>30</v>
      </c>
      <c r="K2020" s="51" t="s">
        <v>578</v>
      </c>
      <c r="L2020" s="102">
        <v>1</v>
      </c>
      <c r="M2020" s="19" t="str">
        <f t="shared" si="47"/>
        <v>Jun_2018</v>
      </c>
    </row>
    <row r="2021" spans="1:13">
      <c r="A2021" s="45" t="s">
        <v>11</v>
      </c>
      <c r="B2021" s="52" t="s">
        <v>542</v>
      </c>
      <c r="C2021" s="46">
        <v>43263</v>
      </c>
      <c r="D2021" s="47" t="s">
        <v>14</v>
      </c>
      <c r="E2021" s="48">
        <v>0.72916666666666696</v>
      </c>
      <c r="F2021" s="48">
        <v>0.85416666666666696</v>
      </c>
      <c r="G2021" s="49">
        <v>8.0000000000000036</v>
      </c>
      <c r="H2021" s="49">
        <v>2.9999999999999947</v>
      </c>
      <c r="I2021" s="49">
        <v>2.9999999999999947</v>
      </c>
      <c r="J2021" s="53" t="s">
        <v>30</v>
      </c>
      <c r="K2021" s="51" t="s">
        <v>578</v>
      </c>
      <c r="L2021" s="102">
        <v>1</v>
      </c>
      <c r="M2021" s="19" t="str">
        <f t="shared" si="47"/>
        <v>Jun_2018</v>
      </c>
    </row>
    <row r="2022" spans="1:13">
      <c r="A2022" s="45" t="s">
        <v>11</v>
      </c>
      <c r="B2022" s="52" t="s">
        <v>547</v>
      </c>
      <c r="C2022" s="46">
        <v>43263</v>
      </c>
      <c r="D2022" s="47" t="s">
        <v>14</v>
      </c>
      <c r="E2022" s="48">
        <v>0.72916666666666696</v>
      </c>
      <c r="F2022" s="48">
        <v>0.85416666666666696</v>
      </c>
      <c r="G2022" s="49">
        <v>8.0000000000000036</v>
      </c>
      <c r="H2022" s="49">
        <v>2.9999999999999947</v>
      </c>
      <c r="I2022" s="49">
        <v>2.9999999999999947</v>
      </c>
      <c r="J2022" s="53" t="s">
        <v>30</v>
      </c>
      <c r="K2022" s="51" t="s">
        <v>578</v>
      </c>
      <c r="L2022" s="102">
        <v>1</v>
      </c>
      <c r="M2022" s="19" t="str">
        <f t="shared" si="47"/>
        <v>Jun_2018</v>
      </c>
    </row>
    <row r="2023" spans="1:13">
      <c r="A2023" s="45" t="s">
        <v>11</v>
      </c>
      <c r="B2023" s="52" t="s">
        <v>543</v>
      </c>
      <c r="C2023" s="46">
        <v>43263</v>
      </c>
      <c r="D2023" s="47" t="s">
        <v>14</v>
      </c>
      <c r="E2023" s="48">
        <v>0.72916666666666696</v>
      </c>
      <c r="F2023" s="48">
        <v>0.85416666666666696</v>
      </c>
      <c r="G2023" s="49">
        <v>8.0000000000000036</v>
      </c>
      <c r="H2023" s="49">
        <v>2.9999999999999947</v>
      </c>
      <c r="I2023" s="49">
        <v>2.9999999999999947</v>
      </c>
      <c r="J2023" s="53" t="s">
        <v>30</v>
      </c>
      <c r="K2023" s="51" t="s">
        <v>578</v>
      </c>
      <c r="L2023" s="102">
        <v>1</v>
      </c>
      <c r="M2023" s="19" t="str">
        <f t="shared" si="47"/>
        <v>Jun_2018</v>
      </c>
    </row>
    <row r="2024" spans="1:13">
      <c r="A2024" s="45" t="s">
        <v>11</v>
      </c>
      <c r="B2024" s="52" t="s">
        <v>574</v>
      </c>
      <c r="C2024" s="46">
        <v>43263</v>
      </c>
      <c r="D2024" s="47" t="s">
        <v>14</v>
      </c>
      <c r="E2024" s="48">
        <v>0.72916666666666696</v>
      </c>
      <c r="F2024" s="48">
        <v>0.85416666666666696</v>
      </c>
      <c r="G2024" s="49">
        <v>8.0000000000000036</v>
      </c>
      <c r="H2024" s="49">
        <v>2.9999999999999947</v>
      </c>
      <c r="I2024" s="49">
        <v>2.9999999999999947</v>
      </c>
      <c r="J2024" s="53" t="s">
        <v>30</v>
      </c>
      <c r="K2024" s="51" t="s">
        <v>578</v>
      </c>
      <c r="L2024" s="102">
        <v>1</v>
      </c>
      <c r="M2024" s="19" t="str">
        <f t="shared" si="47"/>
        <v>Jun_2018</v>
      </c>
    </row>
    <row r="2025" spans="1:13">
      <c r="A2025" s="45" t="s">
        <v>22</v>
      </c>
      <c r="B2025" s="52" t="s">
        <v>23</v>
      </c>
      <c r="C2025" s="46">
        <v>43263</v>
      </c>
      <c r="D2025" s="47" t="s">
        <v>14</v>
      </c>
      <c r="E2025" s="48">
        <v>0.35416666666666702</v>
      </c>
      <c r="F2025" s="48">
        <v>0.85416666666666696</v>
      </c>
      <c r="G2025" s="49">
        <v>0</v>
      </c>
      <c r="H2025" s="49">
        <v>10.999999999999998</v>
      </c>
      <c r="I2025" s="49">
        <v>10.999999999999998</v>
      </c>
      <c r="J2025" s="53" t="s">
        <v>30</v>
      </c>
      <c r="K2025" s="51" t="s">
        <v>578</v>
      </c>
      <c r="L2025" s="102" t="s">
        <v>281</v>
      </c>
      <c r="M2025" s="19" t="str">
        <f t="shared" si="47"/>
        <v>Jun_2018</v>
      </c>
    </row>
    <row r="2026" spans="1:13">
      <c r="A2026" s="45" t="s">
        <v>11</v>
      </c>
      <c r="B2026" s="52" t="s">
        <v>12</v>
      </c>
      <c r="C2026" s="54">
        <v>43264</v>
      </c>
      <c r="D2026" s="47" t="s">
        <v>15</v>
      </c>
      <c r="E2026" s="48">
        <v>0.72916666666666696</v>
      </c>
      <c r="F2026" s="48">
        <v>0.875</v>
      </c>
      <c r="G2026" s="49">
        <v>8.0000000000000036</v>
      </c>
      <c r="H2026" s="49">
        <v>3.4999999999999893</v>
      </c>
      <c r="I2026" s="49">
        <v>3.4999999999999893</v>
      </c>
      <c r="J2026" s="53" t="s">
        <v>30</v>
      </c>
      <c r="K2026" s="51" t="s">
        <v>579</v>
      </c>
      <c r="L2026" s="102">
        <v>1</v>
      </c>
      <c r="M2026" s="19" t="str">
        <f t="shared" si="47"/>
        <v>Jun_2018</v>
      </c>
    </row>
    <row r="2027" spans="1:13">
      <c r="A2027" s="45" t="s">
        <v>11</v>
      </c>
      <c r="B2027" s="52" t="s">
        <v>19</v>
      </c>
      <c r="C2027" s="46">
        <v>43264</v>
      </c>
      <c r="D2027" s="47" t="s">
        <v>15</v>
      </c>
      <c r="E2027" s="48">
        <v>0.72916666666666696</v>
      </c>
      <c r="F2027" s="48">
        <v>0.875</v>
      </c>
      <c r="G2027" s="49">
        <v>8.0000000000000036</v>
      </c>
      <c r="H2027" s="49">
        <v>3.4999999999999893</v>
      </c>
      <c r="I2027" s="49">
        <v>3.4999999999999893</v>
      </c>
      <c r="J2027" s="53" t="s">
        <v>30</v>
      </c>
      <c r="K2027" s="51" t="s">
        <v>579</v>
      </c>
      <c r="L2027" s="102">
        <v>1</v>
      </c>
      <c r="M2027" s="19" t="str">
        <f t="shared" si="47"/>
        <v>Jun_2018</v>
      </c>
    </row>
    <row r="2028" spans="1:13">
      <c r="A2028" s="45" t="s">
        <v>11</v>
      </c>
      <c r="B2028" s="52" t="s">
        <v>26</v>
      </c>
      <c r="C2028" s="46">
        <v>43264</v>
      </c>
      <c r="D2028" s="47" t="s">
        <v>15</v>
      </c>
      <c r="E2028" s="48">
        <v>0.66666666666666696</v>
      </c>
      <c r="F2028" s="48">
        <v>0.79166666666666696</v>
      </c>
      <c r="G2028" s="49">
        <v>8.0000000000000036</v>
      </c>
      <c r="H2028" s="49">
        <v>2.9999999999999947</v>
      </c>
      <c r="I2028" s="49">
        <v>2.9999999999999947</v>
      </c>
      <c r="J2028" s="53" t="s">
        <v>30</v>
      </c>
      <c r="K2028" s="51" t="s">
        <v>579</v>
      </c>
      <c r="L2028" s="102">
        <v>1</v>
      </c>
      <c r="M2028" s="19" t="str">
        <f t="shared" si="47"/>
        <v>Jun_2018</v>
      </c>
    </row>
    <row r="2029" spans="1:13">
      <c r="A2029" s="45" t="s">
        <v>11</v>
      </c>
      <c r="B2029" s="52" t="s">
        <v>149</v>
      </c>
      <c r="C2029" s="46">
        <v>43264</v>
      </c>
      <c r="D2029" s="47" t="s">
        <v>15</v>
      </c>
      <c r="E2029" s="48">
        <v>0.72916666666666696</v>
      </c>
      <c r="F2029" s="48">
        <v>0.875</v>
      </c>
      <c r="G2029" s="49">
        <v>8.0000000000000036</v>
      </c>
      <c r="H2029" s="49">
        <v>3.4999999999999893</v>
      </c>
      <c r="I2029" s="49">
        <v>3.4999999999999893</v>
      </c>
      <c r="J2029" s="53" t="s">
        <v>30</v>
      </c>
      <c r="K2029" s="51" t="s">
        <v>579</v>
      </c>
      <c r="L2029" s="102">
        <v>1</v>
      </c>
      <c r="M2029" s="19" t="str">
        <f t="shared" si="47"/>
        <v>Jun_2018</v>
      </c>
    </row>
    <row r="2030" spans="1:13">
      <c r="A2030" s="45" t="s">
        <v>11</v>
      </c>
      <c r="B2030" s="52" t="s">
        <v>161</v>
      </c>
      <c r="C2030" s="46">
        <v>43264</v>
      </c>
      <c r="D2030" s="47" t="s">
        <v>15</v>
      </c>
      <c r="E2030" s="48">
        <v>0.72916666666666696</v>
      </c>
      <c r="F2030" s="48">
        <v>0.875</v>
      </c>
      <c r="G2030" s="49">
        <v>8.0000000000000036</v>
      </c>
      <c r="H2030" s="49">
        <v>3.4999999999999893</v>
      </c>
      <c r="I2030" s="49">
        <v>3.4999999999999893</v>
      </c>
      <c r="J2030" s="53" t="s">
        <v>30</v>
      </c>
      <c r="K2030" s="51" t="s">
        <v>579</v>
      </c>
      <c r="L2030" s="102">
        <v>1</v>
      </c>
      <c r="M2030" s="19" t="str">
        <f t="shared" si="47"/>
        <v>Jun_2018</v>
      </c>
    </row>
    <row r="2031" spans="1:13">
      <c r="A2031" s="45" t="s">
        <v>11</v>
      </c>
      <c r="B2031" s="52" t="s">
        <v>542</v>
      </c>
      <c r="C2031" s="46">
        <v>43264</v>
      </c>
      <c r="D2031" s="47" t="s">
        <v>15</v>
      </c>
      <c r="E2031" s="48">
        <v>0.72916666666666696</v>
      </c>
      <c r="F2031" s="48">
        <v>0.875</v>
      </c>
      <c r="G2031" s="49">
        <v>8.0000000000000036</v>
      </c>
      <c r="H2031" s="49">
        <v>3.4999999999999893</v>
      </c>
      <c r="I2031" s="49">
        <v>3.4999999999999893</v>
      </c>
      <c r="J2031" s="53" t="s">
        <v>30</v>
      </c>
      <c r="K2031" s="51" t="s">
        <v>579</v>
      </c>
      <c r="L2031" s="102">
        <v>1</v>
      </c>
      <c r="M2031" s="19" t="str">
        <f t="shared" si="47"/>
        <v>Jun_2018</v>
      </c>
    </row>
    <row r="2032" spans="1:13">
      <c r="A2032" s="45" t="s">
        <v>11</v>
      </c>
      <c r="B2032" s="52" t="s">
        <v>547</v>
      </c>
      <c r="C2032" s="46">
        <v>43264</v>
      </c>
      <c r="D2032" s="47" t="s">
        <v>15</v>
      </c>
      <c r="E2032" s="48">
        <v>0.72916666666666696</v>
      </c>
      <c r="F2032" s="48">
        <v>0.875</v>
      </c>
      <c r="G2032" s="49">
        <v>8.0000000000000036</v>
      </c>
      <c r="H2032" s="49">
        <v>3.4999999999999893</v>
      </c>
      <c r="I2032" s="49">
        <v>3.4999999999999893</v>
      </c>
      <c r="J2032" s="53" t="s">
        <v>30</v>
      </c>
      <c r="K2032" s="51" t="s">
        <v>579</v>
      </c>
      <c r="L2032" s="102">
        <v>1</v>
      </c>
      <c r="M2032" s="19" t="str">
        <f t="shared" si="47"/>
        <v>Jun_2018</v>
      </c>
    </row>
    <row r="2033" spans="1:13">
      <c r="A2033" s="45" t="s">
        <v>11</v>
      </c>
      <c r="B2033" s="52" t="s">
        <v>543</v>
      </c>
      <c r="C2033" s="46">
        <v>43264</v>
      </c>
      <c r="D2033" s="47" t="s">
        <v>15</v>
      </c>
      <c r="E2033" s="48">
        <v>0.72916666666666696</v>
      </c>
      <c r="F2033" s="48">
        <v>0.875</v>
      </c>
      <c r="G2033" s="49">
        <v>8.0000000000000036</v>
      </c>
      <c r="H2033" s="49">
        <v>3.4999999999999893</v>
      </c>
      <c r="I2033" s="49">
        <v>3.4999999999999893</v>
      </c>
      <c r="J2033" s="53" t="s">
        <v>30</v>
      </c>
      <c r="K2033" s="51" t="s">
        <v>579</v>
      </c>
      <c r="L2033" s="102">
        <v>1</v>
      </c>
      <c r="M2033" s="19" t="str">
        <f t="shared" si="47"/>
        <v>Jun_2018</v>
      </c>
    </row>
    <row r="2034" spans="1:13">
      <c r="A2034" s="45" t="s">
        <v>11</v>
      </c>
      <c r="B2034" s="52" t="s">
        <v>574</v>
      </c>
      <c r="C2034" s="46">
        <v>43264</v>
      </c>
      <c r="D2034" s="47" t="s">
        <v>15</v>
      </c>
      <c r="E2034" s="48">
        <v>0.72916666666666696</v>
      </c>
      <c r="F2034" s="48">
        <v>0.875</v>
      </c>
      <c r="G2034" s="49">
        <v>8.0000000000000036</v>
      </c>
      <c r="H2034" s="49">
        <v>3.4999999999999893</v>
      </c>
      <c r="I2034" s="49">
        <v>3.4999999999999893</v>
      </c>
      <c r="J2034" s="53" t="s">
        <v>30</v>
      </c>
      <c r="K2034" s="51" t="s">
        <v>579</v>
      </c>
      <c r="L2034" s="102">
        <v>1</v>
      </c>
      <c r="M2034" s="19" t="str">
        <f t="shared" si="47"/>
        <v>Jun_2018</v>
      </c>
    </row>
    <row r="2035" spans="1:13">
      <c r="A2035" s="45" t="s">
        <v>22</v>
      </c>
      <c r="B2035" s="52" t="s">
        <v>23</v>
      </c>
      <c r="C2035" s="46">
        <v>43264</v>
      </c>
      <c r="D2035" s="47" t="s">
        <v>15</v>
      </c>
      <c r="E2035" s="48">
        <v>0.35416666666666702</v>
      </c>
      <c r="F2035" s="48">
        <v>0.875</v>
      </c>
      <c r="G2035" s="49">
        <v>0</v>
      </c>
      <c r="H2035" s="49">
        <v>11.499999999999993</v>
      </c>
      <c r="I2035" s="49">
        <v>11.499999999999993</v>
      </c>
      <c r="J2035" s="53" t="s">
        <v>30</v>
      </c>
      <c r="K2035" s="51" t="s">
        <v>579</v>
      </c>
      <c r="L2035" s="102" t="s">
        <v>281</v>
      </c>
      <c r="M2035" s="19" t="str">
        <f t="shared" ref="M2035:M2098" si="48">IF($C2035="","",TEXT(DATE(YEAR($C2035),MONTH($C2035),DAY($C2035)),"MMM")&amp;"_"&amp;YEAR($C2035))</f>
        <v>Jun_2018</v>
      </c>
    </row>
    <row r="2036" spans="1:13">
      <c r="A2036" s="45" t="s">
        <v>22</v>
      </c>
      <c r="B2036" s="52" t="s">
        <v>23</v>
      </c>
      <c r="C2036" s="46">
        <v>43265</v>
      </c>
      <c r="D2036" s="47" t="s">
        <v>25</v>
      </c>
      <c r="E2036" s="48">
        <v>0.35416666666666702</v>
      </c>
      <c r="F2036" s="48">
        <v>0.72916666666666696</v>
      </c>
      <c r="G2036" s="49">
        <v>0</v>
      </c>
      <c r="H2036" s="49">
        <v>7.9999999999999982</v>
      </c>
      <c r="I2036" s="49">
        <v>7.9999999999999982</v>
      </c>
      <c r="J2036" s="53" t="s">
        <v>30</v>
      </c>
      <c r="K2036" s="51" t="s">
        <v>580</v>
      </c>
      <c r="L2036" s="102" t="s">
        <v>281</v>
      </c>
      <c r="M2036" s="19" t="str">
        <f t="shared" si="48"/>
        <v>Jun_2018</v>
      </c>
    </row>
    <row r="2037" spans="1:13">
      <c r="A2037" s="45" t="s">
        <v>22</v>
      </c>
      <c r="B2037" s="52" t="s">
        <v>23</v>
      </c>
      <c r="C2037" s="46">
        <v>43266</v>
      </c>
      <c r="D2037" s="47" t="s">
        <v>17</v>
      </c>
      <c r="E2037" s="48">
        <v>0.35416666666666702</v>
      </c>
      <c r="F2037" s="48">
        <v>0.72916666666666696</v>
      </c>
      <c r="G2037" s="49">
        <v>0</v>
      </c>
      <c r="H2037" s="49">
        <v>7.9999999999999982</v>
      </c>
      <c r="I2037" s="49">
        <v>7.9999999999999982</v>
      </c>
      <c r="J2037" s="53" t="s">
        <v>30</v>
      </c>
      <c r="K2037" s="51" t="s">
        <v>581</v>
      </c>
      <c r="L2037" s="102" t="s">
        <v>281</v>
      </c>
      <c r="M2037" s="19" t="str">
        <f t="shared" si="48"/>
        <v>Jun_2018</v>
      </c>
    </row>
    <row r="2038" spans="1:13">
      <c r="A2038" s="45" t="s">
        <v>22</v>
      </c>
      <c r="B2038" s="52" t="s">
        <v>23</v>
      </c>
      <c r="C2038" s="46">
        <v>43269</v>
      </c>
      <c r="D2038" s="47" t="s">
        <v>16</v>
      </c>
      <c r="E2038" s="48">
        <v>0.35416666666666702</v>
      </c>
      <c r="F2038" s="48">
        <v>0.72916666666666696</v>
      </c>
      <c r="G2038" s="49">
        <v>0</v>
      </c>
      <c r="H2038" s="49">
        <v>7.9999999999999982</v>
      </c>
      <c r="I2038" s="49">
        <v>7.9999999999999982</v>
      </c>
      <c r="J2038" s="53" t="s">
        <v>30</v>
      </c>
      <c r="K2038" s="51" t="s">
        <v>582</v>
      </c>
      <c r="L2038" s="102" t="s">
        <v>281</v>
      </c>
      <c r="M2038" s="19" t="str">
        <f t="shared" si="48"/>
        <v>Jun_2018</v>
      </c>
    </row>
    <row r="2039" spans="1:13">
      <c r="A2039" s="45" t="s">
        <v>11</v>
      </c>
      <c r="B2039" s="52" t="s">
        <v>12</v>
      </c>
      <c r="C2039" s="54">
        <v>43270</v>
      </c>
      <c r="D2039" s="47" t="s">
        <v>14</v>
      </c>
      <c r="E2039" s="48">
        <v>0.72916666666666696</v>
      </c>
      <c r="F2039" s="48">
        <v>0.89583333333333304</v>
      </c>
      <c r="G2039" s="49">
        <v>8.0000000000000036</v>
      </c>
      <c r="H2039" s="49">
        <v>3.9999999999999822</v>
      </c>
      <c r="I2039" s="49">
        <v>3.9999999999999822</v>
      </c>
      <c r="J2039" s="53" t="s">
        <v>30</v>
      </c>
      <c r="K2039" s="51" t="s">
        <v>583</v>
      </c>
      <c r="L2039" s="102">
        <v>1</v>
      </c>
      <c r="M2039" s="19" t="str">
        <f t="shared" si="48"/>
        <v>Jun_2018</v>
      </c>
    </row>
    <row r="2040" spans="1:13">
      <c r="A2040" s="45" t="s">
        <v>11</v>
      </c>
      <c r="B2040" s="52" t="s">
        <v>19</v>
      </c>
      <c r="C2040" s="46">
        <v>43270</v>
      </c>
      <c r="D2040" s="47" t="s">
        <v>14</v>
      </c>
      <c r="E2040" s="48">
        <v>0.72916666666666696</v>
      </c>
      <c r="F2040" s="48">
        <v>0.89583333333333304</v>
      </c>
      <c r="G2040" s="49">
        <v>8.0000000000000036</v>
      </c>
      <c r="H2040" s="49">
        <v>3.9999999999999822</v>
      </c>
      <c r="I2040" s="49">
        <v>3.9999999999999822</v>
      </c>
      <c r="J2040" s="53" t="s">
        <v>30</v>
      </c>
      <c r="K2040" s="51" t="s">
        <v>583</v>
      </c>
      <c r="L2040" s="102">
        <v>1</v>
      </c>
      <c r="M2040" s="19" t="str">
        <f t="shared" si="48"/>
        <v>Jun_2018</v>
      </c>
    </row>
    <row r="2041" spans="1:13">
      <c r="A2041" s="45" t="s">
        <v>11</v>
      </c>
      <c r="B2041" s="52" t="s">
        <v>26</v>
      </c>
      <c r="C2041" s="46">
        <v>43270</v>
      </c>
      <c r="D2041" s="47" t="s">
        <v>14</v>
      </c>
      <c r="E2041" s="48">
        <v>0.72916666666666696</v>
      </c>
      <c r="F2041" s="48">
        <v>0.89583333333333304</v>
      </c>
      <c r="G2041" s="49">
        <v>8.0000000000000036</v>
      </c>
      <c r="H2041" s="49">
        <v>3.9999999999999822</v>
      </c>
      <c r="I2041" s="49">
        <v>3.9999999999999822</v>
      </c>
      <c r="J2041" s="53" t="s">
        <v>30</v>
      </c>
      <c r="K2041" s="51" t="s">
        <v>583</v>
      </c>
      <c r="L2041" s="102">
        <v>1</v>
      </c>
      <c r="M2041" s="19" t="str">
        <f t="shared" si="48"/>
        <v>Jun_2018</v>
      </c>
    </row>
    <row r="2042" spans="1:13">
      <c r="A2042" s="45" t="s">
        <v>11</v>
      </c>
      <c r="B2042" s="52" t="s">
        <v>149</v>
      </c>
      <c r="C2042" s="46">
        <v>43270</v>
      </c>
      <c r="D2042" s="47" t="s">
        <v>14</v>
      </c>
      <c r="E2042" s="48">
        <v>0.72916666666666696</v>
      </c>
      <c r="F2042" s="48">
        <v>0.89583333333333304</v>
      </c>
      <c r="G2042" s="49">
        <v>8.0000000000000036</v>
      </c>
      <c r="H2042" s="49">
        <v>3.9999999999999822</v>
      </c>
      <c r="I2042" s="49">
        <v>3.9999999999999822</v>
      </c>
      <c r="J2042" s="53" t="s">
        <v>30</v>
      </c>
      <c r="K2042" s="51" t="s">
        <v>583</v>
      </c>
      <c r="L2042" s="102">
        <v>1</v>
      </c>
      <c r="M2042" s="19" t="str">
        <f t="shared" si="48"/>
        <v>Jun_2018</v>
      </c>
    </row>
    <row r="2043" spans="1:13">
      <c r="A2043" s="45" t="s">
        <v>11</v>
      </c>
      <c r="B2043" s="52" t="s">
        <v>161</v>
      </c>
      <c r="C2043" s="46">
        <v>43270</v>
      </c>
      <c r="D2043" s="47" t="s">
        <v>14</v>
      </c>
      <c r="E2043" s="48">
        <v>0.72916666666666696</v>
      </c>
      <c r="F2043" s="48">
        <v>0.89583333333333304</v>
      </c>
      <c r="G2043" s="49">
        <v>8.0000000000000036</v>
      </c>
      <c r="H2043" s="49">
        <v>3.9999999999999822</v>
      </c>
      <c r="I2043" s="49">
        <v>3.9999999999999822</v>
      </c>
      <c r="J2043" s="53" t="s">
        <v>30</v>
      </c>
      <c r="K2043" s="51" t="s">
        <v>583</v>
      </c>
      <c r="L2043" s="102">
        <v>1</v>
      </c>
      <c r="M2043" s="19" t="str">
        <f t="shared" si="48"/>
        <v>Jun_2018</v>
      </c>
    </row>
    <row r="2044" spans="1:13">
      <c r="A2044" s="45" t="s">
        <v>11</v>
      </c>
      <c r="B2044" s="52" t="s">
        <v>542</v>
      </c>
      <c r="C2044" s="46">
        <v>43270</v>
      </c>
      <c r="D2044" s="47" t="s">
        <v>14</v>
      </c>
      <c r="E2044" s="48">
        <v>0.72916666666666696</v>
      </c>
      <c r="F2044" s="48">
        <v>0.89583333333333304</v>
      </c>
      <c r="G2044" s="49">
        <v>8.0000000000000036</v>
      </c>
      <c r="H2044" s="49">
        <v>3.9999999999999822</v>
      </c>
      <c r="I2044" s="49">
        <v>3.9999999999999822</v>
      </c>
      <c r="J2044" s="53" t="s">
        <v>30</v>
      </c>
      <c r="K2044" s="51" t="s">
        <v>583</v>
      </c>
      <c r="L2044" s="102">
        <v>1</v>
      </c>
      <c r="M2044" s="19" t="str">
        <f t="shared" si="48"/>
        <v>Jun_2018</v>
      </c>
    </row>
    <row r="2045" spans="1:13">
      <c r="A2045" s="45" t="s">
        <v>11</v>
      </c>
      <c r="B2045" s="52" t="s">
        <v>547</v>
      </c>
      <c r="C2045" s="46">
        <v>43270</v>
      </c>
      <c r="D2045" s="47" t="s">
        <v>14</v>
      </c>
      <c r="E2045" s="48">
        <v>0.72916666666666696</v>
      </c>
      <c r="F2045" s="48">
        <v>0.89583333333333304</v>
      </c>
      <c r="G2045" s="49">
        <v>8.0000000000000036</v>
      </c>
      <c r="H2045" s="49">
        <v>3.9999999999999822</v>
      </c>
      <c r="I2045" s="49">
        <v>3.9999999999999822</v>
      </c>
      <c r="J2045" s="53" t="s">
        <v>30</v>
      </c>
      <c r="K2045" s="51" t="s">
        <v>583</v>
      </c>
      <c r="L2045" s="102">
        <v>1</v>
      </c>
      <c r="M2045" s="19" t="str">
        <f t="shared" si="48"/>
        <v>Jun_2018</v>
      </c>
    </row>
    <row r="2046" spans="1:13">
      <c r="A2046" s="45" t="s">
        <v>11</v>
      </c>
      <c r="B2046" s="52" t="s">
        <v>543</v>
      </c>
      <c r="C2046" s="46">
        <v>43270</v>
      </c>
      <c r="D2046" s="47" t="s">
        <v>14</v>
      </c>
      <c r="E2046" s="48">
        <v>0.72916666666666696</v>
      </c>
      <c r="F2046" s="48">
        <v>0.89583333333333304</v>
      </c>
      <c r="G2046" s="49">
        <v>8.0000000000000036</v>
      </c>
      <c r="H2046" s="49">
        <v>3.9999999999999822</v>
      </c>
      <c r="I2046" s="49">
        <v>3.9999999999999822</v>
      </c>
      <c r="J2046" s="53" t="s">
        <v>30</v>
      </c>
      <c r="K2046" s="51" t="s">
        <v>583</v>
      </c>
      <c r="L2046" s="102">
        <v>1</v>
      </c>
      <c r="M2046" s="19" t="str">
        <f t="shared" si="48"/>
        <v>Jun_2018</v>
      </c>
    </row>
    <row r="2047" spans="1:13">
      <c r="A2047" s="45" t="s">
        <v>11</v>
      </c>
      <c r="B2047" s="52" t="s">
        <v>574</v>
      </c>
      <c r="C2047" s="46">
        <v>43270</v>
      </c>
      <c r="D2047" s="47" t="s">
        <v>14</v>
      </c>
      <c r="E2047" s="48">
        <v>0.72916666666666696</v>
      </c>
      <c r="F2047" s="48">
        <v>0.89583333333333304</v>
      </c>
      <c r="G2047" s="49">
        <v>8.0000000000000036</v>
      </c>
      <c r="H2047" s="49">
        <v>3.9999999999999822</v>
      </c>
      <c r="I2047" s="49">
        <v>3.9999999999999822</v>
      </c>
      <c r="J2047" s="53" t="s">
        <v>30</v>
      </c>
      <c r="K2047" s="51" t="s">
        <v>583</v>
      </c>
      <c r="L2047" s="102">
        <v>1</v>
      </c>
      <c r="M2047" s="19" t="str">
        <f t="shared" si="48"/>
        <v>Jun_2018</v>
      </c>
    </row>
    <row r="2048" spans="1:13">
      <c r="A2048" s="45" t="s">
        <v>22</v>
      </c>
      <c r="B2048" s="52" t="s">
        <v>23</v>
      </c>
      <c r="C2048" s="46">
        <v>43270</v>
      </c>
      <c r="D2048" s="47" t="s">
        <v>14</v>
      </c>
      <c r="E2048" s="48">
        <v>0.35416666666666702</v>
      </c>
      <c r="F2048" s="48">
        <v>0.89583333333333304</v>
      </c>
      <c r="G2048" s="49">
        <v>0</v>
      </c>
      <c r="H2048" s="49">
        <v>11.999999999999986</v>
      </c>
      <c r="I2048" s="49">
        <v>11.999999999999986</v>
      </c>
      <c r="J2048" s="53" t="s">
        <v>30</v>
      </c>
      <c r="K2048" s="51" t="s">
        <v>583</v>
      </c>
      <c r="L2048" s="102" t="s">
        <v>281</v>
      </c>
      <c r="M2048" s="19" t="str">
        <f t="shared" si="48"/>
        <v>Jun_2018</v>
      </c>
    </row>
    <row r="2049" spans="1:13">
      <c r="A2049" s="45" t="s">
        <v>22</v>
      </c>
      <c r="B2049" s="52" t="s">
        <v>23</v>
      </c>
      <c r="C2049" s="46">
        <v>43271</v>
      </c>
      <c r="D2049" s="47" t="s">
        <v>15</v>
      </c>
      <c r="E2049" s="48">
        <v>0.35416666666666702</v>
      </c>
      <c r="F2049" s="48">
        <v>0.72916666666666696</v>
      </c>
      <c r="G2049" s="49">
        <v>0</v>
      </c>
      <c r="H2049" s="49">
        <v>7.9999999999999982</v>
      </c>
      <c r="I2049" s="49">
        <v>7.9999999999999982</v>
      </c>
      <c r="J2049" s="53" t="s">
        <v>30</v>
      </c>
      <c r="K2049" s="51" t="s">
        <v>584</v>
      </c>
      <c r="L2049" s="102" t="s">
        <v>281</v>
      </c>
      <c r="M2049" s="19" t="str">
        <f t="shared" si="48"/>
        <v>Jun_2018</v>
      </c>
    </row>
    <row r="2050" spans="1:13">
      <c r="A2050" s="45" t="s">
        <v>22</v>
      </c>
      <c r="B2050" s="52" t="s">
        <v>23</v>
      </c>
      <c r="C2050" s="46">
        <v>43272</v>
      </c>
      <c r="D2050" s="47" t="s">
        <v>25</v>
      </c>
      <c r="E2050" s="48">
        <v>0.35416666666666702</v>
      </c>
      <c r="F2050" s="48">
        <v>0.72916666666666696</v>
      </c>
      <c r="G2050" s="49">
        <v>0</v>
      </c>
      <c r="H2050" s="49">
        <v>7.9999999999999982</v>
      </c>
      <c r="I2050" s="49">
        <v>7.9999999999999982</v>
      </c>
      <c r="J2050" s="53" t="s">
        <v>30</v>
      </c>
      <c r="K2050" s="51" t="s">
        <v>585</v>
      </c>
      <c r="L2050" s="102" t="s">
        <v>281</v>
      </c>
      <c r="M2050" s="19" t="str">
        <f t="shared" si="48"/>
        <v>Jun_2018</v>
      </c>
    </row>
    <row r="2051" spans="1:13">
      <c r="A2051" s="45" t="s">
        <v>22</v>
      </c>
      <c r="B2051" s="52" t="s">
        <v>23</v>
      </c>
      <c r="C2051" s="46">
        <v>43273</v>
      </c>
      <c r="D2051" s="47" t="s">
        <v>17</v>
      </c>
      <c r="E2051" s="48">
        <v>0.35416666666666702</v>
      </c>
      <c r="F2051" s="48">
        <v>0.72916666666666696</v>
      </c>
      <c r="G2051" s="49">
        <v>0</v>
      </c>
      <c r="H2051" s="49">
        <v>7.9999999999999982</v>
      </c>
      <c r="I2051" s="49">
        <v>7.9999999999999982</v>
      </c>
      <c r="J2051" s="53" t="s">
        <v>30</v>
      </c>
      <c r="K2051" s="51" t="s">
        <v>586</v>
      </c>
      <c r="L2051" s="102" t="s">
        <v>281</v>
      </c>
      <c r="M2051" s="19" t="str">
        <f t="shared" si="48"/>
        <v>Jun_2018</v>
      </c>
    </row>
    <row r="2052" spans="1:13">
      <c r="A2052" s="45" t="s">
        <v>11</v>
      </c>
      <c r="B2052" s="52" t="s">
        <v>12</v>
      </c>
      <c r="C2052" s="54">
        <v>43276</v>
      </c>
      <c r="D2052" s="47" t="s">
        <v>16</v>
      </c>
      <c r="E2052" s="48">
        <v>0.77083333333333304</v>
      </c>
      <c r="F2052" s="48">
        <v>0.89583333333333304</v>
      </c>
      <c r="G2052" s="49">
        <v>8.0000000000000036</v>
      </c>
      <c r="H2052" s="49">
        <v>2.9999999999999964</v>
      </c>
      <c r="I2052" s="49">
        <v>2.9999999999999964</v>
      </c>
      <c r="J2052" s="53" t="s">
        <v>30</v>
      </c>
      <c r="K2052" s="51" t="s">
        <v>587</v>
      </c>
      <c r="L2052" s="102">
        <v>1</v>
      </c>
      <c r="M2052" s="19" t="str">
        <f t="shared" si="48"/>
        <v>Jun_2018</v>
      </c>
    </row>
    <row r="2053" spans="1:13">
      <c r="A2053" s="45" t="s">
        <v>11</v>
      </c>
      <c r="B2053" s="52" t="s">
        <v>19</v>
      </c>
      <c r="C2053" s="46">
        <v>43276</v>
      </c>
      <c r="D2053" s="47" t="s">
        <v>16</v>
      </c>
      <c r="E2053" s="48">
        <v>0.72916666666666696</v>
      </c>
      <c r="F2053" s="48">
        <v>0.89583333333333304</v>
      </c>
      <c r="G2053" s="49">
        <v>8.0000000000000036</v>
      </c>
      <c r="H2053" s="49">
        <v>3.9999999999999822</v>
      </c>
      <c r="I2053" s="49">
        <v>3.9999999999999822</v>
      </c>
      <c r="J2053" s="53" t="s">
        <v>30</v>
      </c>
      <c r="K2053" s="51" t="s">
        <v>587</v>
      </c>
      <c r="L2053" s="102">
        <v>1</v>
      </c>
      <c r="M2053" s="19" t="str">
        <f t="shared" si="48"/>
        <v>Jun_2018</v>
      </c>
    </row>
    <row r="2054" spans="1:13">
      <c r="A2054" s="45" t="s">
        <v>11</v>
      </c>
      <c r="B2054" s="52" t="s">
        <v>26</v>
      </c>
      <c r="C2054" s="46">
        <v>43276</v>
      </c>
      <c r="D2054" s="47" t="s">
        <v>16</v>
      </c>
      <c r="E2054" s="48">
        <v>0.6875</v>
      </c>
      <c r="F2054" s="48">
        <v>0.85416666666666696</v>
      </c>
      <c r="G2054" s="49">
        <v>8.0000000000000036</v>
      </c>
      <c r="H2054" s="49">
        <v>4.0000000000000036</v>
      </c>
      <c r="I2054" s="49">
        <v>4.0000000000000036</v>
      </c>
      <c r="J2054" s="53" t="s">
        <v>30</v>
      </c>
      <c r="K2054" s="51" t="s">
        <v>587</v>
      </c>
      <c r="L2054" s="102">
        <v>1</v>
      </c>
      <c r="M2054" s="19" t="str">
        <f t="shared" si="48"/>
        <v>Jun_2018</v>
      </c>
    </row>
    <row r="2055" spans="1:13">
      <c r="A2055" s="45" t="s">
        <v>11</v>
      </c>
      <c r="B2055" s="52" t="s">
        <v>149</v>
      </c>
      <c r="C2055" s="46">
        <v>43276</v>
      </c>
      <c r="D2055" s="47" t="s">
        <v>16</v>
      </c>
      <c r="E2055" s="48">
        <v>0.72916666666666696</v>
      </c>
      <c r="F2055" s="48">
        <v>0.89583333333333304</v>
      </c>
      <c r="G2055" s="49">
        <v>8.0000000000000036</v>
      </c>
      <c r="H2055" s="49">
        <v>3.9999999999999822</v>
      </c>
      <c r="I2055" s="49">
        <v>3.9999999999999822</v>
      </c>
      <c r="J2055" s="53" t="s">
        <v>30</v>
      </c>
      <c r="K2055" s="51" t="s">
        <v>587</v>
      </c>
      <c r="L2055" s="102">
        <v>1</v>
      </c>
      <c r="M2055" s="19" t="str">
        <f t="shared" si="48"/>
        <v>Jun_2018</v>
      </c>
    </row>
    <row r="2056" spans="1:13">
      <c r="A2056" s="45" t="s">
        <v>11</v>
      </c>
      <c r="B2056" s="52" t="s">
        <v>161</v>
      </c>
      <c r="C2056" s="46">
        <v>43276</v>
      </c>
      <c r="D2056" s="47" t="s">
        <v>16</v>
      </c>
      <c r="E2056" s="48">
        <v>0.72916666666666696</v>
      </c>
      <c r="F2056" s="48">
        <v>0.89583333333333304</v>
      </c>
      <c r="G2056" s="49">
        <v>8.0000000000000036</v>
      </c>
      <c r="H2056" s="49">
        <v>3.9999999999999822</v>
      </c>
      <c r="I2056" s="49">
        <v>3.9999999999999822</v>
      </c>
      <c r="J2056" s="53" t="s">
        <v>30</v>
      </c>
      <c r="K2056" s="51" t="s">
        <v>587</v>
      </c>
      <c r="L2056" s="102">
        <v>1</v>
      </c>
      <c r="M2056" s="19" t="str">
        <f t="shared" si="48"/>
        <v>Jun_2018</v>
      </c>
    </row>
    <row r="2057" spans="1:13">
      <c r="A2057" s="45" t="s">
        <v>11</v>
      </c>
      <c r="B2057" s="52" t="s">
        <v>542</v>
      </c>
      <c r="C2057" s="46">
        <v>43276</v>
      </c>
      <c r="D2057" s="47" t="s">
        <v>16</v>
      </c>
      <c r="E2057" s="48">
        <v>0.72916666666666696</v>
      </c>
      <c r="F2057" s="48">
        <v>0.89583333333333304</v>
      </c>
      <c r="G2057" s="49">
        <v>8.0000000000000036</v>
      </c>
      <c r="H2057" s="49">
        <v>3.9999999999999822</v>
      </c>
      <c r="I2057" s="49">
        <v>3.9999999999999822</v>
      </c>
      <c r="J2057" s="53" t="s">
        <v>30</v>
      </c>
      <c r="K2057" s="51" t="s">
        <v>587</v>
      </c>
      <c r="L2057" s="102">
        <v>1</v>
      </c>
      <c r="M2057" s="19" t="str">
        <f t="shared" si="48"/>
        <v>Jun_2018</v>
      </c>
    </row>
    <row r="2058" spans="1:13">
      <c r="A2058" s="45" t="s">
        <v>11</v>
      </c>
      <c r="B2058" s="52" t="s">
        <v>547</v>
      </c>
      <c r="C2058" s="46">
        <v>43276</v>
      </c>
      <c r="D2058" s="47" t="s">
        <v>16</v>
      </c>
      <c r="E2058" s="48">
        <v>0.72916666666666696</v>
      </c>
      <c r="F2058" s="48">
        <v>0.89583333333333304</v>
      </c>
      <c r="G2058" s="49">
        <v>8.0000000000000036</v>
      </c>
      <c r="H2058" s="49">
        <v>3.9999999999999822</v>
      </c>
      <c r="I2058" s="49">
        <v>3.9999999999999822</v>
      </c>
      <c r="J2058" s="53" t="s">
        <v>30</v>
      </c>
      <c r="K2058" s="51" t="s">
        <v>587</v>
      </c>
      <c r="L2058" s="102">
        <v>1</v>
      </c>
      <c r="M2058" s="19" t="str">
        <f t="shared" si="48"/>
        <v>Jun_2018</v>
      </c>
    </row>
    <row r="2059" spans="1:13">
      <c r="A2059" s="45" t="s">
        <v>11</v>
      </c>
      <c r="B2059" s="52" t="s">
        <v>543</v>
      </c>
      <c r="C2059" s="46">
        <v>43276</v>
      </c>
      <c r="D2059" s="47" t="s">
        <v>16</v>
      </c>
      <c r="E2059" s="48">
        <v>0.72916666666666696</v>
      </c>
      <c r="F2059" s="48">
        <v>0.89583333333333304</v>
      </c>
      <c r="G2059" s="49">
        <v>8.0000000000000036</v>
      </c>
      <c r="H2059" s="49">
        <v>3.9999999999999822</v>
      </c>
      <c r="I2059" s="49">
        <v>3.9999999999999822</v>
      </c>
      <c r="J2059" s="53" t="s">
        <v>30</v>
      </c>
      <c r="K2059" s="51" t="s">
        <v>587</v>
      </c>
      <c r="L2059" s="102">
        <v>1</v>
      </c>
      <c r="M2059" s="19" t="str">
        <f t="shared" si="48"/>
        <v>Jun_2018</v>
      </c>
    </row>
    <row r="2060" spans="1:13">
      <c r="A2060" s="45" t="s">
        <v>11</v>
      </c>
      <c r="B2060" s="52" t="s">
        <v>574</v>
      </c>
      <c r="C2060" s="46">
        <v>43276</v>
      </c>
      <c r="D2060" s="47" t="s">
        <v>16</v>
      </c>
      <c r="E2060" s="48">
        <v>0.72916666666666696</v>
      </c>
      <c r="F2060" s="48">
        <v>0.89583333333333304</v>
      </c>
      <c r="G2060" s="49">
        <v>8.0000000000000036</v>
      </c>
      <c r="H2060" s="49">
        <v>3.9999999999999822</v>
      </c>
      <c r="I2060" s="49">
        <v>3.9999999999999822</v>
      </c>
      <c r="J2060" s="53" t="s">
        <v>30</v>
      </c>
      <c r="K2060" s="51" t="s">
        <v>587</v>
      </c>
      <c r="L2060" s="102">
        <v>1</v>
      </c>
      <c r="M2060" s="19" t="str">
        <f t="shared" si="48"/>
        <v>Jun_2018</v>
      </c>
    </row>
    <row r="2061" spans="1:13">
      <c r="A2061" s="45" t="s">
        <v>22</v>
      </c>
      <c r="B2061" s="52" t="s">
        <v>23</v>
      </c>
      <c r="C2061" s="46">
        <v>43276</v>
      </c>
      <c r="D2061" s="47" t="s">
        <v>16</v>
      </c>
      <c r="E2061" s="48">
        <v>0.35416666666666702</v>
      </c>
      <c r="F2061" s="48">
        <v>0.89583333333333304</v>
      </c>
      <c r="G2061" s="49">
        <v>0</v>
      </c>
      <c r="H2061" s="49">
        <v>11.999999999999986</v>
      </c>
      <c r="I2061" s="49">
        <v>11.999999999999986</v>
      </c>
      <c r="J2061" s="53" t="s">
        <v>30</v>
      </c>
      <c r="K2061" s="51" t="s">
        <v>587</v>
      </c>
      <c r="L2061" s="102" t="s">
        <v>281</v>
      </c>
      <c r="M2061" s="19" t="str">
        <f t="shared" si="48"/>
        <v>Jun_2018</v>
      </c>
    </row>
    <row r="2062" spans="1:13">
      <c r="A2062" s="45" t="s">
        <v>11</v>
      </c>
      <c r="B2062" s="52" t="s">
        <v>12</v>
      </c>
      <c r="C2062" s="54">
        <v>43277</v>
      </c>
      <c r="D2062" s="47" t="s">
        <v>14</v>
      </c>
      <c r="E2062" s="48">
        <v>0.70833333333333304</v>
      </c>
      <c r="F2062" s="48">
        <v>0.875</v>
      </c>
      <c r="G2062" s="49">
        <v>8.0000000000000036</v>
      </c>
      <c r="H2062" s="49">
        <v>4.0000000000000036</v>
      </c>
      <c r="I2062" s="49">
        <v>4.0000000000000036</v>
      </c>
      <c r="J2062" s="53" t="s">
        <v>30</v>
      </c>
      <c r="K2062" s="51" t="s">
        <v>588</v>
      </c>
      <c r="L2062" s="102">
        <v>1</v>
      </c>
      <c r="M2062" s="19" t="str">
        <f t="shared" si="48"/>
        <v>Jun_2018</v>
      </c>
    </row>
    <row r="2063" spans="1:13">
      <c r="A2063" s="45" t="s">
        <v>11</v>
      </c>
      <c r="B2063" s="52" t="s">
        <v>26</v>
      </c>
      <c r="C2063" s="46">
        <v>43277</v>
      </c>
      <c r="D2063" s="47" t="s">
        <v>14</v>
      </c>
      <c r="E2063" s="48">
        <v>0.70833333333333304</v>
      </c>
      <c r="F2063" s="48">
        <v>0.875</v>
      </c>
      <c r="G2063" s="49">
        <v>8.0000000000000036</v>
      </c>
      <c r="H2063" s="49">
        <v>4.0000000000000036</v>
      </c>
      <c r="I2063" s="49">
        <v>4.0000000000000036</v>
      </c>
      <c r="J2063" s="53" t="s">
        <v>30</v>
      </c>
      <c r="K2063" s="51" t="s">
        <v>588</v>
      </c>
      <c r="L2063" s="102">
        <v>1</v>
      </c>
      <c r="M2063" s="19" t="str">
        <f t="shared" si="48"/>
        <v>Jun_2018</v>
      </c>
    </row>
    <row r="2064" spans="1:13">
      <c r="A2064" s="45" t="s">
        <v>11</v>
      </c>
      <c r="B2064" s="52" t="s">
        <v>149</v>
      </c>
      <c r="C2064" s="46">
        <v>43277</v>
      </c>
      <c r="D2064" s="47" t="s">
        <v>14</v>
      </c>
      <c r="E2064" s="48">
        <v>0.70833333333333304</v>
      </c>
      <c r="F2064" s="48">
        <v>0.875</v>
      </c>
      <c r="G2064" s="49">
        <v>8.0000000000000036</v>
      </c>
      <c r="H2064" s="49">
        <v>4.0000000000000036</v>
      </c>
      <c r="I2064" s="49">
        <v>4.0000000000000036</v>
      </c>
      <c r="J2064" s="53" t="s">
        <v>30</v>
      </c>
      <c r="K2064" s="51" t="s">
        <v>588</v>
      </c>
      <c r="L2064" s="102">
        <v>1</v>
      </c>
      <c r="M2064" s="19" t="str">
        <f t="shared" si="48"/>
        <v>Jun_2018</v>
      </c>
    </row>
    <row r="2065" spans="1:13">
      <c r="A2065" s="45" t="s">
        <v>11</v>
      </c>
      <c r="B2065" s="52" t="s">
        <v>161</v>
      </c>
      <c r="C2065" s="46">
        <v>43277</v>
      </c>
      <c r="D2065" s="47" t="s">
        <v>14</v>
      </c>
      <c r="E2065" s="48">
        <v>0.70833333333333304</v>
      </c>
      <c r="F2065" s="48">
        <v>0.875</v>
      </c>
      <c r="G2065" s="49">
        <v>8.0000000000000036</v>
      </c>
      <c r="H2065" s="49">
        <v>4.0000000000000036</v>
      </c>
      <c r="I2065" s="49">
        <v>4.0000000000000036</v>
      </c>
      <c r="J2065" s="53" t="s">
        <v>30</v>
      </c>
      <c r="K2065" s="51" t="s">
        <v>588</v>
      </c>
      <c r="L2065" s="102">
        <v>1</v>
      </c>
      <c r="M2065" s="19" t="str">
        <f t="shared" si="48"/>
        <v>Jun_2018</v>
      </c>
    </row>
    <row r="2066" spans="1:13">
      <c r="A2066" s="45" t="s">
        <v>11</v>
      </c>
      <c r="B2066" s="52" t="s">
        <v>542</v>
      </c>
      <c r="C2066" s="46">
        <v>43277</v>
      </c>
      <c r="D2066" s="47" t="s">
        <v>14</v>
      </c>
      <c r="E2066" s="48">
        <v>0.64583333333333304</v>
      </c>
      <c r="F2066" s="48">
        <v>0.8125</v>
      </c>
      <c r="G2066" s="49">
        <v>8.0000000000000036</v>
      </c>
      <c r="H2066" s="49">
        <v>4.0000000000000036</v>
      </c>
      <c r="I2066" s="49">
        <v>4.0000000000000036</v>
      </c>
      <c r="J2066" s="53" t="s">
        <v>30</v>
      </c>
      <c r="K2066" s="51" t="s">
        <v>588</v>
      </c>
      <c r="L2066" s="102">
        <v>1</v>
      </c>
      <c r="M2066" s="19" t="str">
        <f t="shared" si="48"/>
        <v>Jun_2018</v>
      </c>
    </row>
    <row r="2067" spans="1:13">
      <c r="A2067" s="45" t="s">
        <v>11</v>
      </c>
      <c r="B2067" s="52" t="s">
        <v>547</v>
      </c>
      <c r="C2067" s="46">
        <v>43277</v>
      </c>
      <c r="D2067" s="47" t="s">
        <v>14</v>
      </c>
      <c r="E2067" s="48">
        <v>0.70833333333333304</v>
      </c>
      <c r="F2067" s="48">
        <v>0.875</v>
      </c>
      <c r="G2067" s="49">
        <v>8.0000000000000036</v>
      </c>
      <c r="H2067" s="49">
        <v>4.0000000000000036</v>
      </c>
      <c r="I2067" s="49">
        <v>4.0000000000000036</v>
      </c>
      <c r="J2067" s="53" t="s">
        <v>30</v>
      </c>
      <c r="K2067" s="51" t="s">
        <v>588</v>
      </c>
      <c r="L2067" s="102">
        <v>1</v>
      </c>
      <c r="M2067" s="19" t="str">
        <f t="shared" si="48"/>
        <v>Jun_2018</v>
      </c>
    </row>
    <row r="2068" spans="1:13">
      <c r="A2068" s="45" t="s">
        <v>11</v>
      </c>
      <c r="B2068" s="52" t="s">
        <v>543</v>
      </c>
      <c r="C2068" s="46">
        <v>43277</v>
      </c>
      <c r="D2068" s="47" t="s">
        <v>14</v>
      </c>
      <c r="E2068" s="48">
        <v>0.70833333333333304</v>
      </c>
      <c r="F2068" s="48">
        <v>0.875</v>
      </c>
      <c r="G2068" s="49">
        <v>8.0000000000000036</v>
      </c>
      <c r="H2068" s="49">
        <v>4.0000000000000036</v>
      </c>
      <c r="I2068" s="49">
        <v>4.0000000000000036</v>
      </c>
      <c r="J2068" s="53" t="s">
        <v>30</v>
      </c>
      <c r="K2068" s="51" t="s">
        <v>588</v>
      </c>
      <c r="L2068" s="102">
        <v>1</v>
      </c>
      <c r="M2068" s="19" t="str">
        <f t="shared" si="48"/>
        <v>Jun_2018</v>
      </c>
    </row>
    <row r="2069" spans="1:13">
      <c r="A2069" s="45" t="s">
        <v>22</v>
      </c>
      <c r="B2069" s="52" t="s">
        <v>23</v>
      </c>
      <c r="C2069" s="46">
        <v>43277</v>
      </c>
      <c r="D2069" s="47" t="s">
        <v>14</v>
      </c>
      <c r="E2069" s="48">
        <v>0.33333333333333298</v>
      </c>
      <c r="F2069" s="48">
        <v>0.875</v>
      </c>
      <c r="G2069" s="49">
        <v>0</v>
      </c>
      <c r="H2069" s="49">
        <v>12.000000000000007</v>
      </c>
      <c r="I2069" s="49">
        <v>12.000000000000007</v>
      </c>
      <c r="J2069" s="53" t="s">
        <v>30</v>
      </c>
      <c r="K2069" s="51" t="s">
        <v>588</v>
      </c>
      <c r="L2069" s="102" t="s">
        <v>281</v>
      </c>
      <c r="M2069" s="19" t="str">
        <f t="shared" si="48"/>
        <v>Jun_2018</v>
      </c>
    </row>
    <row r="2070" spans="1:13">
      <c r="A2070" s="45" t="s">
        <v>11</v>
      </c>
      <c r="B2070" s="52" t="s">
        <v>12</v>
      </c>
      <c r="C2070" s="54">
        <v>43278</v>
      </c>
      <c r="D2070" s="47" t="s">
        <v>15</v>
      </c>
      <c r="E2070" s="48">
        <v>0.70833333333333304</v>
      </c>
      <c r="F2070" s="48">
        <v>0.875</v>
      </c>
      <c r="G2070" s="49">
        <v>8.0000000000000036</v>
      </c>
      <c r="H2070" s="49">
        <v>4.0000000000000036</v>
      </c>
      <c r="I2070" s="49">
        <v>4.0000000000000036</v>
      </c>
      <c r="J2070" s="53" t="s">
        <v>30</v>
      </c>
      <c r="K2070" s="51" t="s">
        <v>589</v>
      </c>
      <c r="L2070" s="102">
        <v>1</v>
      </c>
      <c r="M2070" s="19" t="str">
        <f t="shared" si="48"/>
        <v>Jun_2018</v>
      </c>
    </row>
    <row r="2071" spans="1:13">
      <c r="A2071" s="45" t="s">
        <v>11</v>
      </c>
      <c r="B2071" s="52" t="s">
        <v>19</v>
      </c>
      <c r="C2071" s="46">
        <v>43278</v>
      </c>
      <c r="D2071" s="47" t="s">
        <v>15</v>
      </c>
      <c r="E2071" s="48">
        <v>0.70833333333333304</v>
      </c>
      <c r="F2071" s="48">
        <v>0.85416666666666696</v>
      </c>
      <c r="G2071" s="49">
        <v>8.0000000000000036</v>
      </c>
      <c r="H2071" s="49">
        <v>3.5000000000000107</v>
      </c>
      <c r="I2071" s="49">
        <v>3.5000000000000107</v>
      </c>
      <c r="J2071" s="53" t="s">
        <v>30</v>
      </c>
      <c r="K2071" s="51" t="s">
        <v>589</v>
      </c>
      <c r="L2071" s="102">
        <v>1</v>
      </c>
      <c r="M2071" s="19" t="str">
        <f t="shared" si="48"/>
        <v>Jun_2018</v>
      </c>
    </row>
    <row r="2072" spans="1:13">
      <c r="A2072" s="45" t="s">
        <v>11</v>
      </c>
      <c r="B2072" s="52" t="s">
        <v>149</v>
      </c>
      <c r="C2072" s="46">
        <v>43278</v>
      </c>
      <c r="D2072" s="47" t="s">
        <v>15</v>
      </c>
      <c r="E2072" s="48">
        <v>0.70833333333333304</v>
      </c>
      <c r="F2072" s="48">
        <v>0.875</v>
      </c>
      <c r="G2072" s="49">
        <v>8.0000000000000036</v>
      </c>
      <c r="H2072" s="49">
        <v>4.0000000000000036</v>
      </c>
      <c r="I2072" s="49">
        <v>4.0000000000000036</v>
      </c>
      <c r="J2072" s="53" t="s">
        <v>30</v>
      </c>
      <c r="K2072" s="51" t="s">
        <v>589</v>
      </c>
      <c r="L2072" s="102">
        <v>1</v>
      </c>
      <c r="M2072" s="19" t="str">
        <f t="shared" si="48"/>
        <v>Jun_2018</v>
      </c>
    </row>
    <row r="2073" spans="1:13">
      <c r="A2073" s="45" t="s">
        <v>11</v>
      </c>
      <c r="B2073" s="52" t="s">
        <v>161</v>
      </c>
      <c r="C2073" s="46">
        <v>43278</v>
      </c>
      <c r="D2073" s="47" t="s">
        <v>15</v>
      </c>
      <c r="E2073" s="48">
        <v>0.64583333333333304</v>
      </c>
      <c r="F2073" s="48">
        <v>0.8125</v>
      </c>
      <c r="G2073" s="49">
        <v>8.0000000000000036</v>
      </c>
      <c r="H2073" s="49">
        <v>4.0000000000000036</v>
      </c>
      <c r="I2073" s="49">
        <v>4.0000000000000036</v>
      </c>
      <c r="J2073" s="53" t="s">
        <v>30</v>
      </c>
      <c r="K2073" s="51" t="s">
        <v>589</v>
      </c>
      <c r="L2073" s="102">
        <v>1</v>
      </c>
      <c r="M2073" s="19" t="str">
        <f t="shared" si="48"/>
        <v>Jun_2018</v>
      </c>
    </row>
    <row r="2074" spans="1:13">
      <c r="A2074" s="45" t="s">
        <v>11</v>
      </c>
      <c r="B2074" s="52" t="s">
        <v>542</v>
      </c>
      <c r="C2074" s="46">
        <v>43278</v>
      </c>
      <c r="D2074" s="47" t="s">
        <v>15</v>
      </c>
      <c r="E2074" s="48">
        <v>0.70833333333333304</v>
      </c>
      <c r="F2074" s="48">
        <v>0.875</v>
      </c>
      <c r="G2074" s="49">
        <v>8.0000000000000036</v>
      </c>
      <c r="H2074" s="49">
        <v>4.0000000000000036</v>
      </c>
      <c r="I2074" s="49">
        <v>4.0000000000000036</v>
      </c>
      <c r="J2074" s="53" t="s">
        <v>30</v>
      </c>
      <c r="K2074" s="51" t="s">
        <v>589</v>
      </c>
      <c r="L2074" s="102">
        <v>1</v>
      </c>
      <c r="M2074" s="19" t="str">
        <f t="shared" si="48"/>
        <v>Jun_2018</v>
      </c>
    </row>
    <row r="2075" spans="1:13">
      <c r="A2075" s="45" t="s">
        <v>11</v>
      </c>
      <c r="B2075" s="52" t="s">
        <v>543</v>
      </c>
      <c r="C2075" s="46">
        <v>43278</v>
      </c>
      <c r="D2075" s="47" t="s">
        <v>15</v>
      </c>
      <c r="E2075" s="48">
        <v>0.70833333333333304</v>
      </c>
      <c r="F2075" s="48">
        <v>0.875</v>
      </c>
      <c r="G2075" s="49">
        <v>8.0000000000000036</v>
      </c>
      <c r="H2075" s="49">
        <v>4.0000000000000036</v>
      </c>
      <c r="I2075" s="49">
        <v>4.0000000000000036</v>
      </c>
      <c r="J2075" s="53" t="s">
        <v>30</v>
      </c>
      <c r="K2075" s="51" t="s">
        <v>589</v>
      </c>
      <c r="L2075" s="102">
        <v>1</v>
      </c>
      <c r="M2075" s="19" t="str">
        <f t="shared" si="48"/>
        <v>Jun_2018</v>
      </c>
    </row>
    <row r="2076" spans="1:13">
      <c r="A2076" s="45" t="s">
        <v>11</v>
      </c>
      <c r="B2076" s="52" t="s">
        <v>574</v>
      </c>
      <c r="C2076" s="46">
        <v>43278</v>
      </c>
      <c r="D2076" s="47" t="s">
        <v>15</v>
      </c>
      <c r="E2076" s="48">
        <v>0.70833333333333304</v>
      </c>
      <c r="F2076" s="48">
        <v>0.875</v>
      </c>
      <c r="G2076" s="49">
        <v>8.0000000000000036</v>
      </c>
      <c r="H2076" s="49">
        <v>4.0000000000000036</v>
      </c>
      <c r="I2076" s="49">
        <v>4.0000000000000036</v>
      </c>
      <c r="J2076" s="53" t="s">
        <v>30</v>
      </c>
      <c r="K2076" s="51" t="s">
        <v>589</v>
      </c>
      <c r="L2076" s="102">
        <v>1</v>
      </c>
      <c r="M2076" s="19" t="str">
        <f t="shared" si="48"/>
        <v>Jun_2018</v>
      </c>
    </row>
    <row r="2077" spans="1:13">
      <c r="A2077" s="45" t="s">
        <v>22</v>
      </c>
      <c r="B2077" s="52" t="s">
        <v>23</v>
      </c>
      <c r="C2077" s="46">
        <v>43278</v>
      </c>
      <c r="D2077" s="47" t="s">
        <v>15</v>
      </c>
      <c r="E2077" s="48">
        <v>0.33333333333333298</v>
      </c>
      <c r="F2077" s="48">
        <v>0.875</v>
      </c>
      <c r="G2077" s="49">
        <v>0</v>
      </c>
      <c r="H2077" s="49">
        <v>12.000000000000007</v>
      </c>
      <c r="I2077" s="49">
        <v>12.000000000000007</v>
      </c>
      <c r="J2077" s="53" t="s">
        <v>30</v>
      </c>
      <c r="K2077" s="51" t="s">
        <v>589</v>
      </c>
      <c r="L2077" s="102" t="s">
        <v>281</v>
      </c>
      <c r="M2077" s="19" t="str">
        <f t="shared" si="48"/>
        <v>Jun_2018</v>
      </c>
    </row>
    <row r="2078" spans="1:13">
      <c r="A2078" s="45" t="s">
        <v>11</v>
      </c>
      <c r="B2078" s="52" t="s">
        <v>12</v>
      </c>
      <c r="C2078" s="54">
        <v>43279</v>
      </c>
      <c r="D2078" s="47" t="s">
        <v>25</v>
      </c>
      <c r="E2078" s="48">
        <v>0.70833333333333304</v>
      </c>
      <c r="F2078" s="48">
        <v>0.875</v>
      </c>
      <c r="G2078" s="49">
        <v>8.0000000000000036</v>
      </c>
      <c r="H2078" s="49">
        <v>4.0000000000000036</v>
      </c>
      <c r="I2078" s="49">
        <v>4.0000000000000036</v>
      </c>
      <c r="J2078" s="53" t="s">
        <v>30</v>
      </c>
      <c r="K2078" s="51" t="s">
        <v>600</v>
      </c>
      <c r="L2078" s="102">
        <v>1</v>
      </c>
      <c r="M2078" s="19" t="str">
        <f t="shared" si="48"/>
        <v>Jun_2018</v>
      </c>
    </row>
    <row r="2079" spans="1:13">
      <c r="A2079" s="45" t="s">
        <v>11</v>
      </c>
      <c r="B2079" s="52" t="s">
        <v>19</v>
      </c>
      <c r="C2079" s="46">
        <v>43279</v>
      </c>
      <c r="D2079" s="47" t="s">
        <v>25</v>
      </c>
      <c r="E2079" s="48">
        <v>0.64583333333333304</v>
      </c>
      <c r="F2079" s="48">
        <v>0.8125</v>
      </c>
      <c r="G2079" s="49">
        <v>8.0000000000000036</v>
      </c>
      <c r="H2079" s="49">
        <v>4.0000000000000036</v>
      </c>
      <c r="I2079" s="49">
        <v>4.0000000000000036</v>
      </c>
      <c r="J2079" s="53" t="s">
        <v>30</v>
      </c>
      <c r="K2079" s="51" t="s">
        <v>600</v>
      </c>
      <c r="L2079" s="102">
        <v>1</v>
      </c>
      <c r="M2079" s="19" t="str">
        <f t="shared" si="48"/>
        <v>Jun_2018</v>
      </c>
    </row>
    <row r="2080" spans="1:13">
      <c r="A2080" s="45" t="s">
        <v>11</v>
      </c>
      <c r="B2080" s="52" t="s">
        <v>26</v>
      </c>
      <c r="C2080" s="46">
        <v>43279</v>
      </c>
      <c r="D2080" s="47" t="s">
        <v>25</v>
      </c>
      <c r="E2080" s="48">
        <v>0.70833333333333304</v>
      </c>
      <c r="F2080" s="48">
        <v>0.875</v>
      </c>
      <c r="G2080" s="49">
        <v>8.0000000000000036</v>
      </c>
      <c r="H2080" s="49">
        <v>4.0000000000000036</v>
      </c>
      <c r="I2080" s="49">
        <v>4.0000000000000036</v>
      </c>
      <c r="J2080" s="53" t="s">
        <v>30</v>
      </c>
      <c r="K2080" s="51" t="s">
        <v>600</v>
      </c>
      <c r="L2080" s="102">
        <v>1</v>
      </c>
      <c r="M2080" s="19" t="str">
        <f t="shared" si="48"/>
        <v>Jun_2018</v>
      </c>
    </row>
    <row r="2081" spans="1:13">
      <c r="A2081" s="45" t="s">
        <v>11</v>
      </c>
      <c r="B2081" s="52" t="s">
        <v>161</v>
      </c>
      <c r="C2081" s="46">
        <v>43279</v>
      </c>
      <c r="D2081" s="47" t="s">
        <v>25</v>
      </c>
      <c r="E2081" s="48">
        <v>0.70833333333333304</v>
      </c>
      <c r="F2081" s="48">
        <v>0.875</v>
      </c>
      <c r="G2081" s="49">
        <v>8.0000000000000036</v>
      </c>
      <c r="H2081" s="49">
        <v>4.0000000000000036</v>
      </c>
      <c r="I2081" s="49">
        <v>4.0000000000000036</v>
      </c>
      <c r="J2081" s="53" t="s">
        <v>30</v>
      </c>
      <c r="K2081" s="51" t="s">
        <v>600</v>
      </c>
      <c r="L2081" s="102">
        <v>1</v>
      </c>
      <c r="M2081" s="19" t="str">
        <f t="shared" si="48"/>
        <v>Jun_2018</v>
      </c>
    </row>
    <row r="2082" spans="1:13">
      <c r="A2082" s="45" t="s">
        <v>11</v>
      </c>
      <c r="B2082" s="52" t="s">
        <v>542</v>
      </c>
      <c r="C2082" s="46">
        <v>43279</v>
      </c>
      <c r="D2082" s="47" t="s">
        <v>25</v>
      </c>
      <c r="E2082" s="48">
        <v>0.70833333333333304</v>
      </c>
      <c r="F2082" s="48">
        <v>0.875</v>
      </c>
      <c r="G2082" s="49">
        <v>8.0000000000000036</v>
      </c>
      <c r="H2082" s="49">
        <v>4.0000000000000036</v>
      </c>
      <c r="I2082" s="49">
        <v>4.0000000000000036</v>
      </c>
      <c r="J2082" s="53" t="s">
        <v>30</v>
      </c>
      <c r="K2082" s="51" t="s">
        <v>600</v>
      </c>
      <c r="L2082" s="102">
        <v>1</v>
      </c>
      <c r="M2082" s="19" t="str">
        <f t="shared" si="48"/>
        <v>Jun_2018</v>
      </c>
    </row>
    <row r="2083" spans="1:13">
      <c r="A2083" s="45" t="s">
        <v>11</v>
      </c>
      <c r="B2083" s="52" t="s">
        <v>547</v>
      </c>
      <c r="C2083" s="46">
        <v>43279</v>
      </c>
      <c r="D2083" s="47" t="s">
        <v>25</v>
      </c>
      <c r="E2083" s="48">
        <v>0.70833333333333304</v>
      </c>
      <c r="F2083" s="48">
        <v>0.875</v>
      </c>
      <c r="G2083" s="49">
        <v>8.0000000000000036</v>
      </c>
      <c r="H2083" s="49">
        <v>4.0000000000000036</v>
      </c>
      <c r="I2083" s="49">
        <v>4.0000000000000036</v>
      </c>
      <c r="J2083" s="53" t="s">
        <v>30</v>
      </c>
      <c r="K2083" s="51" t="s">
        <v>600</v>
      </c>
      <c r="L2083" s="102">
        <v>1</v>
      </c>
      <c r="M2083" s="19" t="str">
        <f t="shared" si="48"/>
        <v>Jun_2018</v>
      </c>
    </row>
    <row r="2084" spans="1:13">
      <c r="A2084" s="45" t="s">
        <v>11</v>
      </c>
      <c r="B2084" s="52" t="s">
        <v>574</v>
      </c>
      <c r="C2084" s="46">
        <v>43279</v>
      </c>
      <c r="D2084" s="47" t="s">
        <v>25</v>
      </c>
      <c r="E2084" s="48">
        <v>0.70833333333333304</v>
      </c>
      <c r="F2084" s="48">
        <v>0.875</v>
      </c>
      <c r="G2084" s="49">
        <v>8.0000000000000036</v>
      </c>
      <c r="H2084" s="49">
        <v>4.0000000000000036</v>
      </c>
      <c r="I2084" s="49">
        <v>4.0000000000000036</v>
      </c>
      <c r="J2084" s="53" t="s">
        <v>30</v>
      </c>
      <c r="K2084" s="51" t="s">
        <v>600</v>
      </c>
      <c r="L2084" s="102">
        <v>1</v>
      </c>
      <c r="M2084" s="19" t="str">
        <f t="shared" si="48"/>
        <v>Jun_2018</v>
      </c>
    </row>
    <row r="2085" spans="1:13">
      <c r="A2085" s="45" t="s">
        <v>22</v>
      </c>
      <c r="B2085" s="52" t="s">
        <v>23</v>
      </c>
      <c r="C2085" s="46">
        <v>43279</v>
      </c>
      <c r="D2085" s="47" t="s">
        <v>25</v>
      </c>
      <c r="E2085" s="48">
        <v>0.33333333333333298</v>
      </c>
      <c r="F2085" s="48">
        <v>0.875</v>
      </c>
      <c r="G2085" s="49">
        <v>0</v>
      </c>
      <c r="H2085" s="49">
        <v>12.000000000000007</v>
      </c>
      <c r="I2085" s="49">
        <v>12.000000000000007</v>
      </c>
      <c r="J2085" s="53" t="s">
        <v>30</v>
      </c>
      <c r="K2085" s="51" t="s">
        <v>600</v>
      </c>
      <c r="L2085" s="102" t="s">
        <v>281</v>
      </c>
      <c r="M2085" s="19" t="str">
        <f t="shared" si="48"/>
        <v>Jun_2018</v>
      </c>
    </row>
    <row r="2086" spans="1:13">
      <c r="A2086" s="45" t="s">
        <v>11</v>
      </c>
      <c r="B2086" s="52" t="s">
        <v>12</v>
      </c>
      <c r="C2086" s="54">
        <v>43280</v>
      </c>
      <c r="D2086" s="47" t="s">
        <v>17</v>
      </c>
      <c r="E2086" s="48">
        <v>0.70833333333333304</v>
      </c>
      <c r="F2086" s="48">
        <v>0.875</v>
      </c>
      <c r="G2086" s="49">
        <v>8.0000000000000036</v>
      </c>
      <c r="H2086" s="49">
        <v>4.0000000000000036</v>
      </c>
      <c r="I2086" s="49">
        <v>4.0000000000000036</v>
      </c>
      <c r="J2086" s="53" t="s">
        <v>30</v>
      </c>
      <c r="K2086" s="51" t="s">
        <v>590</v>
      </c>
      <c r="L2086" s="102">
        <v>1</v>
      </c>
      <c r="M2086" s="19" t="str">
        <f t="shared" si="48"/>
        <v>Jun_2018</v>
      </c>
    </row>
    <row r="2087" spans="1:13">
      <c r="A2087" s="45" t="s">
        <v>11</v>
      </c>
      <c r="B2087" s="52" t="s">
        <v>19</v>
      </c>
      <c r="C2087" s="46">
        <v>43280</v>
      </c>
      <c r="D2087" s="47" t="s">
        <v>17</v>
      </c>
      <c r="E2087" s="48">
        <v>0.64583333333333304</v>
      </c>
      <c r="F2087" s="48">
        <v>0.8125</v>
      </c>
      <c r="G2087" s="49">
        <v>8.0000000000000036</v>
      </c>
      <c r="H2087" s="49">
        <v>4.0000000000000036</v>
      </c>
      <c r="I2087" s="49">
        <v>4.0000000000000036</v>
      </c>
      <c r="J2087" s="53" t="s">
        <v>30</v>
      </c>
      <c r="K2087" s="51" t="s">
        <v>590</v>
      </c>
      <c r="L2087" s="102">
        <v>1</v>
      </c>
      <c r="M2087" s="19" t="str">
        <f t="shared" si="48"/>
        <v>Jun_2018</v>
      </c>
    </row>
    <row r="2088" spans="1:13">
      <c r="A2088" s="45" t="s">
        <v>11</v>
      </c>
      <c r="B2088" s="52" t="s">
        <v>26</v>
      </c>
      <c r="C2088" s="46">
        <v>43280</v>
      </c>
      <c r="D2088" s="47" t="s">
        <v>17</v>
      </c>
      <c r="E2088" s="48">
        <v>0.70833333333333304</v>
      </c>
      <c r="F2088" s="48">
        <v>0.875</v>
      </c>
      <c r="G2088" s="49">
        <v>8.0000000000000036</v>
      </c>
      <c r="H2088" s="49">
        <v>4.0000000000000036</v>
      </c>
      <c r="I2088" s="49">
        <v>4.0000000000000036</v>
      </c>
      <c r="J2088" s="53" t="s">
        <v>30</v>
      </c>
      <c r="K2088" s="51" t="s">
        <v>590</v>
      </c>
      <c r="L2088" s="102">
        <v>1</v>
      </c>
      <c r="M2088" s="19" t="str">
        <f t="shared" si="48"/>
        <v>Jun_2018</v>
      </c>
    </row>
    <row r="2089" spans="1:13">
      <c r="A2089" s="45" t="s">
        <v>11</v>
      </c>
      <c r="B2089" s="52" t="s">
        <v>149</v>
      </c>
      <c r="C2089" s="46">
        <v>43280</v>
      </c>
      <c r="D2089" s="47" t="s">
        <v>17</v>
      </c>
      <c r="E2089" s="48">
        <v>0.70833333333333304</v>
      </c>
      <c r="F2089" s="48">
        <v>0.875</v>
      </c>
      <c r="G2089" s="49">
        <v>8.0000000000000036</v>
      </c>
      <c r="H2089" s="49">
        <v>4.0000000000000036</v>
      </c>
      <c r="I2089" s="49">
        <v>4.0000000000000036</v>
      </c>
      <c r="J2089" s="53" t="s">
        <v>30</v>
      </c>
      <c r="K2089" s="51" t="s">
        <v>590</v>
      </c>
      <c r="L2089" s="102">
        <v>1</v>
      </c>
      <c r="M2089" s="19" t="str">
        <f t="shared" si="48"/>
        <v>Jun_2018</v>
      </c>
    </row>
    <row r="2090" spans="1:13">
      <c r="A2090" s="45" t="s">
        <v>11</v>
      </c>
      <c r="B2090" s="52" t="s">
        <v>542</v>
      </c>
      <c r="C2090" s="46">
        <v>43280</v>
      </c>
      <c r="D2090" s="47" t="s">
        <v>17</v>
      </c>
      <c r="E2090" s="48">
        <v>0.70833333333333304</v>
      </c>
      <c r="F2090" s="48">
        <v>0.875</v>
      </c>
      <c r="G2090" s="49">
        <v>8.0000000000000036</v>
      </c>
      <c r="H2090" s="49">
        <v>4.0000000000000036</v>
      </c>
      <c r="I2090" s="49">
        <v>4.0000000000000036</v>
      </c>
      <c r="J2090" s="53" t="s">
        <v>30</v>
      </c>
      <c r="K2090" s="51" t="s">
        <v>590</v>
      </c>
      <c r="L2090" s="102">
        <v>1</v>
      </c>
      <c r="M2090" s="19" t="str">
        <f t="shared" si="48"/>
        <v>Jun_2018</v>
      </c>
    </row>
    <row r="2091" spans="1:13">
      <c r="A2091" s="45" t="s">
        <v>11</v>
      </c>
      <c r="B2091" s="52" t="s">
        <v>547</v>
      </c>
      <c r="C2091" s="46">
        <v>43280</v>
      </c>
      <c r="D2091" s="47" t="s">
        <v>17</v>
      </c>
      <c r="E2091" s="48">
        <v>0.70833333333333304</v>
      </c>
      <c r="F2091" s="48">
        <v>0.875</v>
      </c>
      <c r="G2091" s="49">
        <v>8.0000000000000036</v>
      </c>
      <c r="H2091" s="49">
        <v>4.0000000000000036</v>
      </c>
      <c r="I2091" s="49">
        <v>4.0000000000000036</v>
      </c>
      <c r="J2091" s="53" t="s">
        <v>30</v>
      </c>
      <c r="K2091" s="51" t="s">
        <v>590</v>
      </c>
      <c r="L2091" s="102">
        <v>1</v>
      </c>
      <c r="M2091" s="19" t="str">
        <f t="shared" si="48"/>
        <v>Jun_2018</v>
      </c>
    </row>
    <row r="2092" spans="1:13">
      <c r="A2092" s="45" t="s">
        <v>11</v>
      </c>
      <c r="B2092" s="52" t="s">
        <v>543</v>
      </c>
      <c r="C2092" s="46">
        <v>43280</v>
      </c>
      <c r="D2092" s="47" t="s">
        <v>17</v>
      </c>
      <c r="E2092" s="48">
        <v>0.70833333333333304</v>
      </c>
      <c r="F2092" s="48">
        <v>0.875</v>
      </c>
      <c r="G2092" s="49">
        <v>8.0000000000000036</v>
      </c>
      <c r="H2092" s="49">
        <v>4.0000000000000036</v>
      </c>
      <c r="I2092" s="49">
        <v>4.0000000000000036</v>
      </c>
      <c r="J2092" s="53" t="s">
        <v>30</v>
      </c>
      <c r="K2092" s="51" t="s">
        <v>590</v>
      </c>
      <c r="L2092" s="102">
        <v>1</v>
      </c>
      <c r="M2092" s="19" t="str">
        <f t="shared" si="48"/>
        <v>Jun_2018</v>
      </c>
    </row>
    <row r="2093" spans="1:13">
      <c r="A2093" s="45" t="s">
        <v>11</v>
      </c>
      <c r="B2093" s="52" t="s">
        <v>574</v>
      </c>
      <c r="C2093" s="46">
        <v>43280</v>
      </c>
      <c r="D2093" s="47" t="s">
        <v>17</v>
      </c>
      <c r="E2093" s="48">
        <v>0.70833333333333304</v>
      </c>
      <c r="F2093" s="48">
        <v>0.875</v>
      </c>
      <c r="G2093" s="49">
        <v>8.0000000000000036</v>
      </c>
      <c r="H2093" s="49">
        <v>4.0000000000000036</v>
      </c>
      <c r="I2093" s="49">
        <v>4.0000000000000036</v>
      </c>
      <c r="J2093" s="53" t="s">
        <v>30</v>
      </c>
      <c r="K2093" s="51" t="s">
        <v>590</v>
      </c>
      <c r="L2093" s="102">
        <v>1</v>
      </c>
      <c r="M2093" s="19" t="str">
        <f t="shared" si="48"/>
        <v>Jun_2018</v>
      </c>
    </row>
    <row r="2094" spans="1:13">
      <c r="A2094" s="45" t="s">
        <v>22</v>
      </c>
      <c r="B2094" s="52" t="s">
        <v>23</v>
      </c>
      <c r="C2094" s="46">
        <v>43280</v>
      </c>
      <c r="D2094" s="47" t="s">
        <v>17</v>
      </c>
      <c r="E2094" s="48">
        <v>0.5</v>
      </c>
      <c r="F2094" s="48">
        <v>0.875</v>
      </c>
      <c r="G2094" s="49">
        <v>0</v>
      </c>
      <c r="H2094" s="49">
        <v>8</v>
      </c>
      <c r="I2094" s="49">
        <v>8</v>
      </c>
      <c r="J2094" s="53" t="s">
        <v>30</v>
      </c>
      <c r="K2094" s="51" t="s">
        <v>590</v>
      </c>
      <c r="L2094" s="102" t="s">
        <v>281</v>
      </c>
      <c r="M2094" s="19" t="str">
        <f t="shared" si="48"/>
        <v>Jun_2018</v>
      </c>
    </row>
    <row r="2095" spans="1:13">
      <c r="A2095" s="45" t="s">
        <v>11</v>
      </c>
      <c r="B2095" s="52" t="s">
        <v>12</v>
      </c>
      <c r="C2095" s="54">
        <v>43281</v>
      </c>
      <c r="D2095" s="47" t="s">
        <v>24</v>
      </c>
      <c r="E2095" s="48">
        <v>0.5</v>
      </c>
      <c r="F2095" s="48">
        <v>0.875</v>
      </c>
      <c r="G2095" s="49">
        <v>8.0000000000000036</v>
      </c>
      <c r="H2095" s="49">
        <v>0</v>
      </c>
      <c r="I2095" s="49">
        <v>8.0000000000000036</v>
      </c>
      <c r="J2095" s="53" t="s">
        <v>52</v>
      </c>
      <c r="K2095" s="51" t="s">
        <v>591</v>
      </c>
      <c r="L2095" s="102" t="s">
        <v>281</v>
      </c>
      <c r="M2095" s="19" t="str">
        <f t="shared" si="48"/>
        <v>Jun_2018</v>
      </c>
    </row>
    <row r="2096" spans="1:13">
      <c r="A2096" s="45" t="s">
        <v>11</v>
      </c>
      <c r="B2096" s="52" t="s">
        <v>19</v>
      </c>
      <c r="C2096" s="46">
        <v>43281</v>
      </c>
      <c r="D2096" s="47" t="s">
        <v>24</v>
      </c>
      <c r="E2096" s="48">
        <v>0.70833333333333304</v>
      </c>
      <c r="F2096" s="48">
        <v>0.83333333333333304</v>
      </c>
      <c r="G2096" s="49">
        <v>8.0000000000000036</v>
      </c>
      <c r="H2096" s="49">
        <v>2.9999999999999964</v>
      </c>
      <c r="I2096" s="49">
        <v>11</v>
      </c>
      <c r="J2096" s="53" t="s">
        <v>52</v>
      </c>
      <c r="K2096" s="51" t="s">
        <v>591</v>
      </c>
      <c r="L2096" s="102">
        <v>1</v>
      </c>
      <c r="M2096" s="19" t="str">
        <f t="shared" si="48"/>
        <v>Jun_2018</v>
      </c>
    </row>
    <row r="2097" spans="1:13">
      <c r="A2097" s="45" t="s">
        <v>11</v>
      </c>
      <c r="B2097" s="52" t="s">
        <v>26</v>
      </c>
      <c r="C2097" s="46">
        <v>43281</v>
      </c>
      <c r="D2097" s="47" t="s">
        <v>24</v>
      </c>
      <c r="E2097" s="48">
        <v>0.70833333333333304</v>
      </c>
      <c r="F2097" s="48">
        <v>0.83333333333333304</v>
      </c>
      <c r="G2097" s="49">
        <v>8.0000000000000036</v>
      </c>
      <c r="H2097" s="49">
        <v>2.9999999999999964</v>
      </c>
      <c r="I2097" s="49">
        <v>11</v>
      </c>
      <c r="J2097" s="53" t="s">
        <v>52</v>
      </c>
      <c r="K2097" s="51" t="s">
        <v>591</v>
      </c>
      <c r="L2097" s="102">
        <v>1</v>
      </c>
      <c r="M2097" s="19" t="str">
        <f t="shared" si="48"/>
        <v>Jun_2018</v>
      </c>
    </row>
    <row r="2098" spans="1:13">
      <c r="A2098" s="45" t="s">
        <v>11</v>
      </c>
      <c r="B2098" s="52" t="s">
        <v>149</v>
      </c>
      <c r="C2098" s="46">
        <v>43281</v>
      </c>
      <c r="D2098" s="47" t="s">
        <v>24</v>
      </c>
      <c r="E2098" s="48">
        <v>0.64583333333333304</v>
      </c>
      <c r="F2098" s="48">
        <v>0.8125</v>
      </c>
      <c r="G2098" s="49">
        <v>8.0000000000000036</v>
      </c>
      <c r="H2098" s="49">
        <v>4.0000000000000036</v>
      </c>
      <c r="I2098" s="49">
        <v>12.000000000000007</v>
      </c>
      <c r="J2098" s="53" t="s">
        <v>52</v>
      </c>
      <c r="K2098" s="51" t="s">
        <v>591</v>
      </c>
      <c r="L2098" s="102">
        <v>1</v>
      </c>
      <c r="M2098" s="19" t="str">
        <f t="shared" si="48"/>
        <v>Jun_2018</v>
      </c>
    </row>
    <row r="2099" spans="1:13">
      <c r="A2099" s="45" t="s">
        <v>11</v>
      </c>
      <c r="B2099" s="52" t="s">
        <v>161</v>
      </c>
      <c r="C2099" s="46">
        <v>43281</v>
      </c>
      <c r="D2099" s="47" t="s">
        <v>24</v>
      </c>
      <c r="E2099" s="48">
        <v>0.70833333333333304</v>
      </c>
      <c r="F2099" s="48">
        <v>0.83333333333333304</v>
      </c>
      <c r="G2099" s="49">
        <v>8.0000000000000036</v>
      </c>
      <c r="H2099" s="49">
        <v>2.9999999999999964</v>
      </c>
      <c r="I2099" s="49">
        <v>11</v>
      </c>
      <c r="J2099" s="53" t="s">
        <v>52</v>
      </c>
      <c r="K2099" s="51" t="s">
        <v>591</v>
      </c>
      <c r="L2099" s="102">
        <v>1</v>
      </c>
      <c r="M2099" s="19" t="str">
        <f t="shared" ref="M2099:M2104" si="49">IF($C2099="","",TEXT(DATE(YEAR($C2099),MONTH($C2099),DAY($C2099)),"MMM")&amp;"_"&amp;YEAR($C2099))</f>
        <v>Jun_2018</v>
      </c>
    </row>
    <row r="2100" spans="1:13">
      <c r="A2100" s="45" t="s">
        <v>11</v>
      </c>
      <c r="B2100" s="52" t="s">
        <v>542</v>
      </c>
      <c r="C2100" s="46">
        <v>43281</v>
      </c>
      <c r="D2100" s="47" t="s">
        <v>24</v>
      </c>
      <c r="E2100" s="48">
        <v>0.5</v>
      </c>
      <c r="F2100" s="48">
        <v>0.83333333333333304</v>
      </c>
      <c r="G2100" s="49">
        <v>6.9999999999999929</v>
      </c>
      <c r="H2100" s="49">
        <v>0</v>
      </c>
      <c r="I2100" s="49">
        <v>6.9999999999999929</v>
      </c>
      <c r="J2100" s="53" t="s">
        <v>52</v>
      </c>
      <c r="K2100" s="51" t="s">
        <v>591</v>
      </c>
      <c r="L2100" s="102" t="s">
        <v>281</v>
      </c>
      <c r="M2100" s="19" t="str">
        <f t="shared" si="49"/>
        <v>Jun_2018</v>
      </c>
    </row>
    <row r="2101" spans="1:13">
      <c r="A2101" s="45" t="s">
        <v>11</v>
      </c>
      <c r="B2101" s="52" t="s">
        <v>547</v>
      </c>
      <c r="C2101" s="46">
        <v>43281</v>
      </c>
      <c r="D2101" s="47" t="s">
        <v>24</v>
      </c>
      <c r="E2101" s="48">
        <v>0.70833333333333304</v>
      </c>
      <c r="F2101" s="48">
        <v>0.83333333333333304</v>
      </c>
      <c r="G2101" s="49">
        <v>8.0000000000000036</v>
      </c>
      <c r="H2101" s="49">
        <v>2.9999999999999964</v>
      </c>
      <c r="I2101" s="49">
        <v>11</v>
      </c>
      <c r="J2101" s="53" t="s">
        <v>52</v>
      </c>
      <c r="K2101" s="51" t="s">
        <v>591</v>
      </c>
      <c r="L2101" s="102">
        <v>1</v>
      </c>
      <c r="M2101" s="19" t="str">
        <f t="shared" si="49"/>
        <v>Jun_2018</v>
      </c>
    </row>
    <row r="2102" spans="1:13">
      <c r="A2102" s="45" t="s">
        <v>11</v>
      </c>
      <c r="B2102" s="52" t="s">
        <v>543</v>
      </c>
      <c r="C2102" s="46">
        <v>43281</v>
      </c>
      <c r="D2102" s="47" t="s">
        <v>24</v>
      </c>
      <c r="E2102" s="48">
        <v>0.70833333333333304</v>
      </c>
      <c r="F2102" s="48">
        <v>0.83333333333333304</v>
      </c>
      <c r="G2102" s="49">
        <v>8.0000000000000036</v>
      </c>
      <c r="H2102" s="49">
        <v>2.9999999999999964</v>
      </c>
      <c r="I2102" s="49">
        <v>11</v>
      </c>
      <c r="J2102" s="53" t="s">
        <v>52</v>
      </c>
      <c r="K2102" s="51" t="s">
        <v>591</v>
      </c>
      <c r="L2102" s="102">
        <v>1</v>
      </c>
      <c r="M2102" s="19" t="str">
        <f t="shared" si="49"/>
        <v>Jun_2018</v>
      </c>
    </row>
    <row r="2103" spans="1:13">
      <c r="A2103" s="45" t="s">
        <v>11</v>
      </c>
      <c r="B2103" s="52" t="s">
        <v>574</v>
      </c>
      <c r="C2103" s="46">
        <v>43281</v>
      </c>
      <c r="D2103" s="47" t="s">
        <v>24</v>
      </c>
      <c r="E2103" s="48">
        <v>0.70833333333333304</v>
      </c>
      <c r="F2103" s="48">
        <v>0.83333333333333304</v>
      </c>
      <c r="G2103" s="49">
        <v>8.0000000000000036</v>
      </c>
      <c r="H2103" s="49">
        <v>2.9999999999999964</v>
      </c>
      <c r="I2103" s="49">
        <v>11</v>
      </c>
      <c r="J2103" s="53" t="s">
        <v>52</v>
      </c>
      <c r="K2103" s="51" t="s">
        <v>591</v>
      </c>
      <c r="L2103" s="102">
        <v>1</v>
      </c>
      <c r="M2103" s="19" t="str">
        <f t="shared" si="49"/>
        <v>Jun_2018</v>
      </c>
    </row>
    <row r="2104" spans="1:13">
      <c r="A2104" s="45" t="s">
        <v>22</v>
      </c>
      <c r="B2104" s="52" t="s">
        <v>23</v>
      </c>
      <c r="C2104" s="46">
        <v>43281</v>
      </c>
      <c r="D2104" s="47" t="s">
        <v>24</v>
      </c>
      <c r="E2104" s="48">
        <v>0.3125</v>
      </c>
      <c r="F2104" s="48">
        <v>0.6875</v>
      </c>
      <c r="G2104" s="49">
        <v>0</v>
      </c>
      <c r="H2104" s="49">
        <v>8</v>
      </c>
      <c r="I2104" s="49">
        <v>8</v>
      </c>
      <c r="J2104" s="53" t="s">
        <v>52</v>
      </c>
      <c r="K2104" s="51" t="s">
        <v>591</v>
      </c>
      <c r="L2104" s="102" t="s">
        <v>281</v>
      </c>
      <c r="M2104" s="19" t="str">
        <f t="shared" si="49"/>
        <v>Jun_2018</v>
      </c>
    </row>
    <row r="2105" spans="1:13">
      <c r="A2105" s="45" t="s">
        <v>11</v>
      </c>
      <c r="B2105" s="52" t="s">
        <v>12</v>
      </c>
      <c r="C2105" s="54">
        <v>43283</v>
      </c>
      <c r="D2105" s="47" t="s">
        <v>16</v>
      </c>
      <c r="E2105" s="48">
        <v>0.70833333333333304</v>
      </c>
      <c r="F2105" s="48">
        <v>0.875</v>
      </c>
      <c r="G2105" s="49">
        <v>8.0000000000000036</v>
      </c>
      <c r="H2105" s="49">
        <v>4.0000000000000036</v>
      </c>
      <c r="I2105" s="49">
        <v>4.0000000000000036</v>
      </c>
      <c r="J2105" s="53" t="s">
        <v>30</v>
      </c>
      <c r="K2105" s="51" t="s">
        <v>592</v>
      </c>
      <c r="L2105" s="102">
        <v>1</v>
      </c>
      <c r="M2105" s="19" t="str">
        <f>IF($C2105="","",TEXT(DATE(YEAR($C2105),MONTH($C2105),DAY($C2105)),"MMM")&amp;"_"&amp;YEAR($C2105))</f>
        <v>Jul_2018</v>
      </c>
    </row>
    <row r="2106" spans="1:13">
      <c r="A2106" s="45" t="s">
        <v>11</v>
      </c>
      <c r="B2106" s="52" t="s">
        <v>19</v>
      </c>
      <c r="C2106" s="46">
        <v>43283</v>
      </c>
      <c r="D2106" s="47" t="s">
        <v>16</v>
      </c>
      <c r="E2106" s="48">
        <v>0.70833333333333304</v>
      </c>
      <c r="F2106" s="48">
        <v>0.875</v>
      </c>
      <c r="G2106" s="49">
        <v>8.0000000000000036</v>
      </c>
      <c r="H2106" s="49">
        <v>4.0000000000000036</v>
      </c>
      <c r="I2106" s="49">
        <v>4.0000000000000036</v>
      </c>
      <c r="J2106" s="53" t="s">
        <v>30</v>
      </c>
      <c r="K2106" s="51" t="s">
        <v>592</v>
      </c>
      <c r="L2106" s="102">
        <v>1</v>
      </c>
      <c r="M2106" s="19" t="str">
        <f t="shared" ref="M2106:M2171" si="50">IF($C2106="","",TEXT(DATE(YEAR($C2106),MONTH($C2106),DAY($C2106)),"MMM")&amp;"_"&amp;YEAR($C2106))</f>
        <v>Jul_2018</v>
      </c>
    </row>
    <row r="2107" spans="1:13">
      <c r="A2107" s="45" t="s">
        <v>11</v>
      </c>
      <c r="B2107" s="52" t="s">
        <v>149</v>
      </c>
      <c r="C2107" s="46">
        <v>43283</v>
      </c>
      <c r="D2107" s="47" t="s">
        <v>16</v>
      </c>
      <c r="E2107" s="48">
        <v>0.70833333333333304</v>
      </c>
      <c r="F2107" s="48">
        <v>0.875</v>
      </c>
      <c r="G2107" s="49">
        <v>8.0000000000000036</v>
      </c>
      <c r="H2107" s="49">
        <v>4.0000000000000036</v>
      </c>
      <c r="I2107" s="49">
        <v>4.0000000000000036</v>
      </c>
      <c r="J2107" s="53" t="s">
        <v>30</v>
      </c>
      <c r="K2107" s="51" t="s">
        <v>592</v>
      </c>
      <c r="L2107" s="102">
        <v>1</v>
      </c>
      <c r="M2107" s="19" t="str">
        <f t="shared" si="50"/>
        <v>Jul_2018</v>
      </c>
    </row>
    <row r="2108" spans="1:13">
      <c r="A2108" s="45" t="s">
        <v>11</v>
      </c>
      <c r="B2108" s="52" t="s">
        <v>542</v>
      </c>
      <c r="C2108" s="46">
        <v>43283</v>
      </c>
      <c r="D2108" s="47" t="s">
        <v>16</v>
      </c>
      <c r="E2108" s="48">
        <v>0.64583333333333304</v>
      </c>
      <c r="F2108" s="48">
        <v>0.8125</v>
      </c>
      <c r="G2108" s="49">
        <v>8.0000000000000036</v>
      </c>
      <c r="H2108" s="49">
        <v>4.0000000000000036</v>
      </c>
      <c r="I2108" s="49">
        <v>4.0000000000000036</v>
      </c>
      <c r="J2108" s="53" t="s">
        <v>30</v>
      </c>
      <c r="K2108" s="51" t="s">
        <v>592</v>
      </c>
      <c r="L2108" s="102">
        <v>1</v>
      </c>
      <c r="M2108" s="19" t="str">
        <f t="shared" si="50"/>
        <v>Jul_2018</v>
      </c>
    </row>
    <row r="2109" spans="1:13">
      <c r="A2109" s="45" t="s">
        <v>11</v>
      </c>
      <c r="B2109" s="52" t="s">
        <v>543</v>
      </c>
      <c r="C2109" s="46">
        <v>43283</v>
      </c>
      <c r="D2109" s="47" t="s">
        <v>16</v>
      </c>
      <c r="E2109" s="48">
        <v>0.70833333333333304</v>
      </c>
      <c r="F2109" s="48">
        <v>0.875</v>
      </c>
      <c r="G2109" s="49">
        <v>8.0000000000000036</v>
      </c>
      <c r="H2109" s="49">
        <v>4.0000000000000036</v>
      </c>
      <c r="I2109" s="49">
        <v>4.0000000000000036</v>
      </c>
      <c r="J2109" s="53" t="s">
        <v>30</v>
      </c>
      <c r="K2109" s="51" t="s">
        <v>592</v>
      </c>
      <c r="L2109" s="102">
        <v>1</v>
      </c>
      <c r="M2109" s="19" t="str">
        <f t="shared" si="50"/>
        <v>Jul_2018</v>
      </c>
    </row>
    <row r="2110" spans="1:13">
      <c r="A2110" s="45" t="s">
        <v>11</v>
      </c>
      <c r="B2110" s="52" t="s">
        <v>574</v>
      </c>
      <c r="C2110" s="46">
        <v>43283</v>
      </c>
      <c r="D2110" s="47" t="s">
        <v>16</v>
      </c>
      <c r="E2110" s="48">
        <v>0.70833333333333304</v>
      </c>
      <c r="F2110" s="48">
        <v>0.875</v>
      </c>
      <c r="G2110" s="49">
        <v>8.0000000000000036</v>
      </c>
      <c r="H2110" s="49">
        <v>4.0000000000000036</v>
      </c>
      <c r="I2110" s="49">
        <v>4.0000000000000036</v>
      </c>
      <c r="J2110" s="53" t="s">
        <v>30</v>
      </c>
      <c r="K2110" s="51" t="s">
        <v>592</v>
      </c>
      <c r="L2110" s="102">
        <v>1</v>
      </c>
      <c r="M2110" s="19" t="str">
        <f t="shared" si="50"/>
        <v>Jul_2018</v>
      </c>
    </row>
    <row r="2111" spans="1:13">
      <c r="A2111" s="45" t="s">
        <v>22</v>
      </c>
      <c r="B2111" s="52" t="s">
        <v>23</v>
      </c>
      <c r="C2111" s="46">
        <v>43283</v>
      </c>
      <c r="D2111" s="47" t="s">
        <v>16</v>
      </c>
      <c r="E2111" s="48">
        <v>0.33333333333333298</v>
      </c>
      <c r="F2111" s="48">
        <v>0.875</v>
      </c>
      <c r="G2111" s="49">
        <v>0</v>
      </c>
      <c r="H2111" s="49">
        <v>12.000000000000007</v>
      </c>
      <c r="I2111" s="49">
        <v>12.000000000000007</v>
      </c>
      <c r="J2111" s="53" t="s">
        <v>30</v>
      </c>
      <c r="K2111" s="51" t="s">
        <v>592</v>
      </c>
      <c r="L2111" s="102" t="s">
        <v>281</v>
      </c>
      <c r="M2111" s="19" t="str">
        <f t="shared" si="50"/>
        <v>Jul_2018</v>
      </c>
    </row>
    <row r="2112" spans="1:13">
      <c r="A2112" s="45" t="s">
        <v>11</v>
      </c>
      <c r="B2112" s="52" t="s">
        <v>12</v>
      </c>
      <c r="C2112" s="54">
        <v>43284</v>
      </c>
      <c r="D2112" s="47" t="s">
        <v>14</v>
      </c>
      <c r="E2112" s="48">
        <v>0.72916666666666696</v>
      </c>
      <c r="F2112" s="48">
        <v>0.875</v>
      </c>
      <c r="G2112" s="49">
        <v>8.0000000000000036</v>
      </c>
      <c r="H2112" s="49">
        <v>3.4999999999999893</v>
      </c>
      <c r="I2112" s="49">
        <v>3.4999999999999893</v>
      </c>
      <c r="J2112" s="53" t="s">
        <v>30</v>
      </c>
      <c r="K2112" s="51" t="s">
        <v>593</v>
      </c>
      <c r="L2112" s="102">
        <v>1</v>
      </c>
      <c r="M2112" s="19" t="str">
        <f t="shared" si="50"/>
        <v>Jul_2018</v>
      </c>
    </row>
    <row r="2113" spans="1:13">
      <c r="A2113" s="45" t="s">
        <v>11</v>
      </c>
      <c r="B2113" s="52" t="s">
        <v>19</v>
      </c>
      <c r="C2113" s="46">
        <v>43284</v>
      </c>
      <c r="D2113" s="47" t="s">
        <v>14</v>
      </c>
      <c r="E2113" s="48">
        <v>0.70833333333333304</v>
      </c>
      <c r="F2113" s="48">
        <v>0.875</v>
      </c>
      <c r="G2113" s="49">
        <v>8.0000000000000036</v>
      </c>
      <c r="H2113" s="49">
        <v>4.0000000000000036</v>
      </c>
      <c r="I2113" s="49">
        <v>4.0000000000000036</v>
      </c>
      <c r="J2113" s="53" t="s">
        <v>30</v>
      </c>
      <c r="K2113" s="51" t="s">
        <v>593</v>
      </c>
      <c r="L2113" s="102">
        <v>1</v>
      </c>
      <c r="M2113" s="19" t="str">
        <f t="shared" si="50"/>
        <v>Jul_2018</v>
      </c>
    </row>
    <row r="2114" spans="1:13">
      <c r="A2114" s="45" t="s">
        <v>11</v>
      </c>
      <c r="B2114" s="52" t="s">
        <v>26</v>
      </c>
      <c r="C2114" s="46">
        <v>43284</v>
      </c>
      <c r="D2114" s="47" t="s">
        <v>14</v>
      </c>
      <c r="E2114" s="48">
        <v>0.70833333333333304</v>
      </c>
      <c r="F2114" s="48">
        <v>0.875</v>
      </c>
      <c r="G2114" s="49">
        <v>8.0000000000000036</v>
      </c>
      <c r="H2114" s="49">
        <v>4.0000000000000036</v>
      </c>
      <c r="I2114" s="49">
        <v>4.0000000000000036</v>
      </c>
      <c r="J2114" s="53" t="s">
        <v>30</v>
      </c>
      <c r="K2114" s="51" t="s">
        <v>593</v>
      </c>
      <c r="L2114" s="102">
        <v>1</v>
      </c>
      <c r="M2114" s="19" t="str">
        <f t="shared" si="50"/>
        <v>Jul_2018</v>
      </c>
    </row>
    <row r="2115" spans="1:13">
      <c r="A2115" s="45" t="s">
        <v>11</v>
      </c>
      <c r="B2115" s="52" t="s">
        <v>161</v>
      </c>
      <c r="C2115" s="46">
        <v>43284</v>
      </c>
      <c r="D2115" s="47" t="s">
        <v>14</v>
      </c>
      <c r="E2115" s="48">
        <v>0.64583333333333304</v>
      </c>
      <c r="F2115" s="48">
        <v>0.8125</v>
      </c>
      <c r="G2115" s="49">
        <v>8.0000000000000036</v>
      </c>
      <c r="H2115" s="49">
        <v>4.0000000000000036</v>
      </c>
      <c r="I2115" s="49">
        <v>4.0000000000000036</v>
      </c>
      <c r="J2115" s="53" t="s">
        <v>30</v>
      </c>
      <c r="K2115" s="51" t="s">
        <v>593</v>
      </c>
      <c r="L2115" s="102">
        <v>1</v>
      </c>
      <c r="M2115" s="19" t="str">
        <f t="shared" si="50"/>
        <v>Jul_2018</v>
      </c>
    </row>
    <row r="2116" spans="1:13">
      <c r="A2116" s="45" t="s">
        <v>11</v>
      </c>
      <c r="B2116" s="52" t="s">
        <v>542</v>
      </c>
      <c r="C2116" s="46">
        <v>43284</v>
      </c>
      <c r="D2116" s="47" t="s">
        <v>14</v>
      </c>
      <c r="E2116" s="48">
        <v>0.70833333333333304</v>
      </c>
      <c r="F2116" s="48">
        <v>0.875</v>
      </c>
      <c r="G2116" s="49">
        <v>8.0000000000000036</v>
      </c>
      <c r="H2116" s="49">
        <v>4.0000000000000036</v>
      </c>
      <c r="I2116" s="49">
        <v>4.0000000000000036</v>
      </c>
      <c r="J2116" s="53" t="s">
        <v>30</v>
      </c>
      <c r="K2116" s="51" t="s">
        <v>593</v>
      </c>
      <c r="L2116" s="102">
        <v>1</v>
      </c>
      <c r="M2116" s="19" t="str">
        <f t="shared" si="50"/>
        <v>Jul_2018</v>
      </c>
    </row>
    <row r="2117" spans="1:13">
      <c r="A2117" s="45" t="s">
        <v>11</v>
      </c>
      <c r="B2117" s="52" t="s">
        <v>547</v>
      </c>
      <c r="C2117" s="46">
        <v>43284</v>
      </c>
      <c r="D2117" s="47" t="s">
        <v>14</v>
      </c>
      <c r="E2117" s="48">
        <v>0.70833333333333304</v>
      </c>
      <c r="F2117" s="48">
        <v>0.875</v>
      </c>
      <c r="G2117" s="49">
        <v>8.0000000000000036</v>
      </c>
      <c r="H2117" s="49">
        <v>4.0000000000000036</v>
      </c>
      <c r="I2117" s="49">
        <v>4.0000000000000036</v>
      </c>
      <c r="J2117" s="53" t="s">
        <v>30</v>
      </c>
      <c r="K2117" s="51" t="s">
        <v>593</v>
      </c>
      <c r="L2117" s="102">
        <v>1</v>
      </c>
      <c r="M2117" s="19" t="str">
        <f t="shared" si="50"/>
        <v>Jul_2018</v>
      </c>
    </row>
    <row r="2118" spans="1:13">
      <c r="A2118" s="45" t="s">
        <v>11</v>
      </c>
      <c r="B2118" s="52" t="s">
        <v>574</v>
      </c>
      <c r="C2118" s="46">
        <v>43284</v>
      </c>
      <c r="D2118" s="47" t="s">
        <v>14</v>
      </c>
      <c r="E2118" s="48">
        <v>0.70833333333333304</v>
      </c>
      <c r="F2118" s="48">
        <v>0.875</v>
      </c>
      <c r="G2118" s="49">
        <v>8.0000000000000036</v>
      </c>
      <c r="H2118" s="49">
        <v>4.0000000000000036</v>
      </c>
      <c r="I2118" s="49">
        <v>4.0000000000000036</v>
      </c>
      <c r="J2118" s="53" t="s">
        <v>30</v>
      </c>
      <c r="K2118" s="51" t="s">
        <v>593</v>
      </c>
      <c r="L2118" s="102">
        <v>1</v>
      </c>
      <c r="M2118" s="19" t="str">
        <f t="shared" si="50"/>
        <v>Jul_2018</v>
      </c>
    </row>
    <row r="2119" spans="1:13">
      <c r="A2119" s="45" t="s">
        <v>22</v>
      </c>
      <c r="B2119" s="52" t="s">
        <v>23</v>
      </c>
      <c r="C2119" s="46">
        <v>43284</v>
      </c>
      <c r="D2119" s="47" t="s">
        <v>14</v>
      </c>
      <c r="E2119" s="48">
        <v>0.33333333333333298</v>
      </c>
      <c r="F2119" s="48">
        <v>0.875</v>
      </c>
      <c r="G2119" s="49">
        <v>0</v>
      </c>
      <c r="H2119" s="49">
        <v>12.000000000000007</v>
      </c>
      <c r="I2119" s="49">
        <v>12.000000000000007</v>
      </c>
      <c r="J2119" s="53" t="s">
        <v>30</v>
      </c>
      <c r="K2119" s="51" t="s">
        <v>593</v>
      </c>
      <c r="L2119" s="102" t="s">
        <v>281</v>
      </c>
      <c r="M2119" s="19" t="str">
        <f t="shared" si="50"/>
        <v>Jul_2018</v>
      </c>
    </row>
    <row r="2120" spans="1:13">
      <c r="A2120" s="45" t="s">
        <v>11</v>
      </c>
      <c r="B2120" s="52" t="s">
        <v>12</v>
      </c>
      <c r="C2120" s="54">
        <v>43285</v>
      </c>
      <c r="D2120" s="47" t="s">
        <v>15</v>
      </c>
      <c r="E2120" s="48">
        <v>0.70833333333333304</v>
      </c>
      <c r="F2120" s="48">
        <v>0.875</v>
      </c>
      <c r="G2120" s="49">
        <v>8.0000000000000036</v>
      </c>
      <c r="H2120" s="49">
        <v>4.0000000000000036</v>
      </c>
      <c r="I2120" s="49">
        <v>4.0000000000000036</v>
      </c>
      <c r="J2120" s="53" t="s">
        <v>30</v>
      </c>
      <c r="K2120" s="51" t="s">
        <v>595</v>
      </c>
      <c r="L2120" s="102">
        <v>1</v>
      </c>
      <c r="M2120" s="19" t="str">
        <f t="shared" si="50"/>
        <v>Jul_2018</v>
      </c>
    </row>
    <row r="2121" spans="1:13">
      <c r="A2121" s="45" t="s">
        <v>11</v>
      </c>
      <c r="B2121" s="52" t="s">
        <v>19</v>
      </c>
      <c r="C2121" s="46">
        <v>43285</v>
      </c>
      <c r="D2121" s="47" t="s">
        <v>15</v>
      </c>
      <c r="E2121" s="48">
        <v>0.64583333333333304</v>
      </c>
      <c r="F2121" s="48">
        <v>0.8125</v>
      </c>
      <c r="G2121" s="49">
        <v>8.0000000000000036</v>
      </c>
      <c r="H2121" s="49">
        <v>4.0000000000000036</v>
      </c>
      <c r="I2121" s="49">
        <v>4.0000000000000036</v>
      </c>
      <c r="J2121" s="53" t="s">
        <v>30</v>
      </c>
      <c r="K2121" s="51" t="s">
        <v>595</v>
      </c>
      <c r="L2121" s="102">
        <v>1</v>
      </c>
      <c r="M2121" s="19" t="str">
        <f t="shared" si="50"/>
        <v>Jul_2018</v>
      </c>
    </row>
    <row r="2122" spans="1:13">
      <c r="A2122" s="45" t="s">
        <v>11</v>
      </c>
      <c r="B2122" s="52" t="s">
        <v>26</v>
      </c>
      <c r="C2122" s="46">
        <v>43285</v>
      </c>
      <c r="D2122" s="47" t="s">
        <v>15</v>
      </c>
      <c r="E2122" s="48">
        <v>0.70833333333333304</v>
      </c>
      <c r="F2122" s="48">
        <v>0.875</v>
      </c>
      <c r="G2122" s="49">
        <v>8.0000000000000036</v>
      </c>
      <c r="H2122" s="49">
        <v>4.0000000000000036</v>
      </c>
      <c r="I2122" s="49">
        <v>4.0000000000000036</v>
      </c>
      <c r="J2122" s="53" t="s">
        <v>30</v>
      </c>
      <c r="K2122" s="51" t="s">
        <v>595</v>
      </c>
      <c r="L2122" s="102">
        <v>1</v>
      </c>
      <c r="M2122" s="19" t="str">
        <f t="shared" si="50"/>
        <v>Jul_2018</v>
      </c>
    </row>
    <row r="2123" spans="1:13">
      <c r="A2123" s="45" t="s">
        <v>11</v>
      </c>
      <c r="B2123" s="52" t="s">
        <v>542</v>
      </c>
      <c r="C2123" s="46">
        <v>43285</v>
      </c>
      <c r="D2123" s="47" t="s">
        <v>15</v>
      </c>
      <c r="E2123" s="48">
        <v>0.70833333333333304</v>
      </c>
      <c r="F2123" s="48">
        <v>0.875</v>
      </c>
      <c r="G2123" s="49">
        <v>8.0000000000000036</v>
      </c>
      <c r="H2123" s="49">
        <v>4.0000000000000036</v>
      </c>
      <c r="I2123" s="49">
        <v>4.0000000000000036</v>
      </c>
      <c r="J2123" s="53" t="s">
        <v>30</v>
      </c>
      <c r="K2123" s="51" t="s">
        <v>595</v>
      </c>
      <c r="L2123" s="102">
        <v>1</v>
      </c>
      <c r="M2123" s="19" t="str">
        <f t="shared" si="50"/>
        <v>Jul_2018</v>
      </c>
    </row>
    <row r="2124" spans="1:13">
      <c r="A2124" s="45" t="s">
        <v>11</v>
      </c>
      <c r="B2124" s="52" t="s">
        <v>547</v>
      </c>
      <c r="C2124" s="46">
        <v>43285</v>
      </c>
      <c r="D2124" s="47" t="s">
        <v>15</v>
      </c>
      <c r="E2124" s="48">
        <v>0.70833333333333304</v>
      </c>
      <c r="F2124" s="48">
        <v>0.875</v>
      </c>
      <c r="G2124" s="49">
        <v>8.0000000000000036</v>
      </c>
      <c r="H2124" s="49">
        <v>4.0000000000000036</v>
      </c>
      <c r="I2124" s="49">
        <v>4.0000000000000036</v>
      </c>
      <c r="J2124" s="53" t="s">
        <v>30</v>
      </c>
      <c r="K2124" s="51" t="s">
        <v>595</v>
      </c>
      <c r="L2124" s="102">
        <v>1</v>
      </c>
      <c r="M2124" s="19" t="str">
        <f t="shared" si="50"/>
        <v>Jul_2018</v>
      </c>
    </row>
    <row r="2125" spans="1:13">
      <c r="A2125" s="45" t="s">
        <v>11</v>
      </c>
      <c r="B2125" s="52" t="s">
        <v>543</v>
      </c>
      <c r="C2125" s="46">
        <v>43285</v>
      </c>
      <c r="D2125" s="47" t="s">
        <v>15</v>
      </c>
      <c r="E2125" s="48">
        <v>0.70833333333333304</v>
      </c>
      <c r="F2125" s="48">
        <v>0.875</v>
      </c>
      <c r="G2125" s="49">
        <v>8.0000000000000036</v>
      </c>
      <c r="H2125" s="49">
        <v>4.0000000000000036</v>
      </c>
      <c r="I2125" s="49">
        <v>4.0000000000000036</v>
      </c>
      <c r="J2125" s="53" t="s">
        <v>30</v>
      </c>
      <c r="K2125" s="51" t="s">
        <v>595</v>
      </c>
      <c r="L2125" s="102">
        <v>1</v>
      </c>
      <c r="M2125" s="19" t="str">
        <f t="shared" si="50"/>
        <v>Jul_2018</v>
      </c>
    </row>
    <row r="2126" spans="1:13">
      <c r="A2126" s="45" t="s">
        <v>22</v>
      </c>
      <c r="B2126" s="52" t="s">
        <v>23</v>
      </c>
      <c r="C2126" s="46">
        <v>43285</v>
      </c>
      <c r="D2126" s="47" t="s">
        <v>15</v>
      </c>
      <c r="E2126" s="48">
        <v>0.33333333333333298</v>
      </c>
      <c r="F2126" s="48">
        <v>0.875</v>
      </c>
      <c r="G2126" s="49">
        <v>0</v>
      </c>
      <c r="H2126" s="49">
        <v>12.000000000000007</v>
      </c>
      <c r="I2126" s="49">
        <v>12.000000000000007</v>
      </c>
      <c r="J2126" s="53" t="s">
        <v>30</v>
      </c>
      <c r="K2126" s="51" t="s">
        <v>595</v>
      </c>
      <c r="L2126" s="102" t="s">
        <v>281</v>
      </c>
      <c r="M2126" s="19" t="str">
        <f t="shared" si="50"/>
        <v>Jul_2018</v>
      </c>
    </row>
    <row r="2127" spans="1:13">
      <c r="A2127" s="45" t="s">
        <v>11</v>
      </c>
      <c r="B2127" s="52" t="s">
        <v>19</v>
      </c>
      <c r="C2127" s="46">
        <v>43286</v>
      </c>
      <c r="D2127" s="47" t="s">
        <v>25</v>
      </c>
      <c r="E2127" s="48">
        <v>0.70833333333333304</v>
      </c>
      <c r="F2127" s="48">
        <v>0.78125</v>
      </c>
      <c r="G2127" s="49">
        <v>8.0000000000000036</v>
      </c>
      <c r="H2127" s="49">
        <v>1.7500000000000053</v>
      </c>
      <c r="I2127" s="49">
        <v>1.7500000000000053</v>
      </c>
      <c r="J2127" s="53" t="s">
        <v>30</v>
      </c>
      <c r="K2127" s="51" t="s">
        <v>596</v>
      </c>
      <c r="L2127" s="102" t="s">
        <v>281</v>
      </c>
      <c r="M2127" s="19" t="str">
        <f t="shared" si="50"/>
        <v>Jul_2018</v>
      </c>
    </row>
    <row r="2128" spans="1:13">
      <c r="A2128" s="45" t="s">
        <v>11</v>
      </c>
      <c r="B2128" s="52" t="s">
        <v>26</v>
      </c>
      <c r="C2128" s="46">
        <v>43286</v>
      </c>
      <c r="D2128" s="47" t="s">
        <v>25</v>
      </c>
      <c r="E2128" s="48">
        <v>0.64583333333333304</v>
      </c>
      <c r="F2128" s="48">
        <v>0.8125</v>
      </c>
      <c r="G2128" s="49">
        <v>8.0000000000000036</v>
      </c>
      <c r="H2128" s="49">
        <v>4.0000000000000036</v>
      </c>
      <c r="I2128" s="49">
        <v>4.0000000000000036</v>
      </c>
      <c r="J2128" s="53" t="s">
        <v>30</v>
      </c>
      <c r="K2128" s="51" t="s">
        <v>596</v>
      </c>
      <c r="L2128" s="102">
        <v>1</v>
      </c>
      <c r="M2128" s="19" t="str">
        <f t="shared" si="50"/>
        <v>Jul_2018</v>
      </c>
    </row>
    <row r="2129" spans="1:13">
      <c r="A2129" s="45" t="s">
        <v>11</v>
      </c>
      <c r="B2129" s="52" t="s">
        <v>149</v>
      </c>
      <c r="C2129" s="46">
        <v>43286</v>
      </c>
      <c r="D2129" s="47" t="s">
        <v>25</v>
      </c>
      <c r="E2129" s="48">
        <v>0.70833333333333304</v>
      </c>
      <c r="F2129" s="48">
        <v>0.78125</v>
      </c>
      <c r="G2129" s="49">
        <v>8.0000000000000036</v>
      </c>
      <c r="H2129" s="49">
        <v>1.7500000000000053</v>
      </c>
      <c r="I2129" s="49">
        <v>1.7500000000000053</v>
      </c>
      <c r="J2129" s="53" t="s">
        <v>30</v>
      </c>
      <c r="K2129" s="51" t="s">
        <v>596</v>
      </c>
      <c r="L2129" s="102" t="s">
        <v>281</v>
      </c>
      <c r="M2129" s="19" t="str">
        <f t="shared" si="50"/>
        <v>Jul_2018</v>
      </c>
    </row>
    <row r="2130" spans="1:13">
      <c r="A2130" s="45" t="s">
        <v>11</v>
      </c>
      <c r="B2130" s="52" t="s">
        <v>161</v>
      </c>
      <c r="C2130" s="46">
        <v>43286</v>
      </c>
      <c r="D2130" s="47" t="s">
        <v>25</v>
      </c>
      <c r="E2130" s="48">
        <v>0.70833333333333304</v>
      </c>
      <c r="F2130" s="48">
        <v>0.78125</v>
      </c>
      <c r="G2130" s="49">
        <v>8.0000000000000036</v>
      </c>
      <c r="H2130" s="49">
        <v>1.7500000000000053</v>
      </c>
      <c r="I2130" s="49">
        <v>1.7500000000000053</v>
      </c>
      <c r="J2130" s="53" t="s">
        <v>30</v>
      </c>
      <c r="K2130" s="51" t="s">
        <v>596</v>
      </c>
      <c r="L2130" s="102" t="s">
        <v>281</v>
      </c>
      <c r="M2130" s="19" t="str">
        <f t="shared" si="50"/>
        <v>Jul_2018</v>
      </c>
    </row>
    <row r="2131" spans="1:13">
      <c r="A2131" s="45" t="s">
        <v>11</v>
      </c>
      <c r="B2131" s="52" t="s">
        <v>547</v>
      </c>
      <c r="C2131" s="46">
        <v>43286</v>
      </c>
      <c r="D2131" s="47" t="s">
        <v>25</v>
      </c>
      <c r="E2131" s="48">
        <v>0.70833333333333304</v>
      </c>
      <c r="F2131" s="48">
        <v>0.78125</v>
      </c>
      <c r="G2131" s="49">
        <v>8.0000000000000036</v>
      </c>
      <c r="H2131" s="49">
        <v>1.7500000000000053</v>
      </c>
      <c r="I2131" s="49">
        <v>1.7500000000000053</v>
      </c>
      <c r="J2131" s="53" t="s">
        <v>30</v>
      </c>
      <c r="K2131" s="51" t="s">
        <v>596</v>
      </c>
      <c r="L2131" s="102" t="s">
        <v>281</v>
      </c>
      <c r="M2131" s="19" t="str">
        <f t="shared" si="50"/>
        <v>Jul_2018</v>
      </c>
    </row>
    <row r="2132" spans="1:13">
      <c r="A2132" s="45" t="s">
        <v>11</v>
      </c>
      <c r="B2132" s="52" t="s">
        <v>543</v>
      </c>
      <c r="C2132" s="46">
        <v>43286</v>
      </c>
      <c r="D2132" s="47" t="s">
        <v>25</v>
      </c>
      <c r="E2132" s="48">
        <v>0.70833333333333304</v>
      </c>
      <c r="F2132" s="48">
        <v>0.78125</v>
      </c>
      <c r="G2132" s="49">
        <v>8.0000000000000036</v>
      </c>
      <c r="H2132" s="49">
        <v>1.7500000000000053</v>
      </c>
      <c r="I2132" s="49">
        <v>1.7500000000000053</v>
      </c>
      <c r="J2132" s="53" t="s">
        <v>30</v>
      </c>
      <c r="K2132" s="51" t="s">
        <v>596</v>
      </c>
      <c r="L2132" s="102" t="s">
        <v>281</v>
      </c>
      <c r="M2132" s="19" t="str">
        <f t="shared" si="50"/>
        <v>Jul_2018</v>
      </c>
    </row>
    <row r="2133" spans="1:13">
      <c r="A2133" s="45" t="s">
        <v>11</v>
      </c>
      <c r="B2133" s="52" t="s">
        <v>574</v>
      </c>
      <c r="C2133" s="46">
        <v>43286</v>
      </c>
      <c r="D2133" s="47" t="s">
        <v>25</v>
      </c>
      <c r="E2133" s="48">
        <v>0.70833333333333304</v>
      </c>
      <c r="F2133" s="48">
        <v>0.78125</v>
      </c>
      <c r="G2133" s="49">
        <v>8.0000000000000036</v>
      </c>
      <c r="H2133" s="49">
        <v>1.7500000000000053</v>
      </c>
      <c r="I2133" s="49">
        <v>1.7500000000000053</v>
      </c>
      <c r="J2133" s="53" t="s">
        <v>30</v>
      </c>
      <c r="K2133" s="51" t="s">
        <v>596</v>
      </c>
      <c r="L2133" s="102" t="s">
        <v>281</v>
      </c>
      <c r="M2133" s="19" t="str">
        <f t="shared" si="50"/>
        <v>Jul_2018</v>
      </c>
    </row>
    <row r="2134" spans="1:13">
      <c r="A2134" s="45" t="s">
        <v>22</v>
      </c>
      <c r="B2134" s="52" t="s">
        <v>23</v>
      </c>
      <c r="C2134" s="46">
        <v>43286</v>
      </c>
      <c r="D2134" s="47" t="s">
        <v>25</v>
      </c>
      <c r="E2134" s="48">
        <v>0.33333333333333298</v>
      </c>
      <c r="F2134" s="48">
        <v>0.78125</v>
      </c>
      <c r="G2134" s="49">
        <v>0</v>
      </c>
      <c r="H2134" s="49">
        <v>9.7500000000000089</v>
      </c>
      <c r="I2134" s="49">
        <v>9.7500000000000089</v>
      </c>
      <c r="J2134" s="53" t="s">
        <v>30</v>
      </c>
      <c r="K2134" s="51" t="s">
        <v>596</v>
      </c>
      <c r="L2134" s="102" t="s">
        <v>281</v>
      </c>
      <c r="M2134" s="19" t="str">
        <f t="shared" si="50"/>
        <v>Jul_2018</v>
      </c>
    </row>
    <row r="2135" spans="1:13">
      <c r="A2135" s="45" t="s">
        <v>11</v>
      </c>
      <c r="B2135" s="52" t="s">
        <v>12</v>
      </c>
      <c r="C2135" s="54">
        <v>43287</v>
      </c>
      <c r="D2135" s="47" t="s">
        <v>17</v>
      </c>
      <c r="E2135" s="48">
        <v>0.70833333333333304</v>
      </c>
      <c r="F2135" s="48">
        <v>0.875</v>
      </c>
      <c r="G2135" s="49">
        <v>8.0000000000000036</v>
      </c>
      <c r="H2135" s="49">
        <v>4.0000000000000036</v>
      </c>
      <c r="I2135" s="49">
        <v>4.0000000000000036</v>
      </c>
      <c r="J2135" s="53" t="s">
        <v>30</v>
      </c>
      <c r="K2135" s="51" t="s">
        <v>597</v>
      </c>
      <c r="L2135" s="102">
        <v>1</v>
      </c>
      <c r="M2135" s="19" t="str">
        <f t="shared" si="50"/>
        <v>Jul_2018</v>
      </c>
    </row>
    <row r="2136" spans="1:13">
      <c r="A2136" s="45" t="s">
        <v>11</v>
      </c>
      <c r="B2136" s="52" t="s">
        <v>19</v>
      </c>
      <c r="C2136" s="46">
        <v>43287</v>
      </c>
      <c r="D2136" s="47" t="s">
        <v>17</v>
      </c>
      <c r="E2136" s="48">
        <v>0.70833333333333304</v>
      </c>
      <c r="F2136" s="48">
        <v>0.875</v>
      </c>
      <c r="G2136" s="49">
        <v>8.0000000000000036</v>
      </c>
      <c r="H2136" s="49">
        <v>4.0000000000000036</v>
      </c>
      <c r="I2136" s="49">
        <v>4.0000000000000036</v>
      </c>
      <c r="J2136" s="53" t="s">
        <v>30</v>
      </c>
      <c r="K2136" s="51" t="s">
        <v>597</v>
      </c>
      <c r="L2136" s="102">
        <v>1</v>
      </c>
      <c r="M2136" s="19" t="str">
        <f t="shared" si="50"/>
        <v>Jul_2018</v>
      </c>
    </row>
    <row r="2137" spans="1:13">
      <c r="A2137" s="45" t="s">
        <v>11</v>
      </c>
      <c r="B2137" s="52" t="s">
        <v>149</v>
      </c>
      <c r="C2137" s="46">
        <v>43287</v>
      </c>
      <c r="D2137" s="47" t="s">
        <v>17</v>
      </c>
      <c r="E2137" s="48">
        <v>0.70833333333333304</v>
      </c>
      <c r="F2137" s="48">
        <v>0.875</v>
      </c>
      <c r="G2137" s="49">
        <v>8.0000000000000036</v>
      </c>
      <c r="H2137" s="49">
        <v>4.0000000000000036</v>
      </c>
      <c r="I2137" s="49">
        <v>4.0000000000000036</v>
      </c>
      <c r="J2137" s="53" t="s">
        <v>30</v>
      </c>
      <c r="K2137" s="51" t="s">
        <v>597</v>
      </c>
      <c r="L2137" s="102">
        <v>1</v>
      </c>
      <c r="M2137" s="19" t="str">
        <f t="shared" si="50"/>
        <v>Jul_2018</v>
      </c>
    </row>
    <row r="2138" spans="1:13">
      <c r="A2138" s="45" t="s">
        <v>11</v>
      </c>
      <c r="B2138" s="52" t="s">
        <v>161</v>
      </c>
      <c r="C2138" s="46">
        <v>43287</v>
      </c>
      <c r="D2138" s="47" t="s">
        <v>17</v>
      </c>
      <c r="E2138" s="48">
        <v>0.70833333333333304</v>
      </c>
      <c r="F2138" s="48">
        <v>0.875</v>
      </c>
      <c r="G2138" s="49">
        <v>8.0000000000000036</v>
      </c>
      <c r="H2138" s="49">
        <v>4.0000000000000036</v>
      </c>
      <c r="I2138" s="49">
        <v>4.0000000000000036</v>
      </c>
      <c r="J2138" s="53" t="s">
        <v>30</v>
      </c>
      <c r="K2138" s="51" t="s">
        <v>597</v>
      </c>
      <c r="L2138" s="102">
        <v>1</v>
      </c>
      <c r="M2138" s="19" t="str">
        <f t="shared" si="50"/>
        <v>Jul_2018</v>
      </c>
    </row>
    <row r="2139" spans="1:13">
      <c r="A2139" s="45" t="s">
        <v>11</v>
      </c>
      <c r="B2139" s="52" t="s">
        <v>542</v>
      </c>
      <c r="C2139" s="46">
        <v>43287</v>
      </c>
      <c r="D2139" s="47" t="s">
        <v>17</v>
      </c>
      <c r="E2139" s="48">
        <v>0.70833333333333304</v>
      </c>
      <c r="F2139" s="48">
        <v>0.875</v>
      </c>
      <c r="G2139" s="49">
        <v>8.0000000000000036</v>
      </c>
      <c r="H2139" s="49">
        <v>4.0000000000000036</v>
      </c>
      <c r="I2139" s="49">
        <v>4.0000000000000036</v>
      </c>
      <c r="J2139" s="53" t="s">
        <v>30</v>
      </c>
      <c r="K2139" s="51" t="s">
        <v>597</v>
      </c>
      <c r="L2139" s="102">
        <v>1</v>
      </c>
      <c r="M2139" s="19" t="str">
        <f t="shared" si="50"/>
        <v>Jul_2018</v>
      </c>
    </row>
    <row r="2140" spans="1:13">
      <c r="A2140" s="45" t="s">
        <v>11</v>
      </c>
      <c r="B2140" s="52" t="s">
        <v>547</v>
      </c>
      <c r="C2140" s="46">
        <v>43287</v>
      </c>
      <c r="D2140" s="47" t="s">
        <v>17</v>
      </c>
      <c r="E2140" s="48">
        <v>0.70833333333333304</v>
      </c>
      <c r="F2140" s="48">
        <v>0.875</v>
      </c>
      <c r="G2140" s="49">
        <v>8.0000000000000036</v>
      </c>
      <c r="H2140" s="49">
        <v>4.0000000000000036</v>
      </c>
      <c r="I2140" s="49">
        <v>4.0000000000000036</v>
      </c>
      <c r="J2140" s="53" t="s">
        <v>30</v>
      </c>
      <c r="K2140" s="51" t="s">
        <v>597</v>
      </c>
      <c r="L2140" s="102">
        <v>1</v>
      </c>
      <c r="M2140" s="19" t="str">
        <f t="shared" si="50"/>
        <v>Jul_2018</v>
      </c>
    </row>
    <row r="2141" spans="1:13">
      <c r="A2141" s="45" t="s">
        <v>11</v>
      </c>
      <c r="B2141" s="52" t="s">
        <v>543</v>
      </c>
      <c r="C2141" s="46">
        <v>43287</v>
      </c>
      <c r="D2141" s="47" t="s">
        <v>17</v>
      </c>
      <c r="E2141" s="48">
        <v>0.70833333333333304</v>
      </c>
      <c r="F2141" s="48">
        <v>0.875</v>
      </c>
      <c r="G2141" s="49">
        <v>8.0000000000000036</v>
      </c>
      <c r="H2141" s="49">
        <v>4.0000000000000036</v>
      </c>
      <c r="I2141" s="49">
        <v>4.0000000000000036</v>
      </c>
      <c r="J2141" s="53" t="s">
        <v>30</v>
      </c>
      <c r="K2141" s="51" t="s">
        <v>597</v>
      </c>
      <c r="L2141" s="102">
        <v>1</v>
      </c>
      <c r="M2141" s="19" t="str">
        <f t="shared" si="50"/>
        <v>Jul_2018</v>
      </c>
    </row>
    <row r="2142" spans="1:13">
      <c r="A2142" s="45" t="s">
        <v>11</v>
      </c>
      <c r="B2142" s="52" t="s">
        <v>574</v>
      </c>
      <c r="C2142" s="46">
        <v>43287</v>
      </c>
      <c r="D2142" s="47" t="s">
        <v>17</v>
      </c>
      <c r="E2142" s="48">
        <v>0.70833333333333304</v>
      </c>
      <c r="F2142" s="48">
        <v>0.875</v>
      </c>
      <c r="G2142" s="49">
        <v>8.0000000000000036</v>
      </c>
      <c r="H2142" s="49">
        <v>4.0000000000000036</v>
      </c>
      <c r="I2142" s="49">
        <v>4.0000000000000036</v>
      </c>
      <c r="J2142" s="53" t="s">
        <v>30</v>
      </c>
      <c r="K2142" s="51" t="s">
        <v>597</v>
      </c>
      <c r="L2142" s="102">
        <v>1</v>
      </c>
      <c r="M2142" s="19" t="str">
        <f t="shared" si="50"/>
        <v>Jul_2018</v>
      </c>
    </row>
    <row r="2143" spans="1:13">
      <c r="A2143" s="45" t="s">
        <v>22</v>
      </c>
      <c r="B2143" s="52" t="s">
        <v>23</v>
      </c>
      <c r="C2143" s="46">
        <v>43287</v>
      </c>
      <c r="D2143" s="47" t="s">
        <v>17</v>
      </c>
      <c r="E2143" s="48">
        <v>0.33333333333333298</v>
      </c>
      <c r="F2143" s="48">
        <v>0.875</v>
      </c>
      <c r="G2143" s="49">
        <v>0</v>
      </c>
      <c r="H2143" s="49">
        <v>12.000000000000007</v>
      </c>
      <c r="I2143" s="49">
        <v>12.000000000000007</v>
      </c>
      <c r="J2143" s="53" t="s">
        <v>30</v>
      </c>
      <c r="K2143" s="51" t="s">
        <v>597</v>
      </c>
      <c r="L2143" s="102" t="s">
        <v>281</v>
      </c>
      <c r="M2143" s="19" t="str">
        <f t="shared" si="50"/>
        <v>Jul_2018</v>
      </c>
    </row>
    <row r="2144" spans="1:13">
      <c r="A2144" s="45" t="s">
        <v>22</v>
      </c>
      <c r="B2144" s="52" t="s">
        <v>23</v>
      </c>
      <c r="C2144" s="46">
        <v>43290</v>
      </c>
      <c r="D2144" s="47" t="s">
        <v>16</v>
      </c>
      <c r="E2144" s="48">
        <v>0.35416666666666702</v>
      </c>
      <c r="F2144" s="48">
        <v>0.72916666666666696</v>
      </c>
      <c r="G2144" s="49">
        <v>0</v>
      </c>
      <c r="H2144" s="49">
        <v>7.9999999999999982</v>
      </c>
      <c r="I2144" s="49">
        <v>7.9999999999999982</v>
      </c>
      <c r="J2144" s="53" t="s">
        <v>30</v>
      </c>
      <c r="K2144" s="51" t="s">
        <v>598</v>
      </c>
      <c r="L2144" s="102" t="s">
        <v>281</v>
      </c>
      <c r="M2144" s="19" t="str">
        <f t="shared" si="50"/>
        <v>Jul_2018</v>
      </c>
    </row>
    <row r="2145" spans="1:13">
      <c r="A2145" s="45" t="s">
        <v>22</v>
      </c>
      <c r="B2145" s="52" t="s">
        <v>23</v>
      </c>
      <c r="C2145" s="46">
        <v>43291</v>
      </c>
      <c r="D2145" s="47" t="s">
        <v>14</v>
      </c>
      <c r="E2145" s="48">
        <v>0.35416666666666702</v>
      </c>
      <c r="F2145" s="48">
        <v>0.72916666666666696</v>
      </c>
      <c r="G2145" s="49">
        <v>0</v>
      </c>
      <c r="H2145" s="49">
        <v>7.9999999999999982</v>
      </c>
      <c r="I2145" s="49">
        <v>7.9999999999999982</v>
      </c>
      <c r="J2145" s="53" t="s">
        <v>30</v>
      </c>
      <c r="K2145" s="51" t="s">
        <v>599</v>
      </c>
      <c r="L2145" s="102" t="s">
        <v>281</v>
      </c>
      <c r="M2145" s="19" t="str">
        <f t="shared" si="50"/>
        <v>Jul_2018</v>
      </c>
    </row>
    <row r="2146" spans="1:13">
      <c r="A2146" s="45" t="s">
        <v>22</v>
      </c>
      <c r="B2146" s="52" t="s">
        <v>23</v>
      </c>
      <c r="C2146" s="46">
        <v>43292</v>
      </c>
      <c r="D2146" s="47" t="s">
        <v>15</v>
      </c>
      <c r="E2146" s="48">
        <v>0.35416666666666702</v>
      </c>
      <c r="F2146" s="48">
        <v>0.72916666666666696</v>
      </c>
      <c r="G2146" s="49">
        <v>0</v>
      </c>
      <c r="H2146" s="49">
        <v>7.9999999999999982</v>
      </c>
      <c r="I2146" s="49">
        <v>7.9999999999999982</v>
      </c>
      <c r="J2146" s="53" t="s">
        <v>30</v>
      </c>
      <c r="K2146" s="51" t="s">
        <v>601</v>
      </c>
      <c r="L2146" s="102" t="s">
        <v>281</v>
      </c>
      <c r="M2146" s="19" t="str">
        <f t="shared" si="50"/>
        <v>Jul_2018</v>
      </c>
    </row>
    <row r="2147" spans="1:13">
      <c r="A2147" s="45" t="s">
        <v>22</v>
      </c>
      <c r="B2147" s="52" t="s">
        <v>23</v>
      </c>
      <c r="C2147" s="46">
        <v>43293</v>
      </c>
      <c r="D2147" s="47" t="s">
        <v>25</v>
      </c>
      <c r="E2147" s="48">
        <v>0.35416666666666702</v>
      </c>
      <c r="F2147" s="48">
        <v>0.72916666666666696</v>
      </c>
      <c r="G2147" s="49">
        <v>0</v>
      </c>
      <c r="H2147" s="49">
        <v>7.9999999999999982</v>
      </c>
      <c r="I2147" s="49">
        <v>7.9999999999999982</v>
      </c>
      <c r="J2147" s="53" t="s">
        <v>30</v>
      </c>
      <c r="K2147" s="51" t="s">
        <v>602</v>
      </c>
      <c r="L2147" s="102" t="s">
        <v>281</v>
      </c>
      <c r="M2147" s="19" t="str">
        <f t="shared" si="50"/>
        <v>Jul_2018</v>
      </c>
    </row>
    <row r="2148" spans="1:13">
      <c r="A2148" s="45" t="s">
        <v>22</v>
      </c>
      <c r="B2148" s="52" t="s">
        <v>23</v>
      </c>
      <c r="C2148" s="46">
        <v>43294</v>
      </c>
      <c r="D2148" s="47" t="s">
        <v>17</v>
      </c>
      <c r="E2148" s="48">
        <v>0.35416666666666702</v>
      </c>
      <c r="F2148" s="48">
        <v>0.72916666666666696</v>
      </c>
      <c r="G2148" s="49">
        <v>0</v>
      </c>
      <c r="H2148" s="49">
        <v>7.9999999999999982</v>
      </c>
      <c r="I2148" s="49">
        <v>7.9999999999999982</v>
      </c>
      <c r="J2148" s="53" t="s">
        <v>30</v>
      </c>
      <c r="K2148" s="51" t="s">
        <v>603</v>
      </c>
      <c r="L2148" s="102" t="s">
        <v>281</v>
      </c>
      <c r="M2148" s="19" t="str">
        <f t="shared" si="50"/>
        <v>Jul_2018</v>
      </c>
    </row>
    <row r="2149" spans="1:13">
      <c r="A2149" s="45" t="s">
        <v>11</v>
      </c>
      <c r="B2149" s="52" t="s">
        <v>12</v>
      </c>
      <c r="C2149" s="54">
        <v>43295</v>
      </c>
      <c r="D2149" s="47" t="s">
        <v>24</v>
      </c>
      <c r="E2149" s="48">
        <v>0.5</v>
      </c>
      <c r="F2149" s="48">
        <v>0.875</v>
      </c>
      <c r="G2149" s="49">
        <v>8.0000000000000036</v>
      </c>
      <c r="H2149" s="49">
        <v>0</v>
      </c>
      <c r="I2149" s="49">
        <v>8.0000000000000036</v>
      </c>
      <c r="J2149" s="53" t="s">
        <v>30</v>
      </c>
      <c r="K2149" s="51" t="s">
        <v>604</v>
      </c>
      <c r="L2149" s="102" t="s">
        <v>281</v>
      </c>
      <c r="M2149" s="19" t="str">
        <f t="shared" si="50"/>
        <v>Jul_2018</v>
      </c>
    </row>
    <row r="2150" spans="1:13">
      <c r="A2150" s="45" t="s">
        <v>11</v>
      </c>
      <c r="B2150" s="52" t="s">
        <v>19</v>
      </c>
      <c r="C2150" s="46">
        <v>43295</v>
      </c>
      <c r="D2150" s="47" t="s">
        <v>24</v>
      </c>
      <c r="E2150" s="48">
        <v>0.5</v>
      </c>
      <c r="F2150" s="48">
        <v>0.875</v>
      </c>
      <c r="G2150" s="49">
        <v>8.0000000000000036</v>
      </c>
      <c r="H2150" s="49">
        <v>0</v>
      </c>
      <c r="I2150" s="49">
        <v>8.0000000000000036</v>
      </c>
      <c r="J2150" s="53" t="s">
        <v>30</v>
      </c>
      <c r="K2150" s="51" t="s">
        <v>604</v>
      </c>
      <c r="L2150" s="102" t="s">
        <v>281</v>
      </c>
      <c r="M2150" s="19" t="str">
        <f t="shared" si="50"/>
        <v>Jul_2018</v>
      </c>
    </row>
    <row r="2151" spans="1:13">
      <c r="A2151" s="45" t="s">
        <v>11</v>
      </c>
      <c r="B2151" s="52" t="s">
        <v>26</v>
      </c>
      <c r="C2151" s="46">
        <v>43295</v>
      </c>
      <c r="D2151" s="47" t="s">
        <v>24</v>
      </c>
      <c r="E2151" s="48">
        <v>0.5</v>
      </c>
      <c r="F2151" s="48">
        <v>0.875</v>
      </c>
      <c r="G2151" s="49">
        <v>8.0000000000000036</v>
      </c>
      <c r="H2151" s="49">
        <v>0</v>
      </c>
      <c r="I2151" s="49">
        <v>8.0000000000000036</v>
      </c>
      <c r="J2151" s="53" t="s">
        <v>30</v>
      </c>
      <c r="K2151" s="51" t="s">
        <v>604</v>
      </c>
      <c r="L2151" s="102" t="s">
        <v>281</v>
      </c>
      <c r="M2151" s="19" t="str">
        <f t="shared" si="50"/>
        <v>Jul_2018</v>
      </c>
    </row>
    <row r="2152" spans="1:13">
      <c r="A2152" s="45" t="s">
        <v>11</v>
      </c>
      <c r="B2152" s="52" t="s">
        <v>149</v>
      </c>
      <c r="C2152" s="46">
        <v>43295</v>
      </c>
      <c r="D2152" s="47" t="s">
        <v>24</v>
      </c>
      <c r="E2152" s="48">
        <v>0.5</v>
      </c>
      <c r="F2152" s="48">
        <v>0.875</v>
      </c>
      <c r="G2152" s="49">
        <v>8.0000000000000036</v>
      </c>
      <c r="H2152" s="49">
        <v>0</v>
      </c>
      <c r="I2152" s="49">
        <v>8.0000000000000036</v>
      </c>
      <c r="J2152" s="53" t="s">
        <v>30</v>
      </c>
      <c r="K2152" s="51" t="s">
        <v>604</v>
      </c>
      <c r="L2152" s="102" t="s">
        <v>281</v>
      </c>
      <c r="M2152" s="19" t="str">
        <f t="shared" si="50"/>
        <v>Jul_2018</v>
      </c>
    </row>
    <row r="2153" spans="1:13">
      <c r="A2153" s="45" t="s">
        <v>11</v>
      </c>
      <c r="B2153" s="52" t="s">
        <v>161</v>
      </c>
      <c r="C2153" s="46">
        <v>43295</v>
      </c>
      <c r="D2153" s="47" t="s">
        <v>24</v>
      </c>
      <c r="E2153" s="48">
        <v>0.5</v>
      </c>
      <c r="F2153" s="48">
        <v>0.875</v>
      </c>
      <c r="G2153" s="49">
        <v>8.0000000000000036</v>
      </c>
      <c r="H2153" s="49">
        <v>0</v>
      </c>
      <c r="I2153" s="49">
        <v>8.0000000000000036</v>
      </c>
      <c r="J2153" s="53" t="s">
        <v>30</v>
      </c>
      <c r="K2153" s="51" t="s">
        <v>604</v>
      </c>
      <c r="L2153" s="102" t="s">
        <v>281</v>
      </c>
      <c r="M2153" s="19" t="str">
        <f t="shared" si="50"/>
        <v>Jul_2018</v>
      </c>
    </row>
    <row r="2154" spans="1:13">
      <c r="A2154" s="45" t="s">
        <v>11</v>
      </c>
      <c r="B2154" s="52" t="s">
        <v>12</v>
      </c>
      <c r="C2154" s="54">
        <v>43296</v>
      </c>
      <c r="D2154" s="47" t="s">
        <v>13</v>
      </c>
      <c r="E2154" s="48">
        <v>0.35416666666666702</v>
      </c>
      <c r="F2154" s="48">
        <v>0.72916666666666696</v>
      </c>
      <c r="G2154" s="49" t="s">
        <v>281</v>
      </c>
      <c r="H2154" s="49">
        <v>7.9999999999999982</v>
      </c>
      <c r="I2154" s="49">
        <v>7.9999999999999982</v>
      </c>
      <c r="J2154" s="53" t="s">
        <v>52</v>
      </c>
      <c r="K2154" s="51" t="s">
        <v>605</v>
      </c>
      <c r="L2154" s="102" t="s">
        <v>281</v>
      </c>
      <c r="M2154" s="19" t="str">
        <f t="shared" si="50"/>
        <v>Jul_2018</v>
      </c>
    </row>
    <row r="2155" spans="1:13">
      <c r="A2155" s="45" t="s">
        <v>11</v>
      </c>
      <c r="B2155" s="52" t="s">
        <v>19</v>
      </c>
      <c r="C2155" s="46">
        <v>43296</v>
      </c>
      <c r="D2155" s="47" t="s">
        <v>13</v>
      </c>
      <c r="E2155" s="48">
        <v>0.35416666666666702</v>
      </c>
      <c r="F2155" s="48">
        <v>0.72916666666666696</v>
      </c>
      <c r="G2155" s="49" t="s">
        <v>281</v>
      </c>
      <c r="H2155" s="49">
        <v>7.9999999999999982</v>
      </c>
      <c r="I2155" s="49">
        <v>7.9999999999999982</v>
      </c>
      <c r="J2155" s="53" t="s">
        <v>52</v>
      </c>
      <c r="K2155" s="51" t="s">
        <v>605</v>
      </c>
      <c r="L2155" s="102" t="s">
        <v>281</v>
      </c>
      <c r="M2155" s="19" t="str">
        <f t="shared" si="50"/>
        <v>Jul_2018</v>
      </c>
    </row>
    <row r="2156" spans="1:13">
      <c r="A2156" s="45" t="s">
        <v>11</v>
      </c>
      <c r="B2156" s="52" t="s">
        <v>26</v>
      </c>
      <c r="C2156" s="46">
        <v>43296</v>
      </c>
      <c r="D2156" s="47" t="s">
        <v>13</v>
      </c>
      <c r="E2156" s="48">
        <v>0.35416666666666702</v>
      </c>
      <c r="F2156" s="48">
        <v>0.72916666666666696</v>
      </c>
      <c r="G2156" s="49" t="s">
        <v>281</v>
      </c>
      <c r="H2156" s="49">
        <v>7.9999999999999982</v>
      </c>
      <c r="I2156" s="49">
        <v>7.9999999999999982</v>
      </c>
      <c r="J2156" s="53" t="s">
        <v>52</v>
      </c>
      <c r="K2156" s="51" t="s">
        <v>605</v>
      </c>
      <c r="L2156" s="102" t="s">
        <v>281</v>
      </c>
      <c r="M2156" s="19" t="str">
        <f t="shared" si="50"/>
        <v>Jul_2018</v>
      </c>
    </row>
    <row r="2157" spans="1:13">
      <c r="A2157" s="45" t="s">
        <v>11</v>
      </c>
      <c r="B2157" s="52" t="s">
        <v>149</v>
      </c>
      <c r="C2157" s="46">
        <v>43296</v>
      </c>
      <c r="D2157" s="47" t="s">
        <v>13</v>
      </c>
      <c r="E2157" s="48">
        <v>0.35416666666666702</v>
      </c>
      <c r="F2157" s="48">
        <v>0.72916666666666696</v>
      </c>
      <c r="G2157" s="49" t="s">
        <v>281</v>
      </c>
      <c r="H2157" s="49">
        <v>7.9999999999999982</v>
      </c>
      <c r="I2157" s="49">
        <v>7.9999999999999982</v>
      </c>
      <c r="J2157" s="53" t="s">
        <v>52</v>
      </c>
      <c r="K2157" s="51" t="s">
        <v>605</v>
      </c>
      <c r="L2157" s="102" t="s">
        <v>281</v>
      </c>
      <c r="M2157" s="19" t="str">
        <f t="shared" si="50"/>
        <v>Jul_2018</v>
      </c>
    </row>
    <row r="2158" spans="1:13">
      <c r="A2158" s="45" t="s">
        <v>11</v>
      </c>
      <c r="B2158" s="52" t="s">
        <v>161</v>
      </c>
      <c r="C2158" s="46">
        <v>43296</v>
      </c>
      <c r="D2158" s="47" t="s">
        <v>13</v>
      </c>
      <c r="E2158" s="48">
        <v>0.35416666666666702</v>
      </c>
      <c r="F2158" s="48">
        <v>0.72916666666666696</v>
      </c>
      <c r="G2158" s="49" t="s">
        <v>281</v>
      </c>
      <c r="H2158" s="49">
        <v>7.9999999999999982</v>
      </c>
      <c r="I2158" s="49">
        <v>7.9999999999999982</v>
      </c>
      <c r="J2158" s="53" t="s">
        <v>52</v>
      </c>
      <c r="K2158" s="51" t="s">
        <v>605</v>
      </c>
      <c r="L2158" s="102" t="s">
        <v>281</v>
      </c>
      <c r="M2158" s="19" t="str">
        <f t="shared" si="50"/>
        <v>Jul_2018</v>
      </c>
    </row>
    <row r="2159" spans="1:13">
      <c r="A2159" s="45" t="s">
        <v>11</v>
      </c>
      <c r="B2159" s="52" t="s">
        <v>542</v>
      </c>
      <c r="C2159" s="46">
        <v>43296</v>
      </c>
      <c r="D2159" s="47" t="s">
        <v>13</v>
      </c>
      <c r="E2159" s="48">
        <v>0.35416666666666702</v>
      </c>
      <c r="F2159" s="48">
        <v>0.72916666666666696</v>
      </c>
      <c r="G2159" s="49" t="s">
        <v>281</v>
      </c>
      <c r="H2159" s="49">
        <v>7.9999999999999982</v>
      </c>
      <c r="I2159" s="49">
        <v>7.9999999999999982</v>
      </c>
      <c r="J2159" s="53" t="s">
        <v>52</v>
      </c>
      <c r="K2159" s="51" t="s">
        <v>605</v>
      </c>
      <c r="L2159" s="102" t="s">
        <v>281</v>
      </c>
      <c r="M2159" s="19" t="str">
        <f t="shared" si="50"/>
        <v>Jul_2018</v>
      </c>
    </row>
    <row r="2160" spans="1:13">
      <c r="A2160" s="45" t="s">
        <v>11</v>
      </c>
      <c r="B2160" s="52" t="s">
        <v>547</v>
      </c>
      <c r="C2160" s="46">
        <v>43296</v>
      </c>
      <c r="D2160" s="47" t="s">
        <v>13</v>
      </c>
      <c r="E2160" s="48">
        <v>0.35416666666666702</v>
      </c>
      <c r="F2160" s="48">
        <v>0.72916666666666696</v>
      </c>
      <c r="G2160" s="49" t="s">
        <v>281</v>
      </c>
      <c r="H2160" s="49">
        <v>7.9999999999999982</v>
      </c>
      <c r="I2160" s="49">
        <v>7.9999999999999982</v>
      </c>
      <c r="J2160" s="53" t="s">
        <v>52</v>
      </c>
      <c r="K2160" s="51" t="s">
        <v>605</v>
      </c>
      <c r="L2160" s="102" t="s">
        <v>281</v>
      </c>
      <c r="M2160" s="19" t="str">
        <f t="shared" si="50"/>
        <v>Jul_2018</v>
      </c>
    </row>
    <row r="2161" spans="1:13">
      <c r="A2161" s="45" t="s">
        <v>22</v>
      </c>
      <c r="B2161" s="52" t="s">
        <v>78</v>
      </c>
      <c r="C2161" s="46">
        <v>43298</v>
      </c>
      <c r="D2161" s="47" t="s">
        <v>14</v>
      </c>
      <c r="E2161" s="48">
        <v>0.45833333333333331</v>
      </c>
      <c r="F2161" s="48">
        <v>0.72916666666666663</v>
      </c>
      <c r="G2161" s="49">
        <v>0</v>
      </c>
      <c r="H2161" s="49">
        <v>5.5</v>
      </c>
      <c r="I2161" s="49">
        <v>5.5</v>
      </c>
      <c r="J2161" s="53" t="s">
        <v>30</v>
      </c>
      <c r="K2161" s="51" t="s">
        <v>606</v>
      </c>
      <c r="L2161" s="102" t="s">
        <v>281</v>
      </c>
      <c r="M2161" s="19" t="str">
        <f t="shared" si="50"/>
        <v>Jul_2018</v>
      </c>
    </row>
    <row r="2162" spans="1:13">
      <c r="A2162" s="45" t="s">
        <v>22</v>
      </c>
      <c r="B2162" s="52" t="s">
        <v>23</v>
      </c>
      <c r="C2162" s="46">
        <v>43297</v>
      </c>
      <c r="D2162" s="47" t="s">
        <v>16</v>
      </c>
      <c r="E2162" s="48">
        <v>0.35416666666666702</v>
      </c>
      <c r="F2162" s="48">
        <v>0.72916666666666663</v>
      </c>
      <c r="G2162" s="49">
        <v>0</v>
      </c>
      <c r="H2162" s="49">
        <v>7.9999999999999911</v>
      </c>
      <c r="I2162" s="49">
        <v>7.9999999999999911</v>
      </c>
      <c r="J2162" s="53" t="s">
        <v>30</v>
      </c>
      <c r="K2162" s="51" t="s">
        <v>626</v>
      </c>
      <c r="L2162" s="102" t="s">
        <v>281</v>
      </c>
      <c r="M2162" s="19" t="str">
        <f t="shared" si="50"/>
        <v>Jul_2018</v>
      </c>
    </row>
    <row r="2163" spans="1:13">
      <c r="A2163" s="45" t="s">
        <v>22</v>
      </c>
      <c r="B2163" s="52" t="s">
        <v>23</v>
      </c>
      <c r="C2163" s="46">
        <v>43298</v>
      </c>
      <c r="D2163" s="47" t="s">
        <v>14</v>
      </c>
      <c r="E2163" s="48">
        <v>0.35416666666666702</v>
      </c>
      <c r="F2163" s="48">
        <v>0.72916666666666663</v>
      </c>
      <c r="G2163" s="49">
        <v>0</v>
      </c>
      <c r="H2163" s="49">
        <v>7.9999999999999911</v>
      </c>
      <c r="I2163" s="49">
        <v>7.9999999999999911</v>
      </c>
      <c r="J2163" s="53" t="s">
        <v>30</v>
      </c>
      <c r="K2163" s="51" t="s">
        <v>606</v>
      </c>
      <c r="L2163" s="102" t="s">
        <v>281</v>
      </c>
      <c r="M2163" s="19" t="str">
        <f t="shared" si="50"/>
        <v>Jul_2018</v>
      </c>
    </row>
    <row r="2164" spans="1:13">
      <c r="A2164" s="45" t="s">
        <v>22</v>
      </c>
      <c r="B2164" s="52" t="s">
        <v>23</v>
      </c>
      <c r="C2164" s="46">
        <v>43299</v>
      </c>
      <c r="D2164" s="47" t="s">
        <v>15</v>
      </c>
      <c r="E2164" s="48">
        <v>0.35416666666666702</v>
      </c>
      <c r="F2164" s="48">
        <v>0.72916666666666663</v>
      </c>
      <c r="G2164" s="49">
        <v>0</v>
      </c>
      <c r="H2164" s="49">
        <v>7.9999999999999911</v>
      </c>
      <c r="I2164" s="49">
        <v>7.9999999999999911</v>
      </c>
      <c r="J2164" s="53" t="s">
        <v>30</v>
      </c>
      <c r="K2164" s="51" t="s">
        <v>607</v>
      </c>
      <c r="L2164" s="102" t="s">
        <v>281</v>
      </c>
      <c r="M2164" s="19" t="str">
        <f t="shared" si="50"/>
        <v>Jul_2018</v>
      </c>
    </row>
    <row r="2165" spans="1:13">
      <c r="A2165" s="45" t="s">
        <v>22</v>
      </c>
      <c r="B2165" s="52" t="s">
        <v>23</v>
      </c>
      <c r="C2165" s="46">
        <v>43300</v>
      </c>
      <c r="D2165" s="47" t="s">
        <v>25</v>
      </c>
      <c r="E2165" s="48">
        <v>0.35416666666666702</v>
      </c>
      <c r="F2165" s="48">
        <v>0.72916666666666663</v>
      </c>
      <c r="G2165" s="49">
        <v>0</v>
      </c>
      <c r="H2165" s="49">
        <v>7.9999999999999911</v>
      </c>
      <c r="I2165" s="49">
        <v>7.9999999999999911</v>
      </c>
      <c r="J2165" s="53" t="s">
        <v>30</v>
      </c>
      <c r="K2165" s="51" t="s">
        <v>608</v>
      </c>
      <c r="L2165" s="102" t="s">
        <v>281</v>
      </c>
      <c r="M2165" s="19" t="str">
        <f t="shared" si="50"/>
        <v>Jul_2018</v>
      </c>
    </row>
    <row r="2166" spans="1:13">
      <c r="A2166" s="45" t="s">
        <v>22</v>
      </c>
      <c r="B2166" s="52" t="s">
        <v>23</v>
      </c>
      <c r="C2166" s="46">
        <v>43301</v>
      </c>
      <c r="D2166" s="47" t="s">
        <v>17</v>
      </c>
      <c r="E2166" s="48">
        <v>0.35416666666666702</v>
      </c>
      <c r="F2166" s="48">
        <v>0.72916666666666663</v>
      </c>
      <c r="G2166" s="49">
        <v>0</v>
      </c>
      <c r="H2166" s="49">
        <v>7.9999999999999911</v>
      </c>
      <c r="I2166" s="49">
        <v>7.9999999999999911</v>
      </c>
      <c r="J2166" s="53" t="s">
        <v>30</v>
      </c>
      <c r="K2166" s="51" t="s">
        <v>609</v>
      </c>
      <c r="L2166" s="102" t="s">
        <v>281</v>
      </c>
      <c r="M2166" s="19" t="str">
        <f t="shared" si="50"/>
        <v>Jul_2018</v>
      </c>
    </row>
    <row r="2167" spans="1:13">
      <c r="A2167" s="45" t="s">
        <v>22</v>
      </c>
      <c r="B2167" s="52" t="s">
        <v>23</v>
      </c>
      <c r="C2167" s="46">
        <v>43304</v>
      </c>
      <c r="D2167" s="47" t="s">
        <v>16</v>
      </c>
      <c r="E2167" s="48">
        <v>0.35416666666666702</v>
      </c>
      <c r="F2167" s="48">
        <v>0.72916666666666663</v>
      </c>
      <c r="G2167" s="49">
        <v>0</v>
      </c>
      <c r="H2167" s="49">
        <v>7.9999999999999911</v>
      </c>
      <c r="I2167" s="49">
        <v>7.9999999999999911</v>
      </c>
      <c r="J2167" s="53" t="s">
        <v>30</v>
      </c>
      <c r="K2167" s="51" t="s">
        <v>610</v>
      </c>
      <c r="L2167" s="102" t="s">
        <v>281</v>
      </c>
      <c r="M2167" s="19" t="str">
        <f t="shared" si="50"/>
        <v>Jul_2018</v>
      </c>
    </row>
    <row r="2168" spans="1:13">
      <c r="A2168" s="45" t="s">
        <v>22</v>
      </c>
      <c r="B2168" s="52" t="s">
        <v>23</v>
      </c>
      <c r="C2168" s="46">
        <v>43305</v>
      </c>
      <c r="D2168" s="47" t="s">
        <v>14</v>
      </c>
      <c r="E2168" s="48">
        <v>0.35416666666666702</v>
      </c>
      <c r="F2168" s="48">
        <v>0.72916666666666663</v>
      </c>
      <c r="G2168" s="49">
        <v>0</v>
      </c>
      <c r="H2168" s="49">
        <v>7.9999999999999911</v>
      </c>
      <c r="I2168" s="49">
        <v>7.9999999999999911</v>
      </c>
      <c r="J2168" s="53" t="s">
        <v>30</v>
      </c>
      <c r="K2168" s="51" t="s">
        <v>611</v>
      </c>
      <c r="L2168" s="102" t="s">
        <v>281</v>
      </c>
      <c r="M2168" s="19" t="str">
        <f t="shared" si="50"/>
        <v>Jul_2018</v>
      </c>
    </row>
    <row r="2169" spans="1:13">
      <c r="A2169" s="45" t="s">
        <v>22</v>
      </c>
      <c r="B2169" s="52" t="s">
        <v>612</v>
      </c>
      <c r="C2169" s="46">
        <v>43305</v>
      </c>
      <c r="D2169" s="47" t="s">
        <v>14</v>
      </c>
      <c r="E2169" s="48">
        <v>0.35416666666666702</v>
      </c>
      <c r="F2169" s="48">
        <v>0.72916666666666663</v>
      </c>
      <c r="G2169" s="49">
        <v>0</v>
      </c>
      <c r="H2169" s="49">
        <v>7.9999999999999911</v>
      </c>
      <c r="I2169" s="49">
        <v>7.9999999999999911</v>
      </c>
      <c r="J2169" s="53" t="s">
        <v>30</v>
      </c>
      <c r="K2169" s="51" t="s">
        <v>611</v>
      </c>
      <c r="L2169" s="102" t="s">
        <v>281</v>
      </c>
      <c r="M2169" s="19" t="str">
        <f t="shared" si="50"/>
        <v>Jul_2018</v>
      </c>
    </row>
    <row r="2170" spans="1:13">
      <c r="A2170" s="45" t="s">
        <v>22</v>
      </c>
      <c r="B2170" s="52" t="s">
        <v>23</v>
      </c>
      <c r="C2170" s="46">
        <v>43306</v>
      </c>
      <c r="D2170" s="47" t="s">
        <v>15</v>
      </c>
      <c r="E2170" s="48">
        <v>0.35416666666666702</v>
      </c>
      <c r="F2170" s="48">
        <v>0.72916666666666663</v>
      </c>
      <c r="G2170" s="49">
        <v>0</v>
      </c>
      <c r="H2170" s="49">
        <v>7.9999999999999911</v>
      </c>
      <c r="I2170" s="49">
        <v>7.9999999999999911</v>
      </c>
      <c r="J2170" s="53" t="s">
        <v>30</v>
      </c>
      <c r="K2170" s="51" t="s">
        <v>613</v>
      </c>
      <c r="L2170" s="102" t="s">
        <v>281</v>
      </c>
      <c r="M2170" s="19" t="str">
        <f t="shared" si="50"/>
        <v>Jul_2018</v>
      </c>
    </row>
    <row r="2171" spans="1:13">
      <c r="A2171" s="45" t="s">
        <v>22</v>
      </c>
      <c r="B2171" s="52" t="s">
        <v>23</v>
      </c>
      <c r="C2171" s="46">
        <v>43307</v>
      </c>
      <c r="D2171" s="47" t="s">
        <v>25</v>
      </c>
      <c r="E2171" s="48">
        <v>0.35416666666666702</v>
      </c>
      <c r="F2171" s="48">
        <v>0.72916666666666663</v>
      </c>
      <c r="G2171" s="49">
        <v>0</v>
      </c>
      <c r="H2171" s="49">
        <v>7.9999999999999911</v>
      </c>
      <c r="I2171" s="49">
        <v>7.9999999999999911</v>
      </c>
      <c r="J2171" s="53" t="s">
        <v>30</v>
      </c>
      <c r="K2171" s="51" t="s">
        <v>614</v>
      </c>
      <c r="L2171" s="102" t="s">
        <v>281</v>
      </c>
      <c r="M2171" s="19" t="str">
        <f t="shared" si="50"/>
        <v>Jul_2018</v>
      </c>
    </row>
    <row r="2172" spans="1:13">
      <c r="A2172" s="45" t="s">
        <v>22</v>
      </c>
      <c r="B2172" s="52" t="s">
        <v>612</v>
      </c>
      <c r="C2172" s="46">
        <v>43307</v>
      </c>
      <c r="D2172" s="47" t="s">
        <v>25</v>
      </c>
      <c r="E2172" s="48">
        <v>0.35416666666666702</v>
      </c>
      <c r="F2172" s="48">
        <v>0.72916666666666663</v>
      </c>
      <c r="G2172" s="49">
        <v>0</v>
      </c>
      <c r="H2172" s="49">
        <v>7.9999999999999911</v>
      </c>
      <c r="I2172" s="49">
        <v>7.9999999999999911</v>
      </c>
      <c r="J2172" s="53" t="s">
        <v>30</v>
      </c>
      <c r="K2172" s="51" t="s">
        <v>614</v>
      </c>
      <c r="L2172" s="102" t="s">
        <v>281</v>
      </c>
      <c r="M2172" s="19" t="str">
        <f t="shared" ref="M2172:M2178" si="51">IF($C2172="","",TEXT(DATE(YEAR($C2172),MONTH($C2172),DAY($C2172)),"MMM")&amp;"_"&amp;YEAR($C2172))</f>
        <v>Jul_2018</v>
      </c>
    </row>
    <row r="2173" spans="1:13">
      <c r="A2173" s="45" t="s">
        <v>22</v>
      </c>
      <c r="B2173" s="52" t="s">
        <v>23</v>
      </c>
      <c r="C2173" s="46">
        <v>43308</v>
      </c>
      <c r="D2173" s="47" t="s">
        <v>17</v>
      </c>
      <c r="E2173" s="48">
        <v>0.35416666666666702</v>
      </c>
      <c r="F2173" s="48">
        <v>0.72916666666666663</v>
      </c>
      <c r="G2173" s="49">
        <v>0</v>
      </c>
      <c r="H2173" s="49">
        <v>7.9999999999999911</v>
      </c>
      <c r="I2173" s="49">
        <v>7.9999999999999911</v>
      </c>
      <c r="J2173" s="53" t="s">
        <v>30</v>
      </c>
      <c r="K2173" s="51" t="s">
        <v>620</v>
      </c>
      <c r="L2173" s="102" t="s">
        <v>281</v>
      </c>
      <c r="M2173" s="19" t="str">
        <f t="shared" si="51"/>
        <v>Jul_2018</v>
      </c>
    </row>
    <row r="2174" spans="1:13">
      <c r="A2174" s="45" t="s">
        <v>22</v>
      </c>
      <c r="B2174" s="52" t="s">
        <v>612</v>
      </c>
      <c r="C2174" s="46">
        <v>43308</v>
      </c>
      <c r="D2174" s="47" t="s">
        <v>17</v>
      </c>
      <c r="E2174" s="48">
        <v>0.35416666666666702</v>
      </c>
      <c r="F2174" s="48">
        <v>0.72916666666666663</v>
      </c>
      <c r="G2174" s="49">
        <v>0</v>
      </c>
      <c r="H2174" s="49">
        <v>7.9999999999999911</v>
      </c>
      <c r="I2174" s="49">
        <v>7.9999999999999911</v>
      </c>
      <c r="J2174" s="53" t="s">
        <v>30</v>
      </c>
      <c r="K2174" s="51" t="s">
        <v>620</v>
      </c>
      <c r="L2174" s="102" t="s">
        <v>281</v>
      </c>
      <c r="M2174" s="19" t="str">
        <f t="shared" si="51"/>
        <v>Jul_2018</v>
      </c>
    </row>
    <row r="2175" spans="1:13">
      <c r="A2175" s="45" t="s">
        <v>22</v>
      </c>
      <c r="B2175" s="52" t="s">
        <v>23</v>
      </c>
      <c r="C2175" s="46">
        <v>43311</v>
      </c>
      <c r="D2175" s="47" t="s">
        <v>16</v>
      </c>
      <c r="E2175" s="48">
        <v>0.35416666666666702</v>
      </c>
      <c r="F2175" s="48">
        <v>0.72916666666666663</v>
      </c>
      <c r="G2175" s="49">
        <v>0</v>
      </c>
      <c r="H2175" s="49">
        <v>7.9999999999999911</v>
      </c>
      <c r="I2175" s="49">
        <v>7.9999999999999911</v>
      </c>
      <c r="J2175" s="53" t="s">
        <v>30</v>
      </c>
      <c r="K2175" s="51" t="s">
        <v>621</v>
      </c>
      <c r="L2175" s="102" t="s">
        <v>281</v>
      </c>
      <c r="M2175" s="19" t="str">
        <f t="shared" si="51"/>
        <v>Jul_2018</v>
      </c>
    </row>
    <row r="2176" spans="1:13">
      <c r="A2176" s="45" t="s">
        <v>22</v>
      </c>
      <c r="B2176" s="52" t="s">
        <v>612</v>
      </c>
      <c r="C2176" s="46">
        <v>43311</v>
      </c>
      <c r="D2176" s="47" t="s">
        <v>16</v>
      </c>
      <c r="E2176" s="48">
        <v>0.35416666666666702</v>
      </c>
      <c r="F2176" s="48">
        <v>0.72916666666666663</v>
      </c>
      <c r="G2176" s="49">
        <v>0</v>
      </c>
      <c r="H2176" s="49">
        <v>7.9999999999999911</v>
      </c>
      <c r="I2176" s="49">
        <v>7.9999999999999911</v>
      </c>
      <c r="J2176" s="53" t="s">
        <v>30</v>
      </c>
      <c r="K2176" s="51" t="s">
        <v>621</v>
      </c>
      <c r="L2176" s="102" t="s">
        <v>281</v>
      </c>
      <c r="M2176" s="19" t="str">
        <f t="shared" si="51"/>
        <v>Jul_2018</v>
      </c>
    </row>
    <row r="2177" spans="1:13">
      <c r="A2177" s="45" t="s">
        <v>22</v>
      </c>
      <c r="B2177" s="52" t="s">
        <v>23</v>
      </c>
      <c r="C2177" s="46">
        <v>43312</v>
      </c>
      <c r="D2177" s="47" t="s">
        <v>14</v>
      </c>
      <c r="E2177" s="48">
        <v>0.35416666666666702</v>
      </c>
      <c r="F2177" s="48">
        <v>0.72916666666666663</v>
      </c>
      <c r="G2177" s="49">
        <v>0</v>
      </c>
      <c r="H2177" s="49">
        <v>7.9999999999999911</v>
      </c>
      <c r="I2177" s="49">
        <v>7.9999999999999911</v>
      </c>
      <c r="J2177" s="53" t="s">
        <v>30</v>
      </c>
      <c r="K2177" s="51" t="s">
        <v>622</v>
      </c>
      <c r="L2177" s="102" t="s">
        <v>281</v>
      </c>
      <c r="M2177" s="19" t="str">
        <f t="shared" si="51"/>
        <v>Jul_2018</v>
      </c>
    </row>
    <row r="2178" spans="1:13">
      <c r="A2178" s="45" t="s">
        <v>22</v>
      </c>
      <c r="B2178" s="52" t="s">
        <v>612</v>
      </c>
      <c r="C2178" s="46">
        <v>43312</v>
      </c>
      <c r="D2178" s="47" t="s">
        <v>14</v>
      </c>
      <c r="E2178" s="48">
        <v>0.35416666666666702</v>
      </c>
      <c r="F2178" s="48">
        <v>0.72916666666666663</v>
      </c>
      <c r="G2178" s="49">
        <v>0</v>
      </c>
      <c r="H2178" s="49">
        <v>7.9999999999999911</v>
      </c>
      <c r="I2178" s="49">
        <v>7.9999999999999911</v>
      </c>
      <c r="J2178" s="53" t="s">
        <v>30</v>
      </c>
      <c r="K2178" s="51" t="s">
        <v>622</v>
      </c>
      <c r="L2178" s="102" t="s">
        <v>281</v>
      </c>
      <c r="M2178" s="19" t="str">
        <f t="shared" si="51"/>
        <v>Jul_2018</v>
      </c>
    </row>
    <row r="2179" spans="1:13">
      <c r="A2179" s="45" t="s">
        <v>22</v>
      </c>
      <c r="B2179" s="52" t="s">
        <v>23</v>
      </c>
      <c r="C2179" s="46">
        <v>43313</v>
      </c>
      <c r="D2179" s="47" t="s">
        <v>15</v>
      </c>
      <c r="E2179" s="48">
        <v>0.35416666666666669</v>
      </c>
      <c r="F2179" s="48">
        <v>0.72916666666666663</v>
      </c>
      <c r="G2179" s="49">
        <v>0</v>
      </c>
      <c r="H2179" s="49">
        <v>7.9999999999999982</v>
      </c>
      <c r="I2179" s="49">
        <v>7.9999999999999982</v>
      </c>
      <c r="J2179" s="53" t="s">
        <v>30</v>
      </c>
      <c r="K2179" s="51" t="s">
        <v>623</v>
      </c>
      <c r="L2179" s="102" t="s">
        <v>281</v>
      </c>
      <c r="M2179" s="19" t="str">
        <f>IF($C2179="","",TEXT(DATE(YEAR($C2179),MONTH($C2179),DAY($C2179)),"MMM")&amp;"_"&amp;YEAR($C2179))</f>
        <v>Aug_2018</v>
      </c>
    </row>
    <row r="2180" spans="1:13">
      <c r="A2180" s="45" t="s">
        <v>22</v>
      </c>
      <c r="B2180" s="52" t="s">
        <v>612</v>
      </c>
      <c r="C2180" s="46">
        <v>43313</v>
      </c>
      <c r="D2180" s="47" t="s">
        <v>15</v>
      </c>
      <c r="E2180" s="48">
        <v>0.35416666666666669</v>
      </c>
      <c r="F2180" s="48">
        <v>0.72916666666666663</v>
      </c>
      <c r="G2180" s="49">
        <v>0</v>
      </c>
      <c r="H2180" s="49">
        <v>7.9999999999999982</v>
      </c>
      <c r="I2180" s="49">
        <v>7.9999999999999982</v>
      </c>
      <c r="J2180" s="53" t="s">
        <v>30</v>
      </c>
      <c r="K2180" s="51" t="s">
        <v>623</v>
      </c>
      <c r="L2180" s="102" t="s">
        <v>281</v>
      </c>
      <c r="M2180" s="19" t="str">
        <f t="shared" ref="M2180:M2210" si="52">IF($C2180="","",TEXT(DATE(YEAR($C2180),MONTH($C2180),DAY($C2180)),"MMM")&amp;"_"&amp;YEAR($C2180))</f>
        <v>Aug_2018</v>
      </c>
    </row>
    <row r="2181" spans="1:13">
      <c r="A2181" s="45" t="s">
        <v>22</v>
      </c>
      <c r="B2181" s="52" t="s">
        <v>23</v>
      </c>
      <c r="C2181" s="46">
        <v>43314</v>
      </c>
      <c r="D2181" s="47" t="s">
        <v>25</v>
      </c>
      <c r="E2181" s="48">
        <v>0.35416666666666669</v>
      </c>
      <c r="F2181" s="48">
        <v>0.72916666666666663</v>
      </c>
      <c r="G2181" s="49">
        <v>0</v>
      </c>
      <c r="H2181" s="49">
        <v>7.9999999999999982</v>
      </c>
      <c r="I2181" s="49">
        <v>7.9999999999999982</v>
      </c>
      <c r="J2181" s="53" t="s">
        <v>30</v>
      </c>
      <c r="K2181" s="51" t="s">
        <v>624</v>
      </c>
      <c r="L2181" s="102" t="s">
        <v>281</v>
      </c>
      <c r="M2181" s="19" t="str">
        <f t="shared" si="52"/>
        <v>Aug_2018</v>
      </c>
    </row>
    <row r="2182" spans="1:13">
      <c r="A2182" s="45" t="s">
        <v>22</v>
      </c>
      <c r="B2182" s="52" t="s">
        <v>612</v>
      </c>
      <c r="C2182" s="46">
        <v>43314</v>
      </c>
      <c r="D2182" s="47" t="s">
        <v>25</v>
      </c>
      <c r="E2182" s="48">
        <v>0.35416666666666669</v>
      </c>
      <c r="F2182" s="48">
        <v>0.72916666666666663</v>
      </c>
      <c r="G2182" s="49">
        <v>0</v>
      </c>
      <c r="H2182" s="49">
        <v>7.9999999999999982</v>
      </c>
      <c r="I2182" s="49">
        <v>7.9999999999999982</v>
      </c>
      <c r="J2182" s="53" t="s">
        <v>30</v>
      </c>
      <c r="K2182" s="51" t="s">
        <v>624</v>
      </c>
      <c r="L2182" s="102" t="s">
        <v>281</v>
      </c>
      <c r="M2182" s="19" t="str">
        <f t="shared" si="52"/>
        <v>Aug_2018</v>
      </c>
    </row>
    <row r="2183" spans="1:13">
      <c r="A2183" s="45" t="s">
        <v>22</v>
      </c>
      <c r="B2183" s="52" t="s">
        <v>23</v>
      </c>
      <c r="C2183" s="46">
        <v>43315</v>
      </c>
      <c r="D2183" s="47" t="s">
        <v>17</v>
      </c>
      <c r="E2183" s="48">
        <v>0.35416666666666669</v>
      </c>
      <c r="F2183" s="48">
        <v>0.72916666666666663</v>
      </c>
      <c r="G2183" s="49">
        <v>0</v>
      </c>
      <c r="H2183" s="49">
        <v>7.9999999999999982</v>
      </c>
      <c r="I2183" s="49">
        <v>7.9999999999999982</v>
      </c>
      <c r="J2183" s="53" t="s">
        <v>30</v>
      </c>
      <c r="K2183" s="51" t="s">
        <v>615</v>
      </c>
      <c r="L2183" s="102" t="s">
        <v>281</v>
      </c>
      <c r="M2183" s="19" t="str">
        <f t="shared" si="52"/>
        <v>Aug_2018</v>
      </c>
    </row>
    <row r="2184" spans="1:13">
      <c r="A2184" s="45" t="s">
        <v>22</v>
      </c>
      <c r="B2184" s="52" t="s">
        <v>612</v>
      </c>
      <c r="C2184" s="46">
        <v>43315</v>
      </c>
      <c r="D2184" s="47" t="s">
        <v>17</v>
      </c>
      <c r="E2184" s="48">
        <v>0.35416666666666669</v>
      </c>
      <c r="F2184" s="48">
        <v>0.72916666666666663</v>
      </c>
      <c r="G2184" s="49">
        <v>0</v>
      </c>
      <c r="H2184" s="49">
        <v>7.9999999999999982</v>
      </c>
      <c r="I2184" s="49">
        <v>7.9999999999999982</v>
      </c>
      <c r="J2184" s="53" t="s">
        <v>30</v>
      </c>
      <c r="K2184" s="51" t="s">
        <v>615</v>
      </c>
      <c r="L2184" s="102" t="s">
        <v>281</v>
      </c>
      <c r="M2184" s="19" t="str">
        <f t="shared" si="52"/>
        <v>Aug_2018</v>
      </c>
    </row>
    <row r="2185" spans="1:13">
      <c r="A2185" s="45" t="s">
        <v>22</v>
      </c>
      <c r="B2185" s="52" t="s">
        <v>23</v>
      </c>
      <c r="C2185" s="46">
        <v>43318</v>
      </c>
      <c r="D2185" s="47" t="s">
        <v>16</v>
      </c>
      <c r="E2185" s="48">
        <v>0.35416666666666669</v>
      </c>
      <c r="F2185" s="48">
        <v>0.72916666666666663</v>
      </c>
      <c r="G2185" s="49">
        <v>0</v>
      </c>
      <c r="H2185" s="49">
        <v>7.9999999999999982</v>
      </c>
      <c r="I2185" s="49">
        <v>7.9999999999999982</v>
      </c>
      <c r="J2185" s="53" t="s">
        <v>30</v>
      </c>
      <c r="K2185" s="51" t="s">
        <v>616</v>
      </c>
      <c r="L2185" s="102" t="s">
        <v>281</v>
      </c>
      <c r="M2185" s="19" t="str">
        <f t="shared" si="52"/>
        <v>Aug_2018</v>
      </c>
    </row>
    <row r="2186" spans="1:13">
      <c r="A2186" s="45" t="s">
        <v>22</v>
      </c>
      <c r="B2186" s="52" t="s">
        <v>612</v>
      </c>
      <c r="C2186" s="46">
        <v>43318</v>
      </c>
      <c r="D2186" s="47" t="s">
        <v>16</v>
      </c>
      <c r="E2186" s="48">
        <v>0.35416666666666669</v>
      </c>
      <c r="F2186" s="48">
        <v>0.72916666666666663</v>
      </c>
      <c r="G2186" s="49">
        <v>0</v>
      </c>
      <c r="H2186" s="49">
        <v>7.9999999999999982</v>
      </c>
      <c r="I2186" s="49">
        <v>7.9999999999999982</v>
      </c>
      <c r="J2186" s="53" t="s">
        <v>30</v>
      </c>
      <c r="K2186" s="51" t="s">
        <v>616</v>
      </c>
      <c r="L2186" s="102" t="s">
        <v>281</v>
      </c>
      <c r="M2186" s="19" t="str">
        <f t="shared" si="52"/>
        <v>Aug_2018</v>
      </c>
    </row>
    <row r="2187" spans="1:13">
      <c r="A2187" s="45" t="s">
        <v>22</v>
      </c>
      <c r="B2187" s="52" t="s">
        <v>23</v>
      </c>
      <c r="C2187" s="46">
        <v>43319</v>
      </c>
      <c r="D2187" s="47" t="s">
        <v>14</v>
      </c>
      <c r="E2187" s="48">
        <v>0.35416666666666669</v>
      </c>
      <c r="F2187" s="48">
        <v>0.72916666666666663</v>
      </c>
      <c r="G2187" s="49">
        <v>0</v>
      </c>
      <c r="H2187" s="49">
        <v>7.9999999999999982</v>
      </c>
      <c r="I2187" s="49">
        <v>7.9999999999999982</v>
      </c>
      <c r="J2187" s="53" t="s">
        <v>30</v>
      </c>
      <c r="K2187" s="51" t="s">
        <v>617</v>
      </c>
      <c r="L2187" s="102" t="s">
        <v>281</v>
      </c>
      <c r="M2187" s="19" t="str">
        <f t="shared" si="52"/>
        <v>Aug_2018</v>
      </c>
    </row>
    <row r="2188" spans="1:13">
      <c r="A2188" s="45" t="s">
        <v>22</v>
      </c>
      <c r="B2188" s="52" t="s">
        <v>612</v>
      </c>
      <c r="C2188" s="46">
        <v>43319</v>
      </c>
      <c r="D2188" s="47" t="s">
        <v>14</v>
      </c>
      <c r="E2188" s="48">
        <v>0.35416666666666669</v>
      </c>
      <c r="F2188" s="48">
        <v>0.72916666666666663</v>
      </c>
      <c r="G2188" s="49">
        <v>0</v>
      </c>
      <c r="H2188" s="49">
        <v>7.9999999999999982</v>
      </c>
      <c r="I2188" s="49">
        <v>7.9999999999999982</v>
      </c>
      <c r="J2188" s="53" t="s">
        <v>30</v>
      </c>
      <c r="K2188" s="51" t="s">
        <v>617</v>
      </c>
      <c r="L2188" s="102" t="s">
        <v>281</v>
      </c>
      <c r="M2188" s="19" t="str">
        <f t="shared" si="52"/>
        <v>Aug_2018</v>
      </c>
    </row>
    <row r="2189" spans="1:13">
      <c r="A2189" s="45" t="s">
        <v>22</v>
      </c>
      <c r="B2189" s="52" t="s">
        <v>23</v>
      </c>
      <c r="C2189" s="46">
        <v>43320</v>
      </c>
      <c r="D2189" s="47" t="s">
        <v>15</v>
      </c>
      <c r="E2189" s="48">
        <v>0.35416666666666669</v>
      </c>
      <c r="F2189" s="48">
        <v>0.72916666666666663</v>
      </c>
      <c r="G2189" s="49">
        <v>0</v>
      </c>
      <c r="H2189" s="49">
        <v>7.9999999999999982</v>
      </c>
      <c r="I2189" s="49">
        <v>7.9999999999999982</v>
      </c>
      <c r="J2189" s="53" t="s">
        <v>30</v>
      </c>
      <c r="K2189" s="51" t="s">
        <v>618</v>
      </c>
      <c r="L2189" s="102" t="s">
        <v>281</v>
      </c>
      <c r="M2189" s="19" t="str">
        <f t="shared" si="52"/>
        <v>Aug_2018</v>
      </c>
    </row>
    <row r="2190" spans="1:13">
      <c r="A2190" s="45" t="s">
        <v>22</v>
      </c>
      <c r="B2190" s="52" t="s">
        <v>612</v>
      </c>
      <c r="C2190" s="46">
        <v>43320</v>
      </c>
      <c r="D2190" s="47" t="s">
        <v>15</v>
      </c>
      <c r="E2190" s="48">
        <v>0.35416666666666669</v>
      </c>
      <c r="F2190" s="48">
        <v>0.72916666666666663</v>
      </c>
      <c r="G2190" s="49">
        <v>0</v>
      </c>
      <c r="H2190" s="49">
        <v>7.9999999999999982</v>
      </c>
      <c r="I2190" s="49">
        <v>7.9999999999999982</v>
      </c>
      <c r="J2190" s="53" t="s">
        <v>30</v>
      </c>
      <c r="K2190" s="51" t="s">
        <v>618</v>
      </c>
      <c r="L2190" s="102" t="s">
        <v>281</v>
      </c>
      <c r="M2190" s="19" t="str">
        <f t="shared" si="52"/>
        <v>Aug_2018</v>
      </c>
    </row>
    <row r="2191" spans="1:13">
      <c r="A2191" s="45" t="s">
        <v>22</v>
      </c>
      <c r="B2191" s="52" t="s">
        <v>23</v>
      </c>
      <c r="C2191" s="46">
        <v>43321</v>
      </c>
      <c r="D2191" s="47" t="s">
        <v>25</v>
      </c>
      <c r="E2191" s="48">
        <v>0.35416666666666669</v>
      </c>
      <c r="F2191" s="48">
        <v>0.72916666666666663</v>
      </c>
      <c r="G2191" s="49">
        <v>0</v>
      </c>
      <c r="H2191" s="49">
        <v>7.9999999999999982</v>
      </c>
      <c r="I2191" s="49">
        <v>7.9999999999999982</v>
      </c>
      <c r="J2191" s="53" t="s">
        <v>30</v>
      </c>
      <c r="K2191" s="51" t="s">
        <v>619</v>
      </c>
      <c r="L2191" s="102" t="s">
        <v>281</v>
      </c>
      <c r="M2191" s="19" t="str">
        <f t="shared" si="52"/>
        <v>Aug_2018</v>
      </c>
    </row>
    <row r="2192" spans="1:13">
      <c r="A2192" s="45" t="s">
        <v>22</v>
      </c>
      <c r="B2192" s="52" t="s">
        <v>23</v>
      </c>
      <c r="C2192" s="46">
        <v>43322</v>
      </c>
      <c r="D2192" s="47" t="s">
        <v>17</v>
      </c>
      <c r="E2192" s="48">
        <v>0.35416666666666669</v>
      </c>
      <c r="F2192" s="48">
        <v>0.72916666666666663</v>
      </c>
      <c r="G2192" s="49">
        <v>0</v>
      </c>
      <c r="H2192" s="49">
        <v>7.9999999999999982</v>
      </c>
      <c r="I2192" s="49">
        <v>7.9999999999999982</v>
      </c>
      <c r="J2192" s="53" t="s">
        <v>30</v>
      </c>
      <c r="K2192" s="51" t="s">
        <v>625</v>
      </c>
      <c r="L2192" s="102" t="s">
        <v>281</v>
      </c>
      <c r="M2192" s="19" t="str">
        <f t="shared" si="52"/>
        <v>Aug_2018</v>
      </c>
    </row>
    <row r="2193" spans="1:13">
      <c r="A2193" s="45" t="s">
        <v>22</v>
      </c>
      <c r="B2193" s="52" t="s">
        <v>23</v>
      </c>
      <c r="C2193" s="46">
        <v>43325</v>
      </c>
      <c r="D2193" s="47" t="s">
        <v>16</v>
      </c>
      <c r="E2193" s="48">
        <v>0.35416666666666669</v>
      </c>
      <c r="F2193" s="48">
        <v>0.72916666666666663</v>
      </c>
      <c r="G2193" s="49">
        <v>0</v>
      </c>
      <c r="H2193" s="49">
        <v>7.9999999999999982</v>
      </c>
      <c r="I2193" s="49">
        <v>7.9999999999999982</v>
      </c>
      <c r="J2193" s="53" t="s">
        <v>30</v>
      </c>
      <c r="K2193" s="51" t="s">
        <v>627</v>
      </c>
      <c r="L2193" s="102" t="s">
        <v>281</v>
      </c>
      <c r="M2193" s="19" t="str">
        <f t="shared" si="52"/>
        <v>Aug_2018</v>
      </c>
    </row>
    <row r="2194" spans="1:13">
      <c r="A2194" s="45" t="s">
        <v>22</v>
      </c>
      <c r="B2194" s="52" t="s">
        <v>23</v>
      </c>
      <c r="C2194" s="46">
        <v>43326</v>
      </c>
      <c r="D2194" s="47" t="s">
        <v>14</v>
      </c>
      <c r="E2194" s="48">
        <v>0.35416666666666669</v>
      </c>
      <c r="F2194" s="48">
        <v>0.72916666666666663</v>
      </c>
      <c r="G2194" s="49">
        <v>0</v>
      </c>
      <c r="H2194" s="49">
        <v>7.9999999999999982</v>
      </c>
      <c r="I2194" s="49">
        <v>7.9999999999999982</v>
      </c>
      <c r="J2194" s="53" t="s">
        <v>30</v>
      </c>
      <c r="K2194" s="51" t="s">
        <v>628</v>
      </c>
      <c r="L2194" s="102" t="s">
        <v>281</v>
      </c>
      <c r="M2194" s="19" t="str">
        <f t="shared" si="52"/>
        <v>Aug_2018</v>
      </c>
    </row>
    <row r="2195" spans="1:13">
      <c r="A2195" s="45" t="s">
        <v>22</v>
      </c>
      <c r="B2195" s="52" t="s">
        <v>23</v>
      </c>
      <c r="C2195" s="46">
        <v>43327</v>
      </c>
      <c r="D2195" s="47" t="s">
        <v>15</v>
      </c>
      <c r="E2195" s="48">
        <v>0.35416666666666669</v>
      </c>
      <c r="F2195" s="48">
        <v>0.72916666666666663</v>
      </c>
      <c r="G2195" s="49">
        <v>0</v>
      </c>
      <c r="H2195" s="49">
        <v>7.9999999999999982</v>
      </c>
      <c r="I2195" s="49">
        <v>7.9999999999999982</v>
      </c>
      <c r="J2195" s="53" t="s">
        <v>30</v>
      </c>
      <c r="K2195" s="51" t="s">
        <v>629</v>
      </c>
      <c r="L2195" s="102" t="s">
        <v>281</v>
      </c>
      <c r="M2195" s="19" t="str">
        <f t="shared" si="52"/>
        <v>Aug_2018</v>
      </c>
    </row>
    <row r="2196" spans="1:13">
      <c r="A2196" s="45" t="s">
        <v>22</v>
      </c>
      <c r="B2196" s="52" t="s">
        <v>23</v>
      </c>
      <c r="C2196" s="46">
        <v>43328</v>
      </c>
      <c r="D2196" s="47" t="s">
        <v>25</v>
      </c>
      <c r="E2196" s="48">
        <v>0.35416666666666669</v>
      </c>
      <c r="F2196" s="48">
        <v>0.72916666666666663</v>
      </c>
      <c r="G2196" s="49">
        <v>0</v>
      </c>
      <c r="H2196" s="49">
        <v>7.9999999999999982</v>
      </c>
      <c r="I2196" s="49">
        <v>7.9999999999999982</v>
      </c>
      <c r="J2196" s="53" t="s">
        <v>30</v>
      </c>
      <c r="K2196" s="51" t="s">
        <v>630</v>
      </c>
      <c r="L2196" s="102" t="s">
        <v>281</v>
      </c>
      <c r="M2196" s="19" t="str">
        <f t="shared" si="52"/>
        <v>Aug_2018</v>
      </c>
    </row>
    <row r="2197" spans="1:13">
      <c r="A2197" s="45" t="s">
        <v>22</v>
      </c>
      <c r="B2197" s="52" t="s">
        <v>23</v>
      </c>
      <c r="C2197" s="46">
        <v>43329</v>
      </c>
      <c r="D2197" s="47" t="s">
        <v>17</v>
      </c>
      <c r="E2197" s="48">
        <v>0.35416666666666669</v>
      </c>
      <c r="F2197" s="48">
        <v>0.72916666666666663</v>
      </c>
      <c r="G2197" s="49">
        <v>0</v>
      </c>
      <c r="H2197" s="49">
        <v>7.9999999999999982</v>
      </c>
      <c r="I2197" s="49">
        <v>7.9999999999999982</v>
      </c>
      <c r="J2197" s="53" t="s">
        <v>30</v>
      </c>
      <c r="K2197" s="51" t="s">
        <v>631</v>
      </c>
      <c r="L2197" s="102" t="s">
        <v>281</v>
      </c>
      <c r="M2197" s="19" t="str">
        <f t="shared" si="52"/>
        <v>Aug_2018</v>
      </c>
    </row>
    <row r="2198" spans="1:13">
      <c r="A2198" s="45" t="s">
        <v>22</v>
      </c>
      <c r="B2198" s="52" t="s">
        <v>23</v>
      </c>
      <c r="C2198" s="46">
        <v>43332</v>
      </c>
      <c r="D2198" s="47" t="s">
        <v>16</v>
      </c>
      <c r="E2198" s="48">
        <v>0.35416666666666669</v>
      </c>
      <c r="F2198" s="48">
        <v>0.72916666666666663</v>
      </c>
      <c r="G2198" s="49">
        <v>0</v>
      </c>
      <c r="H2198" s="49">
        <v>7.9999999999999982</v>
      </c>
      <c r="I2198" s="49">
        <v>7.9999999999999982</v>
      </c>
      <c r="J2198" s="53" t="s">
        <v>30</v>
      </c>
      <c r="K2198" s="51" t="s">
        <v>632</v>
      </c>
      <c r="L2198" s="102" t="s">
        <v>281</v>
      </c>
      <c r="M2198" s="19" t="str">
        <f t="shared" si="52"/>
        <v>Aug_2018</v>
      </c>
    </row>
    <row r="2199" spans="1:13">
      <c r="A2199" s="45" t="s">
        <v>22</v>
      </c>
      <c r="B2199" s="52" t="s">
        <v>23</v>
      </c>
      <c r="C2199" s="46">
        <v>43333</v>
      </c>
      <c r="D2199" s="47" t="s">
        <v>14</v>
      </c>
      <c r="E2199" s="48">
        <v>0.35416666666666669</v>
      </c>
      <c r="F2199" s="48">
        <v>0.72916666666666663</v>
      </c>
      <c r="G2199" s="49">
        <v>0</v>
      </c>
      <c r="H2199" s="49">
        <v>7.9999999999999982</v>
      </c>
      <c r="I2199" s="49">
        <v>7.9999999999999982</v>
      </c>
      <c r="J2199" s="53" t="s">
        <v>30</v>
      </c>
      <c r="K2199" s="51" t="s">
        <v>633</v>
      </c>
      <c r="L2199" s="102" t="s">
        <v>281</v>
      </c>
      <c r="M2199" s="19" t="str">
        <f t="shared" si="52"/>
        <v>Aug_2018</v>
      </c>
    </row>
    <row r="2200" spans="1:13">
      <c r="A2200" s="45" t="s">
        <v>22</v>
      </c>
      <c r="B2200" s="52" t="s">
        <v>23</v>
      </c>
      <c r="C2200" s="46">
        <v>43334</v>
      </c>
      <c r="D2200" s="47" t="s">
        <v>15</v>
      </c>
      <c r="E2200" s="48">
        <v>0.35416666666666669</v>
      </c>
      <c r="F2200" s="48">
        <v>0.72916666666666663</v>
      </c>
      <c r="G2200" s="49">
        <v>0</v>
      </c>
      <c r="H2200" s="49">
        <v>7.9999999999999982</v>
      </c>
      <c r="I2200" s="49">
        <v>7.9999999999999982</v>
      </c>
      <c r="J2200" s="53" t="s">
        <v>30</v>
      </c>
      <c r="K2200" s="51" t="s">
        <v>634</v>
      </c>
      <c r="L2200" s="102" t="s">
        <v>281</v>
      </c>
      <c r="M2200" s="19" t="str">
        <f t="shared" si="52"/>
        <v>Aug_2018</v>
      </c>
    </row>
    <row r="2201" spans="1:13">
      <c r="A2201" s="45" t="s">
        <v>22</v>
      </c>
      <c r="B2201" s="52" t="s">
        <v>23</v>
      </c>
      <c r="C2201" s="46">
        <v>43335</v>
      </c>
      <c r="D2201" s="47" t="s">
        <v>25</v>
      </c>
      <c r="E2201" s="48">
        <v>0.35416666666666669</v>
      </c>
      <c r="F2201" s="48">
        <v>0.72916666666666663</v>
      </c>
      <c r="G2201" s="49">
        <v>0</v>
      </c>
      <c r="H2201" s="49">
        <v>7.9999999999999982</v>
      </c>
      <c r="I2201" s="49">
        <v>7.9999999999999982</v>
      </c>
      <c r="J2201" s="53" t="s">
        <v>30</v>
      </c>
      <c r="K2201" s="51" t="s">
        <v>635</v>
      </c>
      <c r="L2201" s="102" t="s">
        <v>281</v>
      </c>
      <c r="M2201" s="19" t="str">
        <f t="shared" si="52"/>
        <v>Aug_2018</v>
      </c>
    </row>
    <row r="2202" spans="1:13">
      <c r="A2202" s="45" t="s">
        <v>22</v>
      </c>
      <c r="B2202" s="52" t="s">
        <v>23</v>
      </c>
      <c r="C2202" s="46">
        <v>43336</v>
      </c>
      <c r="D2202" s="47" t="s">
        <v>17</v>
      </c>
      <c r="E2202" s="48">
        <v>0.35416666666666669</v>
      </c>
      <c r="F2202" s="48">
        <v>0.72916666666666663</v>
      </c>
      <c r="G2202" s="49">
        <v>0</v>
      </c>
      <c r="H2202" s="49">
        <v>7.9999999999999982</v>
      </c>
      <c r="I2202" s="49">
        <v>7.9999999999999982</v>
      </c>
      <c r="J2202" s="53" t="s">
        <v>30</v>
      </c>
      <c r="K2202" s="51" t="s">
        <v>636</v>
      </c>
      <c r="L2202" s="102" t="s">
        <v>281</v>
      </c>
      <c r="M2202" s="19" t="str">
        <f t="shared" si="52"/>
        <v>Aug_2018</v>
      </c>
    </row>
    <row r="2203" spans="1:13">
      <c r="A2203" s="45" t="s">
        <v>22</v>
      </c>
      <c r="B2203" s="52" t="s">
        <v>23</v>
      </c>
      <c r="C2203" s="46">
        <v>43339</v>
      </c>
      <c r="D2203" s="47" t="s">
        <v>16</v>
      </c>
      <c r="E2203" s="48">
        <v>0.35416666666666669</v>
      </c>
      <c r="F2203" s="48">
        <v>0.72916666666666663</v>
      </c>
      <c r="G2203" s="49">
        <v>0</v>
      </c>
      <c r="H2203" s="49">
        <v>7.9999999999999982</v>
      </c>
      <c r="I2203" s="49">
        <v>7.9999999999999982</v>
      </c>
      <c r="J2203" s="53" t="s">
        <v>30</v>
      </c>
      <c r="K2203" s="51" t="s">
        <v>637</v>
      </c>
      <c r="L2203" s="102" t="s">
        <v>281</v>
      </c>
      <c r="M2203" s="19" t="str">
        <f t="shared" si="52"/>
        <v>Aug_2018</v>
      </c>
    </row>
    <row r="2204" spans="1:13">
      <c r="A2204" s="45" t="s">
        <v>22</v>
      </c>
      <c r="B2204" s="52" t="s">
        <v>23</v>
      </c>
      <c r="C2204" s="46">
        <v>43340</v>
      </c>
      <c r="D2204" s="47" t="s">
        <v>14</v>
      </c>
      <c r="E2204" s="48">
        <v>0.35416666666666669</v>
      </c>
      <c r="F2204" s="48">
        <v>0.72916666666666663</v>
      </c>
      <c r="G2204" s="49">
        <v>0</v>
      </c>
      <c r="H2204" s="49">
        <v>7.9999999999999982</v>
      </c>
      <c r="I2204" s="49">
        <v>7.9999999999999982</v>
      </c>
      <c r="J2204" s="53" t="s">
        <v>30</v>
      </c>
      <c r="K2204" s="51" t="s">
        <v>638</v>
      </c>
      <c r="L2204" s="102" t="s">
        <v>281</v>
      </c>
      <c r="M2204" s="19" t="str">
        <f t="shared" si="52"/>
        <v>Aug_2018</v>
      </c>
    </row>
    <row r="2205" spans="1:13">
      <c r="A2205" s="45" t="s">
        <v>22</v>
      </c>
      <c r="B2205" s="52" t="s">
        <v>23</v>
      </c>
      <c r="C2205" s="46">
        <v>43341</v>
      </c>
      <c r="D2205" s="47" t="s">
        <v>15</v>
      </c>
      <c r="E2205" s="48">
        <v>0.35416666666666669</v>
      </c>
      <c r="F2205" s="48">
        <v>0.72916666666666663</v>
      </c>
      <c r="G2205" s="49">
        <v>0</v>
      </c>
      <c r="H2205" s="49">
        <v>7.9999999999999982</v>
      </c>
      <c r="I2205" s="49">
        <v>7.9999999999999982</v>
      </c>
      <c r="J2205" s="53" t="s">
        <v>30</v>
      </c>
      <c r="K2205" s="51" t="s">
        <v>639</v>
      </c>
      <c r="L2205" s="102" t="s">
        <v>281</v>
      </c>
      <c r="M2205" s="19" t="str">
        <f t="shared" si="52"/>
        <v>Aug_2018</v>
      </c>
    </row>
    <row r="2206" spans="1:13">
      <c r="A2206" s="45" t="s">
        <v>22</v>
      </c>
      <c r="B2206" s="52" t="s">
        <v>78</v>
      </c>
      <c r="C2206" s="46">
        <v>43341</v>
      </c>
      <c r="D2206" s="47" t="s">
        <v>15</v>
      </c>
      <c r="E2206" s="48">
        <v>0.35416666666666669</v>
      </c>
      <c r="F2206" s="48">
        <v>0.72916666666666663</v>
      </c>
      <c r="G2206" s="49">
        <v>0</v>
      </c>
      <c r="H2206" s="49">
        <v>7.9999999999999982</v>
      </c>
      <c r="I2206" s="49">
        <v>7.9999999999999982</v>
      </c>
      <c r="J2206" s="53" t="s">
        <v>30</v>
      </c>
      <c r="K2206" s="51" t="s">
        <v>639</v>
      </c>
      <c r="L2206" s="102" t="s">
        <v>281</v>
      </c>
      <c r="M2206" s="19" t="str">
        <f t="shared" si="52"/>
        <v>Aug_2018</v>
      </c>
    </row>
    <row r="2207" spans="1:13">
      <c r="A2207" s="45" t="s">
        <v>22</v>
      </c>
      <c r="B2207" s="52" t="s">
        <v>23</v>
      </c>
      <c r="C2207" s="46">
        <v>43342</v>
      </c>
      <c r="D2207" s="47" t="s">
        <v>25</v>
      </c>
      <c r="E2207" s="48">
        <v>0.35416666666666669</v>
      </c>
      <c r="F2207" s="48">
        <v>0.72916666666666663</v>
      </c>
      <c r="G2207" s="49">
        <v>0</v>
      </c>
      <c r="H2207" s="49">
        <v>7.9999999999999982</v>
      </c>
      <c r="I2207" s="49">
        <v>7.9999999999999982</v>
      </c>
      <c r="J2207" s="53" t="s">
        <v>30</v>
      </c>
      <c r="K2207" s="51" t="s">
        <v>640</v>
      </c>
      <c r="L2207" s="102" t="s">
        <v>281</v>
      </c>
      <c r="M2207" s="19" t="str">
        <f t="shared" si="52"/>
        <v>Aug_2018</v>
      </c>
    </row>
    <row r="2208" spans="1:13">
      <c r="A2208" s="45" t="s">
        <v>22</v>
      </c>
      <c r="B2208" s="52" t="s">
        <v>78</v>
      </c>
      <c r="C2208" s="46">
        <v>43342</v>
      </c>
      <c r="D2208" s="47" t="s">
        <v>25</v>
      </c>
      <c r="E2208" s="48">
        <v>0.35416666666666669</v>
      </c>
      <c r="F2208" s="48">
        <v>0.72916666666666663</v>
      </c>
      <c r="G2208" s="49">
        <v>0</v>
      </c>
      <c r="H2208" s="49">
        <v>7.9999999999999982</v>
      </c>
      <c r="I2208" s="49">
        <v>7.9999999999999982</v>
      </c>
      <c r="J2208" s="53" t="s">
        <v>30</v>
      </c>
      <c r="K2208" s="51" t="s">
        <v>640</v>
      </c>
      <c r="L2208" s="102" t="s">
        <v>281</v>
      </c>
      <c r="M2208" s="19" t="str">
        <f t="shared" si="52"/>
        <v>Aug_2018</v>
      </c>
    </row>
    <row r="2209" spans="1:13">
      <c r="A2209" s="45" t="s">
        <v>22</v>
      </c>
      <c r="B2209" s="52" t="s">
        <v>23</v>
      </c>
      <c r="C2209" s="46">
        <v>43343</v>
      </c>
      <c r="D2209" s="47" t="s">
        <v>17</v>
      </c>
      <c r="E2209" s="48">
        <v>0.35416666666666669</v>
      </c>
      <c r="F2209" s="48">
        <v>0.72916666666666663</v>
      </c>
      <c r="G2209" s="49">
        <v>0</v>
      </c>
      <c r="H2209" s="49">
        <v>7.9999999999999982</v>
      </c>
      <c r="I2209" s="49">
        <v>7.9999999999999982</v>
      </c>
      <c r="J2209" s="53" t="s">
        <v>30</v>
      </c>
      <c r="K2209" s="51" t="s">
        <v>641</v>
      </c>
      <c r="L2209" s="102" t="s">
        <v>281</v>
      </c>
      <c r="M2209" s="19" t="str">
        <f t="shared" si="52"/>
        <v>Aug_2018</v>
      </c>
    </row>
    <row r="2210" spans="1:13">
      <c r="A2210" s="45" t="s">
        <v>22</v>
      </c>
      <c r="B2210" s="52" t="s">
        <v>78</v>
      </c>
      <c r="C2210" s="46">
        <v>43343</v>
      </c>
      <c r="D2210" s="47" t="s">
        <v>17</v>
      </c>
      <c r="E2210" s="48">
        <v>0.35416666666666669</v>
      </c>
      <c r="F2210" s="48">
        <v>0.72916666666666663</v>
      </c>
      <c r="G2210" s="49">
        <v>0</v>
      </c>
      <c r="H2210" s="49">
        <v>7.9999999999999982</v>
      </c>
      <c r="I2210" s="49">
        <v>7.9999999999999982</v>
      </c>
      <c r="J2210" s="53" t="s">
        <v>30</v>
      </c>
      <c r="K2210" s="51" t="s">
        <v>641</v>
      </c>
      <c r="L2210" s="102" t="s">
        <v>281</v>
      </c>
      <c r="M2210" s="19" t="str">
        <f t="shared" si="52"/>
        <v>Aug_2018</v>
      </c>
    </row>
    <row r="2211" spans="1:13">
      <c r="A2211" s="45" t="s">
        <v>22</v>
      </c>
      <c r="B2211" s="52" t="s">
        <v>23</v>
      </c>
      <c r="C2211" s="46">
        <v>43347</v>
      </c>
      <c r="D2211" s="47" t="s">
        <v>14</v>
      </c>
      <c r="E2211" s="48">
        <v>0.35416666666666669</v>
      </c>
      <c r="F2211" s="48">
        <v>0.72916666666666663</v>
      </c>
      <c r="G2211" s="49">
        <v>0</v>
      </c>
      <c r="H2211" s="49">
        <v>7.9999999999999982</v>
      </c>
      <c r="I2211" s="49">
        <v>7.9999999999999982</v>
      </c>
      <c r="J2211" s="53" t="s">
        <v>30</v>
      </c>
      <c r="K2211" s="51" t="s">
        <v>642</v>
      </c>
      <c r="L2211" s="102" t="s">
        <v>281</v>
      </c>
      <c r="M2211" s="19" t="str">
        <f>IF($C2211="","",TEXT(DATE(YEAR($C2211),MONTH($C2211),DAY($C2211)),"MMM")&amp;"_"&amp;YEAR($C2211))</f>
        <v>Sep_2018</v>
      </c>
    </row>
    <row r="2212" spans="1:13">
      <c r="A2212" s="45" t="s">
        <v>22</v>
      </c>
      <c r="B2212" s="52" t="s">
        <v>23</v>
      </c>
      <c r="C2212" s="46">
        <v>43348</v>
      </c>
      <c r="D2212" s="47" t="s">
        <v>15</v>
      </c>
      <c r="E2212" s="48">
        <v>0.35416666666666669</v>
      </c>
      <c r="F2212" s="48">
        <v>0.72916666666666663</v>
      </c>
      <c r="G2212" s="49">
        <v>0</v>
      </c>
      <c r="H2212" s="49">
        <v>7.9999999999999982</v>
      </c>
      <c r="I2212" s="49">
        <v>7.9999999999999982</v>
      </c>
      <c r="J2212" s="53" t="s">
        <v>30</v>
      </c>
      <c r="K2212" s="51" t="s">
        <v>643</v>
      </c>
      <c r="L2212" s="102" t="s">
        <v>281</v>
      </c>
      <c r="M2212" s="19" t="str">
        <f t="shared" ref="M2212:M2231" si="53">IF($C2212="","",TEXT(DATE(YEAR($C2212),MONTH($C2212),DAY($C2212)),"MMM")&amp;"_"&amp;YEAR($C2212))</f>
        <v>Sep_2018</v>
      </c>
    </row>
    <row r="2213" spans="1:13">
      <c r="A2213" s="45" t="s">
        <v>22</v>
      </c>
      <c r="B2213" s="52" t="s">
        <v>23</v>
      </c>
      <c r="C2213" s="46">
        <v>43349</v>
      </c>
      <c r="D2213" s="47" t="s">
        <v>25</v>
      </c>
      <c r="E2213" s="48">
        <v>0.35416666666666669</v>
      </c>
      <c r="F2213" s="48">
        <v>0.72916666666666663</v>
      </c>
      <c r="G2213" s="49">
        <v>0</v>
      </c>
      <c r="H2213" s="49">
        <v>7.9999999999999982</v>
      </c>
      <c r="I2213" s="49">
        <v>7.9999999999999982</v>
      </c>
      <c r="J2213" s="53" t="s">
        <v>30</v>
      </c>
      <c r="K2213" s="51" t="s">
        <v>645</v>
      </c>
      <c r="L2213" s="102" t="s">
        <v>281</v>
      </c>
      <c r="M2213" s="19" t="str">
        <f t="shared" si="53"/>
        <v>Sep_2018</v>
      </c>
    </row>
    <row r="2214" spans="1:13">
      <c r="A2214" s="45" t="s">
        <v>22</v>
      </c>
      <c r="B2214" s="52" t="s">
        <v>644</v>
      </c>
      <c r="C2214" s="46">
        <v>43349</v>
      </c>
      <c r="D2214" s="47" t="s">
        <v>25</v>
      </c>
      <c r="E2214" s="48">
        <v>0.35416666666666669</v>
      </c>
      <c r="F2214" s="48">
        <v>0.72916666666666663</v>
      </c>
      <c r="G2214" s="49">
        <v>0</v>
      </c>
      <c r="H2214" s="49">
        <v>7.9999999999999982</v>
      </c>
      <c r="I2214" s="49">
        <v>7.9999999999999982</v>
      </c>
      <c r="J2214" s="53" t="s">
        <v>30</v>
      </c>
      <c r="K2214" s="51" t="s">
        <v>645</v>
      </c>
      <c r="L2214" s="102" t="s">
        <v>281</v>
      </c>
      <c r="M2214" s="19" t="str">
        <f t="shared" si="53"/>
        <v>Sep_2018</v>
      </c>
    </row>
    <row r="2215" spans="1:13">
      <c r="A2215" s="45" t="s">
        <v>22</v>
      </c>
      <c r="B2215" s="52" t="s">
        <v>23</v>
      </c>
      <c r="C2215" s="46">
        <v>43350</v>
      </c>
      <c r="D2215" s="47" t="s">
        <v>17</v>
      </c>
      <c r="E2215" s="48">
        <v>0.35416666666666669</v>
      </c>
      <c r="F2215" s="48">
        <v>0.72916666666666663</v>
      </c>
      <c r="G2215" s="49">
        <v>0</v>
      </c>
      <c r="H2215" s="49">
        <v>7.9999999999999982</v>
      </c>
      <c r="I2215" s="49">
        <v>7.9999999999999982</v>
      </c>
      <c r="J2215" s="53" t="s">
        <v>30</v>
      </c>
      <c r="K2215" s="51" t="s">
        <v>646</v>
      </c>
      <c r="L2215" s="102" t="s">
        <v>281</v>
      </c>
      <c r="M2215" s="19" t="str">
        <f t="shared" si="53"/>
        <v>Sep_2018</v>
      </c>
    </row>
    <row r="2216" spans="1:13">
      <c r="A2216" s="45" t="s">
        <v>22</v>
      </c>
      <c r="B2216" s="52" t="s">
        <v>23</v>
      </c>
      <c r="C2216" s="46">
        <v>43353</v>
      </c>
      <c r="D2216" s="47" t="s">
        <v>16</v>
      </c>
      <c r="E2216" s="48">
        <v>0.35416666666666669</v>
      </c>
      <c r="F2216" s="48">
        <v>0.72916666666666663</v>
      </c>
      <c r="G2216" s="49">
        <v>0</v>
      </c>
      <c r="H2216" s="49">
        <v>7.9999999999999982</v>
      </c>
      <c r="I2216" s="49">
        <v>7.9999999999999982</v>
      </c>
      <c r="J2216" s="53" t="s">
        <v>30</v>
      </c>
      <c r="K2216" s="51" t="s">
        <v>647</v>
      </c>
      <c r="L2216" s="102" t="s">
        <v>281</v>
      </c>
      <c r="M2216" s="19" t="str">
        <f t="shared" si="53"/>
        <v>Sep_2018</v>
      </c>
    </row>
    <row r="2217" spans="1:13">
      <c r="A2217" s="45" t="s">
        <v>22</v>
      </c>
      <c r="B2217" s="52" t="s">
        <v>23</v>
      </c>
      <c r="C2217" s="46">
        <v>43354</v>
      </c>
      <c r="D2217" s="47" t="s">
        <v>14</v>
      </c>
      <c r="E2217" s="48">
        <v>0.35416666666666669</v>
      </c>
      <c r="F2217" s="48">
        <v>0.72916666666666663</v>
      </c>
      <c r="G2217" s="49">
        <v>0</v>
      </c>
      <c r="H2217" s="49">
        <v>7.9999999999999982</v>
      </c>
      <c r="I2217" s="49">
        <v>7.9999999999999982</v>
      </c>
      <c r="J2217" s="53" t="s">
        <v>30</v>
      </c>
      <c r="K2217" s="51" t="s">
        <v>648</v>
      </c>
      <c r="L2217" s="102" t="s">
        <v>281</v>
      </c>
      <c r="M2217" s="19" t="str">
        <f t="shared" si="53"/>
        <v>Sep_2018</v>
      </c>
    </row>
    <row r="2218" spans="1:13">
      <c r="A2218" s="45" t="s">
        <v>22</v>
      </c>
      <c r="B2218" s="52" t="s">
        <v>23</v>
      </c>
      <c r="C2218" s="46">
        <v>43355</v>
      </c>
      <c r="D2218" s="47" t="s">
        <v>15</v>
      </c>
      <c r="E2218" s="48">
        <v>0.35416666666666669</v>
      </c>
      <c r="F2218" s="48">
        <v>0.72916666666666663</v>
      </c>
      <c r="G2218" s="49">
        <v>0</v>
      </c>
      <c r="H2218" s="49">
        <v>7.9999999999999982</v>
      </c>
      <c r="I2218" s="49">
        <v>7.9999999999999982</v>
      </c>
      <c r="J2218" s="53" t="s">
        <v>30</v>
      </c>
      <c r="K2218" s="51" t="s">
        <v>649</v>
      </c>
      <c r="L2218" s="102" t="s">
        <v>281</v>
      </c>
      <c r="M2218" s="19" t="str">
        <f t="shared" si="53"/>
        <v>Sep_2018</v>
      </c>
    </row>
    <row r="2219" spans="1:13">
      <c r="A2219" s="45" t="s">
        <v>22</v>
      </c>
      <c r="B2219" s="52" t="s">
        <v>23</v>
      </c>
      <c r="C2219" s="46">
        <v>43356</v>
      </c>
      <c r="D2219" s="47" t="s">
        <v>25</v>
      </c>
      <c r="E2219" s="48">
        <v>0.35416666666666669</v>
      </c>
      <c r="F2219" s="48">
        <v>0.72916666666666663</v>
      </c>
      <c r="G2219" s="49">
        <v>0</v>
      </c>
      <c r="H2219" s="49">
        <v>7.9999999999999982</v>
      </c>
      <c r="I2219" s="49">
        <v>7.9999999999999982</v>
      </c>
      <c r="J2219" s="53" t="s">
        <v>30</v>
      </c>
      <c r="K2219" s="51" t="s">
        <v>650</v>
      </c>
      <c r="L2219" s="102" t="s">
        <v>281</v>
      </c>
      <c r="M2219" s="19" t="str">
        <f t="shared" si="53"/>
        <v>Sep_2018</v>
      </c>
    </row>
    <row r="2220" spans="1:13">
      <c r="A2220" s="45" t="s">
        <v>22</v>
      </c>
      <c r="B2220" s="52" t="s">
        <v>23</v>
      </c>
      <c r="C2220" s="46">
        <v>43357</v>
      </c>
      <c r="D2220" s="47" t="s">
        <v>17</v>
      </c>
      <c r="E2220" s="48">
        <v>0.35416666666666669</v>
      </c>
      <c r="F2220" s="48">
        <v>0.72916666666666663</v>
      </c>
      <c r="G2220" s="49">
        <v>0</v>
      </c>
      <c r="H2220" s="49">
        <v>7.9999999999999982</v>
      </c>
      <c r="I2220" s="49">
        <v>7.9999999999999982</v>
      </c>
      <c r="J2220" s="53" t="s">
        <v>30</v>
      </c>
      <c r="K2220" s="51" t="s">
        <v>651</v>
      </c>
      <c r="L2220" s="102" t="s">
        <v>281</v>
      </c>
      <c r="M2220" s="19" t="str">
        <f t="shared" si="53"/>
        <v>Sep_2018</v>
      </c>
    </row>
    <row r="2221" spans="1:13">
      <c r="A2221" s="45" t="s">
        <v>22</v>
      </c>
      <c r="B2221" s="52" t="s">
        <v>23</v>
      </c>
      <c r="C2221" s="46">
        <v>43360</v>
      </c>
      <c r="D2221" s="47" t="s">
        <v>16</v>
      </c>
      <c r="E2221" s="48">
        <v>0.35416666666666669</v>
      </c>
      <c r="F2221" s="48">
        <v>0.72916666666666663</v>
      </c>
      <c r="G2221" s="49">
        <v>0</v>
      </c>
      <c r="H2221" s="49">
        <v>7.9999999999999982</v>
      </c>
      <c r="I2221" s="49">
        <v>7.9999999999999982</v>
      </c>
      <c r="J2221" s="53" t="s">
        <v>30</v>
      </c>
      <c r="K2221" s="51" t="s">
        <v>652</v>
      </c>
      <c r="L2221" s="102" t="s">
        <v>281</v>
      </c>
      <c r="M2221" s="19" t="str">
        <f t="shared" si="53"/>
        <v>Sep_2018</v>
      </c>
    </row>
    <row r="2222" spans="1:13">
      <c r="A2222" s="45" t="s">
        <v>22</v>
      </c>
      <c r="B2222" s="52" t="s">
        <v>23</v>
      </c>
      <c r="C2222" s="46">
        <v>43361</v>
      </c>
      <c r="D2222" s="47" t="s">
        <v>14</v>
      </c>
      <c r="E2222" s="48">
        <v>0.35416666666666669</v>
      </c>
      <c r="F2222" s="48">
        <v>0.72916666666666663</v>
      </c>
      <c r="G2222" s="49">
        <v>0</v>
      </c>
      <c r="H2222" s="49">
        <v>7.9999999999999982</v>
      </c>
      <c r="I2222" s="49">
        <v>7.9999999999999982</v>
      </c>
      <c r="J2222" s="53" t="s">
        <v>30</v>
      </c>
      <c r="K2222" s="51" t="s">
        <v>653</v>
      </c>
      <c r="L2222" s="102" t="s">
        <v>281</v>
      </c>
      <c r="M2222" s="19" t="str">
        <f t="shared" si="53"/>
        <v>Sep_2018</v>
      </c>
    </row>
    <row r="2223" spans="1:13">
      <c r="A2223" s="45" t="s">
        <v>22</v>
      </c>
      <c r="B2223" s="52" t="s">
        <v>23</v>
      </c>
      <c r="C2223" s="46">
        <v>43362</v>
      </c>
      <c r="D2223" s="47" t="s">
        <v>15</v>
      </c>
      <c r="E2223" s="48">
        <v>0.35416666666666669</v>
      </c>
      <c r="F2223" s="48">
        <v>0.72916666666666663</v>
      </c>
      <c r="G2223" s="49">
        <v>0</v>
      </c>
      <c r="H2223" s="49">
        <v>7.9999999999999982</v>
      </c>
      <c r="I2223" s="49">
        <v>7.9999999999999982</v>
      </c>
      <c r="J2223" s="53" t="s">
        <v>30</v>
      </c>
      <c r="K2223" s="51" t="s">
        <v>654</v>
      </c>
      <c r="L2223" s="102" t="s">
        <v>281</v>
      </c>
      <c r="M2223" s="19" t="str">
        <f t="shared" si="53"/>
        <v>Sep_2018</v>
      </c>
    </row>
    <row r="2224" spans="1:13">
      <c r="A2224" s="45" t="s">
        <v>22</v>
      </c>
      <c r="B2224" s="52" t="s">
        <v>23</v>
      </c>
      <c r="C2224" s="46">
        <v>43363</v>
      </c>
      <c r="D2224" s="47" t="s">
        <v>25</v>
      </c>
      <c r="E2224" s="48">
        <v>0.35416666666666669</v>
      </c>
      <c r="F2224" s="48">
        <v>0.72916666666666663</v>
      </c>
      <c r="G2224" s="49">
        <v>0</v>
      </c>
      <c r="H2224" s="49">
        <v>7.9999999999999982</v>
      </c>
      <c r="I2224" s="49">
        <v>7.9999999999999982</v>
      </c>
      <c r="J2224" s="53" t="s">
        <v>30</v>
      </c>
      <c r="K2224" s="51" t="s">
        <v>655</v>
      </c>
      <c r="L2224" s="102" t="s">
        <v>281</v>
      </c>
      <c r="M2224" s="19" t="str">
        <f t="shared" si="53"/>
        <v>Sep_2018</v>
      </c>
    </row>
    <row r="2225" spans="1:13">
      <c r="A2225" s="45" t="s">
        <v>22</v>
      </c>
      <c r="B2225" s="52" t="s">
        <v>23</v>
      </c>
      <c r="C2225" s="46">
        <v>43364</v>
      </c>
      <c r="D2225" s="47" t="s">
        <v>17</v>
      </c>
      <c r="E2225" s="48">
        <v>0.35416666666666669</v>
      </c>
      <c r="F2225" s="48">
        <v>0.72916666666666663</v>
      </c>
      <c r="G2225" s="49">
        <v>0</v>
      </c>
      <c r="H2225" s="49">
        <v>7.9999999999999982</v>
      </c>
      <c r="I2225" s="49">
        <v>7.9999999999999982</v>
      </c>
      <c r="J2225" s="53" t="s">
        <v>30</v>
      </c>
      <c r="K2225" s="51" t="s">
        <v>656</v>
      </c>
      <c r="L2225" s="102" t="s">
        <v>281</v>
      </c>
      <c r="M2225" s="19" t="str">
        <f t="shared" si="53"/>
        <v>Sep_2018</v>
      </c>
    </row>
    <row r="2226" spans="1:13">
      <c r="A2226" s="45" t="s">
        <v>22</v>
      </c>
      <c r="B2226" s="52" t="s">
        <v>23</v>
      </c>
      <c r="C2226" s="46">
        <v>43367</v>
      </c>
      <c r="D2226" s="47" t="s">
        <v>16</v>
      </c>
      <c r="E2226" s="48">
        <v>0.35416666666666669</v>
      </c>
      <c r="F2226" s="48">
        <v>0.72916666666666663</v>
      </c>
      <c r="G2226" s="49">
        <v>0</v>
      </c>
      <c r="H2226" s="49">
        <v>7.9999999999999982</v>
      </c>
      <c r="I2226" s="49">
        <v>7.9999999999999982</v>
      </c>
      <c r="J2226" s="53" t="s">
        <v>30</v>
      </c>
      <c r="K2226" s="51" t="s">
        <v>657</v>
      </c>
      <c r="L2226" s="102" t="s">
        <v>281</v>
      </c>
      <c r="M2226" s="19" t="str">
        <f t="shared" si="53"/>
        <v>Sep_2018</v>
      </c>
    </row>
    <row r="2227" spans="1:13">
      <c r="A2227" s="45" t="s">
        <v>22</v>
      </c>
      <c r="B2227" s="52" t="s">
        <v>23</v>
      </c>
      <c r="C2227" s="46">
        <v>43368</v>
      </c>
      <c r="D2227" s="47" t="s">
        <v>14</v>
      </c>
      <c r="E2227" s="48">
        <v>0.35416666666666669</v>
      </c>
      <c r="F2227" s="48">
        <v>0.72916666666666663</v>
      </c>
      <c r="G2227" s="49">
        <v>0</v>
      </c>
      <c r="H2227" s="49">
        <v>7.9999999999999982</v>
      </c>
      <c r="I2227" s="49">
        <v>7.9999999999999982</v>
      </c>
      <c r="J2227" s="53" t="s">
        <v>30</v>
      </c>
      <c r="K2227" s="51" t="s">
        <v>658</v>
      </c>
      <c r="L2227" s="102" t="s">
        <v>281</v>
      </c>
      <c r="M2227" s="19" t="str">
        <f t="shared" si="53"/>
        <v>Sep_2018</v>
      </c>
    </row>
    <row r="2228" spans="1:13">
      <c r="A2228" s="45" t="s">
        <v>22</v>
      </c>
      <c r="B2228" s="52" t="s">
        <v>23</v>
      </c>
      <c r="C2228" s="46">
        <v>43369</v>
      </c>
      <c r="D2228" s="47" t="s">
        <v>15</v>
      </c>
      <c r="E2228" s="48">
        <v>0.35416666666666669</v>
      </c>
      <c r="F2228" s="48">
        <v>0.72916666666666663</v>
      </c>
      <c r="G2228" s="49">
        <v>0</v>
      </c>
      <c r="H2228" s="49">
        <v>7.9999999999999982</v>
      </c>
      <c r="I2228" s="49">
        <v>7.9999999999999982</v>
      </c>
      <c r="J2228" s="53" t="s">
        <v>30</v>
      </c>
      <c r="K2228" s="51" t="s">
        <v>659</v>
      </c>
      <c r="L2228" s="102" t="s">
        <v>281</v>
      </c>
      <c r="M2228" s="19" t="str">
        <f t="shared" si="53"/>
        <v>Sep_2018</v>
      </c>
    </row>
    <row r="2229" spans="1:13">
      <c r="A2229" s="45" t="s">
        <v>22</v>
      </c>
      <c r="B2229" s="52" t="s">
        <v>23</v>
      </c>
      <c r="C2229" s="46">
        <v>43370</v>
      </c>
      <c r="D2229" s="47" t="s">
        <v>25</v>
      </c>
      <c r="E2229" s="48">
        <v>0.35416666666666669</v>
      </c>
      <c r="F2229" s="48">
        <v>0.72916666666666663</v>
      </c>
      <c r="G2229" s="49">
        <v>0</v>
      </c>
      <c r="H2229" s="49">
        <v>7.9999999999999982</v>
      </c>
      <c r="I2229" s="49">
        <v>7.9999999999999982</v>
      </c>
      <c r="J2229" s="53" t="s">
        <v>30</v>
      </c>
      <c r="K2229" s="51" t="s">
        <v>660</v>
      </c>
      <c r="L2229" s="102" t="s">
        <v>281</v>
      </c>
      <c r="M2229" s="19" t="str">
        <f t="shared" si="53"/>
        <v>Sep_2018</v>
      </c>
    </row>
    <row r="2230" spans="1:13">
      <c r="A2230" s="45" t="s">
        <v>22</v>
      </c>
      <c r="B2230" s="52" t="s">
        <v>23</v>
      </c>
      <c r="C2230" s="46">
        <v>43371</v>
      </c>
      <c r="D2230" s="47" t="s">
        <v>17</v>
      </c>
      <c r="E2230" s="48">
        <v>0.35416666666666669</v>
      </c>
      <c r="F2230" s="48">
        <v>0.72916666666666663</v>
      </c>
      <c r="G2230" s="49">
        <v>0</v>
      </c>
      <c r="H2230" s="49">
        <v>7.9999999999999982</v>
      </c>
      <c r="I2230" s="49">
        <v>7.9999999999999982</v>
      </c>
      <c r="J2230" s="53" t="s">
        <v>30</v>
      </c>
      <c r="K2230" s="51" t="s">
        <v>661</v>
      </c>
      <c r="L2230" s="102" t="s">
        <v>281</v>
      </c>
      <c r="M2230" s="19" t="str">
        <f t="shared" si="53"/>
        <v>Sep_2018</v>
      </c>
    </row>
    <row r="2231" spans="1:13">
      <c r="A2231" s="45" t="s">
        <v>22</v>
      </c>
      <c r="B2231" s="52" t="s">
        <v>662</v>
      </c>
      <c r="C2231" s="46">
        <v>43371</v>
      </c>
      <c r="D2231" s="47" t="s">
        <v>17</v>
      </c>
      <c r="E2231" s="48">
        <v>0.35416666666666669</v>
      </c>
      <c r="F2231" s="48">
        <v>0.72916666666666663</v>
      </c>
      <c r="G2231" s="49">
        <v>0</v>
      </c>
      <c r="H2231" s="49">
        <v>7.9999999999999982</v>
      </c>
      <c r="I2231" s="49">
        <v>7.9999999999999982</v>
      </c>
      <c r="J2231" s="53" t="s">
        <v>30</v>
      </c>
      <c r="K2231" s="51" t="s">
        <v>661</v>
      </c>
      <c r="L2231" s="102" t="s">
        <v>281</v>
      </c>
      <c r="M2231" s="19" t="str">
        <f t="shared" si="53"/>
        <v>Sep_2018</v>
      </c>
    </row>
    <row r="2232" spans="1:13">
      <c r="A2232" s="45" t="s">
        <v>22</v>
      </c>
      <c r="B2232" s="52" t="s">
        <v>23</v>
      </c>
      <c r="C2232" s="46">
        <v>43374</v>
      </c>
      <c r="D2232" s="47" t="s">
        <v>16</v>
      </c>
      <c r="E2232" s="48">
        <v>0.35416666666666669</v>
      </c>
      <c r="F2232" s="48">
        <v>0.72916666666666663</v>
      </c>
      <c r="G2232" s="49">
        <v>0</v>
      </c>
      <c r="H2232" s="49">
        <v>7.9999999999999982</v>
      </c>
      <c r="I2232" s="49">
        <v>7.9999999999999982</v>
      </c>
      <c r="J2232" s="53" t="s">
        <v>30</v>
      </c>
      <c r="K2232" s="51" t="s">
        <v>663</v>
      </c>
      <c r="L2232" s="102" t="s">
        <v>281</v>
      </c>
      <c r="M2232" s="19" t="str">
        <f>IF($C2232="","",TEXT(DATE(YEAR($C2232),MONTH($C2232),DAY($C2232)),"MMM")&amp;"_"&amp;YEAR($C2232))</f>
        <v>Oct_2018</v>
      </c>
    </row>
    <row r="2233" spans="1:13">
      <c r="A2233" s="45" t="s">
        <v>22</v>
      </c>
      <c r="B2233" s="52" t="s">
        <v>662</v>
      </c>
      <c r="C2233" s="46">
        <v>43374</v>
      </c>
      <c r="D2233" s="47" t="s">
        <v>16</v>
      </c>
      <c r="E2233" s="48">
        <v>0.35416666666666669</v>
      </c>
      <c r="F2233" s="48">
        <v>0.72916666666666663</v>
      </c>
      <c r="G2233" s="49">
        <v>0</v>
      </c>
      <c r="H2233" s="49">
        <v>7.9999999999999982</v>
      </c>
      <c r="I2233" s="49">
        <v>7.9999999999999982</v>
      </c>
      <c r="J2233" s="53" t="s">
        <v>30</v>
      </c>
      <c r="K2233" s="51" t="s">
        <v>663</v>
      </c>
      <c r="L2233" s="102" t="s">
        <v>281</v>
      </c>
      <c r="M2233" s="19" t="str">
        <f t="shared" ref="M2233:M2266" si="54">IF($C2233="","",TEXT(DATE(YEAR($C2233),MONTH($C2233),DAY($C2233)),"MMM")&amp;"_"&amp;YEAR($C2233))</f>
        <v>Oct_2018</v>
      </c>
    </row>
    <row r="2234" spans="1:13">
      <c r="A2234" s="45" t="s">
        <v>22</v>
      </c>
      <c r="B2234" s="52" t="s">
        <v>23</v>
      </c>
      <c r="C2234" s="46">
        <v>43375</v>
      </c>
      <c r="D2234" s="47" t="s">
        <v>14</v>
      </c>
      <c r="E2234" s="48">
        <v>0.35416666666666669</v>
      </c>
      <c r="F2234" s="48">
        <v>0.72916666666666663</v>
      </c>
      <c r="G2234" s="49">
        <v>0</v>
      </c>
      <c r="H2234" s="49">
        <v>7.9999999999999982</v>
      </c>
      <c r="I2234" s="49">
        <v>7.9999999999999982</v>
      </c>
      <c r="J2234" s="53" t="s">
        <v>30</v>
      </c>
      <c r="K2234" s="51" t="s">
        <v>664</v>
      </c>
      <c r="L2234" s="102" t="s">
        <v>281</v>
      </c>
      <c r="M2234" s="19" t="str">
        <f t="shared" si="54"/>
        <v>Oct_2018</v>
      </c>
    </row>
    <row r="2235" spans="1:13">
      <c r="A2235" s="45" t="s">
        <v>22</v>
      </c>
      <c r="B2235" s="52" t="s">
        <v>662</v>
      </c>
      <c r="C2235" s="46">
        <v>43375</v>
      </c>
      <c r="D2235" s="47" t="s">
        <v>14</v>
      </c>
      <c r="E2235" s="48">
        <v>0.35416666666666669</v>
      </c>
      <c r="F2235" s="48">
        <v>0.72916666666666663</v>
      </c>
      <c r="G2235" s="49">
        <v>0</v>
      </c>
      <c r="H2235" s="49">
        <v>7.9999999999999982</v>
      </c>
      <c r="I2235" s="49">
        <v>7.9999999999999982</v>
      </c>
      <c r="J2235" s="53" t="s">
        <v>30</v>
      </c>
      <c r="K2235" s="51" t="s">
        <v>664</v>
      </c>
      <c r="L2235" s="102" t="s">
        <v>281</v>
      </c>
      <c r="M2235" s="19" t="str">
        <f t="shared" si="54"/>
        <v>Oct_2018</v>
      </c>
    </row>
    <row r="2236" spans="1:13">
      <c r="A2236" s="45" t="s">
        <v>22</v>
      </c>
      <c r="B2236" s="52" t="s">
        <v>23</v>
      </c>
      <c r="C2236" s="46">
        <v>43376</v>
      </c>
      <c r="D2236" s="47" t="s">
        <v>15</v>
      </c>
      <c r="E2236" s="48">
        <v>0.35416666666666669</v>
      </c>
      <c r="F2236" s="48">
        <v>0.72916666666666663</v>
      </c>
      <c r="G2236" s="49">
        <v>0</v>
      </c>
      <c r="H2236" s="49">
        <v>7.9999999999999982</v>
      </c>
      <c r="I2236" s="49">
        <v>7.9999999999999982</v>
      </c>
      <c r="J2236" s="53" t="s">
        <v>30</v>
      </c>
      <c r="K2236" s="51" t="s">
        <v>665</v>
      </c>
      <c r="L2236" s="102" t="s">
        <v>281</v>
      </c>
      <c r="M2236" s="19" t="str">
        <f t="shared" si="54"/>
        <v>Oct_2018</v>
      </c>
    </row>
    <row r="2237" spans="1:13">
      <c r="A2237" s="45" t="s">
        <v>22</v>
      </c>
      <c r="B2237" s="52" t="s">
        <v>662</v>
      </c>
      <c r="C2237" s="46">
        <v>43376</v>
      </c>
      <c r="D2237" s="47" t="s">
        <v>15</v>
      </c>
      <c r="E2237" s="48">
        <v>0.35416666666666669</v>
      </c>
      <c r="F2237" s="48">
        <v>0.72916666666666663</v>
      </c>
      <c r="G2237" s="49">
        <v>0</v>
      </c>
      <c r="H2237" s="49">
        <v>7.9999999999999982</v>
      </c>
      <c r="I2237" s="49">
        <v>7.9999999999999982</v>
      </c>
      <c r="J2237" s="53" t="s">
        <v>30</v>
      </c>
      <c r="K2237" s="51" t="s">
        <v>665</v>
      </c>
      <c r="L2237" s="102" t="s">
        <v>281</v>
      </c>
      <c r="M2237" s="19" t="str">
        <f t="shared" si="54"/>
        <v>Oct_2018</v>
      </c>
    </row>
    <row r="2238" spans="1:13">
      <c r="A2238" s="45" t="s">
        <v>22</v>
      </c>
      <c r="B2238" s="52" t="s">
        <v>23</v>
      </c>
      <c r="C2238" s="46">
        <v>43377</v>
      </c>
      <c r="D2238" s="47" t="s">
        <v>25</v>
      </c>
      <c r="E2238" s="48">
        <v>0.35416666666666669</v>
      </c>
      <c r="F2238" s="48">
        <v>0.72916666666666663</v>
      </c>
      <c r="G2238" s="49">
        <v>0</v>
      </c>
      <c r="H2238" s="49">
        <v>7.9999999999999982</v>
      </c>
      <c r="I2238" s="49">
        <v>7.9999999999999982</v>
      </c>
      <c r="J2238" s="53" t="s">
        <v>30</v>
      </c>
      <c r="K2238" s="51" t="s">
        <v>666</v>
      </c>
      <c r="L2238" s="102" t="s">
        <v>281</v>
      </c>
      <c r="M2238" s="19" t="str">
        <f t="shared" si="54"/>
        <v>Oct_2018</v>
      </c>
    </row>
    <row r="2239" spans="1:13">
      <c r="A2239" s="45" t="s">
        <v>22</v>
      </c>
      <c r="B2239" s="52" t="s">
        <v>662</v>
      </c>
      <c r="C2239" s="46">
        <v>43377</v>
      </c>
      <c r="D2239" s="47" t="s">
        <v>25</v>
      </c>
      <c r="E2239" s="48">
        <v>0.35416666666666669</v>
      </c>
      <c r="F2239" s="48">
        <v>0.72916666666666663</v>
      </c>
      <c r="G2239" s="49">
        <v>0</v>
      </c>
      <c r="H2239" s="49">
        <v>7.9999999999999982</v>
      </c>
      <c r="I2239" s="49">
        <v>7.9999999999999982</v>
      </c>
      <c r="J2239" s="53" t="s">
        <v>30</v>
      </c>
      <c r="K2239" s="51" t="s">
        <v>666</v>
      </c>
      <c r="L2239" s="102" t="s">
        <v>281</v>
      </c>
      <c r="M2239" s="19" t="str">
        <f t="shared" si="54"/>
        <v>Oct_2018</v>
      </c>
    </row>
    <row r="2240" spans="1:13">
      <c r="A2240" s="45" t="s">
        <v>22</v>
      </c>
      <c r="B2240" s="52" t="s">
        <v>23</v>
      </c>
      <c r="C2240" s="46">
        <v>43378</v>
      </c>
      <c r="D2240" s="47" t="s">
        <v>17</v>
      </c>
      <c r="E2240" s="48">
        <v>0.35416666666666669</v>
      </c>
      <c r="F2240" s="48">
        <v>0.72916666666666663</v>
      </c>
      <c r="G2240" s="49">
        <v>0</v>
      </c>
      <c r="H2240" s="49">
        <v>7.9999999999999982</v>
      </c>
      <c r="I2240" s="49">
        <v>7.9999999999999982</v>
      </c>
      <c r="J2240" s="53" t="s">
        <v>30</v>
      </c>
      <c r="K2240" s="51" t="s">
        <v>667</v>
      </c>
      <c r="L2240" s="102" t="s">
        <v>281</v>
      </c>
      <c r="M2240" s="19" t="str">
        <f t="shared" si="54"/>
        <v>Oct_2018</v>
      </c>
    </row>
    <row r="2241" spans="1:13">
      <c r="A2241" s="45" t="s">
        <v>22</v>
      </c>
      <c r="B2241" s="52" t="s">
        <v>662</v>
      </c>
      <c r="C2241" s="46">
        <v>43378</v>
      </c>
      <c r="D2241" s="47" t="s">
        <v>17</v>
      </c>
      <c r="E2241" s="48">
        <v>0.35416666666666669</v>
      </c>
      <c r="F2241" s="48">
        <v>0.72916666666666663</v>
      </c>
      <c r="G2241" s="49">
        <v>0</v>
      </c>
      <c r="H2241" s="49">
        <v>7.9999999999999982</v>
      </c>
      <c r="I2241" s="49">
        <v>7.9999999999999982</v>
      </c>
      <c r="J2241" s="53" t="s">
        <v>30</v>
      </c>
      <c r="K2241" s="51" t="s">
        <v>667</v>
      </c>
      <c r="L2241" s="102" t="s">
        <v>281</v>
      </c>
      <c r="M2241" s="19" t="str">
        <f t="shared" si="54"/>
        <v>Oct_2018</v>
      </c>
    </row>
    <row r="2242" spans="1:13">
      <c r="A2242" s="45" t="s">
        <v>22</v>
      </c>
      <c r="B2242" s="52" t="s">
        <v>78</v>
      </c>
      <c r="C2242" s="46">
        <v>43381</v>
      </c>
      <c r="D2242" s="47" t="s">
        <v>16</v>
      </c>
      <c r="E2242" s="48">
        <v>0.35416666666666669</v>
      </c>
      <c r="F2242" s="48">
        <v>0.72916666666666663</v>
      </c>
      <c r="G2242" s="49">
        <v>0</v>
      </c>
      <c r="H2242" s="49">
        <v>7.9999999999999982</v>
      </c>
      <c r="I2242" s="49">
        <v>7.9999999999999982</v>
      </c>
      <c r="J2242" s="53" t="s">
        <v>30</v>
      </c>
      <c r="K2242" s="51" t="s">
        <v>668</v>
      </c>
      <c r="L2242" s="102" t="s">
        <v>281</v>
      </c>
      <c r="M2242" s="19" t="str">
        <f t="shared" si="54"/>
        <v>Oct_2018</v>
      </c>
    </row>
    <row r="2243" spans="1:13">
      <c r="A2243" s="45" t="s">
        <v>22</v>
      </c>
      <c r="B2243" s="52" t="s">
        <v>662</v>
      </c>
      <c r="C2243" s="46">
        <v>43381</v>
      </c>
      <c r="D2243" s="47" t="s">
        <v>16</v>
      </c>
      <c r="E2243" s="48">
        <v>0.35416666666666669</v>
      </c>
      <c r="F2243" s="48">
        <v>0.72916666666666663</v>
      </c>
      <c r="G2243" s="49">
        <v>0</v>
      </c>
      <c r="H2243" s="49">
        <v>7.9999999999999982</v>
      </c>
      <c r="I2243" s="49">
        <v>7.9999999999999982</v>
      </c>
      <c r="J2243" s="53" t="s">
        <v>30</v>
      </c>
      <c r="K2243" s="51" t="s">
        <v>668</v>
      </c>
      <c r="L2243" s="102" t="s">
        <v>281</v>
      </c>
      <c r="M2243" s="19" t="str">
        <f t="shared" si="54"/>
        <v>Oct_2018</v>
      </c>
    </row>
    <row r="2244" spans="1:13">
      <c r="A2244" s="45" t="s">
        <v>22</v>
      </c>
      <c r="B2244" s="52" t="s">
        <v>78</v>
      </c>
      <c r="C2244" s="46">
        <v>43382</v>
      </c>
      <c r="D2244" s="47" t="s">
        <v>14</v>
      </c>
      <c r="E2244" s="48">
        <v>0.35416666666666669</v>
      </c>
      <c r="F2244" s="48">
        <v>0.72916666666666663</v>
      </c>
      <c r="G2244" s="49">
        <v>0</v>
      </c>
      <c r="H2244" s="49">
        <v>7.9999999999999982</v>
      </c>
      <c r="I2244" s="49">
        <v>7.9999999999999982</v>
      </c>
      <c r="J2244" s="53" t="s">
        <v>30</v>
      </c>
      <c r="K2244" s="51" t="s">
        <v>669</v>
      </c>
      <c r="L2244" s="102" t="s">
        <v>281</v>
      </c>
      <c r="M2244" s="19" t="str">
        <f t="shared" si="54"/>
        <v>Oct_2018</v>
      </c>
    </row>
    <row r="2245" spans="1:13">
      <c r="A2245" s="45" t="s">
        <v>22</v>
      </c>
      <c r="B2245" s="52" t="s">
        <v>662</v>
      </c>
      <c r="C2245" s="46">
        <v>43382</v>
      </c>
      <c r="D2245" s="47" t="s">
        <v>14</v>
      </c>
      <c r="E2245" s="48">
        <v>0.35416666666666669</v>
      </c>
      <c r="F2245" s="48">
        <v>0.72916666666666663</v>
      </c>
      <c r="G2245" s="49">
        <v>0</v>
      </c>
      <c r="H2245" s="49">
        <v>7.9999999999999982</v>
      </c>
      <c r="I2245" s="49">
        <v>7.9999999999999982</v>
      </c>
      <c r="J2245" s="53" t="s">
        <v>30</v>
      </c>
      <c r="K2245" s="51" t="s">
        <v>669</v>
      </c>
      <c r="L2245" s="102" t="s">
        <v>281</v>
      </c>
      <c r="M2245" s="19" t="str">
        <f t="shared" si="54"/>
        <v>Oct_2018</v>
      </c>
    </row>
    <row r="2246" spans="1:13">
      <c r="A2246" s="45" t="s">
        <v>22</v>
      </c>
      <c r="B2246" s="52" t="s">
        <v>662</v>
      </c>
      <c r="C2246" s="46">
        <v>43383</v>
      </c>
      <c r="D2246" s="47" t="s">
        <v>15</v>
      </c>
      <c r="E2246" s="48">
        <v>0.35416666666666669</v>
      </c>
      <c r="F2246" s="48">
        <v>0.72916666666666663</v>
      </c>
      <c r="G2246" s="49">
        <v>0</v>
      </c>
      <c r="H2246" s="49">
        <v>7.9999999999999982</v>
      </c>
      <c r="I2246" s="49">
        <v>7.9999999999999982</v>
      </c>
      <c r="J2246" s="53" t="s">
        <v>30</v>
      </c>
      <c r="K2246" s="51" t="s">
        <v>670</v>
      </c>
      <c r="L2246" s="102" t="s">
        <v>281</v>
      </c>
      <c r="M2246" s="19" t="str">
        <f t="shared" si="54"/>
        <v>Oct_2018</v>
      </c>
    </row>
    <row r="2247" spans="1:13">
      <c r="A2247" s="45" t="s">
        <v>22</v>
      </c>
      <c r="B2247" s="52" t="s">
        <v>662</v>
      </c>
      <c r="C2247" s="46">
        <v>43384</v>
      </c>
      <c r="D2247" s="47" t="s">
        <v>25</v>
      </c>
      <c r="E2247" s="48">
        <v>0.35416666666666669</v>
      </c>
      <c r="F2247" s="48">
        <v>0.72916666666666663</v>
      </c>
      <c r="G2247" s="49">
        <v>0</v>
      </c>
      <c r="H2247" s="49">
        <v>7.9999999999999982</v>
      </c>
      <c r="I2247" s="49">
        <v>7.9999999999999982</v>
      </c>
      <c r="J2247" s="53" t="s">
        <v>30</v>
      </c>
      <c r="K2247" s="51" t="s">
        <v>671</v>
      </c>
      <c r="L2247" s="102" t="s">
        <v>281</v>
      </c>
      <c r="M2247" s="19" t="str">
        <f t="shared" si="54"/>
        <v>Oct_2018</v>
      </c>
    </row>
    <row r="2248" spans="1:13">
      <c r="A2248" s="45" t="s">
        <v>22</v>
      </c>
      <c r="B2248" s="52" t="s">
        <v>662</v>
      </c>
      <c r="C2248" s="46">
        <v>43388</v>
      </c>
      <c r="D2248" s="47" t="s">
        <v>16</v>
      </c>
      <c r="E2248" s="48">
        <v>0.35416666666666669</v>
      </c>
      <c r="F2248" s="48">
        <v>0.72916666666666663</v>
      </c>
      <c r="G2248" s="49">
        <v>0</v>
      </c>
      <c r="H2248" s="49">
        <v>7.9999999999999982</v>
      </c>
      <c r="I2248" s="49">
        <v>7.9999999999999982</v>
      </c>
      <c r="J2248" s="53" t="s">
        <v>30</v>
      </c>
      <c r="K2248" s="51" t="s">
        <v>672</v>
      </c>
      <c r="L2248" s="102" t="s">
        <v>281</v>
      </c>
      <c r="M2248" s="19" t="str">
        <f t="shared" si="54"/>
        <v>Oct_2018</v>
      </c>
    </row>
    <row r="2249" spans="1:13">
      <c r="A2249" s="45" t="s">
        <v>22</v>
      </c>
      <c r="B2249" s="52" t="s">
        <v>662</v>
      </c>
      <c r="C2249" s="46">
        <v>43391</v>
      </c>
      <c r="D2249" s="47" t="s">
        <v>25</v>
      </c>
      <c r="E2249" s="48">
        <v>0.35416666666666669</v>
      </c>
      <c r="F2249" s="48">
        <v>0.72916666666666663</v>
      </c>
      <c r="G2249" s="49">
        <v>0</v>
      </c>
      <c r="H2249" s="49">
        <v>7.9999999999999982</v>
      </c>
      <c r="I2249" s="49">
        <v>7.9999999999999982</v>
      </c>
      <c r="J2249" s="53" t="s">
        <v>30</v>
      </c>
      <c r="K2249" s="51" t="s">
        <v>673</v>
      </c>
      <c r="L2249" s="102" t="s">
        <v>281</v>
      </c>
      <c r="M2249" s="19" t="str">
        <f t="shared" si="54"/>
        <v>Oct_2018</v>
      </c>
    </row>
    <row r="2250" spans="1:13">
      <c r="A2250" s="45" t="s">
        <v>22</v>
      </c>
      <c r="B2250" s="52" t="s">
        <v>662</v>
      </c>
      <c r="C2250" s="46">
        <v>43392</v>
      </c>
      <c r="D2250" s="47" t="s">
        <v>17</v>
      </c>
      <c r="E2250" s="48">
        <v>0.35416666666666669</v>
      </c>
      <c r="F2250" s="48">
        <v>0.72916666666666663</v>
      </c>
      <c r="G2250" s="49">
        <v>0</v>
      </c>
      <c r="H2250" s="49">
        <v>7.9999999999999982</v>
      </c>
      <c r="I2250" s="49">
        <v>7.9999999999999982</v>
      </c>
      <c r="J2250" s="53" t="s">
        <v>30</v>
      </c>
      <c r="K2250" s="51" t="s">
        <v>674</v>
      </c>
      <c r="L2250" s="102" t="s">
        <v>281</v>
      </c>
      <c r="M2250" s="19" t="str">
        <f t="shared" si="54"/>
        <v>Oct_2018</v>
      </c>
    </row>
    <row r="2251" spans="1:13">
      <c r="A2251" s="45" t="s">
        <v>22</v>
      </c>
      <c r="B2251" s="52" t="s">
        <v>662</v>
      </c>
      <c r="C2251" s="46">
        <v>43395</v>
      </c>
      <c r="D2251" s="47" t="s">
        <v>16</v>
      </c>
      <c r="E2251" s="48">
        <v>0.35416666666666669</v>
      </c>
      <c r="F2251" s="48">
        <v>0.72916666666666663</v>
      </c>
      <c r="G2251" s="49">
        <v>0</v>
      </c>
      <c r="H2251" s="49">
        <v>7.9999999999999982</v>
      </c>
      <c r="I2251" s="49">
        <v>7.9999999999999982</v>
      </c>
      <c r="J2251" s="53" t="s">
        <v>30</v>
      </c>
      <c r="K2251" s="51" t="s">
        <v>675</v>
      </c>
      <c r="L2251" s="102" t="s">
        <v>281</v>
      </c>
      <c r="M2251" s="19" t="str">
        <f t="shared" si="54"/>
        <v>Oct_2018</v>
      </c>
    </row>
    <row r="2252" spans="1:13">
      <c r="A2252" s="45" t="s">
        <v>22</v>
      </c>
      <c r="B2252" s="52" t="s">
        <v>78</v>
      </c>
      <c r="C2252" s="46">
        <v>43396</v>
      </c>
      <c r="D2252" s="47" t="s">
        <v>14</v>
      </c>
      <c r="E2252" s="48">
        <v>0.35416666666666669</v>
      </c>
      <c r="F2252" s="48">
        <v>0.72916666666666663</v>
      </c>
      <c r="G2252" s="49">
        <v>0</v>
      </c>
      <c r="H2252" s="49">
        <v>7.9999999999999982</v>
      </c>
      <c r="I2252" s="49">
        <v>7.9999999999999982</v>
      </c>
      <c r="J2252" s="53" t="s">
        <v>30</v>
      </c>
      <c r="K2252" s="51" t="s">
        <v>676</v>
      </c>
      <c r="L2252" s="102" t="s">
        <v>281</v>
      </c>
      <c r="M2252" s="19" t="str">
        <f t="shared" si="54"/>
        <v>Oct_2018</v>
      </c>
    </row>
    <row r="2253" spans="1:13">
      <c r="A2253" s="45" t="s">
        <v>22</v>
      </c>
      <c r="B2253" s="52" t="s">
        <v>662</v>
      </c>
      <c r="C2253" s="46">
        <v>43396</v>
      </c>
      <c r="D2253" s="47" t="s">
        <v>14</v>
      </c>
      <c r="E2253" s="48">
        <v>0.52083333333333337</v>
      </c>
      <c r="F2253" s="48">
        <v>0.72916666666666663</v>
      </c>
      <c r="G2253" s="49">
        <v>0</v>
      </c>
      <c r="H2253" s="49">
        <v>4.9999999999999982</v>
      </c>
      <c r="I2253" s="49">
        <v>4.9999999999999982</v>
      </c>
      <c r="J2253" s="53" t="s">
        <v>30</v>
      </c>
      <c r="K2253" s="51" t="s">
        <v>676</v>
      </c>
      <c r="L2253" s="102" t="s">
        <v>281</v>
      </c>
      <c r="M2253" s="19" t="str">
        <f t="shared" si="54"/>
        <v>Oct_2018</v>
      </c>
    </row>
    <row r="2254" spans="1:13">
      <c r="A2254" s="45" t="s">
        <v>22</v>
      </c>
      <c r="B2254" s="52" t="s">
        <v>662</v>
      </c>
      <c r="C2254" s="46">
        <v>43398</v>
      </c>
      <c r="D2254" s="47" t="s">
        <v>25</v>
      </c>
      <c r="E2254" s="48">
        <v>0.35416666666666669</v>
      </c>
      <c r="F2254" s="48">
        <v>0.72916666666666663</v>
      </c>
      <c r="G2254" s="49">
        <v>0</v>
      </c>
      <c r="H2254" s="49">
        <v>7.9999999999999982</v>
      </c>
      <c r="I2254" s="49">
        <v>7.9999999999999982</v>
      </c>
      <c r="J2254" s="53" t="s">
        <v>30</v>
      </c>
      <c r="K2254" s="51" t="s">
        <v>677</v>
      </c>
      <c r="L2254" s="102" t="s">
        <v>281</v>
      </c>
      <c r="M2254" s="19" t="str">
        <f t="shared" si="54"/>
        <v>Oct_2018</v>
      </c>
    </row>
    <row r="2255" spans="1:13">
      <c r="A2255" s="45" t="s">
        <v>22</v>
      </c>
      <c r="B2255" s="52" t="s">
        <v>78</v>
      </c>
      <c r="C2255" s="46">
        <v>43399</v>
      </c>
      <c r="D2255" s="47" t="s">
        <v>17</v>
      </c>
      <c r="E2255" s="48">
        <v>0.35416666666666669</v>
      </c>
      <c r="F2255" s="48">
        <v>0.72916666666666663</v>
      </c>
      <c r="G2255" s="49">
        <v>0</v>
      </c>
      <c r="H2255" s="49">
        <v>7.9999999999999982</v>
      </c>
      <c r="I2255" s="49">
        <v>7.9999999999999982</v>
      </c>
      <c r="J2255" s="53" t="s">
        <v>30</v>
      </c>
      <c r="K2255" s="51" t="s">
        <v>678</v>
      </c>
      <c r="L2255" s="102" t="s">
        <v>281</v>
      </c>
      <c r="M2255" s="19" t="str">
        <f t="shared" si="54"/>
        <v>Oct_2018</v>
      </c>
    </row>
    <row r="2256" spans="1:13">
      <c r="A2256" s="45" t="s">
        <v>22</v>
      </c>
      <c r="B2256" s="52" t="s">
        <v>662</v>
      </c>
      <c r="C2256" s="46">
        <v>43399</v>
      </c>
      <c r="D2256" s="47" t="s">
        <v>17</v>
      </c>
      <c r="E2256" s="48">
        <v>0.35416666666666669</v>
      </c>
      <c r="F2256" s="48">
        <v>0.72916666666666663</v>
      </c>
      <c r="G2256" s="49">
        <v>0</v>
      </c>
      <c r="H2256" s="49">
        <v>7.9999999999999982</v>
      </c>
      <c r="I2256" s="49">
        <v>7.9999999999999982</v>
      </c>
      <c r="J2256" s="53" t="s">
        <v>30</v>
      </c>
      <c r="K2256" s="51" t="s">
        <v>678</v>
      </c>
      <c r="L2256" s="102" t="s">
        <v>281</v>
      </c>
      <c r="M2256" s="19" t="str">
        <f t="shared" si="54"/>
        <v>Oct_2018</v>
      </c>
    </row>
    <row r="2257" spans="1:13">
      <c r="A2257" s="45" t="s">
        <v>22</v>
      </c>
      <c r="B2257" s="52" t="s">
        <v>662</v>
      </c>
      <c r="C2257" s="46">
        <v>43402</v>
      </c>
      <c r="D2257" s="47" t="s">
        <v>16</v>
      </c>
      <c r="E2257" s="48">
        <v>0.35416666666666669</v>
      </c>
      <c r="F2257" s="48">
        <v>0.72916666666666663</v>
      </c>
      <c r="G2257" s="49">
        <v>0</v>
      </c>
      <c r="H2257" s="49">
        <v>7.9999999999999982</v>
      </c>
      <c r="I2257" s="49">
        <v>7.9999999999999982</v>
      </c>
      <c r="J2257" s="53" t="s">
        <v>30</v>
      </c>
      <c r="K2257" s="51" t="s">
        <v>680</v>
      </c>
      <c r="L2257" s="102" t="s">
        <v>281</v>
      </c>
      <c r="M2257" s="19" t="str">
        <f t="shared" si="54"/>
        <v>Oct_2018</v>
      </c>
    </row>
    <row r="2258" spans="1:13">
      <c r="A2258" s="45" t="s">
        <v>22</v>
      </c>
      <c r="B2258" s="52" t="s">
        <v>679</v>
      </c>
      <c r="C2258" s="46">
        <v>43402</v>
      </c>
      <c r="D2258" s="47" t="s">
        <v>16</v>
      </c>
      <c r="E2258" s="48">
        <v>0.35416666666666669</v>
      </c>
      <c r="F2258" s="48">
        <v>0.72916666666666663</v>
      </c>
      <c r="G2258" s="49">
        <v>0</v>
      </c>
      <c r="H2258" s="49">
        <v>7.9999999999999982</v>
      </c>
      <c r="I2258" s="49">
        <v>7.9999999999999982</v>
      </c>
      <c r="J2258" s="53" t="s">
        <v>30</v>
      </c>
      <c r="K2258" s="51" t="s">
        <v>680</v>
      </c>
      <c r="L2258" s="102" t="s">
        <v>281</v>
      </c>
      <c r="M2258" s="19" t="str">
        <f t="shared" si="54"/>
        <v>Oct_2018</v>
      </c>
    </row>
    <row r="2259" spans="1:13">
      <c r="A2259" s="45" t="s">
        <v>22</v>
      </c>
      <c r="B2259" s="52" t="s">
        <v>78</v>
      </c>
      <c r="C2259" s="46">
        <v>43403</v>
      </c>
      <c r="D2259" s="47" t="s">
        <v>14</v>
      </c>
      <c r="E2259" s="48">
        <v>0.41666666666666669</v>
      </c>
      <c r="F2259" s="48">
        <v>0.70833333333333337</v>
      </c>
      <c r="G2259" s="49">
        <v>0</v>
      </c>
      <c r="H2259" s="49">
        <v>6</v>
      </c>
      <c r="I2259" s="49">
        <v>6</v>
      </c>
      <c r="J2259" s="53" t="s">
        <v>30</v>
      </c>
      <c r="K2259" s="51" t="s">
        <v>681</v>
      </c>
      <c r="L2259" s="102" t="s">
        <v>281</v>
      </c>
      <c r="M2259" s="19" t="str">
        <f t="shared" si="54"/>
        <v>Oct_2018</v>
      </c>
    </row>
    <row r="2260" spans="1:13">
      <c r="A2260" s="45" t="s">
        <v>22</v>
      </c>
      <c r="B2260" s="52" t="s">
        <v>679</v>
      </c>
      <c r="C2260" s="46">
        <v>43403</v>
      </c>
      <c r="D2260" s="47" t="s">
        <v>14</v>
      </c>
      <c r="E2260" s="48">
        <v>0.35416666666666669</v>
      </c>
      <c r="F2260" s="48">
        <v>0.72916666666666663</v>
      </c>
      <c r="G2260" s="49">
        <v>0</v>
      </c>
      <c r="H2260" s="49">
        <v>7.9999999999999982</v>
      </c>
      <c r="I2260" s="49">
        <v>7.9999999999999982</v>
      </c>
      <c r="J2260" s="53" t="s">
        <v>30</v>
      </c>
      <c r="K2260" s="51" t="s">
        <v>681</v>
      </c>
      <c r="L2260" s="102" t="s">
        <v>281</v>
      </c>
      <c r="M2260" s="19" t="str">
        <f t="shared" si="54"/>
        <v>Oct_2018</v>
      </c>
    </row>
    <row r="2261" spans="1:13">
      <c r="A2261" s="45" t="s">
        <v>11</v>
      </c>
      <c r="B2261" s="52" t="s">
        <v>542</v>
      </c>
      <c r="C2261" s="46">
        <v>43404</v>
      </c>
      <c r="D2261" s="47" t="s">
        <v>15</v>
      </c>
      <c r="E2261" s="48">
        <v>0.72916666666666674</v>
      </c>
      <c r="F2261" s="48">
        <v>0.8125</v>
      </c>
      <c r="G2261" s="49">
        <v>8.0000000000000036</v>
      </c>
      <c r="H2261" s="49">
        <v>1.9999999999999964</v>
      </c>
      <c r="I2261" s="49">
        <v>1.9999999999999964</v>
      </c>
      <c r="J2261" s="53" t="s">
        <v>30</v>
      </c>
      <c r="K2261" s="51" t="s">
        <v>685</v>
      </c>
      <c r="L2261" s="102">
        <v>1</v>
      </c>
      <c r="M2261" s="19" t="str">
        <f t="shared" si="54"/>
        <v>Oct_2018</v>
      </c>
    </row>
    <row r="2262" spans="1:13">
      <c r="A2262" s="45" t="s">
        <v>11</v>
      </c>
      <c r="B2262" s="52" t="s">
        <v>547</v>
      </c>
      <c r="C2262" s="46">
        <v>43404</v>
      </c>
      <c r="D2262" s="47" t="s">
        <v>15</v>
      </c>
      <c r="E2262" s="48">
        <v>0.72916666666666674</v>
      </c>
      <c r="F2262" s="48">
        <v>0.8125</v>
      </c>
      <c r="G2262" s="49">
        <v>8.0000000000000036</v>
      </c>
      <c r="H2262" s="49">
        <v>1.9999999999999964</v>
      </c>
      <c r="I2262" s="49">
        <v>1.9999999999999964</v>
      </c>
      <c r="J2262" s="53" t="s">
        <v>30</v>
      </c>
      <c r="K2262" s="51" t="s">
        <v>685</v>
      </c>
      <c r="L2262" s="102">
        <v>1</v>
      </c>
      <c r="M2262" s="19" t="str">
        <f t="shared" si="54"/>
        <v>Oct_2018</v>
      </c>
    </row>
    <row r="2263" spans="1:13">
      <c r="A2263" s="45" t="s">
        <v>11</v>
      </c>
      <c r="B2263" s="52" t="s">
        <v>682</v>
      </c>
      <c r="C2263" s="46">
        <v>43404</v>
      </c>
      <c r="D2263" s="47" t="s">
        <v>15</v>
      </c>
      <c r="E2263" s="48">
        <v>0.72916666666666674</v>
      </c>
      <c r="F2263" s="48">
        <v>0.8125</v>
      </c>
      <c r="G2263" s="49">
        <v>8.0000000000000036</v>
      </c>
      <c r="H2263" s="49">
        <v>1.9999999999999964</v>
      </c>
      <c r="I2263" s="49">
        <v>1.9999999999999964</v>
      </c>
      <c r="J2263" s="53" t="s">
        <v>30</v>
      </c>
      <c r="K2263" s="51" t="s">
        <v>685</v>
      </c>
      <c r="L2263" s="102">
        <v>1</v>
      </c>
      <c r="M2263" s="19" t="str">
        <f t="shared" si="54"/>
        <v>Oct_2018</v>
      </c>
    </row>
    <row r="2264" spans="1:13">
      <c r="A2264" s="45" t="s">
        <v>11</v>
      </c>
      <c r="B2264" s="52" t="s">
        <v>683</v>
      </c>
      <c r="C2264" s="46">
        <v>43404</v>
      </c>
      <c r="D2264" s="47" t="s">
        <v>15</v>
      </c>
      <c r="E2264" s="48">
        <v>0.72916666666666674</v>
      </c>
      <c r="F2264" s="48">
        <v>0.8125</v>
      </c>
      <c r="G2264" s="49">
        <v>8.0000000000000036</v>
      </c>
      <c r="H2264" s="49">
        <v>1.9999999999999964</v>
      </c>
      <c r="I2264" s="49">
        <v>1.9999999999999964</v>
      </c>
      <c r="J2264" s="53" t="s">
        <v>30</v>
      </c>
      <c r="K2264" s="51" t="s">
        <v>685</v>
      </c>
      <c r="L2264" s="102">
        <v>1</v>
      </c>
      <c r="M2264" s="19" t="str">
        <f t="shared" si="54"/>
        <v>Oct_2018</v>
      </c>
    </row>
    <row r="2265" spans="1:13">
      <c r="A2265" s="45" t="s">
        <v>11</v>
      </c>
      <c r="B2265" s="52" t="s">
        <v>684</v>
      </c>
      <c r="C2265" s="46">
        <v>43404</v>
      </c>
      <c r="D2265" s="47" t="s">
        <v>15</v>
      </c>
      <c r="E2265" s="48">
        <v>0.72916666666666674</v>
      </c>
      <c r="F2265" s="48">
        <v>0.8125</v>
      </c>
      <c r="G2265" s="49">
        <v>8.0000000000000036</v>
      </c>
      <c r="H2265" s="49">
        <v>1.9999999999999964</v>
      </c>
      <c r="I2265" s="49">
        <v>1.9999999999999964</v>
      </c>
      <c r="J2265" s="53" t="s">
        <v>30</v>
      </c>
      <c r="K2265" s="51" t="s">
        <v>685</v>
      </c>
      <c r="L2265" s="102">
        <v>1</v>
      </c>
      <c r="M2265" s="19" t="str">
        <f t="shared" si="54"/>
        <v>Oct_2018</v>
      </c>
    </row>
    <row r="2266" spans="1:13">
      <c r="A2266" s="45" t="s">
        <v>22</v>
      </c>
      <c r="B2266" s="52" t="s">
        <v>27</v>
      </c>
      <c r="C2266" s="46">
        <v>43404</v>
      </c>
      <c r="D2266" s="47" t="s">
        <v>15</v>
      </c>
      <c r="E2266" s="48">
        <v>0.35416666666666669</v>
      </c>
      <c r="F2266" s="48">
        <v>0.72916666666666663</v>
      </c>
      <c r="G2266" s="49">
        <v>0</v>
      </c>
      <c r="H2266" s="49">
        <v>7.9999999999999982</v>
      </c>
      <c r="I2266" s="49">
        <v>7.9999999999999982</v>
      </c>
      <c r="J2266" s="53" t="s">
        <v>30</v>
      </c>
      <c r="K2266" s="51" t="s">
        <v>685</v>
      </c>
      <c r="L2266" s="102" t="s">
        <v>281</v>
      </c>
      <c r="M2266" s="19" t="str">
        <f t="shared" si="54"/>
        <v>Oct_2018</v>
      </c>
    </row>
    <row r="2267" spans="1:13">
      <c r="A2267" s="45" t="s">
        <v>22</v>
      </c>
      <c r="B2267" s="52" t="s">
        <v>679</v>
      </c>
      <c r="C2267" s="46">
        <v>43405</v>
      </c>
      <c r="D2267" s="47" t="s">
        <v>25</v>
      </c>
      <c r="E2267" s="48">
        <v>0.35416666666666669</v>
      </c>
      <c r="F2267" s="48">
        <v>0.72916666666666663</v>
      </c>
      <c r="G2267" s="49">
        <v>0</v>
      </c>
      <c r="H2267" s="49">
        <v>7.9999999999999982</v>
      </c>
      <c r="I2267" s="49">
        <v>7.9999999999999982</v>
      </c>
      <c r="J2267" s="53" t="s">
        <v>30</v>
      </c>
      <c r="K2267" s="51" t="s">
        <v>711</v>
      </c>
      <c r="L2267" s="102" t="s">
        <v>281</v>
      </c>
      <c r="M2267" s="19" t="str">
        <f>IF($C2267="","",TEXT(DATE(YEAR($C2267),MONTH($C2267),DAY($C2267)),"MMM")&amp;"_"&amp;YEAR($C2267))</f>
        <v>Nov_2018</v>
      </c>
    </row>
    <row r="2268" spans="1:13">
      <c r="A2268" s="45" t="s">
        <v>22</v>
      </c>
      <c r="B2268" s="52" t="s">
        <v>478</v>
      </c>
      <c r="C2268" s="46">
        <v>43405</v>
      </c>
      <c r="D2268" s="47" t="s">
        <v>25</v>
      </c>
      <c r="E2268" s="48">
        <v>0.35416666666666669</v>
      </c>
      <c r="F2268" s="48">
        <v>0.625</v>
      </c>
      <c r="G2268" s="49">
        <v>0</v>
      </c>
      <c r="H2268" s="49">
        <v>5.5</v>
      </c>
      <c r="I2268" s="49">
        <v>5.5</v>
      </c>
      <c r="J2268" s="53" t="s">
        <v>30</v>
      </c>
      <c r="K2268" s="51" t="s">
        <v>711</v>
      </c>
      <c r="L2268" s="102" t="s">
        <v>281</v>
      </c>
      <c r="M2268" s="19" t="str">
        <f t="shared" ref="M2268:M2295" si="55">IF($C2268="","",TEXT(DATE(YEAR($C2268),MONTH($C2268),DAY($C2268)),"MMM")&amp;"_"&amp;YEAR($C2268))</f>
        <v>Nov_2018</v>
      </c>
    </row>
    <row r="2269" spans="1:13">
      <c r="A2269" s="45" t="s">
        <v>22</v>
      </c>
      <c r="B2269" s="52" t="s">
        <v>710</v>
      </c>
      <c r="C2269" s="46">
        <v>43405</v>
      </c>
      <c r="D2269" s="47" t="s">
        <v>25</v>
      </c>
      <c r="E2269" s="48">
        <v>0.35416666666666669</v>
      </c>
      <c r="F2269" s="48">
        <v>0.72916666666666663</v>
      </c>
      <c r="G2269" s="49">
        <v>0</v>
      </c>
      <c r="H2269" s="49">
        <v>7.9999999999999982</v>
      </c>
      <c r="I2269" s="49">
        <v>7.9999999999999982</v>
      </c>
      <c r="J2269" s="53" t="s">
        <v>30</v>
      </c>
      <c r="K2269" s="51" t="s">
        <v>711</v>
      </c>
      <c r="L2269" s="102" t="s">
        <v>281</v>
      </c>
      <c r="M2269" s="19" t="str">
        <f t="shared" si="55"/>
        <v>Nov_2018</v>
      </c>
    </row>
    <row r="2270" spans="1:13">
      <c r="A2270" s="45" t="s">
        <v>22</v>
      </c>
      <c r="B2270" s="52" t="s">
        <v>78</v>
      </c>
      <c r="C2270" s="46">
        <v>43406</v>
      </c>
      <c r="D2270" s="47" t="s">
        <v>17</v>
      </c>
      <c r="E2270" s="48">
        <v>0.35416666666666669</v>
      </c>
      <c r="F2270" s="48">
        <v>0.72916666666666663</v>
      </c>
      <c r="G2270" s="49">
        <v>0</v>
      </c>
      <c r="H2270" s="49">
        <v>7.9999999999999982</v>
      </c>
      <c r="I2270" s="49">
        <v>7.9999999999999982</v>
      </c>
      <c r="J2270" s="53" t="s">
        <v>30</v>
      </c>
      <c r="K2270" s="51" t="s">
        <v>712</v>
      </c>
      <c r="L2270" s="102" t="s">
        <v>281</v>
      </c>
      <c r="M2270" s="19" t="str">
        <f t="shared" si="55"/>
        <v>Nov_2018</v>
      </c>
    </row>
    <row r="2271" spans="1:13">
      <c r="A2271" s="45" t="s">
        <v>22</v>
      </c>
      <c r="B2271" s="52" t="s">
        <v>679</v>
      </c>
      <c r="C2271" s="46">
        <v>43406</v>
      </c>
      <c r="D2271" s="47" t="s">
        <v>17</v>
      </c>
      <c r="E2271" s="48">
        <v>0.35416666666666669</v>
      </c>
      <c r="F2271" s="48">
        <v>0.72916666666666663</v>
      </c>
      <c r="G2271" s="49">
        <v>0</v>
      </c>
      <c r="H2271" s="49">
        <v>7.9999999999999982</v>
      </c>
      <c r="I2271" s="49">
        <v>7.9999999999999982</v>
      </c>
      <c r="J2271" s="53" t="s">
        <v>30</v>
      </c>
      <c r="K2271" s="51" t="s">
        <v>712</v>
      </c>
      <c r="L2271" s="102" t="s">
        <v>281</v>
      </c>
      <c r="M2271" s="19" t="str">
        <f t="shared" si="55"/>
        <v>Nov_2018</v>
      </c>
    </row>
    <row r="2272" spans="1:13">
      <c r="A2272" s="45" t="s">
        <v>22</v>
      </c>
      <c r="B2272" s="52" t="s">
        <v>27</v>
      </c>
      <c r="C2272" s="46">
        <v>43406</v>
      </c>
      <c r="D2272" s="47" t="s">
        <v>17</v>
      </c>
      <c r="E2272" s="48">
        <v>0.35416666666666669</v>
      </c>
      <c r="F2272" s="48">
        <v>0.72916666666666663</v>
      </c>
      <c r="G2272" s="49">
        <v>0</v>
      </c>
      <c r="H2272" s="49">
        <v>7.9999999999999982</v>
      </c>
      <c r="I2272" s="49">
        <v>7.9999999999999982</v>
      </c>
      <c r="J2272" s="53" t="s">
        <v>30</v>
      </c>
      <c r="K2272" s="51" t="s">
        <v>712</v>
      </c>
      <c r="L2272" s="102" t="s">
        <v>281</v>
      </c>
      <c r="M2272" s="19" t="str">
        <f t="shared" si="55"/>
        <v>Nov_2018</v>
      </c>
    </row>
    <row r="2273" spans="1:13">
      <c r="A2273" s="45" t="s">
        <v>22</v>
      </c>
      <c r="B2273" s="52" t="s">
        <v>26</v>
      </c>
      <c r="C2273" s="46">
        <v>43406</v>
      </c>
      <c r="D2273" s="47" t="s">
        <v>17</v>
      </c>
      <c r="E2273" s="48">
        <v>0.35416666666666669</v>
      </c>
      <c r="F2273" s="48">
        <v>0.72916666666666663</v>
      </c>
      <c r="G2273" s="49">
        <v>0</v>
      </c>
      <c r="H2273" s="49">
        <v>7.9999999999999982</v>
      </c>
      <c r="I2273" s="49">
        <v>7.9999999999999982</v>
      </c>
      <c r="J2273" s="53" t="s">
        <v>30</v>
      </c>
      <c r="K2273" s="51" t="s">
        <v>712</v>
      </c>
      <c r="L2273" s="102" t="s">
        <v>281</v>
      </c>
      <c r="M2273" s="19" t="str">
        <f t="shared" si="55"/>
        <v>Nov_2018</v>
      </c>
    </row>
    <row r="2274" spans="1:13">
      <c r="A2274" s="45" t="s">
        <v>22</v>
      </c>
      <c r="B2274" s="52" t="s">
        <v>478</v>
      </c>
      <c r="C2274" s="46">
        <v>43406</v>
      </c>
      <c r="D2274" s="47" t="s">
        <v>17</v>
      </c>
      <c r="E2274" s="48">
        <v>0.35416666666666669</v>
      </c>
      <c r="F2274" s="48">
        <v>0.625</v>
      </c>
      <c r="G2274" s="49">
        <v>0</v>
      </c>
      <c r="H2274" s="49">
        <v>5.5</v>
      </c>
      <c r="I2274" s="49">
        <v>5.5</v>
      </c>
      <c r="J2274" s="53" t="s">
        <v>30</v>
      </c>
      <c r="K2274" s="51" t="s">
        <v>712</v>
      </c>
      <c r="L2274" s="102" t="s">
        <v>281</v>
      </c>
      <c r="M2274" s="19" t="str">
        <f t="shared" si="55"/>
        <v>Nov_2018</v>
      </c>
    </row>
    <row r="2275" spans="1:13">
      <c r="A2275" s="45" t="s">
        <v>22</v>
      </c>
      <c r="B2275" s="52" t="s">
        <v>662</v>
      </c>
      <c r="C2275" s="46">
        <v>43409</v>
      </c>
      <c r="D2275" s="47" t="s">
        <v>16</v>
      </c>
      <c r="E2275" s="48">
        <v>0.35416666666666669</v>
      </c>
      <c r="F2275" s="48">
        <v>0.72916666666666663</v>
      </c>
      <c r="G2275" s="49">
        <v>0</v>
      </c>
      <c r="H2275" s="49">
        <v>7.9999999999999982</v>
      </c>
      <c r="I2275" s="49">
        <v>7.9999999999999982</v>
      </c>
      <c r="J2275" s="53" t="s">
        <v>30</v>
      </c>
      <c r="K2275" s="51" t="s">
        <v>713</v>
      </c>
      <c r="L2275" s="102" t="s">
        <v>281</v>
      </c>
      <c r="M2275" s="19" t="str">
        <f t="shared" si="55"/>
        <v>Nov_2018</v>
      </c>
    </row>
    <row r="2276" spans="1:13">
      <c r="A2276" s="45" t="s">
        <v>22</v>
      </c>
      <c r="B2276" s="52" t="s">
        <v>662</v>
      </c>
      <c r="C2276" s="46">
        <v>43410</v>
      </c>
      <c r="D2276" s="47" t="s">
        <v>14</v>
      </c>
      <c r="E2276" s="48">
        <v>0.35416666666666669</v>
      </c>
      <c r="F2276" s="48">
        <v>0.72916666666666663</v>
      </c>
      <c r="G2276" s="49">
        <v>0</v>
      </c>
      <c r="H2276" s="49">
        <v>7.9999999999999982</v>
      </c>
      <c r="I2276" s="49">
        <v>7.9999999999999982</v>
      </c>
      <c r="J2276" s="53" t="s">
        <v>30</v>
      </c>
      <c r="K2276" s="51" t="s">
        <v>714</v>
      </c>
      <c r="L2276" s="102" t="s">
        <v>281</v>
      </c>
      <c r="M2276" s="19" t="str">
        <f t="shared" si="55"/>
        <v>Nov_2018</v>
      </c>
    </row>
    <row r="2277" spans="1:13">
      <c r="A2277" s="45" t="s">
        <v>22</v>
      </c>
      <c r="B2277" s="52" t="s">
        <v>662</v>
      </c>
      <c r="C2277" s="46">
        <v>43411</v>
      </c>
      <c r="D2277" s="47" t="s">
        <v>15</v>
      </c>
      <c r="E2277" s="48">
        <v>0.35416666666666669</v>
      </c>
      <c r="F2277" s="48">
        <v>0.72916666666666663</v>
      </c>
      <c r="G2277" s="49">
        <v>0</v>
      </c>
      <c r="H2277" s="49">
        <v>7.9999999999999982</v>
      </c>
      <c r="I2277" s="49">
        <v>7.9999999999999982</v>
      </c>
      <c r="J2277" s="53" t="s">
        <v>30</v>
      </c>
      <c r="K2277" s="51" t="s">
        <v>715</v>
      </c>
      <c r="L2277" s="102" t="s">
        <v>281</v>
      </c>
      <c r="M2277" s="19" t="str">
        <f t="shared" si="55"/>
        <v>Nov_2018</v>
      </c>
    </row>
    <row r="2278" spans="1:13">
      <c r="A2278" s="45" t="s">
        <v>22</v>
      </c>
      <c r="B2278" s="52" t="s">
        <v>662</v>
      </c>
      <c r="C2278" s="46">
        <v>43412</v>
      </c>
      <c r="D2278" s="47" t="s">
        <v>25</v>
      </c>
      <c r="E2278" s="48">
        <v>0.35416666666666669</v>
      </c>
      <c r="F2278" s="48">
        <v>0.72916666666666663</v>
      </c>
      <c r="G2278" s="49">
        <v>0</v>
      </c>
      <c r="H2278" s="49">
        <v>7.9999999999999982</v>
      </c>
      <c r="I2278" s="49">
        <v>7.9999999999999982</v>
      </c>
      <c r="J2278" s="53" t="s">
        <v>30</v>
      </c>
      <c r="K2278" s="51" t="s">
        <v>716</v>
      </c>
      <c r="L2278" s="102" t="s">
        <v>281</v>
      </c>
      <c r="M2278" s="19" t="str">
        <f t="shared" si="55"/>
        <v>Nov_2018</v>
      </c>
    </row>
    <row r="2279" spans="1:13">
      <c r="A2279" s="45" t="s">
        <v>22</v>
      </c>
      <c r="B2279" s="52" t="s">
        <v>27</v>
      </c>
      <c r="C2279" s="46">
        <v>43412</v>
      </c>
      <c r="D2279" s="47" t="s">
        <v>25</v>
      </c>
      <c r="E2279" s="48">
        <v>0.35416666666666669</v>
      </c>
      <c r="F2279" s="48">
        <v>0.72916666666666663</v>
      </c>
      <c r="G2279" s="49">
        <v>0</v>
      </c>
      <c r="H2279" s="49">
        <v>7.9999999999999982</v>
      </c>
      <c r="I2279" s="49">
        <v>7.9999999999999982</v>
      </c>
      <c r="J2279" s="53" t="s">
        <v>30</v>
      </c>
      <c r="K2279" s="51" t="s">
        <v>716</v>
      </c>
      <c r="L2279" s="102" t="s">
        <v>281</v>
      </c>
      <c r="M2279" s="19" t="str">
        <f t="shared" si="55"/>
        <v>Nov_2018</v>
      </c>
    </row>
    <row r="2280" spans="1:13">
      <c r="A2280" s="45" t="s">
        <v>22</v>
      </c>
      <c r="B2280" s="52" t="s">
        <v>478</v>
      </c>
      <c r="C2280" s="46">
        <v>43412</v>
      </c>
      <c r="D2280" s="47" t="s">
        <v>25</v>
      </c>
      <c r="E2280" s="48">
        <v>0.35416666666666669</v>
      </c>
      <c r="F2280" s="48">
        <v>0.625</v>
      </c>
      <c r="G2280" s="49">
        <v>0</v>
      </c>
      <c r="H2280" s="49">
        <v>5.5</v>
      </c>
      <c r="I2280" s="49">
        <v>5.5</v>
      </c>
      <c r="J2280" s="53" t="s">
        <v>30</v>
      </c>
      <c r="K2280" s="51" t="s">
        <v>716</v>
      </c>
      <c r="L2280" s="102" t="s">
        <v>281</v>
      </c>
      <c r="M2280" s="19" t="str">
        <f t="shared" si="55"/>
        <v>Nov_2018</v>
      </c>
    </row>
    <row r="2281" spans="1:13">
      <c r="A2281" s="45" t="s">
        <v>22</v>
      </c>
      <c r="B2281" s="52" t="s">
        <v>662</v>
      </c>
      <c r="C2281" s="46">
        <v>43413</v>
      </c>
      <c r="D2281" s="47" t="s">
        <v>17</v>
      </c>
      <c r="E2281" s="48">
        <v>0.35416666666666669</v>
      </c>
      <c r="F2281" s="48">
        <v>0.72916666666666663</v>
      </c>
      <c r="G2281" s="49">
        <v>0</v>
      </c>
      <c r="H2281" s="49">
        <v>7.9999999999999982</v>
      </c>
      <c r="I2281" s="49">
        <v>7.9999999999999982</v>
      </c>
      <c r="J2281" s="53" t="s">
        <v>30</v>
      </c>
      <c r="K2281" s="51" t="s">
        <v>717</v>
      </c>
      <c r="L2281" s="102" t="s">
        <v>281</v>
      </c>
      <c r="M2281" s="19" t="str">
        <f t="shared" si="55"/>
        <v>Nov_2018</v>
      </c>
    </row>
    <row r="2282" spans="1:13">
      <c r="A2282" s="45" t="s">
        <v>22</v>
      </c>
      <c r="B2282" s="52" t="s">
        <v>662</v>
      </c>
      <c r="C2282" s="46">
        <v>43416</v>
      </c>
      <c r="D2282" s="47" t="s">
        <v>16</v>
      </c>
      <c r="E2282" s="48">
        <v>0.35416666666666669</v>
      </c>
      <c r="F2282" s="48">
        <v>0.72916666666666663</v>
      </c>
      <c r="G2282" s="49">
        <v>0</v>
      </c>
      <c r="H2282" s="49">
        <v>7.9999999999999982</v>
      </c>
      <c r="I2282" s="49">
        <v>7.9999999999999982</v>
      </c>
      <c r="J2282" s="53" t="s">
        <v>30</v>
      </c>
      <c r="K2282" s="51" t="s">
        <v>718</v>
      </c>
      <c r="L2282" s="102" t="s">
        <v>281</v>
      </c>
      <c r="M2282" s="19" t="str">
        <f t="shared" si="55"/>
        <v>Nov_2018</v>
      </c>
    </row>
    <row r="2283" spans="1:13">
      <c r="A2283" s="45" t="s">
        <v>22</v>
      </c>
      <c r="B2283" s="52" t="s">
        <v>662</v>
      </c>
      <c r="C2283" s="46">
        <v>43419</v>
      </c>
      <c r="D2283" s="47" t="s">
        <v>25</v>
      </c>
      <c r="E2283" s="48">
        <v>0.35416666666666669</v>
      </c>
      <c r="F2283" s="48">
        <v>0.72916666666666663</v>
      </c>
      <c r="G2283" s="49">
        <v>0</v>
      </c>
      <c r="H2283" s="49">
        <v>7.9999999999999982</v>
      </c>
      <c r="I2283" s="49">
        <v>7.9999999999999982</v>
      </c>
      <c r="J2283" s="53" t="s">
        <v>30</v>
      </c>
      <c r="K2283" s="51" t="s">
        <v>719</v>
      </c>
      <c r="L2283" s="102" t="s">
        <v>281</v>
      </c>
      <c r="M2283" s="19" t="str">
        <f t="shared" si="55"/>
        <v>Nov_2018</v>
      </c>
    </row>
    <row r="2284" spans="1:13">
      <c r="A2284" s="45" t="s">
        <v>22</v>
      </c>
      <c r="B2284" s="52" t="s">
        <v>662</v>
      </c>
      <c r="C2284" s="46">
        <v>43420</v>
      </c>
      <c r="D2284" s="47" t="s">
        <v>17</v>
      </c>
      <c r="E2284" s="48">
        <v>0.35416666666666669</v>
      </c>
      <c r="F2284" s="48">
        <v>0.72916666666666663</v>
      </c>
      <c r="G2284" s="49">
        <v>0</v>
      </c>
      <c r="H2284" s="49">
        <v>7.9999999999999982</v>
      </c>
      <c r="I2284" s="49">
        <v>7.9999999999999982</v>
      </c>
      <c r="J2284" s="53" t="s">
        <v>30</v>
      </c>
      <c r="K2284" s="51" t="s">
        <v>720</v>
      </c>
      <c r="L2284" s="102" t="s">
        <v>281</v>
      </c>
      <c r="M2284" s="19" t="str">
        <f t="shared" si="55"/>
        <v>Nov_2018</v>
      </c>
    </row>
    <row r="2285" spans="1:13">
      <c r="A2285" s="45" t="s">
        <v>22</v>
      </c>
      <c r="B2285" s="52" t="s">
        <v>662</v>
      </c>
      <c r="C2285" s="46">
        <v>43423</v>
      </c>
      <c r="D2285" s="47" t="s">
        <v>16</v>
      </c>
      <c r="E2285" s="48">
        <v>0.35416666666666669</v>
      </c>
      <c r="F2285" s="48">
        <v>0.72916666666666663</v>
      </c>
      <c r="G2285" s="49">
        <v>0</v>
      </c>
      <c r="H2285" s="49">
        <v>7.9999999999999982</v>
      </c>
      <c r="I2285" s="49">
        <v>7.9999999999999982</v>
      </c>
      <c r="J2285" s="53" t="s">
        <v>30</v>
      </c>
      <c r="K2285" s="51" t="s">
        <v>721</v>
      </c>
      <c r="L2285" s="102" t="s">
        <v>281</v>
      </c>
      <c r="M2285" s="19" t="str">
        <f t="shared" si="55"/>
        <v>Nov_2018</v>
      </c>
    </row>
    <row r="2286" spans="1:13">
      <c r="A2286" s="45" t="s">
        <v>22</v>
      </c>
      <c r="B2286" s="52" t="s">
        <v>78</v>
      </c>
      <c r="C2286" s="46">
        <v>43424</v>
      </c>
      <c r="D2286" s="47" t="s">
        <v>14</v>
      </c>
      <c r="E2286" s="48">
        <v>0.35416666666666669</v>
      </c>
      <c r="F2286" s="48">
        <v>0.72916666666666663</v>
      </c>
      <c r="G2286" s="49">
        <v>0</v>
      </c>
      <c r="H2286" s="49">
        <v>7.9999999999999982</v>
      </c>
      <c r="I2286" s="49">
        <v>7.9999999999999982</v>
      </c>
      <c r="J2286" s="53" t="s">
        <v>30</v>
      </c>
      <c r="K2286" s="51" t="s">
        <v>722</v>
      </c>
      <c r="L2286" s="102" t="s">
        <v>281</v>
      </c>
      <c r="M2286" s="19" t="str">
        <f t="shared" si="55"/>
        <v>Nov_2018</v>
      </c>
    </row>
    <row r="2287" spans="1:13">
      <c r="A2287" s="45" t="s">
        <v>22</v>
      </c>
      <c r="B2287" s="52" t="s">
        <v>27</v>
      </c>
      <c r="C2287" s="46">
        <v>43425</v>
      </c>
      <c r="D2287" s="47" t="s">
        <v>15</v>
      </c>
      <c r="E2287" s="48">
        <v>0.35416666666666669</v>
      </c>
      <c r="F2287" s="48">
        <v>0.72916666666666663</v>
      </c>
      <c r="G2287" s="49">
        <v>0</v>
      </c>
      <c r="H2287" s="49">
        <v>7.9999999999999982</v>
      </c>
      <c r="I2287" s="49">
        <v>7.9999999999999982</v>
      </c>
      <c r="J2287" s="53" t="s">
        <v>30</v>
      </c>
      <c r="K2287" s="51" t="s">
        <v>723</v>
      </c>
      <c r="L2287" s="102" t="s">
        <v>281</v>
      </c>
      <c r="M2287" s="19" t="str">
        <f t="shared" si="55"/>
        <v>Nov_2018</v>
      </c>
    </row>
    <row r="2288" spans="1:13">
      <c r="A2288" s="45" t="s">
        <v>22</v>
      </c>
      <c r="B2288" s="52" t="s">
        <v>662</v>
      </c>
      <c r="C2288" s="46">
        <v>43426</v>
      </c>
      <c r="D2288" s="47" t="s">
        <v>25</v>
      </c>
      <c r="E2288" s="48">
        <v>0.35416666666666669</v>
      </c>
      <c r="F2288" s="48">
        <v>0.72916666666666663</v>
      </c>
      <c r="G2288" s="49">
        <v>0</v>
      </c>
      <c r="H2288" s="49">
        <v>7.9999999999999982</v>
      </c>
      <c r="I2288" s="49">
        <v>7.9999999999999982</v>
      </c>
      <c r="J2288" s="53" t="s">
        <v>30</v>
      </c>
      <c r="K2288" s="51" t="s">
        <v>724</v>
      </c>
      <c r="L2288" s="102" t="s">
        <v>281</v>
      </c>
      <c r="M2288" s="19" t="str">
        <f t="shared" si="55"/>
        <v>Nov_2018</v>
      </c>
    </row>
    <row r="2289" spans="1:13">
      <c r="A2289" s="45" t="s">
        <v>22</v>
      </c>
      <c r="B2289" s="52" t="s">
        <v>662</v>
      </c>
      <c r="C2289" s="46">
        <v>43427</v>
      </c>
      <c r="D2289" s="47" t="s">
        <v>17</v>
      </c>
      <c r="E2289" s="48">
        <v>0.35416666666666669</v>
      </c>
      <c r="F2289" s="48">
        <v>0.72916666666666663</v>
      </c>
      <c r="G2289" s="49">
        <v>0</v>
      </c>
      <c r="H2289" s="49">
        <v>7.9999999999999982</v>
      </c>
      <c r="I2289" s="49">
        <v>7.9999999999999982</v>
      </c>
      <c r="J2289" s="53" t="s">
        <v>30</v>
      </c>
      <c r="K2289" s="51" t="s">
        <v>725</v>
      </c>
      <c r="L2289" s="102" t="s">
        <v>281</v>
      </c>
      <c r="M2289" s="19" t="str">
        <f t="shared" si="55"/>
        <v>Nov_2018</v>
      </c>
    </row>
    <row r="2290" spans="1:13">
      <c r="A2290" s="45" t="s">
        <v>22</v>
      </c>
      <c r="B2290" s="52" t="s">
        <v>662</v>
      </c>
      <c r="C2290" s="46">
        <v>43430</v>
      </c>
      <c r="D2290" s="47" t="s">
        <v>16</v>
      </c>
      <c r="E2290" s="48">
        <v>0.35416666666666669</v>
      </c>
      <c r="F2290" s="48">
        <v>0.72916666666666663</v>
      </c>
      <c r="G2290" s="49">
        <v>0</v>
      </c>
      <c r="H2290" s="49">
        <v>7.9999999999999982</v>
      </c>
      <c r="I2290" s="49">
        <v>7.9999999999999982</v>
      </c>
      <c r="J2290" s="53" t="s">
        <v>30</v>
      </c>
      <c r="K2290" s="51" t="s">
        <v>726</v>
      </c>
      <c r="L2290" s="102" t="s">
        <v>281</v>
      </c>
      <c r="M2290" s="19" t="str">
        <f t="shared" si="55"/>
        <v>Nov_2018</v>
      </c>
    </row>
    <row r="2291" spans="1:13">
      <c r="A2291" s="45" t="s">
        <v>22</v>
      </c>
      <c r="B2291" s="52" t="s">
        <v>679</v>
      </c>
      <c r="C2291" s="46">
        <v>43430</v>
      </c>
      <c r="D2291" s="47" t="s">
        <v>16</v>
      </c>
      <c r="E2291" s="48">
        <v>0.35416666666666669</v>
      </c>
      <c r="F2291" s="48">
        <v>0.72916666666666663</v>
      </c>
      <c r="G2291" s="49">
        <v>0</v>
      </c>
      <c r="H2291" s="49">
        <v>7.9999999999999982</v>
      </c>
      <c r="I2291" s="49">
        <v>7.9999999999999982</v>
      </c>
      <c r="J2291" s="53" t="s">
        <v>30</v>
      </c>
      <c r="K2291" s="51" t="s">
        <v>726</v>
      </c>
      <c r="L2291" s="102" t="s">
        <v>281</v>
      </c>
      <c r="M2291" s="19" t="str">
        <f t="shared" si="55"/>
        <v>Nov_2018</v>
      </c>
    </row>
    <row r="2292" spans="1:13">
      <c r="A2292" s="45" t="s">
        <v>22</v>
      </c>
      <c r="B2292" s="52" t="s">
        <v>662</v>
      </c>
      <c r="C2292" s="46">
        <v>43431</v>
      </c>
      <c r="D2292" s="47" t="s">
        <v>14</v>
      </c>
      <c r="E2292" s="48">
        <v>0.35416666666666669</v>
      </c>
      <c r="F2292" s="48">
        <v>0.72916666666666663</v>
      </c>
      <c r="G2292" s="49">
        <v>0</v>
      </c>
      <c r="H2292" s="49">
        <v>7.9999999999999982</v>
      </c>
      <c r="I2292" s="49">
        <v>7.9999999999999982</v>
      </c>
      <c r="J2292" s="53" t="s">
        <v>30</v>
      </c>
      <c r="K2292" s="51" t="s">
        <v>727</v>
      </c>
      <c r="L2292" s="102" t="s">
        <v>281</v>
      </c>
      <c r="M2292" s="19" t="str">
        <f t="shared" si="55"/>
        <v>Nov_2018</v>
      </c>
    </row>
    <row r="2293" spans="1:13">
      <c r="A2293" s="45" t="s">
        <v>22</v>
      </c>
      <c r="B2293" s="52" t="s">
        <v>662</v>
      </c>
      <c r="C2293" s="46">
        <v>43432</v>
      </c>
      <c r="D2293" s="47" t="s">
        <v>15</v>
      </c>
      <c r="E2293" s="48">
        <v>0.35416666666666669</v>
      </c>
      <c r="F2293" s="48">
        <v>0.72916666666666663</v>
      </c>
      <c r="G2293" s="49">
        <v>0</v>
      </c>
      <c r="H2293" s="49">
        <v>7.9999999999999982</v>
      </c>
      <c r="I2293" s="49">
        <v>7.9999999999999982</v>
      </c>
      <c r="J2293" s="53" t="s">
        <v>30</v>
      </c>
      <c r="K2293" s="51" t="s">
        <v>728</v>
      </c>
      <c r="L2293" s="102" t="s">
        <v>281</v>
      </c>
      <c r="M2293" s="19" t="str">
        <f t="shared" si="55"/>
        <v>Nov_2018</v>
      </c>
    </row>
    <row r="2294" spans="1:13">
      <c r="A2294" s="45" t="s">
        <v>22</v>
      </c>
      <c r="B2294" s="52" t="s">
        <v>662</v>
      </c>
      <c r="C2294" s="46">
        <v>43433</v>
      </c>
      <c r="D2294" s="47" t="s">
        <v>25</v>
      </c>
      <c r="E2294" s="48">
        <v>0.35416666666666669</v>
      </c>
      <c r="F2294" s="48">
        <v>0.72916666666666663</v>
      </c>
      <c r="G2294" s="49">
        <v>0</v>
      </c>
      <c r="H2294" s="49">
        <v>7.9999999999999982</v>
      </c>
      <c r="I2294" s="49">
        <v>7.9999999999999982</v>
      </c>
      <c r="J2294" s="53" t="s">
        <v>30</v>
      </c>
      <c r="K2294" s="51" t="s">
        <v>729</v>
      </c>
      <c r="L2294" s="102" t="s">
        <v>281</v>
      </c>
      <c r="M2294" s="19" t="str">
        <f t="shared" si="55"/>
        <v>Nov_2018</v>
      </c>
    </row>
    <row r="2295" spans="1:13">
      <c r="A2295" s="45" t="s">
        <v>22</v>
      </c>
      <c r="B2295" s="52" t="s">
        <v>662</v>
      </c>
      <c r="C2295" s="46">
        <v>43434</v>
      </c>
      <c r="D2295" s="47" t="s">
        <v>17</v>
      </c>
      <c r="E2295" s="48">
        <v>0.35416666666666669</v>
      </c>
      <c r="F2295" s="48">
        <v>0.72916666666666663</v>
      </c>
      <c r="G2295" s="49">
        <v>0</v>
      </c>
      <c r="H2295" s="49">
        <v>7.9999999999999982</v>
      </c>
      <c r="I2295" s="49">
        <v>7.9999999999999982</v>
      </c>
      <c r="J2295" s="53" t="s">
        <v>30</v>
      </c>
      <c r="K2295" s="51" t="s">
        <v>730</v>
      </c>
      <c r="L2295" s="102" t="s">
        <v>281</v>
      </c>
      <c r="M2295" s="19" t="str">
        <f t="shared" si="55"/>
        <v>Nov_2018</v>
      </c>
    </row>
    <row r="2296" spans="1:13">
      <c r="A2296" s="45" t="s">
        <v>22</v>
      </c>
      <c r="B2296" s="52" t="s">
        <v>662</v>
      </c>
      <c r="C2296" s="46">
        <v>43437</v>
      </c>
      <c r="D2296" s="47" t="s">
        <v>16</v>
      </c>
      <c r="E2296" s="48">
        <v>0.35416666666666669</v>
      </c>
      <c r="F2296" s="48">
        <v>0.72916666666666663</v>
      </c>
      <c r="G2296" s="49">
        <v>0</v>
      </c>
      <c r="H2296" s="49">
        <v>7.9999999999999982</v>
      </c>
      <c r="I2296" s="49">
        <v>7.9999999999999982</v>
      </c>
      <c r="J2296" s="53" t="s">
        <v>30</v>
      </c>
      <c r="K2296" s="51" t="s">
        <v>731</v>
      </c>
      <c r="L2296" s="102" t="s">
        <v>281</v>
      </c>
      <c r="M2296" s="19" t="str">
        <f>IF($C2296="","",TEXT(DATE(YEAR($C2296),MONTH($C2296),DAY($C2296)),"MMM")&amp;"_"&amp;YEAR($C2296))</f>
        <v>Dec_2018</v>
      </c>
    </row>
    <row r="2297" spans="1:13">
      <c r="A2297" s="45" t="s">
        <v>22</v>
      </c>
      <c r="B2297" s="52" t="s">
        <v>478</v>
      </c>
      <c r="C2297" s="46">
        <v>43437</v>
      </c>
      <c r="D2297" s="47" t="s">
        <v>16</v>
      </c>
      <c r="E2297" s="48">
        <v>0.35416666666666669</v>
      </c>
      <c r="F2297" s="48">
        <v>0.72916666666666663</v>
      </c>
      <c r="G2297" s="49">
        <v>0</v>
      </c>
      <c r="H2297" s="49">
        <v>7.9999999999999982</v>
      </c>
      <c r="I2297" s="49">
        <v>7.9999999999999982</v>
      </c>
      <c r="J2297" s="53" t="s">
        <v>30</v>
      </c>
      <c r="K2297" s="51" t="s">
        <v>731</v>
      </c>
      <c r="L2297" s="102" t="s">
        <v>281</v>
      </c>
      <c r="M2297" s="19" t="str">
        <f t="shared" ref="M2297:M2330" si="56">IF($C2297="","",TEXT(DATE(YEAR($C2297),MONTH($C2297),DAY($C2297)),"MMM")&amp;"_"&amp;YEAR($C2297))</f>
        <v>Dec_2018</v>
      </c>
    </row>
    <row r="2298" spans="1:13">
      <c r="A2298" s="45" t="s">
        <v>22</v>
      </c>
      <c r="B2298" s="52" t="s">
        <v>662</v>
      </c>
      <c r="C2298" s="46">
        <v>43438</v>
      </c>
      <c r="D2298" s="47" t="s">
        <v>14</v>
      </c>
      <c r="E2298" s="48">
        <v>0.35416666666666669</v>
      </c>
      <c r="F2298" s="48">
        <v>0.72916666666666663</v>
      </c>
      <c r="G2298" s="49">
        <v>0</v>
      </c>
      <c r="H2298" s="49">
        <v>7.9999999999999982</v>
      </c>
      <c r="I2298" s="49">
        <v>7.9999999999999982</v>
      </c>
      <c r="J2298" s="53" t="s">
        <v>30</v>
      </c>
      <c r="K2298" s="51" t="s">
        <v>732</v>
      </c>
      <c r="L2298" s="102" t="s">
        <v>281</v>
      </c>
      <c r="M2298" s="19" t="str">
        <f t="shared" si="56"/>
        <v>Dec_2018</v>
      </c>
    </row>
    <row r="2299" spans="1:13">
      <c r="A2299" s="45" t="s">
        <v>22</v>
      </c>
      <c r="B2299" s="52" t="s">
        <v>662</v>
      </c>
      <c r="C2299" s="46">
        <v>43439</v>
      </c>
      <c r="D2299" s="47" t="s">
        <v>15</v>
      </c>
      <c r="E2299" s="48">
        <v>0.35416666666666669</v>
      </c>
      <c r="F2299" s="48">
        <v>0.72916666666666663</v>
      </c>
      <c r="G2299" s="49">
        <v>0</v>
      </c>
      <c r="H2299" s="49">
        <v>7.9999999999999982</v>
      </c>
      <c r="I2299" s="49">
        <v>7.9999999999999982</v>
      </c>
      <c r="J2299" s="53" t="s">
        <v>30</v>
      </c>
      <c r="K2299" s="51" t="s">
        <v>733</v>
      </c>
      <c r="L2299" s="102" t="s">
        <v>281</v>
      </c>
      <c r="M2299" s="19" t="str">
        <f t="shared" si="56"/>
        <v>Dec_2018</v>
      </c>
    </row>
    <row r="2300" spans="1:13">
      <c r="A2300" s="45" t="s">
        <v>22</v>
      </c>
      <c r="B2300" s="52" t="s">
        <v>662</v>
      </c>
      <c r="C2300" s="46">
        <v>43440</v>
      </c>
      <c r="D2300" s="47" t="s">
        <v>25</v>
      </c>
      <c r="E2300" s="48">
        <v>0.35416666666666669</v>
      </c>
      <c r="F2300" s="48">
        <v>0.72916666666666663</v>
      </c>
      <c r="G2300" s="49">
        <v>0</v>
      </c>
      <c r="H2300" s="49">
        <v>7.9999999999999982</v>
      </c>
      <c r="I2300" s="49">
        <v>7.9999999999999982</v>
      </c>
      <c r="J2300" s="53" t="s">
        <v>30</v>
      </c>
      <c r="K2300" s="51" t="s">
        <v>734</v>
      </c>
      <c r="L2300" s="102" t="s">
        <v>281</v>
      </c>
      <c r="M2300" s="19" t="str">
        <f t="shared" si="56"/>
        <v>Dec_2018</v>
      </c>
    </row>
    <row r="2301" spans="1:13">
      <c r="A2301" s="45" t="s">
        <v>22</v>
      </c>
      <c r="B2301" s="52" t="s">
        <v>662</v>
      </c>
      <c r="C2301" s="46">
        <v>43441</v>
      </c>
      <c r="D2301" s="47" t="s">
        <v>17</v>
      </c>
      <c r="E2301" s="48">
        <v>0.35416666666666669</v>
      </c>
      <c r="F2301" s="48">
        <v>0.72916666666666663</v>
      </c>
      <c r="G2301" s="49">
        <v>0</v>
      </c>
      <c r="H2301" s="49">
        <v>7.9999999999999982</v>
      </c>
      <c r="I2301" s="49">
        <v>7.9999999999999982</v>
      </c>
      <c r="J2301" s="53" t="s">
        <v>30</v>
      </c>
      <c r="K2301" s="51" t="s">
        <v>735</v>
      </c>
      <c r="L2301" s="102" t="s">
        <v>281</v>
      </c>
      <c r="M2301" s="19" t="str">
        <f t="shared" si="56"/>
        <v>Dec_2018</v>
      </c>
    </row>
    <row r="2302" spans="1:13">
      <c r="A2302" s="45" t="s">
        <v>22</v>
      </c>
      <c r="B2302" s="52" t="s">
        <v>662</v>
      </c>
      <c r="C2302" s="46">
        <v>43444</v>
      </c>
      <c r="D2302" s="47" t="s">
        <v>16</v>
      </c>
      <c r="E2302" s="48">
        <v>0.35416666666666669</v>
      </c>
      <c r="F2302" s="48">
        <v>0.72916666666666663</v>
      </c>
      <c r="G2302" s="49">
        <v>0</v>
      </c>
      <c r="H2302" s="49">
        <v>7.9999999999999982</v>
      </c>
      <c r="I2302" s="49">
        <v>7.9999999999999982</v>
      </c>
      <c r="J2302" s="53" t="s">
        <v>30</v>
      </c>
      <c r="K2302" s="51" t="s">
        <v>736</v>
      </c>
      <c r="L2302" s="102" t="s">
        <v>281</v>
      </c>
      <c r="M2302" s="19" t="str">
        <f t="shared" si="56"/>
        <v>Dec_2018</v>
      </c>
    </row>
    <row r="2303" spans="1:13">
      <c r="A2303" s="45" t="s">
        <v>22</v>
      </c>
      <c r="B2303" s="52" t="s">
        <v>27</v>
      </c>
      <c r="C2303" s="46">
        <v>43444</v>
      </c>
      <c r="D2303" s="47" t="s">
        <v>16</v>
      </c>
      <c r="E2303" s="48">
        <v>0.35416666666666669</v>
      </c>
      <c r="F2303" s="48">
        <v>0.72916666666666663</v>
      </c>
      <c r="G2303" s="49">
        <v>0</v>
      </c>
      <c r="H2303" s="49">
        <v>7.9999999999999982</v>
      </c>
      <c r="I2303" s="49">
        <v>7.9999999999999982</v>
      </c>
      <c r="J2303" s="53" t="s">
        <v>30</v>
      </c>
      <c r="K2303" s="51" t="s">
        <v>736</v>
      </c>
      <c r="L2303" s="102" t="s">
        <v>281</v>
      </c>
      <c r="M2303" s="19" t="str">
        <f t="shared" si="56"/>
        <v>Dec_2018</v>
      </c>
    </row>
    <row r="2304" spans="1:13">
      <c r="A2304" s="45" t="s">
        <v>22</v>
      </c>
      <c r="B2304" s="52" t="s">
        <v>662</v>
      </c>
      <c r="C2304" s="46">
        <v>43445</v>
      </c>
      <c r="D2304" s="47" t="s">
        <v>14</v>
      </c>
      <c r="E2304" s="48">
        <v>0.35416666666666669</v>
      </c>
      <c r="F2304" s="48">
        <v>0.72916666666666663</v>
      </c>
      <c r="G2304" s="49">
        <v>0</v>
      </c>
      <c r="H2304" s="49">
        <v>7.9999999999999982</v>
      </c>
      <c r="I2304" s="49">
        <v>7.9999999999999982</v>
      </c>
      <c r="J2304" s="53" t="s">
        <v>30</v>
      </c>
      <c r="K2304" s="51" t="s">
        <v>737</v>
      </c>
      <c r="L2304" s="102" t="s">
        <v>281</v>
      </c>
      <c r="M2304" s="19" t="str">
        <f t="shared" si="56"/>
        <v>Dec_2018</v>
      </c>
    </row>
    <row r="2305" spans="1:13">
      <c r="A2305" s="45" t="s">
        <v>22</v>
      </c>
      <c r="B2305" s="52" t="s">
        <v>27</v>
      </c>
      <c r="C2305" s="46">
        <v>43445</v>
      </c>
      <c r="D2305" s="47" t="s">
        <v>14</v>
      </c>
      <c r="E2305" s="48">
        <v>0.35416666666666669</v>
      </c>
      <c r="F2305" s="48">
        <v>0.72916666666666663</v>
      </c>
      <c r="G2305" s="49">
        <v>0</v>
      </c>
      <c r="H2305" s="49">
        <v>7.9999999999999982</v>
      </c>
      <c r="I2305" s="49">
        <v>7.9999999999999982</v>
      </c>
      <c r="J2305" s="53" t="s">
        <v>30</v>
      </c>
      <c r="K2305" s="51" t="s">
        <v>737</v>
      </c>
      <c r="L2305" s="102" t="s">
        <v>281</v>
      </c>
      <c r="M2305" s="19" t="str">
        <f t="shared" si="56"/>
        <v>Dec_2018</v>
      </c>
    </row>
    <row r="2306" spans="1:13">
      <c r="A2306" s="45" t="s">
        <v>22</v>
      </c>
      <c r="B2306" s="52" t="s">
        <v>662</v>
      </c>
      <c r="C2306" s="46">
        <v>43446</v>
      </c>
      <c r="D2306" s="47" t="s">
        <v>15</v>
      </c>
      <c r="E2306" s="48">
        <v>0.35416666666666669</v>
      </c>
      <c r="F2306" s="48">
        <v>0.72916666666666663</v>
      </c>
      <c r="G2306" s="49">
        <v>0</v>
      </c>
      <c r="H2306" s="49">
        <v>7.9999999999999982</v>
      </c>
      <c r="I2306" s="49">
        <v>7.9999999999999982</v>
      </c>
      <c r="J2306" s="53" t="s">
        <v>30</v>
      </c>
      <c r="K2306" s="51" t="s">
        <v>738</v>
      </c>
      <c r="L2306" s="102" t="s">
        <v>281</v>
      </c>
      <c r="M2306" s="19" t="str">
        <f t="shared" si="56"/>
        <v>Dec_2018</v>
      </c>
    </row>
    <row r="2307" spans="1:13">
      <c r="A2307" s="45" t="s">
        <v>22</v>
      </c>
      <c r="B2307" s="52" t="s">
        <v>662</v>
      </c>
      <c r="C2307" s="46">
        <v>43447</v>
      </c>
      <c r="D2307" s="47" t="s">
        <v>25</v>
      </c>
      <c r="E2307" s="48">
        <v>0.35416666666666669</v>
      </c>
      <c r="F2307" s="48">
        <v>0.72916666666666663</v>
      </c>
      <c r="G2307" s="49">
        <v>0</v>
      </c>
      <c r="H2307" s="49">
        <v>7.9999999999999982</v>
      </c>
      <c r="I2307" s="49">
        <v>7.9999999999999982</v>
      </c>
      <c r="J2307" s="53" t="s">
        <v>30</v>
      </c>
      <c r="K2307" s="51" t="s">
        <v>739</v>
      </c>
      <c r="L2307" s="102" t="s">
        <v>281</v>
      </c>
      <c r="M2307" s="19" t="str">
        <f t="shared" si="56"/>
        <v>Dec_2018</v>
      </c>
    </row>
    <row r="2308" spans="1:13">
      <c r="A2308" s="45" t="s">
        <v>22</v>
      </c>
      <c r="B2308" s="52" t="s">
        <v>662</v>
      </c>
      <c r="C2308" s="46">
        <v>43448</v>
      </c>
      <c r="D2308" s="47" t="s">
        <v>17</v>
      </c>
      <c r="E2308" s="48">
        <v>0.35416666666666669</v>
      </c>
      <c r="F2308" s="48">
        <v>0.72916666666666663</v>
      </c>
      <c r="G2308" s="49">
        <v>0</v>
      </c>
      <c r="H2308" s="49">
        <v>7.9999999999999982</v>
      </c>
      <c r="I2308" s="49">
        <v>7.9999999999999982</v>
      </c>
      <c r="J2308" s="53" t="s">
        <v>30</v>
      </c>
      <c r="K2308" s="51" t="s">
        <v>740</v>
      </c>
      <c r="L2308" s="102" t="s">
        <v>281</v>
      </c>
      <c r="M2308" s="19" t="str">
        <f t="shared" si="56"/>
        <v>Dec_2018</v>
      </c>
    </row>
    <row r="2309" spans="1:13">
      <c r="A2309" s="45" t="s">
        <v>22</v>
      </c>
      <c r="B2309" s="52" t="s">
        <v>710</v>
      </c>
      <c r="C2309" s="46">
        <v>43448</v>
      </c>
      <c r="D2309" s="47" t="s">
        <v>17</v>
      </c>
      <c r="E2309" s="48">
        <v>0.35416666666666669</v>
      </c>
      <c r="F2309" s="48">
        <v>0.625</v>
      </c>
      <c r="G2309" s="49">
        <v>0</v>
      </c>
      <c r="H2309" s="49">
        <v>5.5</v>
      </c>
      <c r="I2309" s="49">
        <v>5.5</v>
      </c>
      <c r="J2309" s="53" t="s">
        <v>30</v>
      </c>
      <c r="K2309" s="51" t="s">
        <v>740</v>
      </c>
      <c r="L2309" s="102" t="s">
        <v>281</v>
      </c>
      <c r="M2309" s="19" t="str">
        <f t="shared" si="56"/>
        <v>Dec_2018</v>
      </c>
    </row>
    <row r="2310" spans="1:13">
      <c r="A2310" s="45" t="s">
        <v>22</v>
      </c>
      <c r="B2310" s="52" t="s">
        <v>27</v>
      </c>
      <c r="C2310" s="46">
        <v>43451</v>
      </c>
      <c r="D2310" s="47" t="s">
        <v>16</v>
      </c>
      <c r="E2310" s="48">
        <v>0.35416666666666669</v>
      </c>
      <c r="F2310" s="48">
        <v>0.72916666666666663</v>
      </c>
      <c r="G2310" s="49">
        <v>0</v>
      </c>
      <c r="H2310" s="49">
        <v>7.9999999999999982</v>
      </c>
      <c r="I2310" s="49">
        <v>7.9999999999999982</v>
      </c>
      <c r="J2310" s="53" t="s">
        <v>30</v>
      </c>
      <c r="K2310" s="51" t="s">
        <v>741</v>
      </c>
      <c r="L2310" s="102" t="s">
        <v>281</v>
      </c>
      <c r="M2310" s="19" t="str">
        <f t="shared" si="56"/>
        <v>Dec_2018</v>
      </c>
    </row>
    <row r="2311" spans="1:13">
      <c r="A2311" s="45" t="s">
        <v>22</v>
      </c>
      <c r="B2311" s="52" t="s">
        <v>710</v>
      </c>
      <c r="C2311" s="46">
        <v>43451</v>
      </c>
      <c r="D2311" s="47" t="s">
        <v>16</v>
      </c>
      <c r="E2311" s="48">
        <v>0.35416666666666669</v>
      </c>
      <c r="F2311" s="48">
        <v>0.72916666666666663</v>
      </c>
      <c r="G2311" s="49">
        <v>0</v>
      </c>
      <c r="H2311" s="49">
        <v>7.9999999999999982</v>
      </c>
      <c r="I2311" s="49">
        <v>7.9999999999999982</v>
      </c>
      <c r="J2311" s="53" t="s">
        <v>30</v>
      </c>
      <c r="K2311" s="51" t="s">
        <v>741</v>
      </c>
      <c r="L2311" s="102" t="s">
        <v>281</v>
      </c>
      <c r="M2311" s="19" t="str">
        <f t="shared" si="56"/>
        <v>Dec_2018</v>
      </c>
    </row>
    <row r="2312" spans="1:13">
      <c r="A2312" s="45" t="s">
        <v>22</v>
      </c>
      <c r="B2312" s="52" t="s">
        <v>679</v>
      </c>
      <c r="C2312" s="46">
        <v>43452</v>
      </c>
      <c r="D2312" s="47" t="s">
        <v>14</v>
      </c>
      <c r="E2312" s="48">
        <v>0.41666666666666669</v>
      </c>
      <c r="F2312" s="48">
        <v>0.72916666666666663</v>
      </c>
      <c r="G2312" s="49">
        <v>0</v>
      </c>
      <c r="H2312" s="49">
        <v>6.4999999999999982</v>
      </c>
      <c r="I2312" s="49">
        <v>6.4999999999999982</v>
      </c>
      <c r="J2312" s="53" t="s">
        <v>30</v>
      </c>
      <c r="K2312" s="51" t="s">
        <v>742</v>
      </c>
      <c r="L2312" s="102" t="s">
        <v>281</v>
      </c>
      <c r="M2312" s="19" t="str">
        <f t="shared" si="56"/>
        <v>Dec_2018</v>
      </c>
    </row>
    <row r="2313" spans="1:13">
      <c r="A2313" s="45" t="s">
        <v>22</v>
      </c>
      <c r="B2313" s="52" t="s">
        <v>27</v>
      </c>
      <c r="C2313" s="46">
        <v>43452</v>
      </c>
      <c r="D2313" s="47" t="s">
        <v>14</v>
      </c>
      <c r="E2313" s="48">
        <v>0.35416666666666669</v>
      </c>
      <c r="F2313" s="48">
        <v>0.72916666666666663</v>
      </c>
      <c r="G2313" s="49">
        <v>0</v>
      </c>
      <c r="H2313" s="49">
        <v>7.9999999999999982</v>
      </c>
      <c r="I2313" s="49">
        <v>7.9999999999999982</v>
      </c>
      <c r="J2313" s="53" t="s">
        <v>30</v>
      </c>
      <c r="K2313" s="51" t="s">
        <v>742</v>
      </c>
      <c r="L2313" s="102" t="s">
        <v>281</v>
      </c>
      <c r="M2313" s="19" t="str">
        <f t="shared" si="56"/>
        <v>Dec_2018</v>
      </c>
    </row>
    <row r="2314" spans="1:13">
      <c r="A2314" s="45" t="s">
        <v>22</v>
      </c>
      <c r="B2314" s="52" t="s">
        <v>710</v>
      </c>
      <c r="C2314" s="46">
        <v>43452</v>
      </c>
      <c r="D2314" s="47" t="s">
        <v>14</v>
      </c>
      <c r="E2314" s="48">
        <v>0.35416666666666669</v>
      </c>
      <c r="F2314" s="48">
        <v>0.72916666666666663</v>
      </c>
      <c r="G2314" s="49">
        <v>0</v>
      </c>
      <c r="H2314" s="49">
        <v>7.9999999999999982</v>
      </c>
      <c r="I2314" s="49">
        <v>7.9999999999999982</v>
      </c>
      <c r="J2314" s="53" t="s">
        <v>30</v>
      </c>
      <c r="K2314" s="51" t="s">
        <v>742</v>
      </c>
      <c r="L2314" s="102" t="s">
        <v>281</v>
      </c>
      <c r="M2314" s="19" t="str">
        <f t="shared" si="56"/>
        <v>Dec_2018</v>
      </c>
    </row>
    <row r="2315" spans="1:13">
      <c r="A2315" s="45" t="s">
        <v>22</v>
      </c>
      <c r="B2315" s="52" t="s">
        <v>662</v>
      </c>
      <c r="C2315" s="46">
        <v>43453</v>
      </c>
      <c r="D2315" s="47" t="s">
        <v>15</v>
      </c>
      <c r="E2315" s="48">
        <v>0.35416666666666669</v>
      </c>
      <c r="F2315" s="48">
        <v>0.72916666666666663</v>
      </c>
      <c r="G2315" s="49">
        <v>0</v>
      </c>
      <c r="H2315" s="49">
        <v>7.9999999999999982</v>
      </c>
      <c r="I2315" s="49">
        <v>7.9999999999999982</v>
      </c>
      <c r="J2315" s="53" t="s">
        <v>30</v>
      </c>
      <c r="K2315" s="51" t="s">
        <v>743</v>
      </c>
      <c r="L2315" s="102" t="s">
        <v>281</v>
      </c>
      <c r="M2315" s="19" t="str">
        <f t="shared" si="56"/>
        <v>Dec_2018</v>
      </c>
    </row>
    <row r="2316" spans="1:13">
      <c r="A2316" s="45" t="s">
        <v>22</v>
      </c>
      <c r="B2316" s="52" t="s">
        <v>662</v>
      </c>
      <c r="C2316" s="46">
        <v>43454</v>
      </c>
      <c r="D2316" s="47" t="s">
        <v>25</v>
      </c>
      <c r="E2316" s="48">
        <v>0.35416666666666669</v>
      </c>
      <c r="F2316" s="48">
        <v>0.72916666666666663</v>
      </c>
      <c r="G2316" s="49">
        <v>0</v>
      </c>
      <c r="H2316" s="49">
        <v>7.9999999999999982</v>
      </c>
      <c r="I2316" s="49">
        <v>7.9999999999999982</v>
      </c>
      <c r="J2316" s="53" t="s">
        <v>30</v>
      </c>
      <c r="K2316" s="51" t="s">
        <v>744</v>
      </c>
      <c r="L2316" s="102" t="s">
        <v>281</v>
      </c>
      <c r="M2316" s="19" t="str">
        <f t="shared" si="56"/>
        <v>Dec_2018</v>
      </c>
    </row>
    <row r="2317" spans="1:13">
      <c r="A2317" s="45" t="s">
        <v>22</v>
      </c>
      <c r="B2317" s="52" t="s">
        <v>679</v>
      </c>
      <c r="C2317" s="46">
        <v>43454</v>
      </c>
      <c r="D2317" s="47" t="s">
        <v>25</v>
      </c>
      <c r="E2317" s="48">
        <v>0.35416666666666669</v>
      </c>
      <c r="F2317" s="48">
        <v>0.72916666666666663</v>
      </c>
      <c r="G2317" s="49">
        <v>0</v>
      </c>
      <c r="H2317" s="49">
        <v>7.9999999999999982</v>
      </c>
      <c r="I2317" s="49">
        <v>7.9999999999999982</v>
      </c>
      <c r="J2317" s="53" t="s">
        <v>30</v>
      </c>
      <c r="K2317" s="51" t="s">
        <v>744</v>
      </c>
      <c r="L2317" s="102" t="s">
        <v>281</v>
      </c>
      <c r="M2317" s="19" t="str">
        <f t="shared" si="56"/>
        <v>Dec_2018</v>
      </c>
    </row>
    <row r="2318" spans="1:13">
      <c r="A2318" s="45" t="s">
        <v>22</v>
      </c>
      <c r="B2318" s="52" t="s">
        <v>26</v>
      </c>
      <c r="C2318" s="46">
        <v>43454</v>
      </c>
      <c r="D2318" s="47" t="s">
        <v>25</v>
      </c>
      <c r="E2318" s="48">
        <v>0.35416666666666669</v>
      </c>
      <c r="F2318" s="48">
        <v>0.72916666666666663</v>
      </c>
      <c r="G2318" s="49">
        <v>0</v>
      </c>
      <c r="H2318" s="49">
        <v>7.9999999999999982</v>
      </c>
      <c r="I2318" s="49">
        <v>7.9999999999999982</v>
      </c>
      <c r="J2318" s="53" t="s">
        <v>30</v>
      </c>
      <c r="K2318" s="51" t="s">
        <v>744</v>
      </c>
      <c r="L2318" s="102" t="s">
        <v>281</v>
      </c>
      <c r="M2318" s="19" t="str">
        <f t="shared" si="56"/>
        <v>Dec_2018</v>
      </c>
    </row>
    <row r="2319" spans="1:13">
      <c r="A2319" s="45" t="s">
        <v>22</v>
      </c>
      <c r="B2319" s="52" t="s">
        <v>662</v>
      </c>
      <c r="C2319" s="46">
        <v>43455</v>
      </c>
      <c r="D2319" s="47" t="s">
        <v>17</v>
      </c>
      <c r="E2319" s="48">
        <v>0.35416666666666669</v>
      </c>
      <c r="F2319" s="48">
        <v>0.72916666666666663</v>
      </c>
      <c r="G2319" s="49">
        <v>0</v>
      </c>
      <c r="H2319" s="49">
        <v>7.9999999999999982</v>
      </c>
      <c r="I2319" s="49">
        <v>7.9999999999999982</v>
      </c>
      <c r="J2319" s="53" t="s">
        <v>30</v>
      </c>
      <c r="K2319" s="51" t="s">
        <v>745</v>
      </c>
      <c r="L2319" s="102" t="s">
        <v>281</v>
      </c>
      <c r="M2319" s="19" t="str">
        <f t="shared" si="56"/>
        <v>Dec_2018</v>
      </c>
    </row>
    <row r="2320" spans="1:13">
      <c r="A2320" s="45" t="s">
        <v>22</v>
      </c>
      <c r="B2320" s="52" t="s">
        <v>679</v>
      </c>
      <c r="C2320" s="46">
        <v>43455</v>
      </c>
      <c r="D2320" s="47" t="s">
        <v>17</v>
      </c>
      <c r="E2320" s="48">
        <v>0.35416666666666669</v>
      </c>
      <c r="F2320" s="48">
        <v>0.72916666666666663</v>
      </c>
      <c r="G2320" s="49">
        <v>0</v>
      </c>
      <c r="H2320" s="49">
        <v>7.9999999999999982</v>
      </c>
      <c r="I2320" s="49">
        <v>7.9999999999999982</v>
      </c>
      <c r="J2320" s="53" t="s">
        <v>30</v>
      </c>
      <c r="K2320" s="51" t="s">
        <v>745</v>
      </c>
      <c r="L2320" s="102" t="s">
        <v>281</v>
      </c>
      <c r="M2320" s="19" t="str">
        <f t="shared" si="56"/>
        <v>Dec_2018</v>
      </c>
    </row>
    <row r="2321" spans="1:13">
      <c r="A2321" s="45" t="s">
        <v>22</v>
      </c>
      <c r="B2321" s="52" t="s">
        <v>26</v>
      </c>
      <c r="C2321" s="46">
        <v>43455</v>
      </c>
      <c r="D2321" s="47" t="s">
        <v>17</v>
      </c>
      <c r="E2321" s="48">
        <v>0.35416666666666669</v>
      </c>
      <c r="F2321" s="48">
        <v>0.72916666666666663</v>
      </c>
      <c r="G2321" s="49">
        <v>0</v>
      </c>
      <c r="H2321" s="49">
        <v>7.9999999999999982</v>
      </c>
      <c r="I2321" s="49">
        <v>7.9999999999999982</v>
      </c>
      <c r="J2321" s="53" t="s">
        <v>30</v>
      </c>
      <c r="K2321" s="51" t="s">
        <v>745</v>
      </c>
      <c r="L2321" s="102" t="s">
        <v>281</v>
      </c>
      <c r="M2321" s="19" t="str">
        <f t="shared" si="56"/>
        <v>Dec_2018</v>
      </c>
    </row>
    <row r="2322" spans="1:13">
      <c r="A2322" s="45" t="s">
        <v>22</v>
      </c>
      <c r="B2322" s="52" t="s">
        <v>662</v>
      </c>
      <c r="C2322" s="46">
        <v>43458</v>
      </c>
      <c r="D2322" s="47" t="s">
        <v>16</v>
      </c>
      <c r="E2322" s="48">
        <v>0.35416666666666669</v>
      </c>
      <c r="F2322" s="48">
        <v>0.72916666666666663</v>
      </c>
      <c r="G2322" s="49">
        <v>0</v>
      </c>
      <c r="H2322" s="49">
        <v>7.9999999999999982</v>
      </c>
      <c r="I2322" s="49">
        <v>7.9999999999999982</v>
      </c>
      <c r="J2322" s="53" t="s">
        <v>30</v>
      </c>
      <c r="K2322" s="51" t="s">
        <v>746</v>
      </c>
      <c r="L2322" s="102" t="s">
        <v>281</v>
      </c>
      <c r="M2322" s="19" t="str">
        <f t="shared" si="56"/>
        <v>Dec_2018</v>
      </c>
    </row>
    <row r="2323" spans="1:13">
      <c r="A2323" s="45" t="s">
        <v>22</v>
      </c>
      <c r="B2323" s="52" t="s">
        <v>78</v>
      </c>
      <c r="C2323" s="46">
        <v>43458</v>
      </c>
      <c r="D2323" s="47" t="s">
        <v>16</v>
      </c>
      <c r="E2323" s="48">
        <v>0.4375</v>
      </c>
      <c r="F2323" s="48">
        <v>0.72916666666666663</v>
      </c>
      <c r="G2323" s="49">
        <v>0</v>
      </c>
      <c r="H2323" s="49">
        <v>5.9999999999999991</v>
      </c>
      <c r="I2323" s="49">
        <v>5.9999999999999991</v>
      </c>
      <c r="J2323" s="53" t="s">
        <v>30</v>
      </c>
      <c r="K2323" s="51" t="s">
        <v>746</v>
      </c>
      <c r="L2323" s="102" t="s">
        <v>281</v>
      </c>
      <c r="M2323" s="19" t="str">
        <f t="shared" si="56"/>
        <v>Dec_2018</v>
      </c>
    </row>
    <row r="2324" spans="1:13">
      <c r="A2324" s="45" t="s">
        <v>22</v>
      </c>
      <c r="B2324" s="52" t="s">
        <v>644</v>
      </c>
      <c r="C2324" s="46">
        <v>43458</v>
      </c>
      <c r="D2324" s="47" t="s">
        <v>16</v>
      </c>
      <c r="E2324" s="48">
        <v>0.35416666666666669</v>
      </c>
      <c r="F2324" s="48">
        <v>0.72916666666666663</v>
      </c>
      <c r="G2324" s="49">
        <v>0</v>
      </c>
      <c r="H2324" s="49">
        <v>7.9999999999999982</v>
      </c>
      <c r="I2324" s="49">
        <v>7.9999999999999982</v>
      </c>
      <c r="J2324" s="53" t="s">
        <v>30</v>
      </c>
      <c r="K2324" s="51" t="s">
        <v>746</v>
      </c>
      <c r="L2324" s="102" t="s">
        <v>281</v>
      </c>
      <c r="M2324" s="19" t="str">
        <f t="shared" si="56"/>
        <v>Dec_2018</v>
      </c>
    </row>
    <row r="2325" spans="1:13">
      <c r="A2325" s="45" t="s">
        <v>22</v>
      </c>
      <c r="B2325" s="52" t="s">
        <v>662</v>
      </c>
      <c r="C2325" s="46">
        <v>43459</v>
      </c>
      <c r="D2325" s="47" t="s">
        <v>14</v>
      </c>
      <c r="E2325" s="48">
        <v>0.35416666666666669</v>
      </c>
      <c r="F2325" s="48">
        <v>0.72916666666666663</v>
      </c>
      <c r="G2325" s="49">
        <v>0</v>
      </c>
      <c r="H2325" s="49">
        <v>7.9999999999999982</v>
      </c>
      <c r="I2325" s="49">
        <v>7.9999999999999982</v>
      </c>
      <c r="J2325" s="53" t="s">
        <v>30</v>
      </c>
      <c r="K2325" s="51" t="s">
        <v>747</v>
      </c>
      <c r="L2325" s="102" t="s">
        <v>281</v>
      </c>
      <c r="M2325" s="19" t="str">
        <f t="shared" si="56"/>
        <v>Dec_2018</v>
      </c>
    </row>
    <row r="2326" spans="1:13">
      <c r="A2326" s="45" t="s">
        <v>22</v>
      </c>
      <c r="B2326" s="52" t="s">
        <v>78</v>
      </c>
      <c r="C2326" s="46">
        <v>43459</v>
      </c>
      <c r="D2326" s="47" t="s">
        <v>14</v>
      </c>
      <c r="E2326" s="48">
        <v>0.41666666666666669</v>
      </c>
      <c r="F2326" s="48">
        <v>0.72916666666666663</v>
      </c>
      <c r="G2326" s="49">
        <v>0</v>
      </c>
      <c r="H2326" s="49">
        <v>6.4999999999999982</v>
      </c>
      <c r="I2326" s="49">
        <v>6.4999999999999982</v>
      </c>
      <c r="J2326" s="53" t="s">
        <v>30</v>
      </c>
      <c r="K2326" s="51" t="s">
        <v>747</v>
      </c>
      <c r="L2326" s="102" t="s">
        <v>281</v>
      </c>
      <c r="M2326" s="19" t="str">
        <f t="shared" si="56"/>
        <v>Dec_2018</v>
      </c>
    </row>
    <row r="2327" spans="1:13">
      <c r="A2327" s="45" t="s">
        <v>22</v>
      </c>
      <c r="B2327" s="52" t="s">
        <v>662</v>
      </c>
      <c r="C2327" s="46">
        <v>43460</v>
      </c>
      <c r="D2327" s="47" t="s">
        <v>15</v>
      </c>
      <c r="E2327" s="48">
        <v>0.35416666666666669</v>
      </c>
      <c r="F2327" s="48">
        <v>0.72916666666666663</v>
      </c>
      <c r="G2327" s="49">
        <v>0</v>
      </c>
      <c r="H2327" s="49">
        <v>7.9999999999999982</v>
      </c>
      <c r="I2327" s="49">
        <v>7.9999999999999982</v>
      </c>
      <c r="J2327" s="53" t="s">
        <v>30</v>
      </c>
      <c r="K2327" s="51" t="s">
        <v>748</v>
      </c>
      <c r="L2327" s="102" t="s">
        <v>281</v>
      </c>
      <c r="M2327" s="19" t="str">
        <f t="shared" si="56"/>
        <v>Dec_2018</v>
      </c>
    </row>
    <row r="2328" spans="1:13">
      <c r="A2328" s="45" t="s">
        <v>22</v>
      </c>
      <c r="B2328" s="52" t="s">
        <v>679</v>
      </c>
      <c r="C2328" s="46">
        <v>43461</v>
      </c>
      <c r="D2328" s="47" t="s">
        <v>25</v>
      </c>
      <c r="E2328" s="48">
        <v>0.35416666666666669</v>
      </c>
      <c r="F2328" s="48">
        <v>0.72916666666666663</v>
      </c>
      <c r="G2328" s="49">
        <v>0</v>
      </c>
      <c r="H2328" s="49">
        <v>7.9999999999999982</v>
      </c>
      <c r="I2328" s="49">
        <v>7.9999999999999982</v>
      </c>
      <c r="J2328" s="53" t="s">
        <v>30</v>
      </c>
      <c r="K2328" s="51" t="s">
        <v>749</v>
      </c>
      <c r="L2328" s="102" t="s">
        <v>281</v>
      </c>
      <c r="M2328" s="19" t="str">
        <f t="shared" si="56"/>
        <v>Dec_2018</v>
      </c>
    </row>
    <row r="2329" spans="1:13">
      <c r="A2329" s="45" t="s">
        <v>22</v>
      </c>
      <c r="B2329" s="52" t="s">
        <v>26</v>
      </c>
      <c r="C2329" s="46">
        <v>43462</v>
      </c>
      <c r="D2329" s="47" t="s">
        <v>17</v>
      </c>
      <c r="E2329" s="48">
        <v>0.35416666666666669</v>
      </c>
      <c r="F2329" s="48">
        <v>0.72916666666666663</v>
      </c>
      <c r="G2329" s="49">
        <v>0</v>
      </c>
      <c r="H2329" s="49">
        <v>7.9999999999999982</v>
      </c>
      <c r="I2329" s="49">
        <v>7.9999999999999982</v>
      </c>
      <c r="J2329" s="53" t="s">
        <v>30</v>
      </c>
      <c r="K2329" s="51" t="s">
        <v>750</v>
      </c>
      <c r="L2329" s="102" t="s">
        <v>281</v>
      </c>
      <c r="M2329" s="19" t="str">
        <f t="shared" si="56"/>
        <v>Dec_2018</v>
      </c>
    </row>
    <row r="2330" spans="1:13">
      <c r="A2330" s="45" t="s">
        <v>22</v>
      </c>
      <c r="B2330" s="52" t="s">
        <v>662</v>
      </c>
      <c r="C2330" s="46">
        <v>43465</v>
      </c>
      <c r="D2330" s="47" t="s">
        <v>16</v>
      </c>
      <c r="E2330" s="48">
        <v>0.35416666666666669</v>
      </c>
      <c r="F2330" s="48">
        <v>0.72916666666666663</v>
      </c>
      <c r="G2330" s="49">
        <v>0</v>
      </c>
      <c r="H2330" s="49">
        <v>7.9999999999999982</v>
      </c>
      <c r="I2330" s="49">
        <v>7.9999999999999982</v>
      </c>
      <c r="J2330" s="53" t="s">
        <v>30</v>
      </c>
      <c r="K2330" s="51" t="s">
        <v>751</v>
      </c>
      <c r="L2330" s="102" t="s">
        <v>281</v>
      </c>
      <c r="M2330" s="19" t="str">
        <f t="shared" si="56"/>
        <v>Dec_2018</v>
      </c>
    </row>
    <row r="2331" spans="1:13">
      <c r="A2331" s="45" t="s">
        <v>11</v>
      </c>
      <c r="B2331" s="52" t="s">
        <v>12</v>
      </c>
      <c r="C2331" s="54">
        <v>43467</v>
      </c>
      <c r="D2331" s="47" t="s">
        <v>15</v>
      </c>
      <c r="E2331" s="48">
        <v>0.72916666666666674</v>
      </c>
      <c r="F2331" s="48">
        <v>0.89583333333333337</v>
      </c>
      <c r="G2331" s="49">
        <v>8.0000000000000036</v>
      </c>
      <c r="H2331" s="49">
        <v>3.9999999999999982</v>
      </c>
      <c r="I2331" s="49">
        <v>3.9999999999999982</v>
      </c>
      <c r="J2331" s="53" t="s">
        <v>30</v>
      </c>
      <c r="K2331" s="51" t="s">
        <v>752</v>
      </c>
      <c r="L2331" s="102">
        <v>1</v>
      </c>
      <c r="M2331" s="19" t="str">
        <f>IF($C2331="","",TEXT(DATE(YEAR($C2331),MONTH($C2331),DAY($C2331)),"MMM")&amp;"_"&amp;YEAR($C2331))</f>
        <v>Jan_2019</v>
      </c>
    </row>
    <row r="2332" spans="1:13">
      <c r="A2332" s="45" t="s">
        <v>11</v>
      </c>
      <c r="B2332" s="52" t="s">
        <v>19</v>
      </c>
      <c r="C2332" s="46">
        <v>43467</v>
      </c>
      <c r="D2332" s="47" t="s">
        <v>15</v>
      </c>
      <c r="E2332" s="48">
        <v>0.72916666666666674</v>
      </c>
      <c r="F2332" s="48">
        <v>0.89583333333333337</v>
      </c>
      <c r="G2332" s="49">
        <v>8.0000000000000036</v>
      </c>
      <c r="H2332" s="49">
        <v>3.9999999999999982</v>
      </c>
      <c r="I2332" s="49">
        <v>3.9999999999999982</v>
      </c>
      <c r="J2332" s="53" t="s">
        <v>30</v>
      </c>
      <c r="K2332" s="51" t="s">
        <v>752</v>
      </c>
      <c r="L2332" s="102">
        <v>1</v>
      </c>
      <c r="M2332" s="19" t="str">
        <f t="shared" ref="M2332:M2395" si="57">IF($C2332="","",TEXT(DATE(YEAR($C2332),MONTH($C2332),DAY($C2332)),"MMM")&amp;"_"&amp;YEAR($C2332))</f>
        <v>Jan_2019</v>
      </c>
    </row>
    <row r="2333" spans="1:13">
      <c r="A2333" s="45" t="s">
        <v>11</v>
      </c>
      <c r="B2333" s="52" t="s">
        <v>149</v>
      </c>
      <c r="C2333" s="46">
        <v>43467</v>
      </c>
      <c r="D2333" s="47" t="s">
        <v>15</v>
      </c>
      <c r="E2333" s="48">
        <v>0.72916666666666674</v>
      </c>
      <c r="F2333" s="48">
        <v>0.89583333333333337</v>
      </c>
      <c r="G2333" s="49">
        <v>8.0000000000000036</v>
      </c>
      <c r="H2333" s="49">
        <v>3.9999999999999982</v>
      </c>
      <c r="I2333" s="49">
        <v>3.9999999999999982</v>
      </c>
      <c r="J2333" s="53" t="s">
        <v>30</v>
      </c>
      <c r="K2333" s="51" t="s">
        <v>752</v>
      </c>
      <c r="L2333" s="102">
        <v>1</v>
      </c>
      <c r="M2333" s="19" t="str">
        <f t="shared" si="57"/>
        <v>Jan_2019</v>
      </c>
    </row>
    <row r="2334" spans="1:13">
      <c r="A2334" s="45" t="s">
        <v>11</v>
      </c>
      <c r="B2334" s="52" t="s">
        <v>161</v>
      </c>
      <c r="C2334" s="46">
        <v>43467</v>
      </c>
      <c r="D2334" s="47" t="s">
        <v>15</v>
      </c>
      <c r="E2334" s="48">
        <v>0.72916666666666674</v>
      </c>
      <c r="F2334" s="48">
        <v>0.89583333333333337</v>
      </c>
      <c r="G2334" s="49">
        <v>8.0000000000000036</v>
      </c>
      <c r="H2334" s="49">
        <v>3.9999999999999982</v>
      </c>
      <c r="I2334" s="49">
        <v>3.9999999999999982</v>
      </c>
      <c r="J2334" s="53" t="s">
        <v>30</v>
      </c>
      <c r="K2334" s="51" t="s">
        <v>752</v>
      </c>
      <c r="L2334" s="102">
        <v>1</v>
      </c>
      <c r="M2334" s="19" t="str">
        <f t="shared" si="57"/>
        <v>Jan_2019</v>
      </c>
    </row>
    <row r="2335" spans="1:13">
      <c r="A2335" s="45" t="s">
        <v>11</v>
      </c>
      <c r="B2335" s="52" t="s">
        <v>542</v>
      </c>
      <c r="C2335" s="46">
        <v>43467</v>
      </c>
      <c r="D2335" s="47" t="s">
        <v>15</v>
      </c>
      <c r="E2335" s="48">
        <v>0.64583333333333326</v>
      </c>
      <c r="F2335" s="48">
        <v>0.8125</v>
      </c>
      <c r="G2335" s="49">
        <v>8.0000000000000036</v>
      </c>
      <c r="H2335" s="49">
        <v>3.9999999999999982</v>
      </c>
      <c r="I2335" s="49">
        <v>3.9999999999999982</v>
      </c>
      <c r="J2335" s="53" t="s">
        <v>30</v>
      </c>
      <c r="K2335" s="51" t="s">
        <v>752</v>
      </c>
      <c r="L2335" s="102">
        <v>1</v>
      </c>
      <c r="M2335" s="19" t="str">
        <f t="shared" si="57"/>
        <v>Jan_2019</v>
      </c>
    </row>
    <row r="2336" spans="1:13">
      <c r="A2336" s="45" t="s">
        <v>11</v>
      </c>
      <c r="B2336" s="52" t="s">
        <v>547</v>
      </c>
      <c r="C2336" s="46">
        <v>43467</v>
      </c>
      <c r="D2336" s="47" t="s">
        <v>15</v>
      </c>
      <c r="E2336" s="48">
        <v>0.72916666666666674</v>
      </c>
      <c r="F2336" s="48">
        <v>0.89583333333333337</v>
      </c>
      <c r="G2336" s="49">
        <v>8.0000000000000036</v>
      </c>
      <c r="H2336" s="49">
        <v>3.9999999999999982</v>
      </c>
      <c r="I2336" s="49">
        <v>3.9999999999999982</v>
      </c>
      <c r="J2336" s="53" t="s">
        <v>30</v>
      </c>
      <c r="K2336" s="51" t="s">
        <v>752</v>
      </c>
      <c r="L2336" s="102">
        <v>1</v>
      </c>
      <c r="M2336" s="19" t="str">
        <f t="shared" si="57"/>
        <v>Jan_2019</v>
      </c>
    </row>
    <row r="2337" spans="1:13">
      <c r="A2337" s="45" t="s">
        <v>11</v>
      </c>
      <c r="B2337" s="52" t="s">
        <v>682</v>
      </c>
      <c r="C2337" s="46">
        <v>43467</v>
      </c>
      <c r="D2337" s="47" t="s">
        <v>15</v>
      </c>
      <c r="E2337" s="48">
        <v>0.72916666666666674</v>
      </c>
      <c r="F2337" s="48">
        <v>0.89583333333333337</v>
      </c>
      <c r="G2337" s="49">
        <v>8.0000000000000036</v>
      </c>
      <c r="H2337" s="49">
        <v>3.9999999999999982</v>
      </c>
      <c r="I2337" s="49">
        <v>3.9999999999999982</v>
      </c>
      <c r="J2337" s="53" t="s">
        <v>30</v>
      </c>
      <c r="K2337" s="51" t="s">
        <v>752</v>
      </c>
      <c r="L2337" s="102">
        <v>1</v>
      </c>
      <c r="M2337" s="19" t="str">
        <f t="shared" si="57"/>
        <v>Jan_2019</v>
      </c>
    </row>
    <row r="2338" spans="1:13">
      <c r="A2338" s="45" t="s">
        <v>11</v>
      </c>
      <c r="B2338" s="52" t="s">
        <v>684</v>
      </c>
      <c r="C2338" s="46">
        <v>43467</v>
      </c>
      <c r="D2338" s="47" t="s">
        <v>15</v>
      </c>
      <c r="E2338" s="48">
        <v>0.72916666666666674</v>
      </c>
      <c r="F2338" s="48">
        <v>0.89583333333333337</v>
      </c>
      <c r="G2338" s="49">
        <v>8.0000000000000036</v>
      </c>
      <c r="H2338" s="49">
        <v>3.9999999999999982</v>
      </c>
      <c r="I2338" s="49">
        <v>3.9999999999999982</v>
      </c>
      <c r="J2338" s="53" t="s">
        <v>30</v>
      </c>
      <c r="K2338" s="51" t="s">
        <v>752</v>
      </c>
      <c r="L2338" s="102">
        <v>1</v>
      </c>
      <c r="M2338" s="19" t="str">
        <f t="shared" si="57"/>
        <v>Jan_2019</v>
      </c>
    </row>
    <row r="2339" spans="1:13">
      <c r="A2339" s="45" t="s">
        <v>22</v>
      </c>
      <c r="B2339" s="52" t="s">
        <v>662</v>
      </c>
      <c r="C2339" s="46">
        <v>43467</v>
      </c>
      <c r="D2339" s="47" t="s">
        <v>15</v>
      </c>
      <c r="E2339" s="48">
        <v>0.35416666666666669</v>
      </c>
      <c r="F2339" s="48">
        <v>0.89583333333333337</v>
      </c>
      <c r="G2339" s="49">
        <v>0</v>
      </c>
      <c r="H2339" s="49">
        <v>12.000000000000002</v>
      </c>
      <c r="I2339" s="49">
        <v>12.000000000000002</v>
      </c>
      <c r="J2339" s="53" t="s">
        <v>30</v>
      </c>
      <c r="K2339" s="51" t="s">
        <v>752</v>
      </c>
      <c r="L2339" s="102" t="s">
        <v>281</v>
      </c>
      <c r="M2339" s="19" t="str">
        <f t="shared" si="57"/>
        <v>Jan_2019</v>
      </c>
    </row>
    <row r="2340" spans="1:13">
      <c r="A2340" s="45" t="s">
        <v>22</v>
      </c>
      <c r="B2340" s="52" t="s">
        <v>26</v>
      </c>
      <c r="C2340" s="46">
        <v>43467</v>
      </c>
      <c r="D2340" s="47" t="s">
        <v>15</v>
      </c>
      <c r="E2340" s="48">
        <v>0.64583333333333337</v>
      </c>
      <c r="F2340" s="48">
        <v>0.89583333333333337</v>
      </c>
      <c r="G2340" s="49">
        <v>0</v>
      </c>
      <c r="H2340" s="49">
        <v>5</v>
      </c>
      <c r="I2340" s="49">
        <v>5</v>
      </c>
      <c r="J2340" s="53" t="s">
        <v>30</v>
      </c>
      <c r="K2340" s="51" t="s">
        <v>752</v>
      </c>
      <c r="L2340" s="102" t="s">
        <v>281</v>
      </c>
      <c r="M2340" s="19" t="str">
        <f t="shared" si="57"/>
        <v>Jan_2019</v>
      </c>
    </row>
    <row r="2341" spans="1:13">
      <c r="A2341" s="45" t="s">
        <v>11</v>
      </c>
      <c r="B2341" s="52" t="s">
        <v>12</v>
      </c>
      <c r="C2341" s="54">
        <v>43468</v>
      </c>
      <c r="D2341" s="47" t="s">
        <v>25</v>
      </c>
      <c r="E2341" s="48">
        <v>0.72916666666666674</v>
      </c>
      <c r="F2341" s="48">
        <v>0.89583333333333337</v>
      </c>
      <c r="G2341" s="49">
        <v>8.0000000000000036</v>
      </c>
      <c r="H2341" s="49">
        <v>3.9999999999999982</v>
      </c>
      <c r="I2341" s="49">
        <v>3.9999999999999982</v>
      </c>
      <c r="J2341" s="53" t="s">
        <v>30</v>
      </c>
      <c r="K2341" s="51" t="s">
        <v>753</v>
      </c>
      <c r="L2341" s="102">
        <v>1</v>
      </c>
      <c r="M2341" s="19" t="str">
        <f t="shared" si="57"/>
        <v>Jan_2019</v>
      </c>
    </row>
    <row r="2342" spans="1:13">
      <c r="A2342" s="45" t="s">
        <v>11</v>
      </c>
      <c r="B2342" s="52" t="s">
        <v>19</v>
      </c>
      <c r="C2342" s="46">
        <v>43468</v>
      </c>
      <c r="D2342" s="47" t="s">
        <v>25</v>
      </c>
      <c r="E2342" s="48">
        <v>0.72916666666666674</v>
      </c>
      <c r="F2342" s="48">
        <v>0.89583333333333337</v>
      </c>
      <c r="G2342" s="49">
        <v>8.0000000000000036</v>
      </c>
      <c r="H2342" s="49">
        <v>3.9999999999999982</v>
      </c>
      <c r="I2342" s="49">
        <v>3.9999999999999982</v>
      </c>
      <c r="J2342" s="53" t="s">
        <v>30</v>
      </c>
      <c r="K2342" s="51" t="s">
        <v>753</v>
      </c>
      <c r="L2342" s="102">
        <v>1</v>
      </c>
      <c r="M2342" s="19" t="str">
        <f t="shared" si="57"/>
        <v>Jan_2019</v>
      </c>
    </row>
    <row r="2343" spans="1:13">
      <c r="A2343" s="45" t="s">
        <v>11</v>
      </c>
      <c r="B2343" s="52" t="s">
        <v>149</v>
      </c>
      <c r="C2343" s="46">
        <v>43468</v>
      </c>
      <c r="D2343" s="47" t="s">
        <v>25</v>
      </c>
      <c r="E2343" s="48">
        <v>0.72916666666666674</v>
      </c>
      <c r="F2343" s="48">
        <v>0.89583333333333337</v>
      </c>
      <c r="G2343" s="49">
        <v>8.0000000000000036</v>
      </c>
      <c r="H2343" s="49">
        <v>3.9999999999999982</v>
      </c>
      <c r="I2343" s="49">
        <v>3.9999999999999982</v>
      </c>
      <c r="J2343" s="53" t="s">
        <v>30</v>
      </c>
      <c r="K2343" s="51" t="s">
        <v>753</v>
      </c>
      <c r="L2343" s="102">
        <v>1</v>
      </c>
      <c r="M2343" s="19" t="str">
        <f t="shared" si="57"/>
        <v>Jan_2019</v>
      </c>
    </row>
    <row r="2344" spans="1:13">
      <c r="A2344" s="45" t="s">
        <v>11</v>
      </c>
      <c r="B2344" s="52" t="s">
        <v>161</v>
      </c>
      <c r="C2344" s="46">
        <v>43468</v>
      </c>
      <c r="D2344" s="47" t="s">
        <v>25</v>
      </c>
      <c r="E2344" s="48">
        <v>0.72916666666666674</v>
      </c>
      <c r="F2344" s="48">
        <v>0.89583333333333337</v>
      </c>
      <c r="G2344" s="49">
        <v>8.0000000000000036</v>
      </c>
      <c r="H2344" s="49">
        <v>3.9999999999999982</v>
      </c>
      <c r="I2344" s="49">
        <v>3.9999999999999982</v>
      </c>
      <c r="J2344" s="53" t="s">
        <v>30</v>
      </c>
      <c r="K2344" s="51" t="s">
        <v>753</v>
      </c>
      <c r="L2344" s="102">
        <v>1</v>
      </c>
      <c r="M2344" s="19" t="str">
        <f t="shared" si="57"/>
        <v>Jan_2019</v>
      </c>
    </row>
    <row r="2345" spans="1:13">
      <c r="A2345" s="45" t="s">
        <v>11</v>
      </c>
      <c r="B2345" s="52" t="s">
        <v>542</v>
      </c>
      <c r="C2345" s="46">
        <v>43468</v>
      </c>
      <c r="D2345" s="47" t="s">
        <v>25</v>
      </c>
      <c r="E2345" s="48">
        <v>0.72916666666666674</v>
      </c>
      <c r="F2345" s="48">
        <v>0.89583333333333337</v>
      </c>
      <c r="G2345" s="49">
        <v>8.0000000000000036</v>
      </c>
      <c r="H2345" s="49">
        <v>3.9999999999999982</v>
      </c>
      <c r="I2345" s="49">
        <v>3.9999999999999982</v>
      </c>
      <c r="J2345" s="53" t="s">
        <v>30</v>
      </c>
      <c r="K2345" s="51" t="s">
        <v>753</v>
      </c>
      <c r="L2345" s="102">
        <v>1</v>
      </c>
      <c r="M2345" s="19" t="str">
        <f t="shared" si="57"/>
        <v>Jan_2019</v>
      </c>
    </row>
    <row r="2346" spans="1:13">
      <c r="A2346" s="45" t="s">
        <v>11</v>
      </c>
      <c r="B2346" s="52" t="s">
        <v>547</v>
      </c>
      <c r="C2346" s="46">
        <v>43468</v>
      </c>
      <c r="D2346" s="47" t="s">
        <v>25</v>
      </c>
      <c r="E2346" s="48">
        <v>0.72916666666666674</v>
      </c>
      <c r="F2346" s="48">
        <v>0.89583333333333337</v>
      </c>
      <c r="G2346" s="49">
        <v>8.0000000000000036</v>
      </c>
      <c r="H2346" s="49">
        <v>3.9999999999999982</v>
      </c>
      <c r="I2346" s="49">
        <v>3.9999999999999982</v>
      </c>
      <c r="J2346" s="53" t="s">
        <v>30</v>
      </c>
      <c r="K2346" s="51" t="s">
        <v>753</v>
      </c>
      <c r="L2346" s="102">
        <v>1</v>
      </c>
      <c r="M2346" s="19" t="str">
        <f t="shared" si="57"/>
        <v>Jan_2019</v>
      </c>
    </row>
    <row r="2347" spans="1:13">
      <c r="A2347" s="45" t="s">
        <v>11</v>
      </c>
      <c r="B2347" s="52" t="s">
        <v>682</v>
      </c>
      <c r="C2347" s="46">
        <v>43468</v>
      </c>
      <c r="D2347" s="47" t="s">
        <v>25</v>
      </c>
      <c r="E2347" s="48">
        <v>0.64583333333333326</v>
      </c>
      <c r="F2347" s="48">
        <v>0.8125</v>
      </c>
      <c r="G2347" s="49">
        <v>8.0000000000000036</v>
      </c>
      <c r="H2347" s="49">
        <v>3.9999999999999982</v>
      </c>
      <c r="I2347" s="49">
        <v>3.9999999999999982</v>
      </c>
      <c r="J2347" s="53" t="s">
        <v>30</v>
      </c>
      <c r="K2347" s="51" t="s">
        <v>753</v>
      </c>
      <c r="L2347" s="102">
        <v>1</v>
      </c>
      <c r="M2347" s="19" t="str">
        <f t="shared" si="57"/>
        <v>Jan_2019</v>
      </c>
    </row>
    <row r="2348" spans="1:13">
      <c r="A2348" s="45" t="s">
        <v>11</v>
      </c>
      <c r="B2348" s="52" t="s">
        <v>684</v>
      </c>
      <c r="C2348" s="46">
        <v>43468</v>
      </c>
      <c r="D2348" s="47" t="s">
        <v>25</v>
      </c>
      <c r="E2348" s="48">
        <v>0.72916666666666674</v>
      </c>
      <c r="F2348" s="48">
        <v>0.89583333333333337</v>
      </c>
      <c r="G2348" s="49">
        <v>8.0000000000000036</v>
      </c>
      <c r="H2348" s="49">
        <v>3.9999999999999982</v>
      </c>
      <c r="I2348" s="49">
        <v>3.9999999999999982</v>
      </c>
      <c r="J2348" s="53" t="s">
        <v>30</v>
      </c>
      <c r="K2348" s="51" t="s">
        <v>753</v>
      </c>
      <c r="L2348" s="102">
        <v>1</v>
      </c>
      <c r="M2348" s="19" t="str">
        <f t="shared" si="57"/>
        <v>Jan_2019</v>
      </c>
    </row>
    <row r="2349" spans="1:13">
      <c r="A2349" s="45" t="s">
        <v>22</v>
      </c>
      <c r="B2349" s="52" t="s">
        <v>662</v>
      </c>
      <c r="C2349" s="46">
        <v>43468</v>
      </c>
      <c r="D2349" s="47" t="s">
        <v>25</v>
      </c>
      <c r="E2349" s="48">
        <v>0.35416666666666669</v>
      </c>
      <c r="F2349" s="48">
        <v>0.89583333333333337</v>
      </c>
      <c r="G2349" s="49">
        <v>0</v>
      </c>
      <c r="H2349" s="49">
        <v>12.000000000000002</v>
      </c>
      <c r="I2349" s="49">
        <v>12.000000000000002</v>
      </c>
      <c r="J2349" s="53" t="s">
        <v>30</v>
      </c>
      <c r="K2349" s="51" t="s">
        <v>753</v>
      </c>
      <c r="L2349" s="102" t="s">
        <v>281</v>
      </c>
      <c r="M2349" s="19" t="str">
        <f t="shared" si="57"/>
        <v>Jan_2019</v>
      </c>
    </row>
    <row r="2350" spans="1:13">
      <c r="A2350" s="45" t="s">
        <v>22</v>
      </c>
      <c r="B2350" s="52" t="s">
        <v>644</v>
      </c>
      <c r="C2350" s="46">
        <v>43468</v>
      </c>
      <c r="D2350" s="47" t="s">
        <v>25</v>
      </c>
      <c r="E2350" s="48">
        <v>0.58333333333333337</v>
      </c>
      <c r="F2350" s="48">
        <v>0.89583333333333337</v>
      </c>
      <c r="G2350" s="49">
        <v>0</v>
      </c>
      <c r="H2350" s="49">
        <v>6.5</v>
      </c>
      <c r="I2350" s="49">
        <v>6.5</v>
      </c>
      <c r="J2350" s="53" t="s">
        <v>30</v>
      </c>
      <c r="K2350" s="51" t="s">
        <v>753</v>
      </c>
      <c r="L2350" s="102" t="s">
        <v>281</v>
      </c>
      <c r="M2350" s="19" t="str">
        <f t="shared" si="57"/>
        <v>Jan_2019</v>
      </c>
    </row>
    <row r="2351" spans="1:13">
      <c r="A2351" s="45" t="s">
        <v>22</v>
      </c>
      <c r="B2351" s="52" t="s">
        <v>679</v>
      </c>
      <c r="C2351" s="46">
        <v>43468</v>
      </c>
      <c r="D2351" s="47" t="s">
        <v>25</v>
      </c>
      <c r="E2351" s="48">
        <v>0.41666666666666669</v>
      </c>
      <c r="F2351" s="48">
        <v>0.89583333333333337</v>
      </c>
      <c r="G2351" s="49">
        <v>0</v>
      </c>
      <c r="H2351" s="49">
        <v>10.5</v>
      </c>
      <c r="I2351" s="49">
        <v>10.5</v>
      </c>
      <c r="J2351" s="53" t="s">
        <v>30</v>
      </c>
      <c r="K2351" s="51" t="s">
        <v>753</v>
      </c>
      <c r="L2351" s="102" t="s">
        <v>281</v>
      </c>
      <c r="M2351" s="19" t="str">
        <f t="shared" si="57"/>
        <v>Jan_2019</v>
      </c>
    </row>
    <row r="2352" spans="1:13">
      <c r="A2352" s="45" t="s">
        <v>22</v>
      </c>
      <c r="B2352" s="52" t="s">
        <v>26</v>
      </c>
      <c r="C2352" s="46">
        <v>43468</v>
      </c>
      <c r="D2352" s="47" t="s">
        <v>25</v>
      </c>
      <c r="E2352" s="48">
        <v>0.54166666666666663</v>
      </c>
      <c r="F2352" s="48">
        <v>0.89583333333333337</v>
      </c>
      <c r="G2352" s="49">
        <v>0</v>
      </c>
      <c r="H2352" s="49">
        <v>7.5000000000000018</v>
      </c>
      <c r="I2352" s="49">
        <v>7.5000000000000018</v>
      </c>
      <c r="J2352" s="53" t="s">
        <v>30</v>
      </c>
      <c r="K2352" s="51" t="s">
        <v>753</v>
      </c>
      <c r="L2352" s="102" t="s">
        <v>281</v>
      </c>
      <c r="M2352" s="19" t="str">
        <f t="shared" si="57"/>
        <v>Jan_2019</v>
      </c>
    </row>
    <row r="2353" spans="1:13">
      <c r="A2353" s="45" t="s">
        <v>11</v>
      </c>
      <c r="B2353" s="52" t="s">
        <v>12</v>
      </c>
      <c r="C2353" s="54">
        <v>43469</v>
      </c>
      <c r="D2353" s="47" t="s">
        <v>17</v>
      </c>
      <c r="E2353" s="48">
        <v>0.72916666666666674</v>
      </c>
      <c r="F2353" s="48">
        <v>0.89583333333333337</v>
      </c>
      <c r="G2353" s="49">
        <v>8.0000000000000036</v>
      </c>
      <c r="H2353" s="49">
        <v>3.9999999999999982</v>
      </c>
      <c r="I2353" s="49">
        <v>3.9999999999999982</v>
      </c>
      <c r="J2353" s="53" t="s">
        <v>30</v>
      </c>
      <c r="K2353" s="51" t="s">
        <v>754</v>
      </c>
      <c r="L2353" s="102">
        <v>1</v>
      </c>
      <c r="M2353" s="19" t="str">
        <f t="shared" si="57"/>
        <v>Jan_2019</v>
      </c>
    </row>
    <row r="2354" spans="1:13">
      <c r="A2354" s="45" t="s">
        <v>11</v>
      </c>
      <c r="B2354" s="52" t="s">
        <v>19</v>
      </c>
      <c r="C2354" s="46">
        <v>43469</v>
      </c>
      <c r="D2354" s="47" t="s">
        <v>17</v>
      </c>
      <c r="E2354" s="48">
        <v>0.72916666666666674</v>
      </c>
      <c r="F2354" s="48">
        <v>0.89583333333333337</v>
      </c>
      <c r="G2354" s="49">
        <v>8.0000000000000036</v>
      </c>
      <c r="H2354" s="49">
        <v>3.9999999999999982</v>
      </c>
      <c r="I2354" s="49">
        <v>3.9999999999999982</v>
      </c>
      <c r="J2354" s="53" t="s">
        <v>30</v>
      </c>
      <c r="K2354" s="51" t="s">
        <v>754</v>
      </c>
      <c r="L2354" s="102">
        <v>1</v>
      </c>
      <c r="M2354" s="19" t="str">
        <f t="shared" si="57"/>
        <v>Jan_2019</v>
      </c>
    </row>
    <row r="2355" spans="1:13">
      <c r="A2355" s="45" t="s">
        <v>11</v>
      </c>
      <c r="B2355" s="52" t="s">
        <v>149</v>
      </c>
      <c r="C2355" s="46">
        <v>43469</v>
      </c>
      <c r="D2355" s="47" t="s">
        <v>17</v>
      </c>
      <c r="E2355" s="48">
        <v>0.72916666666666674</v>
      </c>
      <c r="F2355" s="48">
        <v>0.89583333333333337</v>
      </c>
      <c r="G2355" s="49">
        <v>8.0000000000000036</v>
      </c>
      <c r="H2355" s="49">
        <v>3.9999999999999982</v>
      </c>
      <c r="I2355" s="49">
        <v>3.9999999999999982</v>
      </c>
      <c r="J2355" s="53" t="s">
        <v>30</v>
      </c>
      <c r="K2355" s="51" t="s">
        <v>754</v>
      </c>
      <c r="L2355" s="102">
        <v>1</v>
      </c>
      <c r="M2355" s="19" t="str">
        <f t="shared" si="57"/>
        <v>Jan_2019</v>
      </c>
    </row>
    <row r="2356" spans="1:13">
      <c r="A2356" s="45" t="s">
        <v>11</v>
      </c>
      <c r="B2356" s="52" t="s">
        <v>161</v>
      </c>
      <c r="C2356" s="46">
        <v>43469</v>
      </c>
      <c r="D2356" s="47" t="s">
        <v>17</v>
      </c>
      <c r="E2356" s="48">
        <v>0.72916666666666674</v>
      </c>
      <c r="F2356" s="48">
        <v>0.89583333333333337</v>
      </c>
      <c r="G2356" s="49">
        <v>8.0000000000000036</v>
      </c>
      <c r="H2356" s="49">
        <v>3.9999999999999982</v>
      </c>
      <c r="I2356" s="49">
        <v>3.9999999999999982</v>
      </c>
      <c r="J2356" s="53" t="s">
        <v>30</v>
      </c>
      <c r="K2356" s="51" t="s">
        <v>754</v>
      </c>
      <c r="L2356" s="102">
        <v>1</v>
      </c>
      <c r="M2356" s="19" t="str">
        <f t="shared" si="57"/>
        <v>Jan_2019</v>
      </c>
    </row>
    <row r="2357" spans="1:13">
      <c r="A2357" s="45" t="s">
        <v>11</v>
      </c>
      <c r="B2357" s="52" t="s">
        <v>542</v>
      </c>
      <c r="C2357" s="46">
        <v>43469</v>
      </c>
      <c r="D2357" s="47" t="s">
        <v>17</v>
      </c>
      <c r="E2357" s="48">
        <v>0.72916666666666674</v>
      </c>
      <c r="F2357" s="48">
        <v>0.89583333333333337</v>
      </c>
      <c r="G2357" s="49">
        <v>8.0000000000000036</v>
      </c>
      <c r="H2357" s="49">
        <v>3.9999999999999982</v>
      </c>
      <c r="I2357" s="49">
        <v>3.9999999999999982</v>
      </c>
      <c r="J2357" s="53" t="s">
        <v>30</v>
      </c>
      <c r="K2357" s="51" t="s">
        <v>754</v>
      </c>
      <c r="L2357" s="102">
        <v>1</v>
      </c>
      <c r="M2357" s="19" t="str">
        <f t="shared" si="57"/>
        <v>Jan_2019</v>
      </c>
    </row>
    <row r="2358" spans="1:13">
      <c r="A2358" s="45" t="s">
        <v>11</v>
      </c>
      <c r="B2358" s="52" t="s">
        <v>547</v>
      </c>
      <c r="C2358" s="46">
        <v>43469</v>
      </c>
      <c r="D2358" s="47" t="s">
        <v>17</v>
      </c>
      <c r="E2358" s="48">
        <v>0.72916666666666674</v>
      </c>
      <c r="F2358" s="48">
        <v>0.89583333333333337</v>
      </c>
      <c r="G2358" s="49">
        <v>8.0000000000000036</v>
      </c>
      <c r="H2358" s="49">
        <v>3.9999999999999982</v>
      </c>
      <c r="I2358" s="49">
        <v>3.9999999999999982</v>
      </c>
      <c r="J2358" s="53" t="s">
        <v>30</v>
      </c>
      <c r="K2358" s="51" t="s">
        <v>754</v>
      </c>
      <c r="L2358" s="102">
        <v>1</v>
      </c>
      <c r="M2358" s="19" t="str">
        <f t="shared" si="57"/>
        <v>Jan_2019</v>
      </c>
    </row>
    <row r="2359" spans="1:13">
      <c r="A2359" s="45" t="s">
        <v>11</v>
      </c>
      <c r="B2359" s="52" t="s">
        <v>684</v>
      </c>
      <c r="C2359" s="46">
        <v>43469</v>
      </c>
      <c r="D2359" s="47" t="s">
        <v>17</v>
      </c>
      <c r="E2359" s="48">
        <v>0.64583333333333326</v>
      </c>
      <c r="F2359" s="48">
        <v>0.8125</v>
      </c>
      <c r="G2359" s="49">
        <v>8.0000000000000036</v>
      </c>
      <c r="H2359" s="49">
        <v>3.9999999999999982</v>
      </c>
      <c r="I2359" s="49">
        <v>3.9999999999999982</v>
      </c>
      <c r="J2359" s="53" t="s">
        <v>30</v>
      </c>
      <c r="K2359" s="51" t="s">
        <v>754</v>
      </c>
      <c r="L2359" s="102">
        <v>1</v>
      </c>
      <c r="M2359" s="19" t="str">
        <f t="shared" si="57"/>
        <v>Jan_2019</v>
      </c>
    </row>
    <row r="2360" spans="1:13">
      <c r="A2360" s="45" t="s">
        <v>22</v>
      </c>
      <c r="B2360" s="52" t="s">
        <v>662</v>
      </c>
      <c r="C2360" s="46">
        <v>43469</v>
      </c>
      <c r="D2360" s="47" t="s">
        <v>17</v>
      </c>
      <c r="E2360" s="48">
        <v>0.35416666666666669</v>
      </c>
      <c r="F2360" s="48">
        <v>0.89583333333333337</v>
      </c>
      <c r="G2360" s="49">
        <v>0</v>
      </c>
      <c r="H2360" s="49">
        <v>12.000000000000002</v>
      </c>
      <c r="I2360" s="49">
        <v>12.000000000000002</v>
      </c>
      <c r="J2360" s="53" t="s">
        <v>30</v>
      </c>
      <c r="K2360" s="51" t="s">
        <v>754</v>
      </c>
      <c r="L2360" s="102" t="s">
        <v>281</v>
      </c>
      <c r="M2360" s="19" t="str">
        <f t="shared" si="57"/>
        <v>Jan_2019</v>
      </c>
    </row>
    <row r="2361" spans="1:13">
      <c r="A2361" s="45" t="s">
        <v>22</v>
      </c>
      <c r="B2361" s="52" t="s">
        <v>679</v>
      </c>
      <c r="C2361" s="46">
        <v>43469</v>
      </c>
      <c r="D2361" s="47" t="s">
        <v>17</v>
      </c>
      <c r="E2361" s="48">
        <v>0.41666666666666669</v>
      </c>
      <c r="F2361" s="48">
        <v>0.89583333333333337</v>
      </c>
      <c r="G2361" s="49">
        <v>0</v>
      </c>
      <c r="H2361" s="49">
        <v>10.5</v>
      </c>
      <c r="I2361" s="49">
        <v>10.5</v>
      </c>
      <c r="J2361" s="53" t="s">
        <v>30</v>
      </c>
      <c r="K2361" s="51" t="s">
        <v>754</v>
      </c>
      <c r="L2361" s="102" t="s">
        <v>281</v>
      </c>
      <c r="M2361" s="19" t="str">
        <f t="shared" si="57"/>
        <v>Jan_2019</v>
      </c>
    </row>
    <row r="2362" spans="1:13">
      <c r="A2362" s="45" t="s">
        <v>22</v>
      </c>
      <c r="B2362" s="52" t="s">
        <v>27</v>
      </c>
      <c r="C2362" s="46">
        <v>43469</v>
      </c>
      <c r="D2362" s="47" t="s">
        <v>17</v>
      </c>
      <c r="E2362" s="48">
        <v>0.54166666666666663</v>
      </c>
      <c r="F2362" s="48">
        <v>0.89583333333333337</v>
      </c>
      <c r="G2362" s="49">
        <v>0</v>
      </c>
      <c r="H2362" s="49">
        <v>7.5000000000000018</v>
      </c>
      <c r="I2362" s="49">
        <v>7.5000000000000018</v>
      </c>
      <c r="J2362" s="53" t="s">
        <v>30</v>
      </c>
      <c r="K2362" s="51" t="s">
        <v>754</v>
      </c>
      <c r="L2362" s="102" t="s">
        <v>281</v>
      </c>
      <c r="M2362" s="19" t="str">
        <f t="shared" si="57"/>
        <v>Jan_2019</v>
      </c>
    </row>
    <row r="2363" spans="1:13">
      <c r="A2363" s="45" t="s">
        <v>22</v>
      </c>
      <c r="B2363" s="52" t="s">
        <v>26</v>
      </c>
      <c r="C2363" s="46">
        <v>43469</v>
      </c>
      <c r="D2363" s="47" t="s">
        <v>17</v>
      </c>
      <c r="E2363" s="48">
        <v>0.35416666666666669</v>
      </c>
      <c r="F2363" s="48">
        <v>0.89583333333333337</v>
      </c>
      <c r="G2363" s="49">
        <v>0</v>
      </c>
      <c r="H2363" s="49">
        <v>12.000000000000002</v>
      </c>
      <c r="I2363" s="49">
        <v>12.000000000000002</v>
      </c>
      <c r="J2363" s="53" t="s">
        <v>30</v>
      </c>
      <c r="K2363" s="51" t="s">
        <v>754</v>
      </c>
      <c r="L2363" s="102" t="s">
        <v>281</v>
      </c>
      <c r="M2363" s="19" t="str">
        <f t="shared" si="57"/>
        <v>Jan_2019</v>
      </c>
    </row>
    <row r="2364" spans="1:13">
      <c r="A2364" s="45" t="s">
        <v>11</v>
      </c>
      <c r="B2364" s="52" t="s">
        <v>12</v>
      </c>
      <c r="C2364" s="54">
        <v>43472</v>
      </c>
      <c r="D2364" s="47" t="s">
        <v>16</v>
      </c>
      <c r="E2364" s="48">
        <v>0.72916666666666674</v>
      </c>
      <c r="F2364" s="48">
        <v>0.875</v>
      </c>
      <c r="G2364" s="49">
        <v>8.0000000000000036</v>
      </c>
      <c r="H2364" s="49">
        <v>3.4999999999999947</v>
      </c>
      <c r="I2364" s="49">
        <v>3.4999999999999947</v>
      </c>
      <c r="J2364" s="53" t="s">
        <v>30</v>
      </c>
      <c r="K2364" s="51" t="s">
        <v>755</v>
      </c>
      <c r="L2364" s="102">
        <v>1</v>
      </c>
      <c r="M2364" s="19" t="str">
        <f t="shared" si="57"/>
        <v>Jan_2019</v>
      </c>
    </row>
    <row r="2365" spans="1:13">
      <c r="A2365" s="45" t="s">
        <v>11</v>
      </c>
      <c r="B2365" s="52" t="s">
        <v>19</v>
      </c>
      <c r="C2365" s="46">
        <v>43472</v>
      </c>
      <c r="D2365" s="47" t="s">
        <v>16</v>
      </c>
      <c r="E2365" s="48">
        <v>0.72916666666666674</v>
      </c>
      <c r="F2365" s="48">
        <v>0.875</v>
      </c>
      <c r="G2365" s="49">
        <v>8.0000000000000036</v>
      </c>
      <c r="H2365" s="49">
        <v>3.4999999999999947</v>
      </c>
      <c r="I2365" s="49">
        <v>3.4999999999999947</v>
      </c>
      <c r="J2365" s="53" t="s">
        <v>30</v>
      </c>
      <c r="K2365" s="51" t="s">
        <v>755</v>
      </c>
      <c r="L2365" s="102">
        <v>1</v>
      </c>
      <c r="M2365" s="19" t="str">
        <f t="shared" si="57"/>
        <v>Jan_2019</v>
      </c>
    </row>
    <row r="2366" spans="1:13">
      <c r="A2366" s="45" t="s">
        <v>11</v>
      </c>
      <c r="B2366" s="52" t="s">
        <v>149</v>
      </c>
      <c r="C2366" s="46">
        <v>43472</v>
      </c>
      <c r="D2366" s="47" t="s">
        <v>16</v>
      </c>
      <c r="E2366" s="48">
        <v>0.64583333333333326</v>
      </c>
      <c r="F2366" s="48">
        <v>0.875</v>
      </c>
      <c r="G2366" s="49">
        <v>8.0000000000000036</v>
      </c>
      <c r="H2366" s="49">
        <v>5.4999999999999982</v>
      </c>
      <c r="I2366" s="49">
        <v>5.4999999999999982</v>
      </c>
      <c r="J2366" s="53" t="s">
        <v>30</v>
      </c>
      <c r="K2366" s="51" t="s">
        <v>755</v>
      </c>
      <c r="L2366" s="102">
        <v>1</v>
      </c>
      <c r="M2366" s="19" t="str">
        <f t="shared" si="57"/>
        <v>Jan_2019</v>
      </c>
    </row>
    <row r="2367" spans="1:13">
      <c r="A2367" s="45" t="s">
        <v>11</v>
      </c>
      <c r="B2367" s="52" t="s">
        <v>161</v>
      </c>
      <c r="C2367" s="46">
        <v>43472</v>
      </c>
      <c r="D2367" s="47" t="s">
        <v>16</v>
      </c>
      <c r="E2367" s="48">
        <v>0.72916666666666674</v>
      </c>
      <c r="F2367" s="48">
        <v>0.875</v>
      </c>
      <c r="G2367" s="49">
        <v>8.0000000000000036</v>
      </c>
      <c r="H2367" s="49">
        <v>3.4999999999999947</v>
      </c>
      <c r="I2367" s="49">
        <v>3.4999999999999947</v>
      </c>
      <c r="J2367" s="53" t="s">
        <v>30</v>
      </c>
      <c r="K2367" s="51" t="s">
        <v>755</v>
      </c>
      <c r="L2367" s="102">
        <v>1</v>
      </c>
      <c r="M2367" s="19" t="str">
        <f t="shared" si="57"/>
        <v>Jan_2019</v>
      </c>
    </row>
    <row r="2368" spans="1:13">
      <c r="A2368" s="45" t="s">
        <v>11</v>
      </c>
      <c r="B2368" s="52" t="s">
        <v>542</v>
      </c>
      <c r="C2368" s="46">
        <v>43472</v>
      </c>
      <c r="D2368" s="47" t="s">
        <v>16</v>
      </c>
      <c r="E2368" s="48">
        <v>0.72916666666666674</v>
      </c>
      <c r="F2368" s="48">
        <v>0.875</v>
      </c>
      <c r="G2368" s="49">
        <v>8.0000000000000036</v>
      </c>
      <c r="H2368" s="49">
        <v>3.4999999999999947</v>
      </c>
      <c r="I2368" s="49">
        <v>3.4999999999999947</v>
      </c>
      <c r="J2368" s="53" t="s">
        <v>30</v>
      </c>
      <c r="K2368" s="51" t="s">
        <v>755</v>
      </c>
      <c r="L2368" s="102">
        <v>1</v>
      </c>
      <c r="M2368" s="19" t="str">
        <f t="shared" si="57"/>
        <v>Jan_2019</v>
      </c>
    </row>
    <row r="2369" spans="1:13">
      <c r="A2369" s="45" t="s">
        <v>11</v>
      </c>
      <c r="B2369" s="52" t="s">
        <v>682</v>
      </c>
      <c r="C2369" s="46">
        <v>43472</v>
      </c>
      <c r="D2369" s="47" t="s">
        <v>16</v>
      </c>
      <c r="E2369" s="48">
        <v>0.72916666666666674</v>
      </c>
      <c r="F2369" s="48">
        <v>0.875</v>
      </c>
      <c r="G2369" s="49">
        <v>8.0000000000000036</v>
      </c>
      <c r="H2369" s="49">
        <v>3.4999999999999947</v>
      </c>
      <c r="I2369" s="49">
        <v>3.4999999999999947</v>
      </c>
      <c r="J2369" s="53" t="s">
        <v>30</v>
      </c>
      <c r="K2369" s="51" t="s">
        <v>755</v>
      </c>
      <c r="L2369" s="102">
        <v>1</v>
      </c>
      <c r="M2369" s="19" t="str">
        <f t="shared" si="57"/>
        <v>Jan_2019</v>
      </c>
    </row>
    <row r="2370" spans="1:13">
      <c r="A2370" s="45" t="s">
        <v>11</v>
      </c>
      <c r="B2370" s="52" t="s">
        <v>683</v>
      </c>
      <c r="C2370" s="46">
        <v>43472</v>
      </c>
      <c r="D2370" s="47" t="s">
        <v>16</v>
      </c>
      <c r="E2370" s="48">
        <v>0.72916666666666674</v>
      </c>
      <c r="F2370" s="48">
        <v>0.875</v>
      </c>
      <c r="G2370" s="49">
        <v>8.0000000000000036</v>
      </c>
      <c r="H2370" s="49">
        <v>3.4999999999999947</v>
      </c>
      <c r="I2370" s="49">
        <v>3.4999999999999947</v>
      </c>
      <c r="J2370" s="53" t="s">
        <v>30</v>
      </c>
      <c r="K2370" s="51" t="s">
        <v>755</v>
      </c>
      <c r="L2370" s="102">
        <v>1</v>
      </c>
      <c r="M2370" s="19" t="str">
        <f t="shared" si="57"/>
        <v>Jan_2019</v>
      </c>
    </row>
    <row r="2371" spans="1:13">
      <c r="A2371" s="45" t="s">
        <v>11</v>
      </c>
      <c r="B2371" s="52" t="s">
        <v>684</v>
      </c>
      <c r="C2371" s="46">
        <v>43472</v>
      </c>
      <c r="D2371" s="47" t="s">
        <v>16</v>
      </c>
      <c r="E2371" s="48">
        <v>0.72916666666666674</v>
      </c>
      <c r="F2371" s="48">
        <v>0.875</v>
      </c>
      <c r="G2371" s="49">
        <v>8.0000000000000036</v>
      </c>
      <c r="H2371" s="49">
        <v>3.4999999999999947</v>
      </c>
      <c r="I2371" s="49">
        <v>3.4999999999999947</v>
      </c>
      <c r="J2371" s="53" t="s">
        <v>30</v>
      </c>
      <c r="K2371" s="51" t="s">
        <v>755</v>
      </c>
      <c r="L2371" s="102">
        <v>1</v>
      </c>
      <c r="M2371" s="19" t="str">
        <f t="shared" si="57"/>
        <v>Jan_2019</v>
      </c>
    </row>
    <row r="2372" spans="1:13">
      <c r="A2372" s="45" t="s">
        <v>22</v>
      </c>
      <c r="B2372" s="52" t="s">
        <v>662</v>
      </c>
      <c r="C2372" s="46">
        <v>43472</v>
      </c>
      <c r="D2372" s="47" t="s">
        <v>16</v>
      </c>
      <c r="E2372" s="48">
        <v>0.35416666666666669</v>
      </c>
      <c r="F2372" s="48">
        <v>0.875</v>
      </c>
      <c r="G2372" s="49">
        <v>0</v>
      </c>
      <c r="H2372" s="49">
        <v>11.499999999999998</v>
      </c>
      <c r="I2372" s="49">
        <v>11.499999999999998</v>
      </c>
      <c r="J2372" s="53" t="s">
        <v>30</v>
      </c>
      <c r="K2372" s="51" t="s">
        <v>755</v>
      </c>
      <c r="L2372" s="102" t="s">
        <v>281</v>
      </c>
      <c r="M2372" s="19" t="str">
        <f t="shared" si="57"/>
        <v>Jan_2019</v>
      </c>
    </row>
    <row r="2373" spans="1:13">
      <c r="A2373" s="45" t="s">
        <v>22</v>
      </c>
      <c r="B2373" s="52" t="s">
        <v>78</v>
      </c>
      <c r="C2373" s="46">
        <v>43472</v>
      </c>
      <c r="D2373" s="47" t="s">
        <v>16</v>
      </c>
      <c r="E2373" s="48">
        <v>0.35416666666666669</v>
      </c>
      <c r="F2373" s="48">
        <v>0.875</v>
      </c>
      <c r="G2373" s="49">
        <v>0</v>
      </c>
      <c r="H2373" s="49">
        <v>11.499999999999998</v>
      </c>
      <c r="I2373" s="49">
        <v>11.499999999999998</v>
      </c>
      <c r="J2373" s="53" t="s">
        <v>30</v>
      </c>
      <c r="K2373" s="51" t="s">
        <v>755</v>
      </c>
      <c r="L2373" s="102" t="s">
        <v>281</v>
      </c>
      <c r="M2373" s="19" t="str">
        <f t="shared" si="57"/>
        <v>Jan_2019</v>
      </c>
    </row>
    <row r="2374" spans="1:13">
      <c r="A2374" s="45" t="s">
        <v>22</v>
      </c>
      <c r="B2374" s="52" t="s">
        <v>26</v>
      </c>
      <c r="C2374" s="46">
        <v>43472</v>
      </c>
      <c r="D2374" s="47" t="s">
        <v>16</v>
      </c>
      <c r="E2374" s="48">
        <v>0.35416666666666669</v>
      </c>
      <c r="F2374" s="48">
        <v>0.72916666666666663</v>
      </c>
      <c r="G2374" s="49">
        <v>0</v>
      </c>
      <c r="H2374" s="49">
        <v>7.9999999999999982</v>
      </c>
      <c r="I2374" s="49">
        <v>7.9999999999999982</v>
      </c>
      <c r="J2374" s="53" t="s">
        <v>30</v>
      </c>
      <c r="K2374" s="51" t="s">
        <v>755</v>
      </c>
      <c r="L2374" s="102" t="s">
        <v>281</v>
      </c>
      <c r="M2374" s="19" t="str">
        <f t="shared" si="57"/>
        <v>Jan_2019</v>
      </c>
    </row>
    <row r="2375" spans="1:13">
      <c r="A2375" s="45" t="s">
        <v>22</v>
      </c>
      <c r="B2375" s="52" t="s">
        <v>756</v>
      </c>
      <c r="C2375" s="46">
        <v>43472</v>
      </c>
      <c r="D2375" s="47" t="s">
        <v>16</v>
      </c>
      <c r="E2375" s="48">
        <v>0.35416666666666669</v>
      </c>
      <c r="F2375" s="48">
        <v>0.72916666666666663</v>
      </c>
      <c r="G2375" s="49">
        <v>0</v>
      </c>
      <c r="H2375" s="49">
        <v>7.9999999999999982</v>
      </c>
      <c r="I2375" s="49">
        <v>7.9999999999999982</v>
      </c>
      <c r="J2375" s="53" t="s">
        <v>30</v>
      </c>
      <c r="K2375" s="51" t="s">
        <v>755</v>
      </c>
      <c r="L2375" s="102" t="s">
        <v>281</v>
      </c>
      <c r="M2375" s="19" t="str">
        <f t="shared" si="57"/>
        <v>Jan_2019</v>
      </c>
    </row>
    <row r="2376" spans="1:13">
      <c r="A2376" s="45" t="s">
        <v>11</v>
      </c>
      <c r="B2376" s="52" t="s">
        <v>12</v>
      </c>
      <c r="C2376" s="54">
        <v>43473</v>
      </c>
      <c r="D2376" s="47" t="s">
        <v>14</v>
      </c>
      <c r="E2376" s="48">
        <v>0.72916666666666674</v>
      </c>
      <c r="F2376" s="48">
        <v>0.83333333333333337</v>
      </c>
      <c r="G2376" s="49">
        <v>8.0000000000000036</v>
      </c>
      <c r="H2376" s="49">
        <v>2.4999999999999964</v>
      </c>
      <c r="I2376" s="49">
        <v>2.4999999999999964</v>
      </c>
      <c r="J2376" s="53" t="s">
        <v>30</v>
      </c>
      <c r="K2376" s="51" t="s">
        <v>757</v>
      </c>
      <c r="L2376" s="102">
        <v>1</v>
      </c>
      <c r="M2376" s="19" t="str">
        <f t="shared" si="57"/>
        <v>Jan_2019</v>
      </c>
    </row>
    <row r="2377" spans="1:13">
      <c r="A2377" s="45" t="s">
        <v>11</v>
      </c>
      <c r="B2377" s="52" t="s">
        <v>19</v>
      </c>
      <c r="C2377" s="46">
        <v>43473</v>
      </c>
      <c r="D2377" s="47" t="s">
        <v>14</v>
      </c>
      <c r="E2377" s="48">
        <v>0.64583333333333326</v>
      </c>
      <c r="F2377" s="48">
        <v>0.79166666666666663</v>
      </c>
      <c r="G2377" s="49">
        <v>8.0000000000000036</v>
      </c>
      <c r="H2377" s="49">
        <v>3.4999999999999947</v>
      </c>
      <c r="I2377" s="49">
        <v>3.4999999999999947</v>
      </c>
      <c r="J2377" s="53" t="s">
        <v>30</v>
      </c>
      <c r="K2377" s="51" t="s">
        <v>757</v>
      </c>
      <c r="L2377" s="102">
        <v>1</v>
      </c>
      <c r="M2377" s="19" t="str">
        <f t="shared" si="57"/>
        <v>Jan_2019</v>
      </c>
    </row>
    <row r="2378" spans="1:13">
      <c r="A2378" s="45" t="s">
        <v>11</v>
      </c>
      <c r="B2378" s="52" t="s">
        <v>149</v>
      </c>
      <c r="C2378" s="46">
        <v>43473</v>
      </c>
      <c r="D2378" s="47" t="s">
        <v>14</v>
      </c>
      <c r="E2378" s="48">
        <v>0.72916666666666674</v>
      </c>
      <c r="F2378" s="48">
        <v>0.83333333333333337</v>
      </c>
      <c r="G2378" s="49">
        <v>8.0000000000000036</v>
      </c>
      <c r="H2378" s="49">
        <v>2.4999999999999964</v>
      </c>
      <c r="I2378" s="49">
        <v>2.4999999999999964</v>
      </c>
      <c r="J2378" s="53" t="s">
        <v>30</v>
      </c>
      <c r="K2378" s="51" t="s">
        <v>757</v>
      </c>
      <c r="L2378" s="102">
        <v>1</v>
      </c>
      <c r="M2378" s="19" t="str">
        <f t="shared" si="57"/>
        <v>Jan_2019</v>
      </c>
    </row>
    <row r="2379" spans="1:13">
      <c r="A2379" s="45" t="s">
        <v>11</v>
      </c>
      <c r="B2379" s="52" t="s">
        <v>161</v>
      </c>
      <c r="C2379" s="46">
        <v>43473</v>
      </c>
      <c r="D2379" s="47" t="s">
        <v>14</v>
      </c>
      <c r="E2379" s="48">
        <v>0.72916666666666674</v>
      </c>
      <c r="F2379" s="48">
        <v>0.83333333333333337</v>
      </c>
      <c r="G2379" s="49">
        <v>8.0000000000000036</v>
      </c>
      <c r="H2379" s="49">
        <v>2.4999999999999964</v>
      </c>
      <c r="I2379" s="49">
        <v>2.4999999999999964</v>
      </c>
      <c r="J2379" s="53" t="s">
        <v>30</v>
      </c>
      <c r="K2379" s="51" t="s">
        <v>757</v>
      </c>
      <c r="L2379" s="102">
        <v>1</v>
      </c>
      <c r="M2379" s="19" t="str">
        <f t="shared" si="57"/>
        <v>Jan_2019</v>
      </c>
    </row>
    <row r="2380" spans="1:13">
      <c r="A2380" s="45" t="s">
        <v>11</v>
      </c>
      <c r="B2380" s="52" t="s">
        <v>542</v>
      </c>
      <c r="C2380" s="46">
        <v>43473</v>
      </c>
      <c r="D2380" s="47" t="s">
        <v>14</v>
      </c>
      <c r="E2380" s="48">
        <v>0.72916666666666674</v>
      </c>
      <c r="F2380" s="48">
        <v>0.83333333333333337</v>
      </c>
      <c r="G2380" s="49">
        <v>8.0000000000000036</v>
      </c>
      <c r="H2380" s="49">
        <v>2.4999999999999964</v>
      </c>
      <c r="I2380" s="49">
        <v>2.4999999999999964</v>
      </c>
      <c r="J2380" s="53" t="s">
        <v>30</v>
      </c>
      <c r="K2380" s="51" t="s">
        <v>757</v>
      </c>
      <c r="L2380" s="102">
        <v>1</v>
      </c>
      <c r="M2380" s="19" t="str">
        <f t="shared" si="57"/>
        <v>Jan_2019</v>
      </c>
    </row>
    <row r="2381" spans="1:13">
      <c r="A2381" s="45" t="s">
        <v>11</v>
      </c>
      <c r="B2381" s="52" t="s">
        <v>682</v>
      </c>
      <c r="C2381" s="46">
        <v>43473</v>
      </c>
      <c r="D2381" s="47" t="s">
        <v>14</v>
      </c>
      <c r="E2381" s="48">
        <v>0.72916666666666674</v>
      </c>
      <c r="F2381" s="48">
        <v>0.83333333333333337</v>
      </c>
      <c r="G2381" s="49">
        <v>8.0000000000000036</v>
      </c>
      <c r="H2381" s="49">
        <v>2.4999999999999964</v>
      </c>
      <c r="I2381" s="49">
        <v>2.4999999999999964</v>
      </c>
      <c r="J2381" s="53" t="s">
        <v>30</v>
      </c>
      <c r="K2381" s="51" t="s">
        <v>757</v>
      </c>
      <c r="L2381" s="102">
        <v>1</v>
      </c>
      <c r="M2381" s="19" t="str">
        <f t="shared" si="57"/>
        <v>Jan_2019</v>
      </c>
    </row>
    <row r="2382" spans="1:13">
      <c r="A2382" s="45" t="s">
        <v>11</v>
      </c>
      <c r="B2382" s="52" t="s">
        <v>683</v>
      </c>
      <c r="C2382" s="46">
        <v>43473</v>
      </c>
      <c r="D2382" s="47" t="s">
        <v>14</v>
      </c>
      <c r="E2382" s="48">
        <v>0.72916666666666674</v>
      </c>
      <c r="F2382" s="48">
        <v>0.83333333333333337</v>
      </c>
      <c r="G2382" s="49">
        <v>8.0000000000000036</v>
      </c>
      <c r="H2382" s="49">
        <v>2.4999999999999964</v>
      </c>
      <c r="I2382" s="49">
        <v>2.4999999999999964</v>
      </c>
      <c r="J2382" s="53" t="s">
        <v>30</v>
      </c>
      <c r="K2382" s="51" t="s">
        <v>757</v>
      </c>
      <c r="L2382" s="102">
        <v>1</v>
      </c>
      <c r="M2382" s="19" t="str">
        <f t="shared" si="57"/>
        <v>Jan_2019</v>
      </c>
    </row>
    <row r="2383" spans="1:13">
      <c r="A2383" s="45" t="s">
        <v>11</v>
      </c>
      <c r="B2383" s="52" t="s">
        <v>684</v>
      </c>
      <c r="C2383" s="46">
        <v>43473</v>
      </c>
      <c r="D2383" s="47" t="s">
        <v>14</v>
      </c>
      <c r="E2383" s="48">
        <v>0.72916666666666674</v>
      </c>
      <c r="F2383" s="48">
        <v>0.83333333333333337</v>
      </c>
      <c r="G2383" s="49">
        <v>8.0000000000000036</v>
      </c>
      <c r="H2383" s="49">
        <v>2.4999999999999964</v>
      </c>
      <c r="I2383" s="49">
        <v>2.4999999999999964</v>
      </c>
      <c r="J2383" s="53" t="s">
        <v>30</v>
      </c>
      <c r="K2383" s="51" t="s">
        <v>757</v>
      </c>
      <c r="L2383" s="102">
        <v>1</v>
      </c>
      <c r="M2383" s="19" t="str">
        <f t="shared" si="57"/>
        <v>Jan_2019</v>
      </c>
    </row>
    <row r="2384" spans="1:13">
      <c r="A2384" s="45" t="s">
        <v>22</v>
      </c>
      <c r="B2384" s="52" t="s">
        <v>662</v>
      </c>
      <c r="C2384" s="46">
        <v>43473</v>
      </c>
      <c r="D2384" s="47" t="s">
        <v>14</v>
      </c>
      <c r="E2384" s="48">
        <v>0.35416666666666669</v>
      </c>
      <c r="F2384" s="48">
        <v>0.83333333333333337</v>
      </c>
      <c r="G2384" s="49">
        <v>0</v>
      </c>
      <c r="H2384" s="49">
        <v>10.5</v>
      </c>
      <c r="I2384" s="49">
        <v>10.5</v>
      </c>
      <c r="J2384" s="53" t="s">
        <v>30</v>
      </c>
      <c r="K2384" s="51" t="s">
        <v>757</v>
      </c>
      <c r="L2384" s="102" t="s">
        <v>281</v>
      </c>
      <c r="M2384" s="19" t="str">
        <f t="shared" si="57"/>
        <v>Jan_2019</v>
      </c>
    </row>
    <row r="2385" spans="1:13">
      <c r="A2385" s="45" t="s">
        <v>22</v>
      </c>
      <c r="B2385" s="52" t="s">
        <v>27</v>
      </c>
      <c r="C2385" s="46">
        <v>43473</v>
      </c>
      <c r="D2385" s="47" t="s">
        <v>14</v>
      </c>
      <c r="E2385" s="48">
        <v>0.54166666666666663</v>
      </c>
      <c r="F2385" s="48">
        <v>0.83333333333333337</v>
      </c>
      <c r="G2385" s="49">
        <v>0</v>
      </c>
      <c r="H2385" s="49">
        <v>6.0000000000000018</v>
      </c>
      <c r="I2385" s="49">
        <v>6.0000000000000018</v>
      </c>
      <c r="J2385" s="53" t="s">
        <v>30</v>
      </c>
      <c r="K2385" s="51" t="s">
        <v>757</v>
      </c>
      <c r="L2385" s="102" t="s">
        <v>281</v>
      </c>
      <c r="M2385" s="19" t="str">
        <f t="shared" si="57"/>
        <v>Jan_2019</v>
      </c>
    </row>
    <row r="2386" spans="1:13">
      <c r="A2386" s="45" t="s">
        <v>22</v>
      </c>
      <c r="B2386" s="52" t="s">
        <v>26</v>
      </c>
      <c r="C2386" s="46">
        <v>43473</v>
      </c>
      <c r="D2386" s="47" t="s">
        <v>14</v>
      </c>
      <c r="E2386" s="48">
        <v>0.35416666666666669</v>
      </c>
      <c r="F2386" s="48">
        <v>0.5</v>
      </c>
      <c r="G2386" s="49">
        <v>0</v>
      </c>
      <c r="H2386" s="49">
        <v>3.4999999999999996</v>
      </c>
      <c r="I2386" s="49">
        <v>3.4999999999999996</v>
      </c>
      <c r="J2386" s="53" t="s">
        <v>30</v>
      </c>
      <c r="K2386" s="51" t="s">
        <v>757</v>
      </c>
      <c r="L2386" s="102" t="s">
        <v>281</v>
      </c>
      <c r="M2386" s="19" t="str">
        <f t="shared" si="57"/>
        <v>Jan_2019</v>
      </c>
    </row>
    <row r="2387" spans="1:13">
      <c r="A2387" s="45" t="s">
        <v>22</v>
      </c>
      <c r="B2387" s="52" t="s">
        <v>478</v>
      </c>
      <c r="C2387" s="46">
        <v>43473</v>
      </c>
      <c r="D2387" s="47" t="s">
        <v>14</v>
      </c>
      <c r="E2387" s="48">
        <v>0.35416666666666669</v>
      </c>
      <c r="F2387" s="48">
        <v>0.83333333333333337</v>
      </c>
      <c r="G2387" s="49">
        <v>0</v>
      </c>
      <c r="H2387" s="49">
        <v>10.5</v>
      </c>
      <c r="I2387" s="49">
        <v>10.5</v>
      </c>
      <c r="J2387" s="53" t="s">
        <v>30</v>
      </c>
      <c r="K2387" s="51" t="s">
        <v>757</v>
      </c>
      <c r="L2387" s="102" t="s">
        <v>281</v>
      </c>
      <c r="M2387" s="19" t="str">
        <f t="shared" si="57"/>
        <v>Jan_2019</v>
      </c>
    </row>
    <row r="2388" spans="1:13">
      <c r="A2388" s="45" t="s">
        <v>22</v>
      </c>
      <c r="B2388" s="52" t="s">
        <v>756</v>
      </c>
      <c r="C2388" s="46">
        <v>43473</v>
      </c>
      <c r="D2388" s="47" t="s">
        <v>14</v>
      </c>
      <c r="E2388" s="48">
        <v>0.5625</v>
      </c>
      <c r="F2388" s="48">
        <v>0.83333333333333337</v>
      </c>
      <c r="G2388" s="49">
        <v>0</v>
      </c>
      <c r="H2388" s="49">
        <v>5.5000000000000009</v>
      </c>
      <c r="I2388" s="49">
        <v>5.5000000000000009</v>
      </c>
      <c r="J2388" s="53" t="s">
        <v>30</v>
      </c>
      <c r="K2388" s="51" t="s">
        <v>757</v>
      </c>
      <c r="L2388" s="102" t="s">
        <v>281</v>
      </c>
      <c r="M2388" s="19" t="str">
        <f t="shared" si="57"/>
        <v>Jan_2019</v>
      </c>
    </row>
    <row r="2389" spans="1:13">
      <c r="A2389" s="45" t="s">
        <v>22</v>
      </c>
      <c r="B2389" s="52" t="s">
        <v>662</v>
      </c>
      <c r="C2389" s="46">
        <v>43474</v>
      </c>
      <c r="D2389" s="47" t="s">
        <v>15</v>
      </c>
      <c r="E2389" s="48">
        <v>0.35416666666666669</v>
      </c>
      <c r="F2389" s="48">
        <v>0.72916666666666663</v>
      </c>
      <c r="G2389" s="49">
        <v>0</v>
      </c>
      <c r="H2389" s="49">
        <v>7.9999999999999982</v>
      </c>
      <c r="I2389" s="49">
        <v>7.9999999999999982</v>
      </c>
      <c r="J2389" s="53" t="s">
        <v>30</v>
      </c>
      <c r="K2389" s="51" t="s">
        <v>758</v>
      </c>
      <c r="L2389" s="102" t="s">
        <v>281</v>
      </c>
      <c r="M2389" s="19" t="str">
        <f t="shared" si="57"/>
        <v>Jan_2019</v>
      </c>
    </row>
    <row r="2390" spans="1:13">
      <c r="A2390" s="45" t="s">
        <v>22</v>
      </c>
      <c r="B2390" s="52" t="s">
        <v>662</v>
      </c>
      <c r="C2390" s="46">
        <v>43475</v>
      </c>
      <c r="D2390" s="47" t="s">
        <v>25</v>
      </c>
      <c r="E2390" s="48">
        <v>0.35416666666666669</v>
      </c>
      <c r="F2390" s="48">
        <v>0.72916666666666663</v>
      </c>
      <c r="G2390" s="49">
        <v>0</v>
      </c>
      <c r="H2390" s="49">
        <v>7.9999999999999982</v>
      </c>
      <c r="I2390" s="49">
        <v>7.9999999999999982</v>
      </c>
      <c r="J2390" s="53" t="s">
        <v>30</v>
      </c>
      <c r="K2390" s="51" t="s">
        <v>759</v>
      </c>
      <c r="L2390" s="102" t="s">
        <v>281</v>
      </c>
      <c r="M2390" s="19" t="str">
        <f t="shared" si="57"/>
        <v>Jan_2019</v>
      </c>
    </row>
    <row r="2391" spans="1:13">
      <c r="A2391" s="45" t="s">
        <v>22</v>
      </c>
      <c r="B2391" s="52" t="s">
        <v>662</v>
      </c>
      <c r="C2391" s="46">
        <v>43476</v>
      </c>
      <c r="D2391" s="47" t="s">
        <v>17</v>
      </c>
      <c r="E2391" s="48">
        <v>0.35416666666666669</v>
      </c>
      <c r="F2391" s="48">
        <v>0.72916666666666663</v>
      </c>
      <c r="G2391" s="49">
        <v>0</v>
      </c>
      <c r="H2391" s="49">
        <v>7.9999999999999982</v>
      </c>
      <c r="I2391" s="49">
        <v>7.9999999999999982</v>
      </c>
      <c r="J2391" s="53" t="s">
        <v>30</v>
      </c>
      <c r="K2391" s="51" t="s">
        <v>760</v>
      </c>
      <c r="L2391" s="102" t="s">
        <v>281</v>
      </c>
      <c r="M2391" s="19" t="str">
        <f t="shared" si="57"/>
        <v>Jan_2019</v>
      </c>
    </row>
    <row r="2392" spans="1:13">
      <c r="A2392" s="45" t="s">
        <v>22</v>
      </c>
      <c r="B2392" s="52" t="s">
        <v>26</v>
      </c>
      <c r="C2392" s="46">
        <v>43476</v>
      </c>
      <c r="D2392" s="47" t="s">
        <v>17</v>
      </c>
      <c r="E2392" s="48">
        <v>0.35416666666666669</v>
      </c>
      <c r="F2392" s="48">
        <v>0.72916666666666663</v>
      </c>
      <c r="G2392" s="49">
        <v>0</v>
      </c>
      <c r="H2392" s="49">
        <v>7.9999999999999982</v>
      </c>
      <c r="I2392" s="49">
        <v>7.9999999999999982</v>
      </c>
      <c r="J2392" s="53" t="s">
        <v>30</v>
      </c>
      <c r="K2392" s="51" t="s">
        <v>760</v>
      </c>
      <c r="L2392" s="102" t="s">
        <v>281</v>
      </c>
      <c r="M2392" s="19" t="str">
        <f t="shared" si="57"/>
        <v>Jan_2019</v>
      </c>
    </row>
    <row r="2393" spans="1:13">
      <c r="A2393" s="45" t="s">
        <v>22</v>
      </c>
      <c r="B2393" s="52" t="s">
        <v>662</v>
      </c>
      <c r="C2393" s="46">
        <v>43480</v>
      </c>
      <c r="D2393" s="47" t="s">
        <v>14</v>
      </c>
      <c r="E2393" s="48">
        <v>0.35416666666666669</v>
      </c>
      <c r="F2393" s="48">
        <v>0.72916666666666663</v>
      </c>
      <c r="G2393" s="49">
        <v>0</v>
      </c>
      <c r="H2393" s="49">
        <v>7.9999999999999982</v>
      </c>
      <c r="I2393" s="49">
        <v>7.9999999999999982</v>
      </c>
      <c r="J2393" s="53" t="s">
        <v>30</v>
      </c>
      <c r="K2393" s="51" t="s">
        <v>761</v>
      </c>
      <c r="L2393" s="102" t="s">
        <v>281</v>
      </c>
      <c r="M2393" s="19" t="str">
        <f t="shared" si="57"/>
        <v>Jan_2019</v>
      </c>
    </row>
    <row r="2394" spans="1:13">
      <c r="A2394" s="45" t="s">
        <v>22</v>
      </c>
      <c r="B2394" s="52" t="s">
        <v>662</v>
      </c>
      <c r="C2394" s="46">
        <v>43482</v>
      </c>
      <c r="D2394" s="47" t="s">
        <v>25</v>
      </c>
      <c r="E2394" s="48">
        <v>0.35416666666666669</v>
      </c>
      <c r="F2394" s="48">
        <v>0.72916666666666663</v>
      </c>
      <c r="G2394" s="49">
        <v>0</v>
      </c>
      <c r="H2394" s="49">
        <v>7.9999999999999982</v>
      </c>
      <c r="I2394" s="49">
        <v>7.9999999999999982</v>
      </c>
      <c r="J2394" s="53" t="s">
        <v>30</v>
      </c>
      <c r="K2394" s="51" t="s">
        <v>762</v>
      </c>
      <c r="L2394" s="102" t="s">
        <v>281</v>
      </c>
      <c r="M2394" s="19" t="str">
        <f t="shared" si="57"/>
        <v>Jan_2019</v>
      </c>
    </row>
    <row r="2395" spans="1:13">
      <c r="A2395" s="45" t="s">
        <v>22</v>
      </c>
      <c r="B2395" s="52" t="s">
        <v>662</v>
      </c>
      <c r="C2395" s="46">
        <v>43483</v>
      </c>
      <c r="D2395" s="47" t="s">
        <v>17</v>
      </c>
      <c r="E2395" s="48">
        <v>0.35416666666666669</v>
      </c>
      <c r="F2395" s="48">
        <v>0.72916666666666663</v>
      </c>
      <c r="G2395" s="49">
        <v>0</v>
      </c>
      <c r="H2395" s="49">
        <v>7.9999999999999982</v>
      </c>
      <c r="I2395" s="49">
        <v>7.9999999999999982</v>
      </c>
      <c r="J2395" s="53" t="s">
        <v>30</v>
      </c>
      <c r="K2395" s="51" t="s">
        <v>763</v>
      </c>
      <c r="L2395" s="102" t="s">
        <v>281</v>
      </c>
      <c r="M2395" s="19" t="str">
        <f t="shared" si="57"/>
        <v>Jan_2019</v>
      </c>
    </row>
    <row r="2396" spans="1:13">
      <c r="A2396" s="45" t="s">
        <v>22</v>
      </c>
      <c r="B2396" s="52" t="s">
        <v>662</v>
      </c>
      <c r="C2396" s="46">
        <v>43486</v>
      </c>
      <c r="D2396" s="47" t="s">
        <v>16</v>
      </c>
      <c r="E2396" s="48">
        <v>0.35416666666666669</v>
      </c>
      <c r="F2396" s="48">
        <v>0.72916666666666663</v>
      </c>
      <c r="G2396" s="49">
        <v>0</v>
      </c>
      <c r="H2396" s="49">
        <v>7.9999999999999982</v>
      </c>
      <c r="I2396" s="49">
        <v>7.9999999999999982</v>
      </c>
      <c r="J2396" s="53" t="s">
        <v>30</v>
      </c>
      <c r="K2396" s="51" t="s">
        <v>764</v>
      </c>
      <c r="L2396" s="102" t="s">
        <v>281</v>
      </c>
      <c r="M2396" s="19" t="str">
        <f t="shared" ref="M2396:M2413" si="58">IF($C2396="","",TEXT(DATE(YEAR($C2396),MONTH($C2396),DAY($C2396)),"MMM")&amp;"_"&amp;YEAR($C2396))</f>
        <v>Jan_2019</v>
      </c>
    </row>
    <row r="2397" spans="1:13">
      <c r="A2397" s="45" t="s">
        <v>22</v>
      </c>
      <c r="B2397" s="52" t="s">
        <v>662</v>
      </c>
      <c r="C2397" s="46">
        <v>43488</v>
      </c>
      <c r="D2397" s="47" t="s">
        <v>15</v>
      </c>
      <c r="E2397" s="48">
        <v>0.54166666666666663</v>
      </c>
      <c r="F2397" s="48">
        <v>0.72916666666666663</v>
      </c>
      <c r="G2397" s="49">
        <v>0</v>
      </c>
      <c r="H2397" s="49">
        <v>4.5</v>
      </c>
      <c r="I2397" s="49">
        <v>4.5</v>
      </c>
      <c r="J2397" s="53" t="s">
        <v>30</v>
      </c>
      <c r="K2397" s="51" t="s">
        <v>765</v>
      </c>
      <c r="L2397" s="102" t="s">
        <v>281</v>
      </c>
      <c r="M2397" s="19" t="str">
        <f t="shared" si="58"/>
        <v>Jan_2019</v>
      </c>
    </row>
    <row r="2398" spans="1:13">
      <c r="A2398" s="45" t="s">
        <v>22</v>
      </c>
      <c r="B2398" s="52" t="s">
        <v>27</v>
      </c>
      <c r="C2398" s="46">
        <v>43488</v>
      </c>
      <c r="D2398" s="47" t="s">
        <v>15</v>
      </c>
      <c r="E2398" s="48">
        <v>0.41666666666666669</v>
      </c>
      <c r="F2398" s="48">
        <v>0.47916666666666669</v>
      </c>
      <c r="G2398" s="49">
        <v>0</v>
      </c>
      <c r="H2398" s="49">
        <v>1.5</v>
      </c>
      <c r="I2398" s="49">
        <v>1.5</v>
      </c>
      <c r="J2398" s="53" t="s">
        <v>30</v>
      </c>
      <c r="K2398" s="51" t="s">
        <v>765</v>
      </c>
      <c r="L2398" s="102" t="s">
        <v>281</v>
      </c>
      <c r="M2398" s="19" t="str">
        <f t="shared" si="58"/>
        <v>Jan_2019</v>
      </c>
    </row>
    <row r="2399" spans="1:13">
      <c r="A2399" s="45" t="s">
        <v>22</v>
      </c>
      <c r="B2399" s="52" t="s">
        <v>26</v>
      </c>
      <c r="C2399" s="46">
        <v>43488</v>
      </c>
      <c r="D2399" s="47" t="s">
        <v>15</v>
      </c>
      <c r="E2399" s="48">
        <v>0.54166666666666663</v>
      </c>
      <c r="F2399" s="48">
        <v>0.72916666666666663</v>
      </c>
      <c r="G2399" s="49">
        <v>0</v>
      </c>
      <c r="H2399" s="49">
        <v>4.5</v>
      </c>
      <c r="I2399" s="49">
        <v>4.5</v>
      </c>
      <c r="J2399" s="53" t="s">
        <v>30</v>
      </c>
      <c r="K2399" s="51" t="s">
        <v>765</v>
      </c>
      <c r="L2399" s="102" t="s">
        <v>281</v>
      </c>
      <c r="M2399" s="19" t="str">
        <f t="shared" si="58"/>
        <v>Jan_2019</v>
      </c>
    </row>
    <row r="2400" spans="1:13">
      <c r="A2400" s="45" t="s">
        <v>22</v>
      </c>
      <c r="B2400" s="52" t="s">
        <v>662</v>
      </c>
      <c r="C2400" s="46">
        <v>43489</v>
      </c>
      <c r="D2400" s="47" t="s">
        <v>25</v>
      </c>
      <c r="E2400" s="48">
        <v>0.35416666666666669</v>
      </c>
      <c r="F2400" s="48">
        <v>0.72916666666666663</v>
      </c>
      <c r="G2400" s="49">
        <v>0</v>
      </c>
      <c r="H2400" s="49">
        <v>7.9999999999999982</v>
      </c>
      <c r="I2400" s="49">
        <v>7.9999999999999982</v>
      </c>
      <c r="J2400" s="53" t="s">
        <v>30</v>
      </c>
      <c r="K2400" s="51" t="s">
        <v>766</v>
      </c>
      <c r="L2400" s="102" t="s">
        <v>281</v>
      </c>
      <c r="M2400" s="19" t="str">
        <f t="shared" si="58"/>
        <v>Jan_2019</v>
      </c>
    </row>
    <row r="2401" spans="1:13">
      <c r="A2401" s="45" t="s">
        <v>22</v>
      </c>
      <c r="B2401" s="52" t="s">
        <v>26</v>
      </c>
      <c r="C2401" s="46">
        <v>43489</v>
      </c>
      <c r="D2401" s="47" t="s">
        <v>25</v>
      </c>
      <c r="E2401" s="48">
        <v>0.35416666666666669</v>
      </c>
      <c r="F2401" s="48">
        <v>0.72916666666666663</v>
      </c>
      <c r="G2401" s="49">
        <v>0</v>
      </c>
      <c r="H2401" s="49">
        <v>7.9999999999999982</v>
      </c>
      <c r="I2401" s="49">
        <v>7.9999999999999982</v>
      </c>
      <c r="J2401" s="53" t="s">
        <v>30</v>
      </c>
      <c r="K2401" s="51" t="s">
        <v>766</v>
      </c>
      <c r="L2401" s="102" t="s">
        <v>281</v>
      </c>
      <c r="M2401" s="19" t="str">
        <f t="shared" si="58"/>
        <v>Jan_2019</v>
      </c>
    </row>
    <row r="2402" spans="1:13">
      <c r="A2402" s="45" t="s">
        <v>22</v>
      </c>
      <c r="B2402" s="52" t="s">
        <v>662</v>
      </c>
      <c r="C2402" s="46">
        <v>43490</v>
      </c>
      <c r="D2402" s="47" t="s">
        <v>17</v>
      </c>
      <c r="E2402" s="48">
        <v>0.29166666666666669</v>
      </c>
      <c r="F2402" s="48">
        <v>0.66666666666666663</v>
      </c>
      <c r="G2402" s="49">
        <v>0</v>
      </c>
      <c r="H2402" s="49">
        <v>7.9999999999999982</v>
      </c>
      <c r="I2402" s="49">
        <v>7.9999999999999982</v>
      </c>
      <c r="J2402" s="53" t="s">
        <v>30</v>
      </c>
      <c r="K2402" s="51" t="s">
        <v>767</v>
      </c>
      <c r="L2402" s="102" t="s">
        <v>281</v>
      </c>
      <c r="M2402" s="19" t="str">
        <f t="shared" si="58"/>
        <v>Jan_2019</v>
      </c>
    </row>
    <row r="2403" spans="1:13">
      <c r="A2403" s="45" t="s">
        <v>22</v>
      </c>
      <c r="B2403" s="52" t="s">
        <v>662</v>
      </c>
      <c r="C2403" s="46">
        <v>43493</v>
      </c>
      <c r="D2403" s="47" t="s">
        <v>16</v>
      </c>
      <c r="E2403" s="48">
        <v>0.35416666666666669</v>
      </c>
      <c r="F2403" s="48">
        <v>0.72916666666666663</v>
      </c>
      <c r="G2403" s="49">
        <v>0</v>
      </c>
      <c r="H2403" s="49">
        <v>7.9999999999999982</v>
      </c>
      <c r="I2403" s="49">
        <v>7.9999999999999982</v>
      </c>
      <c r="J2403" s="53" t="s">
        <v>30</v>
      </c>
      <c r="K2403" s="51" t="s">
        <v>768</v>
      </c>
      <c r="L2403" s="102" t="s">
        <v>281</v>
      </c>
      <c r="M2403" s="19" t="str">
        <f t="shared" si="58"/>
        <v>Jan_2019</v>
      </c>
    </row>
    <row r="2404" spans="1:13">
      <c r="A2404" s="45" t="s">
        <v>22</v>
      </c>
      <c r="B2404" s="52" t="s">
        <v>78</v>
      </c>
      <c r="C2404" s="46">
        <v>43493</v>
      </c>
      <c r="D2404" s="47" t="s">
        <v>16</v>
      </c>
      <c r="E2404" s="48">
        <v>0.41666666666666669</v>
      </c>
      <c r="F2404" s="48">
        <v>0.72916666666666663</v>
      </c>
      <c r="G2404" s="49">
        <v>0</v>
      </c>
      <c r="H2404" s="49">
        <v>6.4999999999999982</v>
      </c>
      <c r="I2404" s="49">
        <v>6.4999999999999982</v>
      </c>
      <c r="J2404" s="53" t="s">
        <v>30</v>
      </c>
      <c r="K2404" s="51" t="s">
        <v>768</v>
      </c>
      <c r="L2404" s="102" t="s">
        <v>281</v>
      </c>
      <c r="M2404" s="19" t="str">
        <f t="shared" si="58"/>
        <v>Jan_2019</v>
      </c>
    </row>
    <row r="2405" spans="1:13">
      <c r="A2405" s="45" t="s">
        <v>22</v>
      </c>
      <c r="B2405" s="52" t="s">
        <v>26</v>
      </c>
      <c r="C2405" s="46">
        <v>43493</v>
      </c>
      <c r="D2405" s="47" t="s">
        <v>16</v>
      </c>
      <c r="E2405" s="48">
        <v>0.35416666666666669</v>
      </c>
      <c r="F2405" s="48">
        <v>0.72916666666666663</v>
      </c>
      <c r="G2405" s="49">
        <v>0</v>
      </c>
      <c r="H2405" s="49">
        <v>7.9999999999999982</v>
      </c>
      <c r="I2405" s="49">
        <v>7.9999999999999982</v>
      </c>
      <c r="J2405" s="53" t="s">
        <v>30</v>
      </c>
      <c r="K2405" s="51" t="s">
        <v>768</v>
      </c>
      <c r="L2405" s="102" t="s">
        <v>281</v>
      </c>
      <c r="M2405" s="19" t="str">
        <f t="shared" si="58"/>
        <v>Jan_2019</v>
      </c>
    </row>
    <row r="2406" spans="1:13">
      <c r="A2406" s="45" t="s">
        <v>22</v>
      </c>
      <c r="B2406" s="52" t="s">
        <v>662</v>
      </c>
      <c r="C2406" s="46">
        <v>43494</v>
      </c>
      <c r="D2406" s="47" t="s">
        <v>14</v>
      </c>
      <c r="E2406" s="48">
        <v>0.35416666666666669</v>
      </c>
      <c r="F2406" s="48">
        <v>0.72916666666666663</v>
      </c>
      <c r="G2406" s="49">
        <v>0</v>
      </c>
      <c r="H2406" s="49">
        <v>7.9999999999999982</v>
      </c>
      <c r="I2406" s="49">
        <v>7.9999999999999982</v>
      </c>
      <c r="J2406" s="53" t="s">
        <v>30</v>
      </c>
      <c r="K2406" s="51" t="s">
        <v>769</v>
      </c>
      <c r="L2406" s="102" t="s">
        <v>281</v>
      </c>
      <c r="M2406" s="19" t="str">
        <f t="shared" si="58"/>
        <v>Jan_2019</v>
      </c>
    </row>
    <row r="2407" spans="1:13">
      <c r="A2407" s="45" t="s">
        <v>22</v>
      </c>
      <c r="B2407" s="52" t="s">
        <v>78</v>
      </c>
      <c r="C2407" s="46">
        <v>43494</v>
      </c>
      <c r="D2407" s="47" t="s">
        <v>14</v>
      </c>
      <c r="E2407" s="48">
        <v>0.35416666666666669</v>
      </c>
      <c r="F2407" s="48">
        <v>0.72916666666666663</v>
      </c>
      <c r="G2407" s="49">
        <v>0</v>
      </c>
      <c r="H2407" s="49">
        <v>7.9999999999999982</v>
      </c>
      <c r="I2407" s="49">
        <v>7.9999999999999982</v>
      </c>
      <c r="J2407" s="53" t="s">
        <v>30</v>
      </c>
      <c r="K2407" s="51" t="s">
        <v>769</v>
      </c>
      <c r="L2407" s="102" t="s">
        <v>281</v>
      </c>
      <c r="M2407" s="19" t="str">
        <f t="shared" si="58"/>
        <v>Jan_2019</v>
      </c>
    </row>
    <row r="2408" spans="1:13">
      <c r="A2408" s="45" t="s">
        <v>22</v>
      </c>
      <c r="B2408" s="52" t="s">
        <v>26</v>
      </c>
      <c r="C2408" s="46">
        <v>43494</v>
      </c>
      <c r="D2408" s="47" t="s">
        <v>14</v>
      </c>
      <c r="E2408" s="48">
        <v>0.35416666666666669</v>
      </c>
      <c r="F2408" s="48">
        <v>0.72916666666666663</v>
      </c>
      <c r="G2408" s="49">
        <v>0</v>
      </c>
      <c r="H2408" s="49">
        <v>7.9999999999999982</v>
      </c>
      <c r="I2408" s="49">
        <v>7.9999999999999982</v>
      </c>
      <c r="J2408" s="53" t="s">
        <v>30</v>
      </c>
      <c r="K2408" s="51" t="s">
        <v>769</v>
      </c>
      <c r="L2408" s="102" t="s">
        <v>281</v>
      </c>
      <c r="M2408" s="19" t="str">
        <f t="shared" si="58"/>
        <v>Jan_2019</v>
      </c>
    </row>
    <row r="2409" spans="1:13">
      <c r="A2409" s="45" t="s">
        <v>22</v>
      </c>
      <c r="B2409" s="52" t="s">
        <v>662</v>
      </c>
      <c r="C2409" s="46">
        <v>43495</v>
      </c>
      <c r="D2409" s="47" t="s">
        <v>15</v>
      </c>
      <c r="E2409" s="48">
        <v>0.35416666666666669</v>
      </c>
      <c r="F2409" s="48">
        <v>0.72916666666666663</v>
      </c>
      <c r="G2409" s="49">
        <v>0</v>
      </c>
      <c r="H2409" s="49">
        <v>7.9999999999999982</v>
      </c>
      <c r="I2409" s="49">
        <v>7.9999999999999982</v>
      </c>
      <c r="J2409" s="53" t="s">
        <v>30</v>
      </c>
      <c r="K2409" s="51" t="s">
        <v>770</v>
      </c>
      <c r="L2409" s="102" t="s">
        <v>281</v>
      </c>
      <c r="M2409" s="19" t="str">
        <f t="shared" si="58"/>
        <v>Jan_2019</v>
      </c>
    </row>
    <row r="2410" spans="1:13">
      <c r="A2410" s="45" t="s">
        <v>22</v>
      </c>
      <c r="B2410" s="52" t="s">
        <v>78</v>
      </c>
      <c r="C2410" s="46">
        <v>43495</v>
      </c>
      <c r="D2410" s="47" t="s">
        <v>15</v>
      </c>
      <c r="E2410" s="48">
        <v>0.35416666666666669</v>
      </c>
      <c r="F2410" s="48">
        <v>0.72916666666666663</v>
      </c>
      <c r="G2410" s="49">
        <v>0</v>
      </c>
      <c r="H2410" s="49">
        <v>7.9999999999999982</v>
      </c>
      <c r="I2410" s="49">
        <v>7.9999999999999982</v>
      </c>
      <c r="J2410" s="53" t="s">
        <v>30</v>
      </c>
      <c r="K2410" s="51" t="s">
        <v>770</v>
      </c>
      <c r="L2410" s="102" t="s">
        <v>281</v>
      </c>
      <c r="M2410" s="19" t="str">
        <f t="shared" si="58"/>
        <v>Jan_2019</v>
      </c>
    </row>
    <row r="2411" spans="1:13">
      <c r="A2411" s="45" t="s">
        <v>22</v>
      </c>
      <c r="B2411" s="52" t="s">
        <v>662</v>
      </c>
      <c r="C2411" s="46">
        <v>43496</v>
      </c>
      <c r="D2411" s="47" t="s">
        <v>25</v>
      </c>
      <c r="E2411" s="48">
        <v>0.35416666666666669</v>
      </c>
      <c r="F2411" s="48">
        <v>0.72916666666666663</v>
      </c>
      <c r="G2411" s="49">
        <v>0</v>
      </c>
      <c r="H2411" s="49">
        <v>7.9999999999999982</v>
      </c>
      <c r="I2411" s="49">
        <v>7.9999999999999982</v>
      </c>
      <c r="J2411" s="53" t="s">
        <v>30</v>
      </c>
      <c r="K2411" s="51" t="s">
        <v>771</v>
      </c>
      <c r="L2411" s="102" t="s">
        <v>281</v>
      </c>
      <c r="M2411" s="19" t="str">
        <f t="shared" si="58"/>
        <v>Jan_2019</v>
      </c>
    </row>
    <row r="2412" spans="1:13">
      <c r="A2412" s="45" t="s">
        <v>22</v>
      </c>
      <c r="B2412" s="52" t="s">
        <v>27</v>
      </c>
      <c r="C2412" s="46">
        <v>43496</v>
      </c>
      <c r="D2412" s="47" t="s">
        <v>25</v>
      </c>
      <c r="E2412" s="48">
        <v>0.35416666666666669</v>
      </c>
      <c r="F2412" s="48">
        <v>0.72916666666666663</v>
      </c>
      <c r="G2412" s="49">
        <v>0</v>
      </c>
      <c r="H2412" s="49">
        <v>7.9999999999999982</v>
      </c>
      <c r="I2412" s="49">
        <v>7.9999999999999982</v>
      </c>
      <c r="J2412" s="53" t="s">
        <v>30</v>
      </c>
      <c r="K2412" s="51" t="s">
        <v>771</v>
      </c>
      <c r="L2412" s="102" t="s">
        <v>281</v>
      </c>
      <c r="M2412" s="19" t="str">
        <f t="shared" si="58"/>
        <v>Jan_2019</v>
      </c>
    </row>
    <row r="2413" spans="1:13">
      <c r="A2413" s="45" t="s">
        <v>22</v>
      </c>
      <c r="B2413" s="52" t="s">
        <v>772</v>
      </c>
      <c r="C2413" s="46">
        <v>43496</v>
      </c>
      <c r="D2413" s="47" t="s">
        <v>25</v>
      </c>
      <c r="E2413" s="48">
        <v>0.35416666666666669</v>
      </c>
      <c r="F2413" s="48">
        <v>0.72916666666666663</v>
      </c>
      <c r="G2413" s="49">
        <v>0</v>
      </c>
      <c r="H2413" s="49">
        <v>7.9999999999999982</v>
      </c>
      <c r="I2413" s="49">
        <v>7.9999999999999982</v>
      </c>
      <c r="J2413" s="53" t="s">
        <v>30</v>
      </c>
      <c r="K2413" s="51" t="s">
        <v>771</v>
      </c>
      <c r="L2413" s="102" t="s">
        <v>281</v>
      </c>
      <c r="M2413" s="19" t="str">
        <f t="shared" si="58"/>
        <v>Jan_2019</v>
      </c>
    </row>
    <row r="2414" spans="1:13">
      <c r="A2414" s="45" t="s">
        <v>11</v>
      </c>
      <c r="B2414" s="52" t="s">
        <v>772</v>
      </c>
      <c r="C2414" s="46">
        <v>43497</v>
      </c>
      <c r="D2414" s="47" t="s">
        <v>17</v>
      </c>
      <c r="E2414" s="48">
        <v>0.35416666666666669</v>
      </c>
      <c r="F2414" s="48">
        <v>0.72916666666666663</v>
      </c>
      <c r="G2414" s="49">
        <v>0</v>
      </c>
      <c r="H2414" s="49">
        <v>8.0000000000000036</v>
      </c>
      <c r="I2414" s="49">
        <v>8.0000000000000036</v>
      </c>
      <c r="J2414" s="53" t="s">
        <v>30</v>
      </c>
      <c r="K2414" s="51" t="s">
        <v>773</v>
      </c>
      <c r="L2414" s="102" t="s">
        <v>281</v>
      </c>
      <c r="M2414" s="19" t="str">
        <f>IF($C2414="","",TEXT(DATE(YEAR($C2414),MONTH($C2414),DAY($C2414)),"MMM")&amp;"_"&amp;YEAR($C2414))</f>
        <v>Feb_2019</v>
      </c>
    </row>
    <row r="2415" spans="1:13">
      <c r="A2415" s="45" t="s">
        <v>22</v>
      </c>
      <c r="B2415" s="52" t="s">
        <v>662</v>
      </c>
      <c r="C2415" s="46">
        <v>43497</v>
      </c>
      <c r="D2415" s="47" t="s">
        <v>17</v>
      </c>
      <c r="E2415" s="48">
        <v>0.35416666666666669</v>
      </c>
      <c r="F2415" s="48">
        <v>0.72916666666666663</v>
      </c>
      <c r="G2415" s="49">
        <v>0</v>
      </c>
      <c r="H2415" s="49">
        <v>7.9999999999999982</v>
      </c>
      <c r="I2415" s="49">
        <v>7.9999999999999982</v>
      </c>
      <c r="J2415" s="53" t="s">
        <v>30</v>
      </c>
      <c r="K2415" s="51" t="s">
        <v>773</v>
      </c>
      <c r="L2415" s="102" t="s">
        <v>281</v>
      </c>
      <c r="M2415" s="19" t="str">
        <f t="shared" ref="M2415:M2461" si="59">IF($C2415="","",TEXT(DATE(YEAR($C2415),MONTH($C2415),DAY($C2415)),"MMM")&amp;"_"&amp;YEAR($C2415))</f>
        <v>Feb_2019</v>
      </c>
    </row>
    <row r="2416" spans="1:13">
      <c r="A2416" s="45" t="s">
        <v>22</v>
      </c>
      <c r="B2416" s="52" t="s">
        <v>78</v>
      </c>
      <c r="C2416" s="46">
        <v>43497</v>
      </c>
      <c r="D2416" s="47" t="s">
        <v>17</v>
      </c>
      <c r="E2416" s="48">
        <v>0.35416666666666669</v>
      </c>
      <c r="F2416" s="48">
        <v>0.72916666666666663</v>
      </c>
      <c r="G2416" s="49">
        <v>0</v>
      </c>
      <c r="H2416" s="49">
        <v>7.9999999999999982</v>
      </c>
      <c r="I2416" s="49">
        <v>7.9999999999999982</v>
      </c>
      <c r="J2416" s="53" t="s">
        <v>30</v>
      </c>
      <c r="K2416" s="51" t="s">
        <v>773</v>
      </c>
      <c r="L2416" s="102" t="s">
        <v>281</v>
      </c>
      <c r="M2416" s="19" t="str">
        <f t="shared" si="59"/>
        <v>Feb_2019</v>
      </c>
    </row>
    <row r="2417" spans="1:13">
      <c r="A2417" s="45" t="s">
        <v>22</v>
      </c>
      <c r="B2417" s="52" t="s">
        <v>27</v>
      </c>
      <c r="C2417" s="46">
        <v>43497</v>
      </c>
      <c r="D2417" s="47" t="s">
        <v>17</v>
      </c>
      <c r="E2417" s="48">
        <v>0.35416666666666669</v>
      </c>
      <c r="F2417" s="48">
        <v>0.72916666666666663</v>
      </c>
      <c r="G2417" s="49">
        <v>0</v>
      </c>
      <c r="H2417" s="49">
        <v>7.9999999999999982</v>
      </c>
      <c r="I2417" s="49">
        <v>7.9999999999999982</v>
      </c>
      <c r="J2417" s="53" t="s">
        <v>30</v>
      </c>
      <c r="K2417" s="51" t="s">
        <v>773</v>
      </c>
      <c r="L2417" s="102" t="s">
        <v>281</v>
      </c>
      <c r="M2417" s="19" t="str">
        <f t="shared" si="59"/>
        <v>Feb_2019</v>
      </c>
    </row>
    <row r="2418" spans="1:13">
      <c r="A2418" s="45" t="s">
        <v>22</v>
      </c>
      <c r="B2418" s="52" t="s">
        <v>662</v>
      </c>
      <c r="C2418" s="46">
        <v>43507</v>
      </c>
      <c r="D2418" s="47" t="s">
        <v>16</v>
      </c>
      <c r="E2418" s="48">
        <v>0.35416666666666669</v>
      </c>
      <c r="F2418" s="48">
        <v>0.72916666666666663</v>
      </c>
      <c r="G2418" s="49">
        <v>0</v>
      </c>
      <c r="H2418" s="49">
        <v>7.9999999999999982</v>
      </c>
      <c r="I2418" s="49">
        <v>7.9999999999999982</v>
      </c>
      <c r="J2418" s="53" t="s">
        <v>30</v>
      </c>
      <c r="K2418" s="51" t="s">
        <v>774</v>
      </c>
      <c r="L2418" s="102" t="s">
        <v>281</v>
      </c>
      <c r="M2418" s="19" t="str">
        <f t="shared" si="59"/>
        <v>Feb_2019</v>
      </c>
    </row>
    <row r="2419" spans="1:13">
      <c r="A2419" s="45" t="s">
        <v>22</v>
      </c>
      <c r="B2419" s="52" t="s">
        <v>78</v>
      </c>
      <c r="C2419" s="46">
        <v>43507</v>
      </c>
      <c r="D2419" s="47" t="s">
        <v>16</v>
      </c>
      <c r="E2419" s="48">
        <v>0.35416666666666669</v>
      </c>
      <c r="F2419" s="48">
        <v>0.6875</v>
      </c>
      <c r="G2419" s="49">
        <v>0</v>
      </c>
      <c r="H2419" s="49">
        <v>7</v>
      </c>
      <c r="I2419" s="49">
        <v>7</v>
      </c>
      <c r="J2419" s="53" t="s">
        <v>30</v>
      </c>
      <c r="K2419" s="51" t="s">
        <v>774</v>
      </c>
      <c r="L2419" s="102" t="s">
        <v>281</v>
      </c>
      <c r="M2419" s="19" t="str">
        <f t="shared" si="59"/>
        <v>Feb_2019</v>
      </c>
    </row>
    <row r="2420" spans="1:13">
      <c r="A2420" s="45" t="s">
        <v>22</v>
      </c>
      <c r="B2420" s="52" t="s">
        <v>27</v>
      </c>
      <c r="C2420" s="46">
        <v>43507</v>
      </c>
      <c r="D2420" s="47" t="s">
        <v>16</v>
      </c>
      <c r="E2420" s="48">
        <v>0.35416666666666669</v>
      </c>
      <c r="F2420" s="48">
        <v>0.6875</v>
      </c>
      <c r="G2420" s="49">
        <v>0</v>
      </c>
      <c r="H2420" s="49">
        <v>7</v>
      </c>
      <c r="I2420" s="49">
        <v>7</v>
      </c>
      <c r="J2420" s="53" t="s">
        <v>30</v>
      </c>
      <c r="K2420" s="51" t="s">
        <v>774</v>
      </c>
      <c r="L2420" s="102" t="s">
        <v>281</v>
      </c>
      <c r="M2420" s="19" t="str">
        <f t="shared" si="59"/>
        <v>Feb_2019</v>
      </c>
    </row>
    <row r="2421" spans="1:13">
      <c r="A2421" s="45" t="s">
        <v>22</v>
      </c>
      <c r="B2421" s="52" t="s">
        <v>662</v>
      </c>
      <c r="C2421" s="46">
        <v>43508</v>
      </c>
      <c r="D2421" s="47" t="s">
        <v>14</v>
      </c>
      <c r="E2421" s="48">
        <v>0.35416666666666669</v>
      </c>
      <c r="F2421" s="48">
        <v>0.72916666666666663</v>
      </c>
      <c r="G2421" s="49">
        <v>0</v>
      </c>
      <c r="H2421" s="49">
        <v>7.9999999999999982</v>
      </c>
      <c r="I2421" s="49">
        <v>7.9999999999999982</v>
      </c>
      <c r="J2421" s="53" t="s">
        <v>30</v>
      </c>
      <c r="K2421" s="51" t="s">
        <v>775</v>
      </c>
      <c r="L2421" s="102" t="s">
        <v>281</v>
      </c>
      <c r="M2421" s="19" t="str">
        <f t="shared" si="59"/>
        <v>Feb_2019</v>
      </c>
    </row>
    <row r="2422" spans="1:13">
      <c r="A2422" s="45" t="s">
        <v>22</v>
      </c>
      <c r="B2422" s="52" t="s">
        <v>662</v>
      </c>
      <c r="C2422" s="46">
        <v>43509</v>
      </c>
      <c r="D2422" s="47" t="s">
        <v>15</v>
      </c>
      <c r="E2422" s="48">
        <v>0.35416666666666669</v>
      </c>
      <c r="F2422" s="48">
        <v>0.72916666666666663</v>
      </c>
      <c r="G2422" s="49">
        <v>0</v>
      </c>
      <c r="H2422" s="49">
        <v>7.9999999999999982</v>
      </c>
      <c r="I2422" s="49">
        <v>7.9999999999999982</v>
      </c>
      <c r="J2422" s="53" t="s">
        <v>30</v>
      </c>
      <c r="K2422" s="51" t="s">
        <v>775</v>
      </c>
      <c r="L2422" s="102" t="s">
        <v>281</v>
      </c>
      <c r="M2422" s="19" t="str">
        <f t="shared" si="59"/>
        <v>Feb_2019</v>
      </c>
    </row>
    <row r="2423" spans="1:13">
      <c r="A2423" s="45" t="s">
        <v>22</v>
      </c>
      <c r="B2423" s="52" t="s">
        <v>662</v>
      </c>
      <c r="C2423" s="46">
        <v>43510</v>
      </c>
      <c r="D2423" s="47" t="s">
        <v>25</v>
      </c>
      <c r="E2423" s="48">
        <v>0.35416666666666669</v>
      </c>
      <c r="F2423" s="48">
        <v>0.72916666666666663</v>
      </c>
      <c r="G2423" s="49">
        <v>0</v>
      </c>
      <c r="H2423" s="49">
        <v>7.9999999999999982</v>
      </c>
      <c r="I2423" s="49">
        <v>7.9999999999999982</v>
      </c>
      <c r="J2423" s="53" t="s">
        <v>30</v>
      </c>
      <c r="K2423" s="51" t="s">
        <v>776</v>
      </c>
      <c r="L2423" s="102" t="s">
        <v>281</v>
      </c>
      <c r="M2423" s="19" t="str">
        <f t="shared" si="59"/>
        <v>Feb_2019</v>
      </c>
    </row>
    <row r="2424" spans="1:13">
      <c r="A2424" s="45" t="s">
        <v>11</v>
      </c>
      <c r="B2424" s="52" t="s">
        <v>12</v>
      </c>
      <c r="C2424" s="54">
        <v>43511</v>
      </c>
      <c r="D2424" s="47" t="s">
        <v>17</v>
      </c>
      <c r="E2424" s="48">
        <v>0.70833333333333326</v>
      </c>
      <c r="F2424" s="48">
        <v>0.875</v>
      </c>
      <c r="G2424" s="49">
        <v>8.0000000000000036</v>
      </c>
      <c r="H2424" s="49">
        <v>3.9999999999999982</v>
      </c>
      <c r="I2424" s="49">
        <v>3.9999999999999982</v>
      </c>
      <c r="J2424" s="53" t="s">
        <v>30</v>
      </c>
      <c r="K2424" s="51" t="s">
        <v>777</v>
      </c>
      <c r="L2424" s="102">
        <v>1</v>
      </c>
      <c r="M2424" s="19" t="str">
        <f t="shared" si="59"/>
        <v>Feb_2019</v>
      </c>
    </row>
    <row r="2425" spans="1:13">
      <c r="A2425" s="45" t="s">
        <v>11</v>
      </c>
      <c r="B2425" s="52" t="s">
        <v>19</v>
      </c>
      <c r="C2425" s="46">
        <v>43511</v>
      </c>
      <c r="D2425" s="47" t="s">
        <v>17</v>
      </c>
      <c r="E2425" s="48">
        <v>0.70833333333333326</v>
      </c>
      <c r="F2425" s="48">
        <v>0.875</v>
      </c>
      <c r="G2425" s="49">
        <v>8.0000000000000036</v>
      </c>
      <c r="H2425" s="49">
        <v>3.9999999999999982</v>
      </c>
      <c r="I2425" s="49">
        <v>3.9999999999999982</v>
      </c>
      <c r="J2425" s="53" t="s">
        <v>30</v>
      </c>
      <c r="K2425" s="51" t="s">
        <v>777</v>
      </c>
      <c r="L2425" s="102">
        <v>1</v>
      </c>
      <c r="M2425" s="19" t="str">
        <f t="shared" si="59"/>
        <v>Feb_2019</v>
      </c>
    </row>
    <row r="2426" spans="1:13">
      <c r="A2426" s="45" t="s">
        <v>11</v>
      </c>
      <c r="B2426" s="52" t="s">
        <v>149</v>
      </c>
      <c r="C2426" s="46">
        <v>43511</v>
      </c>
      <c r="D2426" s="47" t="s">
        <v>17</v>
      </c>
      <c r="E2426" s="48">
        <v>0.70833333333333326</v>
      </c>
      <c r="F2426" s="48">
        <v>0.875</v>
      </c>
      <c r="G2426" s="49">
        <v>8.0000000000000036</v>
      </c>
      <c r="H2426" s="49">
        <v>3.9999999999999982</v>
      </c>
      <c r="I2426" s="49">
        <v>3.9999999999999982</v>
      </c>
      <c r="J2426" s="53" t="s">
        <v>30</v>
      </c>
      <c r="K2426" s="51" t="s">
        <v>777</v>
      </c>
      <c r="L2426" s="102">
        <v>1</v>
      </c>
      <c r="M2426" s="19" t="str">
        <f t="shared" si="59"/>
        <v>Feb_2019</v>
      </c>
    </row>
    <row r="2427" spans="1:13">
      <c r="A2427" s="45" t="s">
        <v>11</v>
      </c>
      <c r="B2427" s="52" t="s">
        <v>161</v>
      </c>
      <c r="C2427" s="46">
        <v>43511</v>
      </c>
      <c r="D2427" s="47" t="s">
        <v>17</v>
      </c>
      <c r="E2427" s="48">
        <v>0.70833333333333326</v>
      </c>
      <c r="F2427" s="48">
        <v>0.875</v>
      </c>
      <c r="G2427" s="49">
        <v>8.0000000000000036</v>
      </c>
      <c r="H2427" s="49">
        <v>3.9999999999999982</v>
      </c>
      <c r="I2427" s="49">
        <v>3.9999999999999982</v>
      </c>
      <c r="J2427" s="53" t="s">
        <v>30</v>
      </c>
      <c r="K2427" s="51" t="s">
        <v>777</v>
      </c>
      <c r="L2427" s="102">
        <v>1</v>
      </c>
      <c r="M2427" s="19" t="str">
        <f t="shared" si="59"/>
        <v>Feb_2019</v>
      </c>
    </row>
    <row r="2428" spans="1:13">
      <c r="A2428" s="45" t="s">
        <v>11</v>
      </c>
      <c r="B2428" s="52" t="s">
        <v>542</v>
      </c>
      <c r="C2428" s="46">
        <v>43511</v>
      </c>
      <c r="D2428" s="47" t="s">
        <v>17</v>
      </c>
      <c r="E2428" s="48">
        <v>0.64583333333333326</v>
      </c>
      <c r="F2428" s="48">
        <v>0.875</v>
      </c>
      <c r="G2428" s="49">
        <v>8.0000000000000036</v>
      </c>
      <c r="H2428" s="49">
        <v>5.4999999999999982</v>
      </c>
      <c r="I2428" s="49">
        <v>5.4999999999999982</v>
      </c>
      <c r="J2428" s="53" t="s">
        <v>30</v>
      </c>
      <c r="K2428" s="51" t="s">
        <v>777</v>
      </c>
      <c r="L2428" s="102">
        <v>1</v>
      </c>
      <c r="M2428" s="19" t="str">
        <f t="shared" si="59"/>
        <v>Feb_2019</v>
      </c>
    </row>
    <row r="2429" spans="1:13">
      <c r="A2429" s="45" t="s">
        <v>11</v>
      </c>
      <c r="B2429" s="52" t="s">
        <v>547</v>
      </c>
      <c r="C2429" s="46">
        <v>43511</v>
      </c>
      <c r="D2429" s="47" t="s">
        <v>17</v>
      </c>
      <c r="E2429" s="48">
        <v>0.70833333333333326</v>
      </c>
      <c r="F2429" s="48">
        <v>0.875</v>
      </c>
      <c r="G2429" s="49">
        <v>8.0000000000000036</v>
      </c>
      <c r="H2429" s="49">
        <v>3.9999999999999982</v>
      </c>
      <c r="I2429" s="49">
        <v>3.9999999999999982</v>
      </c>
      <c r="J2429" s="53" t="s">
        <v>30</v>
      </c>
      <c r="K2429" s="51" t="s">
        <v>777</v>
      </c>
      <c r="L2429" s="102">
        <v>1</v>
      </c>
      <c r="M2429" s="19" t="str">
        <f t="shared" si="59"/>
        <v>Feb_2019</v>
      </c>
    </row>
    <row r="2430" spans="1:13">
      <c r="A2430" s="45" t="s">
        <v>11</v>
      </c>
      <c r="B2430" s="52" t="s">
        <v>684</v>
      </c>
      <c r="C2430" s="46">
        <v>43511</v>
      </c>
      <c r="D2430" s="47" t="s">
        <v>17</v>
      </c>
      <c r="E2430" s="48">
        <v>0.70833333333333326</v>
      </c>
      <c r="F2430" s="48">
        <v>0.72916666666666663</v>
      </c>
      <c r="G2430" s="49">
        <v>8.0000000000000036</v>
      </c>
      <c r="H2430" s="49">
        <v>0.49999999999999645</v>
      </c>
      <c r="I2430" s="49">
        <v>0.49999999999999645</v>
      </c>
      <c r="J2430" s="53" t="s">
        <v>30</v>
      </c>
      <c r="K2430" s="51" t="s">
        <v>777</v>
      </c>
      <c r="L2430" s="102" t="s">
        <v>281</v>
      </c>
      <c r="M2430" s="19" t="str">
        <f t="shared" si="59"/>
        <v>Feb_2019</v>
      </c>
    </row>
    <row r="2431" spans="1:13">
      <c r="A2431" s="45" t="s">
        <v>11</v>
      </c>
      <c r="B2431" s="52" t="s">
        <v>772</v>
      </c>
      <c r="C2431" s="46">
        <v>43511</v>
      </c>
      <c r="D2431" s="47" t="s">
        <v>17</v>
      </c>
      <c r="E2431" s="48">
        <v>0.70833333333333326</v>
      </c>
      <c r="F2431" s="48">
        <v>0.875</v>
      </c>
      <c r="G2431" s="49">
        <v>8.0000000000000036</v>
      </c>
      <c r="H2431" s="49">
        <v>3.9999999999999982</v>
      </c>
      <c r="I2431" s="49">
        <v>3.9999999999999982</v>
      </c>
      <c r="J2431" s="53" t="s">
        <v>30</v>
      </c>
      <c r="K2431" s="51" t="s">
        <v>777</v>
      </c>
      <c r="L2431" s="102">
        <v>1</v>
      </c>
      <c r="M2431" s="19" t="str">
        <f t="shared" si="59"/>
        <v>Feb_2019</v>
      </c>
    </row>
    <row r="2432" spans="1:13">
      <c r="A2432" s="45" t="s">
        <v>22</v>
      </c>
      <c r="B2432" s="52" t="s">
        <v>662</v>
      </c>
      <c r="C2432" s="46">
        <v>43511</v>
      </c>
      <c r="D2432" s="47" t="s">
        <v>17</v>
      </c>
      <c r="E2432" s="48">
        <v>0.33333333333333331</v>
      </c>
      <c r="F2432" s="48">
        <v>0.875</v>
      </c>
      <c r="G2432" s="49">
        <v>0</v>
      </c>
      <c r="H2432" s="49">
        <v>12.000000000000002</v>
      </c>
      <c r="I2432" s="49">
        <v>12.000000000000002</v>
      </c>
      <c r="J2432" s="53" t="s">
        <v>30</v>
      </c>
      <c r="K2432" s="51" t="s">
        <v>777</v>
      </c>
      <c r="L2432" s="102" t="s">
        <v>281</v>
      </c>
      <c r="M2432" s="19" t="str">
        <f t="shared" si="59"/>
        <v>Feb_2019</v>
      </c>
    </row>
    <row r="2433" spans="1:13">
      <c r="A2433" s="45" t="s">
        <v>22</v>
      </c>
      <c r="B2433" s="52" t="s">
        <v>78</v>
      </c>
      <c r="C2433" s="46">
        <v>43511</v>
      </c>
      <c r="D2433" s="47" t="s">
        <v>17</v>
      </c>
      <c r="E2433" s="48">
        <v>0.35416666666666669</v>
      </c>
      <c r="F2433" s="48">
        <v>0.72916666666666663</v>
      </c>
      <c r="G2433" s="49">
        <v>0</v>
      </c>
      <c r="H2433" s="49">
        <v>7.9999999999999982</v>
      </c>
      <c r="I2433" s="49">
        <v>7.9999999999999982</v>
      </c>
      <c r="J2433" s="53" t="s">
        <v>30</v>
      </c>
      <c r="K2433" s="51" t="s">
        <v>777</v>
      </c>
      <c r="L2433" s="102" t="s">
        <v>281</v>
      </c>
      <c r="M2433" s="19" t="str">
        <f t="shared" si="59"/>
        <v>Feb_2019</v>
      </c>
    </row>
    <row r="2434" spans="1:13">
      <c r="A2434" s="45" t="s">
        <v>22</v>
      </c>
      <c r="B2434" s="52" t="s">
        <v>27</v>
      </c>
      <c r="C2434" s="46">
        <v>43511</v>
      </c>
      <c r="D2434" s="47" t="s">
        <v>17</v>
      </c>
      <c r="E2434" s="48">
        <v>0.35416666666666669</v>
      </c>
      <c r="F2434" s="48">
        <v>0.5625</v>
      </c>
      <c r="G2434" s="49">
        <v>0</v>
      </c>
      <c r="H2434" s="49">
        <v>5</v>
      </c>
      <c r="I2434" s="49">
        <v>5</v>
      </c>
      <c r="J2434" s="53" t="s">
        <v>30</v>
      </c>
      <c r="K2434" s="51" t="s">
        <v>777</v>
      </c>
      <c r="L2434" s="102" t="s">
        <v>281</v>
      </c>
      <c r="M2434" s="19" t="str">
        <f t="shared" si="59"/>
        <v>Feb_2019</v>
      </c>
    </row>
    <row r="2435" spans="1:13">
      <c r="A2435" s="45" t="s">
        <v>11</v>
      </c>
      <c r="B2435" s="52" t="s">
        <v>12</v>
      </c>
      <c r="C2435" s="54">
        <v>43512</v>
      </c>
      <c r="D2435" s="47" t="s">
        <v>24</v>
      </c>
      <c r="E2435" s="48">
        <v>0.35416666666666669</v>
      </c>
      <c r="F2435" s="48">
        <v>0.72916666666666663</v>
      </c>
      <c r="G2435" s="49">
        <v>8.0000000000000036</v>
      </c>
      <c r="H2435" s="49">
        <v>0</v>
      </c>
      <c r="I2435" s="49">
        <v>8.0000000000000036</v>
      </c>
      <c r="J2435" s="53" t="s">
        <v>52</v>
      </c>
      <c r="K2435" s="51" t="s">
        <v>778</v>
      </c>
      <c r="L2435" s="102" t="s">
        <v>281</v>
      </c>
      <c r="M2435" s="19" t="str">
        <f t="shared" si="59"/>
        <v>Feb_2019</v>
      </c>
    </row>
    <row r="2436" spans="1:13">
      <c r="A2436" s="45" t="s">
        <v>11</v>
      </c>
      <c r="B2436" s="52" t="s">
        <v>19</v>
      </c>
      <c r="C2436" s="46">
        <v>43512</v>
      </c>
      <c r="D2436" s="47" t="s">
        <v>24</v>
      </c>
      <c r="E2436" s="48">
        <v>0.27083333333333331</v>
      </c>
      <c r="F2436" s="48">
        <v>0.64583333333333337</v>
      </c>
      <c r="G2436" s="49">
        <v>8.0000000000000036</v>
      </c>
      <c r="H2436" s="49">
        <v>0</v>
      </c>
      <c r="I2436" s="49">
        <v>8.0000000000000036</v>
      </c>
      <c r="J2436" s="53" t="s">
        <v>52</v>
      </c>
      <c r="K2436" s="51" t="s">
        <v>778</v>
      </c>
      <c r="L2436" s="102" t="s">
        <v>281</v>
      </c>
      <c r="M2436" s="19" t="str">
        <f t="shared" si="59"/>
        <v>Feb_2019</v>
      </c>
    </row>
    <row r="2437" spans="1:13">
      <c r="A2437" s="45" t="s">
        <v>11</v>
      </c>
      <c r="B2437" s="52" t="s">
        <v>149</v>
      </c>
      <c r="C2437" s="46">
        <v>43512</v>
      </c>
      <c r="D2437" s="47" t="s">
        <v>24</v>
      </c>
      <c r="E2437" s="48">
        <v>0.35416666666666669</v>
      </c>
      <c r="F2437" s="48">
        <v>0.72916666666666663</v>
      </c>
      <c r="G2437" s="49">
        <v>8.0000000000000036</v>
      </c>
      <c r="H2437" s="49">
        <v>0</v>
      </c>
      <c r="I2437" s="49">
        <v>8.0000000000000036</v>
      </c>
      <c r="J2437" s="53" t="s">
        <v>52</v>
      </c>
      <c r="K2437" s="51" t="s">
        <v>778</v>
      </c>
      <c r="L2437" s="102" t="s">
        <v>281</v>
      </c>
      <c r="M2437" s="19" t="str">
        <f t="shared" si="59"/>
        <v>Feb_2019</v>
      </c>
    </row>
    <row r="2438" spans="1:13">
      <c r="A2438" s="45" t="s">
        <v>11</v>
      </c>
      <c r="B2438" s="52" t="s">
        <v>161</v>
      </c>
      <c r="C2438" s="46">
        <v>43512</v>
      </c>
      <c r="D2438" s="47" t="s">
        <v>24</v>
      </c>
      <c r="E2438" s="48">
        <v>0.35416666666666669</v>
      </c>
      <c r="F2438" s="48">
        <v>0.72916666666666663</v>
      </c>
      <c r="G2438" s="49">
        <v>8.0000000000000036</v>
      </c>
      <c r="H2438" s="49">
        <v>0</v>
      </c>
      <c r="I2438" s="49">
        <v>8.0000000000000036</v>
      </c>
      <c r="J2438" s="53" t="s">
        <v>52</v>
      </c>
      <c r="K2438" s="51" t="s">
        <v>778</v>
      </c>
      <c r="L2438" s="102" t="s">
        <v>281</v>
      </c>
      <c r="M2438" s="19" t="str">
        <f t="shared" si="59"/>
        <v>Feb_2019</v>
      </c>
    </row>
    <row r="2439" spans="1:13">
      <c r="A2439" s="45" t="s">
        <v>11</v>
      </c>
      <c r="B2439" s="52" t="s">
        <v>542</v>
      </c>
      <c r="C2439" s="46">
        <v>43512</v>
      </c>
      <c r="D2439" s="47" t="s">
        <v>24</v>
      </c>
      <c r="E2439" s="48">
        <v>0.35416666666666669</v>
      </c>
      <c r="F2439" s="48">
        <v>0.72916666666666663</v>
      </c>
      <c r="G2439" s="49">
        <v>8.0000000000000036</v>
      </c>
      <c r="H2439" s="49">
        <v>0</v>
      </c>
      <c r="I2439" s="49">
        <v>8.0000000000000036</v>
      </c>
      <c r="J2439" s="53" t="s">
        <v>52</v>
      </c>
      <c r="K2439" s="51" t="s">
        <v>778</v>
      </c>
      <c r="L2439" s="102" t="s">
        <v>281</v>
      </c>
      <c r="M2439" s="19" t="str">
        <f t="shared" si="59"/>
        <v>Feb_2019</v>
      </c>
    </row>
    <row r="2440" spans="1:13">
      <c r="A2440" s="45" t="s">
        <v>11</v>
      </c>
      <c r="B2440" s="52" t="s">
        <v>547</v>
      </c>
      <c r="C2440" s="46">
        <v>43512</v>
      </c>
      <c r="D2440" s="47" t="s">
        <v>24</v>
      </c>
      <c r="E2440" s="48">
        <v>0.35416666666666669</v>
      </c>
      <c r="F2440" s="48">
        <v>0.72916666666666663</v>
      </c>
      <c r="G2440" s="49">
        <v>8.0000000000000036</v>
      </c>
      <c r="H2440" s="49">
        <v>0</v>
      </c>
      <c r="I2440" s="49">
        <v>8.0000000000000036</v>
      </c>
      <c r="J2440" s="53" t="s">
        <v>52</v>
      </c>
      <c r="K2440" s="51" t="s">
        <v>778</v>
      </c>
      <c r="L2440" s="102" t="s">
        <v>281</v>
      </c>
      <c r="M2440" s="19" t="str">
        <f t="shared" si="59"/>
        <v>Feb_2019</v>
      </c>
    </row>
    <row r="2441" spans="1:13">
      <c r="A2441" s="45" t="s">
        <v>11</v>
      </c>
      <c r="B2441" s="52" t="s">
        <v>684</v>
      </c>
      <c r="C2441" s="46">
        <v>43512</v>
      </c>
      <c r="D2441" s="47" t="s">
        <v>24</v>
      </c>
      <c r="E2441" s="48">
        <v>0.35416666666666669</v>
      </c>
      <c r="F2441" s="48">
        <v>0.72916666666666663</v>
      </c>
      <c r="G2441" s="49">
        <v>8.0000000000000036</v>
      </c>
      <c r="H2441" s="49">
        <v>0</v>
      </c>
      <c r="I2441" s="49">
        <v>8.0000000000000036</v>
      </c>
      <c r="J2441" s="53" t="s">
        <v>52</v>
      </c>
      <c r="K2441" s="51" t="s">
        <v>778</v>
      </c>
      <c r="L2441" s="102" t="s">
        <v>281</v>
      </c>
      <c r="M2441" s="19" t="str">
        <f t="shared" si="59"/>
        <v>Feb_2019</v>
      </c>
    </row>
    <row r="2442" spans="1:13">
      <c r="A2442" s="45" t="s">
        <v>11</v>
      </c>
      <c r="B2442" s="52" t="s">
        <v>772</v>
      </c>
      <c r="C2442" s="46">
        <v>43512</v>
      </c>
      <c r="D2442" s="47" t="s">
        <v>24</v>
      </c>
      <c r="E2442" s="48">
        <v>0.35416666666666669</v>
      </c>
      <c r="F2442" s="48">
        <v>0.72916666666666663</v>
      </c>
      <c r="G2442" s="49">
        <v>8.0000000000000036</v>
      </c>
      <c r="H2442" s="49">
        <v>0</v>
      </c>
      <c r="I2442" s="49">
        <v>8.0000000000000036</v>
      </c>
      <c r="J2442" s="53" t="s">
        <v>52</v>
      </c>
      <c r="K2442" s="51" t="s">
        <v>778</v>
      </c>
      <c r="L2442" s="102" t="s">
        <v>281</v>
      </c>
      <c r="M2442" s="19" t="str">
        <f t="shared" si="59"/>
        <v>Feb_2019</v>
      </c>
    </row>
    <row r="2443" spans="1:13">
      <c r="A2443" s="45" t="s">
        <v>22</v>
      </c>
      <c r="B2443" s="52" t="s">
        <v>662</v>
      </c>
      <c r="C2443" s="46">
        <v>43512</v>
      </c>
      <c r="D2443" s="47" t="s">
        <v>24</v>
      </c>
      <c r="E2443" s="48">
        <v>0.35416666666666669</v>
      </c>
      <c r="F2443" s="48">
        <v>0.72916666666666663</v>
      </c>
      <c r="G2443" s="49">
        <v>0</v>
      </c>
      <c r="H2443" s="49">
        <v>7.9999999999999982</v>
      </c>
      <c r="I2443" s="49">
        <v>7.9999999999999982</v>
      </c>
      <c r="J2443" s="53" t="s">
        <v>52</v>
      </c>
      <c r="K2443" s="51" t="s">
        <v>778</v>
      </c>
      <c r="L2443" s="102" t="s">
        <v>281</v>
      </c>
      <c r="M2443" s="19" t="str">
        <f t="shared" si="59"/>
        <v>Feb_2019</v>
      </c>
    </row>
    <row r="2444" spans="1:13">
      <c r="A2444" s="45" t="s">
        <v>22</v>
      </c>
      <c r="B2444" s="52" t="s">
        <v>78</v>
      </c>
      <c r="C2444" s="46">
        <v>43512</v>
      </c>
      <c r="D2444" s="47" t="s">
        <v>24</v>
      </c>
      <c r="E2444" s="48">
        <v>0.35416666666666669</v>
      </c>
      <c r="F2444" s="48">
        <v>0.72916666666666663</v>
      </c>
      <c r="G2444" s="49">
        <v>0</v>
      </c>
      <c r="H2444" s="49">
        <v>7.9999999999999982</v>
      </c>
      <c r="I2444" s="49">
        <v>7.9999999999999982</v>
      </c>
      <c r="J2444" s="53" t="s">
        <v>52</v>
      </c>
      <c r="K2444" s="51" t="s">
        <v>778</v>
      </c>
      <c r="L2444" s="102" t="s">
        <v>281</v>
      </c>
      <c r="M2444" s="19" t="str">
        <f t="shared" si="59"/>
        <v>Feb_2019</v>
      </c>
    </row>
    <row r="2445" spans="1:13">
      <c r="A2445" s="45" t="s">
        <v>22</v>
      </c>
      <c r="B2445" s="52" t="s">
        <v>779</v>
      </c>
      <c r="C2445" s="46">
        <v>43514</v>
      </c>
      <c r="D2445" s="47" t="s">
        <v>16</v>
      </c>
      <c r="E2445" s="48">
        <v>0.35416666666666669</v>
      </c>
      <c r="F2445" s="48">
        <v>0.72916666666666663</v>
      </c>
      <c r="G2445" s="49">
        <v>0</v>
      </c>
      <c r="H2445" s="49">
        <v>7.9999999999999982</v>
      </c>
      <c r="I2445" s="49">
        <v>7.9999999999999982</v>
      </c>
      <c r="J2445" s="53" t="s">
        <v>30</v>
      </c>
      <c r="K2445" s="51" t="s">
        <v>780</v>
      </c>
      <c r="L2445" s="102" t="s">
        <v>281</v>
      </c>
      <c r="M2445" s="19" t="str">
        <f t="shared" si="59"/>
        <v>Feb_2019</v>
      </c>
    </row>
    <row r="2446" spans="1:13">
      <c r="A2446" s="45" t="s">
        <v>22</v>
      </c>
      <c r="B2446" s="52" t="s">
        <v>662</v>
      </c>
      <c r="C2446" s="46">
        <v>43514</v>
      </c>
      <c r="D2446" s="47" t="s">
        <v>16</v>
      </c>
      <c r="E2446" s="48">
        <v>0.35416666666666669</v>
      </c>
      <c r="F2446" s="48">
        <v>0.72916666666666663</v>
      </c>
      <c r="G2446" s="49">
        <v>0</v>
      </c>
      <c r="H2446" s="49">
        <v>7.9999999999999982</v>
      </c>
      <c r="I2446" s="49">
        <v>7.9999999999999982</v>
      </c>
      <c r="J2446" s="53" t="s">
        <v>30</v>
      </c>
      <c r="K2446" s="51" t="s">
        <v>780</v>
      </c>
      <c r="L2446" s="102" t="s">
        <v>281</v>
      </c>
      <c r="M2446" s="19" t="str">
        <f t="shared" si="59"/>
        <v>Feb_2019</v>
      </c>
    </row>
    <row r="2447" spans="1:13">
      <c r="A2447" s="45" t="s">
        <v>22</v>
      </c>
      <c r="B2447" s="52" t="s">
        <v>779</v>
      </c>
      <c r="C2447" s="46">
        <v>43515</v>
      </c>
      <c r="D2447" s="47" t="s">
        <v>14</v>
      </c>
      <c r="E2447" s="48">
        <v>0.35416666666666669</v>
      </c>
      <c r="F2447" s="48">
        <v>0.72916666666666663</v>
      </c>
      <c r="G2447" s="49">
        <v>0</v>
      </c>
      <c r="H2447" s="49">
        <v>7.9999999999999982</v>
      </c>
      <c r="I2447" s="49">
        <v>7.9999999999999982</v>
      </c>
      <c r="J2447" s="53" t="s">
        <v>30</v>
      </c>
      <c r="K2447" s="51" t="s">
        <v>781</v>
      </c>
      <c r="L2447" s="102" t="s">
        <v>281</v>
      </c>
      <c r="M2447" s="19" t="str">
        <f t="shared" si="59"/>
        <v>Feb_2019</v>
      </c>
    </row>
    <row r="2448" spans="1:13">
      <c r="A2448" s="45" t="s">
        <v>22</v>
      </c>
      <c r="B2448" s="52" t="s">
        <v>662</v>
      </c>
      <c r="C2448" s="46">
        <v>43515</v>
      </c>
      <c r="D2448" s="47" t="s">
        <v>14</v>
      </c>
      <c r="E2448" s="48">
        <v>0.35416666666666669</v>
      </c>
      <c r="F2448" s="48">
        <v>0.72916666666666663</v>
      </c>
      <c r="G2448" s="49">
        <v>0</v>
      </c>
      <c r="H2448" s="49">
        <v>7.9999999999999982</v>
      </c>
      <c r="I2448" s="49">
        <v>7.9999999999999982</v>
      </c>
      <c r="J2448" s="53" t="s">
        <v>30</v>
      </c>
      <c r="K2448" s="51" t="s">
        <v>781</v>
      </c>
      <c r="L2448" s="102" t="s">
        <v>281</v>
      </c>
      <c r="M2448" s="19" t="str">
        <f t="shared" si="59"/>
        <v>Feb_2019</v>
      </c>
    </row>
    <row r="2449" spans="1:13">
      <c r="A2449" s="45" t="s">
        <v>22</v>
      </c>
      <c r="B2449" s="52" t="s">
        <v>779</v>
      </c>
      <c r="C2449" s="46">
        <v>43516</v>
      </c>
      <c r="D2449" s="47" t="s">
        <v>15</v>
      </c>
      <c r="E2449" s="48">
        <v>0.35416666666666669</v>
      </c>
      <c r="F2449" s="48">
        <v>0.72916666666666663</v>
      </c>
      <c r="G2449" s="49">
        <v>0</v>
      </c>
      <c r="H2449" s="49">
        <v>7.9999999999999982</v>
      </c>
      <c r="I2449" s="49">
        <v>7.9999999999999982</v>
      </c>
      <c r="J2449" s="53" t="s">
        <v>30</v>
      </c>
      <c r="K2449" s="51" t="s">
        <v>782</v>
      </c>
      <c r="L2449" s="102" t="s">
        <v>281</v>
      </c>
      <c r="M2449" s="19" t="str">
        <f t="shared" si="59"/>
        <v>Feb_2019</v>
      </c>
    </row>
    <row r="2450" spans="1:13">
      <c r="A2450" s="45" t="s">
        <v>22</v>
      </c>
      <c r="B2450" s="52" t="s">
        <v>662</v>
      </c>
      <c r="C2450" s="46">
        <v>43516</v>
      </c>
      <c r="D2450" s="47" t="s">
        <v>15</v>
      </c>
      <c r="E2450" s="48">
        <v>0.35416666666666669</v>
      </c>
      <c r="F2450" s="48">
        <v>0.72916666666666663</v>
      </c>
      <c r="G2450" s="49">
        <v>0</v>
      </c>
      <c r="H2450" s="49">
        <v>7.9999999999999982</v>
      </c>
      <c r="I2450" s="49">
        <v>7.9999999999999982</v>
      </c>
      <c r="J2450" s="53" t="s">
        <v>30</v>
      </c>
      <c r="K2450" s="51" t="s">
        <v>782</v>
      </c>
      <c r="L2450" s="102" t="s">
        <v>281</v>
      </c>
      <c r="M2450" s="19" t="str">
        <f t="shared" si="59"/>
        <v>Feb_2019</v>
      </c>
    </row>
    <row r="2451" spans="1:13">
      <c r="A2451" s="45" t="s">
        <v>22</v>
      </c>
      <c r="B2451" s="52" t="s">
        <v>779</v>
      </c>
      <c r="C2451" s="46">
        <v>43517</v>
      </c>
      <c r="D2451" s="47" t="s">
        <v>25</v>
      </c>
      <c r="E2451" s="48">
        <v>0.35416666666666669</v>
      </c>
      <c r="F2451" s="48">
        <v>0.72916666666666663</v>
      </c>
      <c r="G2451" s="49">
        <v>0</v>
      </c>
      <c r="H2451" s="49">
        <v>7.9999999999999982</v>
      </c>
      <c r="I2451" s="49">
        <v>7.9999999999999982</v>
      </c>
      <c r="J2451" s="53" t="s">
        <v>30</v>
      </c>
      <c r="K2451" s="51" t="s">
        <v>783</v>
      </c>
      <c r="L2451" s="102" t="s">
        <v>281</v>
      </c>
      <c r="M2451" s="19" t="str">
        <f t="shared" si="59"/>
        <v>Feb_2019</v>
      </c>
    </row>
    <row r="2452" spans="1:13">
      <c r="A2452" s="45" t="s">
        <v>22</v>
      </c>
      <c r="B2452" s="52" t="s">
        <v>662</v>
      </c>
      <c r="C2452" s="46">
        <v>43517</v>
      </c>
      <c r="D2452" s="47" t="s">
        <v>25</v>
      </c>
      <c r="E2452" s="48">
        <v>0.35416666666666669</v>
      </c>
      <c r="F2452" s="48">
        <v>0.72916666666666663</v>
      </c>
      <c r="G2452" s="49">
        <v>0</v>
      </c>
      <c r="H2452" s="49">
        <v>7.9999999999999982</v>
      </c>
      <c r="I2452" s="49">
        <v>7.9999999999999982</v>
      </c>
      <c r="J2452" s="53" t="s">
        <v>30</v>
      </c>
      <c r="K2452" s="51" t="s">
        <v>783</v>
      </c>
      <c r="L2452" s="102" t="s">
        <v>281</v>
      </c>
      <c r="M2452" s="19" t="str">
        <f t="shared" si="59"/>
        <v>Feb_2019</v>
      </c>
    </row>
    <row r="2453" spans="1:13">
      <c r="A2453" s="45" t="s">
        <v>22</v>
      </c>
      <c r="B2453" s="52" t="s">
        <v>779</v>
      </c>
      <c r="C2453" s="46">
        <v>43518</v>
      </c>
      <c r="D2453" s="47" t="s">
        <v>17</v>
      </c>
      <c r="E2453" s="48">
        <v>0.35416666666666669</v>
      </c>
      <c r="F2453" s="48">
        <v>0.72916666666666663</v>
      </c>
      <c r="G2453" s="49">
        <v>0</v>
      </c>
      <c r="H2453" s="49">
        <v>7.9999999999999982</v>
      </c>
      <c r="I2453" s="49">
        <v>7.9999999999999982</v>
      </c>
      <c r="J2453" s="53" t="s">
        <v>30</v>
      </c>
      <c r="K2453" s="51" t="s">
        <v>784</v>
      </c>
      <c r="L2453" s="102" t="s">
        <v>281</v>
      </c>
      <c r="M2453" s="19" t="str">
        <f t="shared" si="59"/>
        <v>Feb_2019</v>
      </c>
    </row>
    <row r="2454" spans="1:13">
      <c r="A2454" s="45" t="s">
        <v>22</v>
      </c>
      <c r="B2454" s="52" t="s">
        <v>662</v>
      </c>
      <c r="C2454" s="46">
        <v>43518</v>
      </c>
      <c r="D2454" s="47" t="s">
        <v>17</v>
      </c>
      <c r="E2454" s="48">
        <v>0.35416666666666669</v>
      </c>
      <c r="F2454" s="48">
        <v>0.72916666666666663</v>
      </c>
      <c r="G2454" s="49">
        <v>0</v>
      </c>
      <c r="H2454" s="49">
        <v>7.9999999999999982</v>
      </c>
      <c r="I2454" s="49">
        <v>7.9999999999999982</v>
      </c>
      <c r="J2454" s="53" t="s">
        <v>30</v>
      </c>
      <c r="K2454" s="51" t="s">
        <v>784</v>
      </c>
      <c r="L2454" s="102" t="s">
        <v>281</v>
      </c>
      <c r="M2454" s="19" t="str">
        <f t="shared" si="59"/>
        <v>Feb_2019</v>
      </c>
    </row>
    <row r="2455" spans="1:13">
      <c r="A2455" s="45" t="s">
        <v>22</v>
      </c>
      <c r="B2455" s="52" t="s">
        <v>779</v>
      </c>
      <c r="C2455" s="46">
        <v>43521</v>
      </c>
      <c r="D2455" s="47" t="s">
        <v>16</v>
      </c>
      <c r="E2455" s="48">
        <v>0.35416666666666669</v>
      </c>
      <c r="F2455" s="48">
        <v>0.72916666666666663</v>
      </c>
      <c r="G2455" s="49">
        <v>0</v>
      </c>
      <c r="H2455" s="49">
        <v>7.9999999999999982</v>
      </c>
      <c r="I2455" s="49">
        <v>7.9999999999999982</v>
      </c>
      <c r="J2455" s="53" t="s">
        <v>30</v>
      </c>
      <c r="K2455" s="51" t="s">
        <v>785</v>
      </c>
      <c r="L2455" s="102" t="s">
        <v>281</v>
      </c>
      <c r="M2455" s="19" t="str">
        <f t="shared" si="59"/>
        <v>Feb_2019</v>
      </c>
    </row>
    <row r="2456" spans="1:13">
      <c r="A2456" s="45" t="s">
        <v>22</v>
      </c>
      <c r="B2456" s="52" t="s">
        <v>779</v>
      </c>
      <c r="C2456" s="46">
        <v>43522</v>
      </c>
      <c r="D2456" s="47" t="s">
        <v>14</v>
      </c>
      <c r="E2456" s="48">
        <v>0.35416666666666669</v>
      </c>
      <c r="F2456" s="48">
        <v>0.72916666666666663</v>
      </c>
      <c r="G2456" s="49">
        <v>0</v>
      </c>
      <c r="H2456" s="49">
        <v>7.9999999999999982</v>
      </c>
      <c r="I2456" s="49">
        <v>7.9999999999999982</v>
      </c>
      <c r="J2456" s="53" t="s">
        <v>30</v>
      </c>
      <c r="K2456" s="51" t="s">
        <v>786</v>
      </c>
      <c r="L2456" s="102" t="s">
        <v>281</v>
      </c>
      <c r="M2456" s="19" t="str">
        <f t="shared" si="59"/>
        <v>Feb_2019</v>
      </c>
    </row>
    <row r="2457" spans="1:13">
      <c r="A2457" s="45" t="s">
        <v>22</v>
      </c>
      <c r="B2457" s="52" t="s">
        <v>662</v>
      </c>
      <c r="C2457" s="46">
        <v>43522</v>
      </c>
      <c r="D2457" s="47" t="s">
        <v>14</v>
      </c>
      <c r="E2457" s="48">
        <v>0.35416666666666669</v>
      </c>
      <c r="F2457" s="48">
        <v>0.72916666666666663</v>
      </c>
      <c r="G2457" s="49">
        <v>0</v>
      </c>
      <c r="H2457" s="49">
        <v>7.9999999999999982</v>
      </c>
      <c r="I2457" s="49">
        <v>7.9999999999999982</v>
      </c>
      <c r="J2457" s="53" t="s">
        <v>30</v>
      </c>
      <c r="K2457" s="51" t="s">
        <v>786</v>
      </c>
      <c r="L2457" s="102" t="s">
        <v>281</v>
      </c>
      <c r="M2457" s="19" t="str">
        <f t="shared" si="59"/>
        <v>Feb_2019</v>
      </c>
    </row>
    <row r="2458" spans="1:13">
      <c r="A2458" s="45" t="s">
        <v>22</v>
      </c>
      <c r="B2458" s="52" t="s">
        <v>779</v>
      </c>
      <c r="C2458" s="46">
        <v>43523</v>
      </c>
      <c r="D2458" s="47" t="s">
        <v>15</v>
      </c>
      <c r="E2458" s="48">
        <v>0.35416666666666669</v>
      </c>
      <c r="F2458" s="48">
        <v>0.72916666666666663</v>
      </c>
      <c r="G2458" s="49">
        <v>0</v>
      </c>
      <c r="H2458" s="49">
        <v>7.9999999999999982</v>
      </c>
      <c r="I2458" s="49">
        <v>7.9999999999999982</v>
      </c>
      <c r="J2458" s="53" t="s">
        <v>30</v>
      </c>
      <c r="K2458" s="51" t="s">
        <v>787</v>
      </c>
      <c r="L2458" s="102" t="s">
        <v>281</v>
      </c>
      <c r="M2458" s="19" t="str">
        <f t="shared" si="59"/>
        <v>Feb_2019</v>
      </c>
    </row>
    <row r="2459" spans="1:13">
      <c r="A2459" s="45" t="s">
        <v>22</v>
      </c>
      <c r="B2459" s="52" t="s">
        <v>662</v>
      </c>
      <c r="C2459" s="46">
        <v>43523</v>
      </c>
      <c r="D2459" s="47" t="s">
        <v>15</v>
      </c>
      <c r="E2459" s="48">
        <v>0.35416666666666669</v>
      </c>
      <c r="F2459" s="48">
        <v>0.72916666666666663</v>
      </c>
      <c r="G2459" s="49">
        <v>0</v>
      </c>
      <c r="H2459" s="49">
        <v>7.9999999999999982</v>
      </c>
      <c r="I2459" s="49">
        <v>7.9999999999999982</v>
      </c>
      <c r="J2459" s="53" t="s">
        <v>30</v>
      </c>
      <c r="K2459" s="51" t="s">
        <v>787</v>
      </c>
      <c r="L2459" s="102" t="s">
        <v>281</v>
      </c>
      <c r="M2459" s="19" t="str">
        <f t="shared" si="59"/>
        <v>Feb_2019</v>
      </c>
    </row>
    <row r="2460" spans="1:13">
      <c r="A2460" s="45" t="s">
        <v>22</v>
      </c>
      <c r="B2460" s="52" t="s">
        <v>779</v>
      </c>
      <c r="C2460" s="46">
        <v>43524</v>
      </c>
      <c r="D2460" s="47" t="s">
        <v>25</v>
      </c>
      <c r="E2460" s="48">
        <v>0.35416666666666669</v>
      </c>
      <c r="F2460" s="48">
        <v>0.72916666666666663</v>
      </c>
      <c r="G2460" s="49">
        <v>0</v>
      </c>
      <c r="H2460" s="49">
        <v>7.9999999999999982</v>
      </c>
      <c r="I2460" s="49">
        <v>7.9999999999999982</v>
      </c>
      <c r="J2460" s="53" t="s">
        <v>30</v>
      </c>
      <c r="K2460" s="51" t="s">
        <v>788</v>
      </c>
      <c r="L2460" s="102" t="s">
        <v>281</v>
      </c>
      <c r="M2460" s="19" t="str">
        <f t="shared" si="59"/>
        <v>Feb_2019</v>
      </c>
    </row>
    <row r="2461" spans="1:13">
      <c r="A2461" s="45" t="s">
        <v>22</v>
      </c>
      <c r="B2461" s="52" t="s">
        <v>662</v>
      </c>
      <c r="C2461" s="46">
        <v>43524</v>
      </c>
      <c r="D2461" s="47" t="s">
        <v>25</v>
      </c>
      <c r="E2461" s="48">
        <v>0.35416666666666669</v>
      </c>
      <c r="F2461" s="48">
        <v>0.72916666666666663</v>
      </c>
      <c r="G2461" s="49">
        <v>0</v>
      </c>
      <c r="H2461" s="49">
        <v>7.9999999999999982</v>
      </c>
      <c r="I2461" s="49">
        <v>7.9999999999999982</v>
      </c>
      <c r="J2461" s="53" t="s">
        <v>30</v>
      </c>
      <c r="K2461" s="51" t="s">
        <v>788</v>
      </c>
      <c r="L2461" s="102" t="s">
        <v>281</v>
      </c>
      <c r="M2461" s="19" t="str">
        <f t="shared" si="59"/>
        <v>Feb_2019</v>
      </c>
    </row>
    <row r="2462" spans="1:13">
      <c r="A2462" s="45" t="s">
        <v>11</v>
      </c>
      <c r="B2462" s="52" t="s">
        <v>12</v>
      </c>
      <c r="C2462" s="54">
        <v>43525</v>
      </c>
      <c r="D2462" s="47" t="s">
        <v>17</v>
      </c>
      <c r="E2462" s="48">
        <v>0.72916666666666674</v>
      </c>
      <c r="F2462" s="48">
        <v>0.89583333333333337</v>
      </c>
      <c r="G2462" s="49">
        <v>8.0000000000000036</v>
      </c>
      <c r="H2462" s="49">
        <v>3.9999999999999982</v>
      </c>
      <c r="I2462" s="49">
        <v>3.9999999999999982</v>
      </c>
      <c r="J2462" s="53" t="s">
        <v>30</v>
      </c>
      <c r="K2462" s="51" t="s">
        <v>789</v>
      </c>
      <c r="L2462" s="102">
        <v>1</v>
      </c>
      <c r="M2462" s="19" t="str">
        <f>IF($C2462="","",TEXT(DATE(YEAR($C2462),MONTH($C2462),DAY($C2462)),"MMM")&amp;"_"&amp;YEAR($C2462))</f>
        <v>Mar_2019</v>
      </c>
    </row>
    <row r="2463" spans="1:13">
      <c r="A2463" s="45" t="s">
        <v>11</v>
      </c>
      <c r="B2463" s="52" t="s">
        <v>19</v>
      </c>
      <c r="C2463" s="46">
        <v>43525</v>
      </c>
      <c r="D2463" s="47" t="s">
        <v>17</v>
      </c>
      <c r="E2463" s="48">
        <v>0.72916666666666674</v>
      </c>
      <c r="F2463" s="48">
        <v>0.89583333333333337</v>
      </c>
      <c r="G2463" s="49">
        <v>8.0000000000000036</v>
      </c>
      <c r="H2463" s="49">
        <v>3.9999999999999982</v>
      </c>
      <c r="I2463" s="49">
        <v>3.9999999999999982</v>
      </c>
      <c r="J2463" s="53" t="s">
        <v>30</v>
      </c>
      <c r="K2463" s="51" t="s">
        <v>789</v>
      </c>
      <c r="L2463" s="102">
        <v>1</v>
      </c>
      <c r="M2463" s="19" t="str">
        <f t="shared" ref="M2463:M2526" si="60">IF($C2463="","",TEXT(DATE(YEAR($C2463),MONTH($C2463),DAY($C2463)),"MMM")&amp;"_"&amp;YEAR($C2463))</f>
        <v>Mar_2019</v>
      </c>
    </row>
    <row r="2464" spans="1:13">
      <c r="A2464" s="45" t="s">
        <v>11</v>
      </c>
      <c r="B2464" s="52" t="s">
        <v>149</v>
      </c>
      <c r="C2464" s="46">
        <v>43525</v>
      </c>
      <c r="D2464" s="47" t="s">
        <v>17</v>
      </c>
      <c r="E2464" s="48">
        <v>0.64583333333333326</v>
      </c>
      <c r="F2464" s="48">
        <v>0.8125</v>
      </c>
      <c r="G2464" s="49">
        <v>8.0000000000000036</v>
      </c>
      <c r="H2464" s="49">
        <v>3.9999999999999982</v>
      </c>
      <c r="I2464" s="49">
        <v>3.9999999999999982</v>
      </c>
      <c r="J2464" s="53" t="s">
        <v>30</v>
      </c>
      <c r="K2464" s="51" t="s">
        <v>789</v>
      </c>
      <c r="L2464" s="102">
        <v>1</v>
      </c>
      <c r="M2464" s="19" t="str">
        <f t="shared" si="60"/>
        <v>Mar_2019</v>
      </c>
    </row>
    <row r="2465" spans="1:13">
      <c r="A2465" s="45" t="s">
        <v>11</v>
      </c>
      <c r="B2465" s="52" t="s">
        <v>161</v>
      </c>
      <c r="C2465" s="46">
        <v>43525</v>
      </c>
      <c r="D2465" s="47" t="s">
        <v>17</v>
      </c>
      <c r="E2465" s="48">
        <v>0.72916666666666674</v>
      </c>
      <c r="F2465" s="48">
        <v>0.89583333333333337</v>
      </c>
      <c r="G2465" s="49">
        <v>8.0000000000000036</v>
      </c>
      <c r="H2465" s="49">
        <v>3.9999999999999982</v>
      </c>
      <c r="I2465" s="49">
        <v>3.9999999999999982</v>
      </c>
      <c r="J2465" s="53" t="s">
        <v>30</v>
      </c>
      <c r="K2465" s="51" t="s">
        <v>789</v>
      </c>
      <c r="L2465" s="102">
        <v>1</v>
      </c>
      <c r="M2465" s="19" t="str">
        <f t="shared" si="60"/>
        <v>Mar_2019</v>
      </c>
    </row>
    <row r="2466" spans="1:13">
      <c r="A2466" s="45" t="s">
        <v>11</v>
      </c>
      <c r="B2466" s="52" t="s">
        <v>542</v>
      </c>
      <c r="C2466" s="46">
        <v>43525</v>
      </c>
      <c r="D2466" s="47" t="s">
        <v>17</v>
      </c>
      <c r="E2466" s="48">
        <v>0.72916666666666674</v>
      </c>
      <c r="F2466" s="48">
        <v>0.89583333333333337</v>
      </c>
      <c r="G2466" s="49">
        <v>8.0000000000000036</v>
      </c>
      <c r="H2466" s="49">
        <v>3.9999999999999982</v>
      </c>
      <c r="I2466" s="49">
        <v>3.9999999999999982</v>
      </c>
      <c r="J2466" s="53" t="s">
        <v>30</v>
      </c>
      <c r="K2466" s="51" t="s">
        <v>789</v>
      </c>
      <c r="L2466" s="102">
        <v>1</v>
      </c>
      <c r="M2466" s="19" t="str">
        <f t="shared" si="60"/>
        <v>Mar_2019</v>
      </c>
    </row>
    <row r="2467" spans="1:13">
      <c r="A2467" s="45" t="s">
        <v>11</v>
      </c>
      <c r="B2467" s="52" t="s">
        <v>547</v>
      </c>
      <c r="C2467" s="46">
        <v>43525</v>
      </c>
      <c r="D2467" s="47" t="s">
        <v>17</v>
      </c>
      <c r="E2467" s="48">
        <v>0.72916666666666674</v>
      </c>
      <c r="F2467" s="48">
        <v>0.89583333333333337</v>
      </c>
      <c r="G2467" s="49">
        <v>8.0000000000000036</v>
      </c>
      <c r="H2467" s="49">
        <v>3.9999999999999982</v>
      </c>
      <c r="I2467" s="49">
        <v>3.9999999999999982</v>
      </c>
      <c r="J2467" s="53" t="s">
        <v>30</v>
      </c>
      <c r="K2467" s="51" t="s">
        <v>789</v>
      </c>
      <c r="L2467" s="102">
        <v>1</v>
      </c>
      <c r="M2467" s="19" t="str">
        <f t="shared" si="60"/>
        <v>Mar_2019</v>
      </c>
    </row>
    <row r="2468" spans="1:13">
      <c r="A2468" s="45" t="s">
        <v>11</v>
      </c>
      <c r="B2468" s="52" t="s">
        <v>684</v>
      </c>
      <c r="C2468" s="46">
        <v>43525</v>
      </c>
      <c r="D2468" s="47" t="s">
        <v>17</v>
      </c>
      <c r="E2468" s="48">
        <v>0.72916666666666674</v>
      </c>
      <c r="F2468" s="48">
        <v>0.89583333333333337</v>
      </c>
      <c r="G2468" s="49">
        <v>8.0000000000000036</v>
      </c>
      <c r="H2468" s="49">
        <v>3.9999999999999982</v>
      </c>
      <c r="I2468" s="49">
        <v>3.9999999999999982</v>
      </c>
      <c r="J2468" s="53" t="s">
        <v>30</v>
      </c>
      <c r="K2468" s="51" t="s">
        <v>789</v>
      </c>
      <c r="L2468" s="102">
        <v>1</v>
      </c>
      <c r="M2468" s="19" t="str">
        <f t="shared" si="60"/>
        <v>Mar_2019</v>
      </c>
    </row>
    <row r="2469" spans="1:13">
      <c r="A2469" s="45" t="s">
        <v>11</v>
      </c>
      <c r="B2469" s="52" t="s">
        <v>772</v>
      </c>
      <c r="C2469" s="46">
        <v>43525</v>
      </c>
      <c r="D2469" s="47" t="s">
        <v>17</v>
      </c>
      <c r="E2469" s="48">
        <v>0.72916666666666674</v>
      </c>
      <c r="F2469" s="48">
        <v>0.89583333333333337</v>
      </c>
      <c r="G2469" s="49">
        <v>8.0000000000000036</v>
      </c>
      <c r="H2469" s="49">
        <v>3.9999999999999982</v>
      </c>
      <c r="I2469" s="49">
        <v>3.9999999999999982</v>
      </c>
      <c r="J2469" s="53" t="s">
        <v>30</v>
      </c>
      <c r="K2469" s="51" t="s">
        <v>789</v>
      </c>
      <c r="L2469" s="102">
        <v>1</v>
      </c>
      <c r="M2469" s="19" t="str">
        <f t="shared" si="60"/>
        <v>Mar_2019</v>
      </c>
    </row>
    <row r="2470" spans="1:13">
      <c r="A2470" s="45" t="s">
        <v>11</v>
      </c>
      <c r="B2470" s="52" t="s">
        <v>779</v>
      </c>
      <c r="C2470" s="46">
        <v>43525</v>
      </c>
      <c r="D2470" s="47" t="s">
        <v>17</v>
      </c>
      <c r="E2470" s="48">
        <v>0.35416666666666669</v>
      </c>
      <c r="F2470" s="48">
        <v>0.85416666666666663</v>
      </c>
      <c r="G2470" s="49">
        <v>0</v>
      </c>
      <c r="H2470" s="49">
        <v>10.999999999999998</v>
      </c>
      <c r="I2470" s="49">
        <v>10.999999999999998</v>
      </c>
      <c r="J2470" s="53" t="s">
        <v>30</v>
      </c>
      <c r="K2470" s="51" t="s">
        <v>789</v>
      </c>
      <c r="L2470" s="102" t="s">
        <v>281</v>
      </c>
      <c r="M2470" s="19" t="str">
        <f t="shared" si="60"/>
        <v>Mar_2019</v>
      </c>
    </row>
    <row r="2471" spans="1:13">
      <c r="A2471" s="45" t="s">
        <v>22</v>
      </c>
      <c r="B2471" s="52" t="s">
        <v>662</v>
      </c>
      <c r="C2471" s="46">
        <v>43525</v>
      </c>
      <c r="D2471" s="47" t="s">
        <v>17</v>
      </c>
      <c r="E2471" s="48">
        <v>0.35416666666666669</v>
      </c>
      <c r="F2471" s="48">
        <v>0.89583333333333337</v>
      </c>
      <c r="G2471" s="49">
        <v>0</v>
      </c>
      <c r="H2471" s="49">
        <v>12.000000000000002</v>
      </c>
      <c r="I2471" s="49">
        <v>12.000000000000002</v>
      </c>
      <c r="J2471" s="53" t="s">
        <v>30</v>
      </c>
      <c r="K2471" s="51" t="s">
        <v>789</v>
      </c>
      <c r="L2471" s="102" t="s">
        <v>281</v>
      </c>
      <c r="M2471" s="19" t="str">
        <f t="shared" si="60"/>
        <v>Mar_2019</v>
      </c>
    </row>
    <row r="2472" spans="1:13">
      <c r="A2472" s="45" t="s">
        <v>22</v>
      </c>
      <c r="B2472" s="52" t="s">
        <v>662</v>
      </c>
      <c r="C2472" s="46">
        <v>43528</v>
      </c>
      <c r="D2472" s="47" t="s">
        <v>16</v>
      </c>
      <c r="E2472" s="48">
        <v>0.35416666666666669</v>
      </c>
      <c r="F2472" s="48">
        <v>0.72916666666666663</v>
      </c>
      <c r="G2472" s="49">
        <v>0</v>
      </c>
      <c r="H2472" s="49">
        <v>7.9999999999999982</v>
      </c>
      <c r="I2472" s="49">
        <v>7.9999999999999982</v>
      </c>
      <c r="J2472" s="53" t="s">
        <v>30</v>
      </c>
      <c r="K2472" s="51" t="s">
        <v>790</v>
      </c>
      <c r="L2472" s="102" t="s">
        <v>281</v>
      </c>
      <c r="M2472" s="19" t="str">
        <f t="shared" si="60"/>
        <v>Mar_2019</v>
      </c>
    </row>
    <row r="2473" spans="1:13">
      <c r="A2473" s="45" t="s">
        <v>22</v>
      </c>
      <c r="B2473" s="52" t="s">
        <v>791</v>
      </c>
      <c r="C2473" s="46">
        <v>43528</v>
      </c>
      <c r="D2473" s="47" t="s">
        <v>16</v>
      </c>
      <c r="E2473" s="48">
        <v>0.35416666666666669</v>
      </c>
      <c r="F2473" s="48">
        <v>0.72916666666666663</v>
      </c>
      <c r="G2473" s="49">
        <v>0</v>
      </c>
      <c r="H2473" s="49">
        <v>7.9999999999999982</v>
      </c>
      <c r="I2473" s="49">
        <v>7.9999999999999982</v>
      </c>
      <c r="J2473" s="53" t="s">
        <v>30</v>
      </c>
      <c r="K2473" s="51" t="s">
        <v>790</v>
      </c>
      <c r="L2473" s="102" t="s">
        <v>281</v>
      </c>
      <c r="M2473" s="19" t="str">
        <f t="shared" si="60"/>
        <v>Mar_2019</v>
      </c>
    </row>
    <row r="2474" spans="1:13">
      <c r="A2474" s="45" t="s">
        <v>22</v>
      </c>
      <c r="B2474" s="52" t="s">
        <v>662</v>
      </c>
      <c r="C2474" s="46">
        <v>43529</v>
      </c>
      <c r="D2474" s="47" t="s">
        <v>14</v>
      </c>
      <c r="E2474" s="48">
        <v>0.35416666666666669</v>
      </c>
      <c r="F2474" s="48">
        <v>0.72916666666666663</v>
      </c>
      <c r="G2474" s="49">
        <v>0</v>
      </c>
      <c r="H2474" s="49">
        <v>7.9999999999999982</v>
      </c>
      <c r="I2474" s="49">
        <v>7.9999999999999982</v>
      </c>
      <c r="J2474" s="53" t="s">
        <v>30</v>
      </c>
      <c r="K2474" s="51" t="s">
        <v>792</v>
      </c>
      <c r="L2474" s="102" t="s">
        <v>281</v>
      </c>
      <c r="M2474" s="19" t="str">
        <f t="shared" si="60"/>
        <v>Mar_2019</v>
      </c>
    </row>
    <row r="2475" spans="1:13">
      <c r="A2475" s="45" t="s">
        <v>22</v>
      </c>
      <c r="B2475" s="52" t="s">
        <v>478</v>
      </c>
      <c r="C2475" s="46">
        <v>43529</v>
      </c>
      <c r="D2475" s="47" t="s">
        <v>14</v>
      </c>
      <c r="E2475" s="48">
        <v>0.33333333333333331</v>
      </c>
      <c r="F2475" s="48">
        <v>0.625</v>
      </c>
      <c r="G2475" s="49">
        <v>0</v>
      </c>
      <c r="H2475" s="49">
        <v>6</v>
      </c>
      <c r="I2475" s="49">
        <v>6</v>
      </c>
      <c r="J2475" s="53" t="s">
        <v>30</v>
      </c>
      <c r="K2475" s="51" t="s">
        <v>792</v>
      </c>
      <c r="L2475" s="102" t="s">
        <v>281</v>
      </c>
      <c r="M2475" s="19" t="str">
        <f t="shared" si="60"/>
        <v>Mar_2019</v>
      </c>
    </row>
    <row r="2476" spans="1:13">
      <c r="A2476" s="45" t="s">
        <v>11</v>
      </c>
      <c r="B2476" s="52" t="s">
        <v>779</v>
      </c>
      <c r="C2476" s="46">
        <v>43530</v>
      </c>
      <c r="D2476" s="47" t="s">
        <v>15</v>
      </c>
      <c r="E2476" s="48">
        <v>0.35416666666666669</v>
      </c>
      <c r="F2476" s="48">
        <v>0.72916666666666663</v>
      </c>
      <c r="G2476" s="49">
        <v>0</v>
      </c>
      <c r="H2476" s="49">
        <v>7.9999999999999982</v>
      </c>
      <c r="I2476" s="49">
        <v>7.9999999999999982</v>
      </c>
      <c r="J2476" s="53" t="s">
        <v>30</v>
      </c>
      <c r="K2476" s="51" t="s">
        <v>793</v>
      </c>
      <c r="L2476" s="102" t="s">
        <v>281</v>
      </c>
      <c r="M2476" s="19" t="str">
        <f t="shared" si="60"/>
        <v>Mar_2019</v>
      </c>
    </row>
    <row r="2477" spans="1:13">
      <c r="A2477" s="45" t="s">
        <v>22</v>
      </c>
      <c r="B2477" s="52" t="s">
        <v>662</v>
      </c>
      <c r="C2477" s="46">
        <v>43530</v>
      </c>
      <c r="D2477" s="47" t="s">
        <v>15</v>
      </c>
      <c r="E2477" s="48">
        <v>0.35416666666666669</v>
      </c>
      <c r="F2477" s="48">
        <v>0.72916666666666663</v>
      </c>
      <c r="G2477" s="49">
        <v>0</v>
      </c>
      <c r="H2477" s="49">
        <v>7.9999999999999982</v>
      </c>
      <c r="I2477" s="49">
        <v>7.9999999999999982</v>
      </c>
      <c r="J2477" s="53" t="s">
        <v>30</v>
      </c>
      <c r="K2477" s="51" t="s">
        <v>793</v>
      </c>
      <c r="L2477" s="102" t="s">
        <v>281</v>
      </c>
      <c r="M2477" s="19" t="str">
        <f t="shared" si="60"/>
        <v>Mar_2019</v>
      </c>
    </row>
    <row r="2478" spans="1:13">
      <c r="A2478" s="45" t="s">
        <v>11</v>
      </c>
      <c r="B2478" s="52" t="s">
        <v>779</v>
      </c>
      <c r="C2478" s="46">
        <v>43531</v>
      </c>
      <c r="D2478" s="47" t="s">
        <v>25</v>
      </c>
      <c r="E2478" s="48">
        <v>0.35416666666666669</v>
      </c>
      <c r="F2478" s="48">
        <v>0.72916666666666663</v>
      </c>
      <c r="G2478" s="49">
        <v>0</v>
      </c>
      <c r="H2478" s="49">
        <v>7.9999999999999982</v>
      </c>
      <c r="I2478" s="49">
        <v>7.9999999999999982</v>
      </c>
      <c r="J2478" s="53" t="s">
        <v>30</v>
      </c>
      <c r="K2478" s="51" t="s">
        <v>794</v>
      </c>
      <c r="L2478" s="102" t="s">
        <v>281</v>
      </c>
      <c r="M2478" s="19" t="str">
        <f t="shared" si="60"/>
        <v>Mar_2019</v>
      </c>
    </row>
    <row r="2479" spans="1:13">
      <c r="A2479" s="45" t="s">
        <v>22</v>
      </c>
      <c r="B2479" s="52" t="s">
        <v>662</v>
      </c>
      <c r="C2479" s="46">
        <v>43531</v>
      </c>
      <c r="D2479" s="47" t="s">
        <v>25</v>
      </c>
      <c r="E2479" s="48">
        <v>0.35416666666666669</v>
      </c>
      <c r="F2479" s="48">
        <v>0.72916666666666663</v>
      </c>
      <c r="G2479" s="49">
        <v>0</v>
      </c>
      <c r="H2479" s="49">
        <v>7.9999999999999982</v>
      </c>
      <c r="I2479" s="49">
        <v>7.9999999999999982</v>
      </c>
      <c r="J2479" s="53" t="s">
        <v>30</v>
      </c>
      <c r="K2479" s="51" t="s">
        <v>794</v>
      </c>
      <c r="L2479" s="102" t="s">
        <v>281</v>
      </c>
      <c r="M2479" s="19" t="str">
        <f t="shared" si="60"/>
        <v>Mar_2019</v>
      </c>
    </row>
    <row r="2480" spans="1:13">
      <c r="A2480" s="45" t="s">
        <v>11</v>
      </c>
      <c r="B2480" s="52" t="s">
        <v>779</v>
      </c>
      <c r="C2480" s="46">
        <v>43532</v>
      </c>
      <c r="D2480" s="47" t="s">
        <v>17</v>
      </c>
      <c r="E2480" s="48">
        <v>0.35416666666666669</v>
      </c>
      <c r="F2480" s="48">
        <v>0.72916666666666663</v>
      </c>
      <c r="G2480" s="49">
        <v>0</v>
      </c>
      <c r="H2480" s="49">
        <v>7.9999999999999982</v>
      </c>
      <c r="I2480" s="49">
        <v>7.9999999999999982</v>
      </c>
      <c r="J2480" s="53" t="s">
        <v>30</v>
      </c>
      <c r="K2480" s="51" t="s">
        <v>795</v>
      </c>
      <c r="L2480" s="102" t="s">
        <v>281</v>
      </c>
      <c r="M2480" s="19" t="str">
        <f t="shared" si="60"/>
        <v>Mar_2019</v>
      </c>
    </row>
    <row r="2481" spans="1:13">
      <c r="A2481" s="45" t="s">
        <v>22</v>
      </c>
      <c r="B2481" s="52" t="s">
        <v>662</v>
      </c>
      <c r="C2481" s="46">
        <v>43532</v>
      </c>
      <c r="D2481" s="47" t="s">
        <v>17</v>
      </c>
      <c r="E2481" s="48">
        <v>0.35416666666666669</v>
      </c>
      <c r="F2481" s="48">
        <v>0.72916666666666663</v>
      </c>
      <c r="G2481" s="49">
        <v>0</v>
      </c>
      <c r="H2481" s="49">
        <v>7.9999999999999982</v>
      </c>
      <c r="I2481" s="49">
        <v>7.9999999999999982</v>
      </c>
      <c r="J2481" s="53" t="s">
        <v>30</v>
      </c>
      <c r="K2481" s="51" t="s">
        <v>795</v>
      </c>
      <c r="L2481" s="102" t="s">
        <v>281</v>
      </c>
      <c r="M2481" s="19" t="str">
        <f t="shared" si="60"/>
        <v>Mar_2019</v>
      </c>
    </row>
    <row r="2482" spans="1:13">
      <c r="A2482" s="45" t="s">
        <v>22</v>
      </c>
      <c r="B2482" s="52" t="s">
        <v>478</v>
      </c>
      <c r="C2482" s="46">
        <v>43535</v>
      </c>
      <c r="D2482" s="47" t="s">
        <v>16</v>
      </c>
      <c r="E2482" s="48">
        <v>0.33333333333333331</v>
      </c>
      <c r="F2482" s="48">
        <v>0.5</v>
      </c>
      <c r="G2482" s="49">
        <v>0</v>
      </c>
      <c r="H2482" s="49">
        <v>4</v>
      </c>
      <c r="I2482" s="49">
        <v>4</v>
      </c>
      <c r="J2482" s="53" t="s">
        <v>30</v>
      </c>
      <c r="K2482" s="51" t="s">
        <v>797</v>
      </c>
      <c r="L2482" s="102" t="s">
        <v>281</v>
      </c>
      <c r="M2482" s="19" t="str">
        <f t="shared" si="60"/>
        <v>Mar_2019</v>
      </c>
    </row>
    <row r="2483" spans="1:13">
      <c r="A2483" s="45" t="s">
        <v>11</v>
      </c>
      <c r="B2483" s="52" t="s">
        <v>12</v>
      </c>
      <c r="C2483" s="54">
        <v>43536</v>
      </c>
      <c r="D2483" s="47" t="s">
        <v>14</v>
      </c>
      <c r="E2483" s="48">
        <v>0.72916666666666674</v>
      </c>
      <c r="F2483" s="48">
        <v>0.89583333333333337</v>
      </c>
      <c r="G2483" s="49">
        <v>8.0000000000000036</v>
      </c>
      <c r="H2483" s="49">
        <v>3.9999999999999982</v>
      </c>
      <c r="I2483" s="49">
        <v>3.9999999999999982</v>
      </c>
      <c r="J2483" s="53" t="s">
        <v>30</v>
      </c>
      <c r="K2483" s="51" t="s">
        <v>808</v>
      </c>
      <c r="L2483" s="102">
        <v>1</v>
      </c>
      <c r="M2483" s="19" t="str">
        <f t="shared" si="60"/>
        <v>Mar_2019</v>
      </c>
    </row>
    <row r="2484" spans="1:13">
      <c r="A2484" s="45" t="s">
        <v>11</v>
      </c>
      <c r="B2484" s="52" t="s">
        <v>19</v>
      </c>
      <c r="C2484" s="46">
        <v>43536</v>
      </c>
      <c r="D2484" s="47" t="s">
        <v>14</v>
      </c>
      <c r="E2484" s="48">
        <v>0.72916666666666674</v>
      </c>
      <c r="F2484" s="48">
        <v>0.89583333333333337</v>
      </c>
      <c r="G2484" s="49">
        <v>8.0000000000000036</v>
      </c>
      <c r="H2484" s="49">
        <v>3.9999999999999982</v>
      </c>
      <c r="I2484" s="49">
        <v>3.9999999999999982</v>
      </c>
      <c r="J2484" s="53" t="s">
        <v>30</v>
      </c>
      <c r="K2484" s="51" t="s">
        <v>809</v>
      </c>
      <c r="L2484" s="102">
        <v>1</v>
      </c>
      <c r="M2484" s="19" t="str">
        <f t="shared" si="60"/>
        <v>Mar_2019</v>
      </c>
    </row>
    <row r="2485" spans="1:13">
      <c r="A2485" s="45" t="s">
        <v>11</v>
      </c>
      <c r="B2485" s="52" t="s">
        <v>161</v>
      </c>
      <c r="C2485" s="46">
        <v>43536</v>
      </c>
      <c r="D2485" s="47" t="s">
        <v>14</v>
      </c>
      <c r="E2485" s="48">
        <v>0.72916666666666674</v>
      </c>
      <c r="F2485" s="48">
        <v>0.89583333333333337</v>
      </c>
      <c r="G2485" s="49">
        <v>8.0000000000000036</v>
      </c>
      <c r="H2485" s="49">
        <v>3.9999999999999982</v>
      </c>
      <c r="I2485" s="49">
        <v>3.9999999999999982</v>
      </c>
      <c r="J2485" s="53" t="s">
        <v>30</v>
      </c>
      <c r="K2485" s="51" t="s">
        <v>809</v>
      </c>
      <c r="L2485" s="102">
        <v>1</v>
      </c>
      <c r="M2485" s="19" t="str">
        <f t="shared" si="60"/>
        <v>Mar_2019</v>
      </c>
    </row>
    <row r="2486" spans="1:13">
      <c r="A2486" s="45" t="s">
        <v>22</v>
      </c>
      <c r="B2486" s="52" t="s">
        <v>662</v>
      </c>
      <c r="C2486" s="46">
        <v>43536</v>
      </c>
      <c r="D2486" s="47" t="s">
        <v>14</v>
      </c>
      <c r="E2486" s="48">
        <v>0.35416666666666669</v>
      </c>
      <c r="F2486" s="48">
        <v>0.72916666666666663</v>
      </c>
      <c r="G2486" s="49">
        <v>0</v>
      </c>
      <c r="H2486" s="49">
        <v>7.9999999999999982</v>
      </c>
      <c r="I2486" s="49">
        <v>7.9999999999999982</v>
      </c>
      <c r="J2486" s="53" t="s">
        <v>30</v>
      </c>
      <c r="K2486" s="51" t="s">
        <v>809</v>
      </c>
      <c r="L2486" s="102" t="s">
        <v>281</v>
      </c>
      <c r="M2486" s="19" t="str">
        <f t="shared" si="60"/>
        <v>Mar_2019</v>
      </c>
    </row>
    <row r="2487" spans="1:13">
      <c r="A2487" s="45" t="s">
        <v>22</v>
      </c>
      <c r="B2487" s="52" t="s">
        <v>710</v>
      </c>
      <c r="C2487" s="46">
        <v>43536</v>
      </c>
      <c r="D2487" s="47" t="s">
        <v>14</v>
      </c>
      <c r="E2487" s="48">
        <v>0.35416666666666669</v>
      </c>
      <c r="F2487" s="48">
        <v>0.72916666666666663</v>
      </c>
      <c r="G2487" s="49">
        <v>0</v>
      </c>
      <c r="H2487" s="49">
        <v>7.9999999999999982</v>
      </c>
      <c r="I2487" s="49">
        <v>7.9999999999999982</v>
      </c>
      <c r="J2487" s="53" t="s">
        <v>30</v>
      </c>
      <c r="K2487" s="51" t="s">
        <v>798</v>
      </c>
      <c r="L2487" s="102" t="s">
        <v>281</v>
      </c>
      <c r="M2487" s="19" t="str">
        <f t="shared" si="60"/>
        <v>Mar_2019</v>
      </c>
    </row>
    <row r="2488" spans="1:13">
      <c r="A2488" s="45" t="s">
        <v>11</v>
      </c>
      <c r="B2488" s="52" t="s">
        <v>12</v>
      </c>
      <c r="C2488" s="54">
        <v>43537</v>
      </c>
      <c r="D2488" s="47" t="s">
        <v>15</v>
      </c>
      <c r="E2488" s="48">
        <v>0.6875</v>
      </c>
      <c r="F2488" s="48">
        <v>0.89583333333333337</v>
      </c>
      <c r="G2488" s="49">
        <v>8.0000000000000036</v>
      </c>
      <c r="H2488" s="49">
        <v>4.9999999999999964</v>
      </c>
      <c r="I2488" s="49">
        <v>4.9999999999999964</v>
      </c>
      <c r="J2488" s="53" t="s">
        <v>30</v>
      </c>
      <c r="K2488" s="51" t="s">
        <v>808</v>
      </c>
      <c r="L2488" s="102">
        <v>1</v>
      </c>
      <c r="M2488" s="19" t="str">
        <f t="shared" si="60"/>
        <v>Mar_2019</v>
      </c>
    </row>
    <row r="2489" spans="1:13">
      <c r="A2489" s="45" t="s">
        <v>11</v>
      </c>
      <c r="B2489" s="52" t="s">
        <v>19</v>
      </c>
      <c r="C2489" s="46">
        <v>43537</v>
      </c>
      <c r="D2489" s="47" t="s">
        <v>15</v>
      </c>
      <c r="E2489" s="48">
        <v>0.64583333333333326</v>
      </c>
      <c r="F2489" s="48">
        <v>0.85416666666666663</v>
      </c>
      <c r="G2489" s="49">
        <v>8.0000000000000036</v>
      </c>
      <c r="H2489" s="49">
        <v>4.9999999999999947</v>
      </c>
      <c r="I2489" s="49">
        <v>4.9999999999999947</v>
      </c>
      <c r="J2489" s="53" t="s">
        <v>30</v>
      </c>
      <c r="K2489" s="51" t="s">
        <v>809</v>
      </c>
      <c r="L2489" s="102">
        <v>1</v>
      </c>
      <c r="M2489" s="19" t="str">
        <f t="shared" si="60"/>
        <v>Mar_2019</v>
      </c>
    </row>
    <row r="2490" spans="1:13">
      <c r="A2490" s="45" t="s">
        <v>11</v>
      </c>
      <c r="B2490" s="52" t="s">
        <v>161</v>
      </c>
      <c r="C2490" s="46">
        <v>43537</v>
      </c>
      <c r="D2490" s="47" t="s">
        <v>15</v>
      </c>
      <c r="E2490" s="48">
        <v>0.64583333333333326</v>
      </c>
      <c r="F2490" s="48">
        <v>0.89583333333333337</v>
      </c>
      <c r="G2490" s="49">
        <v>8.0000000000000036</v>
      </c>
      <c r="H2490" s="49">
        <v>5.9999999999999964</v>
      </c>
      <c r="I2490" s="49">
        <v>5.9999999999999964</v>
      </c>
      <c r="J2490" s="53" t="s">
        <v>30</v>
      </c>
      <c r="K2490" s="51" t="s">
        <v>809</v>
      </c>
      <c r="L2490" s="102">
        <v>1</v>
      </c>
      <c r="M2490" s="19" t="str">
        <f t="shared" si="60"/>
        <v>Mar_2019</v>
      </c>
    </row>
    <row r="2491" spans="1:13">
      <c r="A2491" s="45" t="s">
        <v>22</v>
      </c>
      <c r="B2491" s="52" t="s">
        <v>662</v>
      </c>
      <c r="C2491" s="46">
        <v>43537</v>
      </c>
      <c r="D2491" s="47" t="s">
        <v>15</v>
      </c>
      <c r="E2491" s="48">
        <v>0.35416666666666669</v>
      </c>
      <c r="F2491" s="48">
        <v>0.72916666666666663</v>
      </c>
      <c r="G2491" s="49">
        <v>0</v>
      </c>
      <c r="H2491" s="49">
        <v>7.9999999999999982</v>
      </c>
      <c r="I2491" s="49">
        <v>7.9999999999999982</v>
      </c>
      <c r="J2491" s="53" t="s">
        <v>30</v>
      </c>
      <c r="K2491" s="51" t="s">
        <v>799</v>
      </c>
      <c r="L2491" s="102" t="s">
        <v>281</v>
      </c>
      <c r="M2491" s="19" t="str">
        <f t="shared" si="60"/>
        <v>Mar_2019</v>
      </c>
    </row>
    <row r="2492" spans="1:13">
      <c r="A2492" s="45" t="s">
        <v>22</v>
      </c>
      <c r="B2492" s="52" t="s">
        <v>26</v>
      </c>
      <c r="C2492" s="46">
        <v>43537</v>
      </c>
      <c r="D2492" s="47" t="s">
        <v>15</v>
      </c>
      <c r="E2492" s="48">
        <v>0.35416666666666669</v>
      </c>
      <c r="F2492" s="48">
        <v>0.72916666666666663</v>
      </c>
      <c r="G2492" s="49">
        <v>0</v>
      </c>
      <c r="H2492" s="49">
        <v>7.9999999999999982</v>
      </c>
      <c r="I2492" s="49">
        <v>7.9999999999999982</v>
      </c>
      <c r="J2492" s="53" t="s">
        <v>30</v>
      </c>
      <c r="K2492" s="51" t="s">
        <v>809</v>
      </c>
      <c r="L2492" s="102" t="s">
        <v>281</v>
      </c>
      <c r="M2492" s="19" t="str">
        <f t="shared" si="60"/>
        <v>Mar_2019</v>
      </c>
    </row>
    <row r="2493" spans="1:13">
      <c r="A2493" s="45" t="s">
        <v>11</v>
      </c>
      <c r="B2493" s="52" t="s">
        <v>19</v>
      </c>
      <c r="C2493" s="46">
        <v>43538</v>
      </c>
      <c r="D2493" s="47" t="s">
        <v>25</v>
      </c>
      <c r="E2493" s="48">
        <v>0.6875</v>
      </c>
      <c r="F2493" s="48">
        <v>0.85416666666666663</v>
      </c>
      <c r="G2493" s="49">
        <v>8.0000000000000036</v>
      </c>
      <c r="H2493" s="49">
        <v>3.9999999999999964</v>
      </c>
      <c r="I2493" s="49">
        <v>3.9999999999999964</v>
      </c>
      <c r="J2493" s="53" t="s">
        <v>30</v>
      </c>
      <c r="K2493" s="51" t="s">
        <v>808</v>
      </c>
      <c r="L2493" s="102">
        <v>1</v>
      </c>
      <c r="M2493" s="19" t="str">
        <f t="shared" si="60"/>
        <v>Mar_2019</v>
      </c>
    </row>
    <row r="2494" spans="1:13">
      <c r="A2494" s="45" t="s">
        <v>11</v>
      </c>
      <c r="B2494" s="52" t="s">
        <v>161</v>
      </c>
      <c r="C2494" s="46">
        <v>43538</v>
      </c>
      <c r="D2494" s="47" t="s">
        <v>25</v>
      </c>
      <c r="E2494" s="48">
        <v>0.64583333333333326</v>
      </c>
      <c r="F2494" s="48">
        <v>0.89583333333333337</v>
      </c>
      <c r="G2494" s="49">
        <v>8.0000000000000036</v>
      </c>
      <c r="H2494" s="49">
        <v>5.9999999999999964</v>
      </c>
      <c r="I2494" s="49">
        <v>5.9999999999999964</v>
      </c>
      <c r="J2494" s="53" t="s">
        <v>30</v>
      </c>
      <c r="K2494" s="51" t="s">
        <v>809</v>
      </c>
      <c r="L2494" s="102">
        <v>1</v>
      </c>
      <c r="M2494" s="19" t="str">
        <f t="shared" si="60"/>
        <v>Mar_2019</v>
      </c>
    </row>
    <row r="2495" spans="1:13">
      <c r="A2495" s="45" t="s">
        <v>11</v>
      </c>
      <c r="B2495" s="52" t="s">
        <v>542</v>
      </c>
      <c r="C2495" s="46">
        <v>43538</v>
      </c>
      <c r="D2495" s="47" t="s">
        <v>25</v>
      </c>
      <c r="E2495" s="48">
        <v>0.6875</v>
      </c>
      <c r="F2495" s="48">
        <v>0.89583333333333337</v>
      </c>
      <c r="G2495" s="49">
        <v>8.0000000000000036</v>
      </c>
      <c r="H2495" s="49">
        <v>4.9999999999999964</v>
      </c>
      <c r="I2495" s="49">
        <v>4.9999999999999964</v>
      </c>
      <c r="J2495" s="53" t="s">
        <v>30</v>
      </c>
      <c r="K2495" s="51" t="s">
        <v>809</v>
      </c>
      <c r="L2495" s="102">
        <v>1</v>
      </c>
      <c r="M2495" s="19" t="str">
        <f t="shared" si="60"/>
        <v>Mar_2019</v>
      </c>
    </row>
    <row r="2496" spans="1:13">
      <c r="A2496" s="45" t="s">
        <v>22</v>
      </c>
      <c r="B2496" s="52" t="s">
        <v>662</v>
      </c>
      <c r="C2496" s="46">
        <v>43538</v>
      </c>
      <c r="D2496" s="47" t="s">
        <v>25</v>
      </c>
      <c r="E2496" s="48">
        <v>0.35416666666666669</v>
      </c>
      <c r="F2496" s="48">
        <v>0.72916666666666663</v>
      </c>
      <c r="G2496" s="49">
        <v>0</v>
      </c>
      <c r="H2496" s="49">
        <v>7.9999999999999982</v>
      </c>
      <c r="I2496" s="49">
        <v>7.9999999999999982</v>
      </c>
      <c r="J2496" s="53" t="s">
        <v>30</v>
      </c>
      <c r="K2496" s="51" t="s">
        <v>809</v>
      </c>
      <c r="L2496" s="102" t="s">
        <v>281</v>
      </c>
      <c r="M2496" s="19" t="str">
        <f t="shared" si="60"/>
        <v>Mar_2019</v>
      </c>
    </row>
    <row r="2497" spans="1:13">
      <c r="A2497" s="45" t="s">
        <v>11</v>
      </c>
      <c r="B2497" s="52" t="s">
        <v>19</v>
      </c>
      <c r="C2497" s="46">
        <v>43539</v>
      </c>
      <c r="D2497" s="47" t="s">
        <v>17</v>
      </c>
      <c r="E2497" s="48">
        <v>0.6875</v>
      </c>
      <c r="F2497" s="48">
        <v>0.89583333333333337</v>
      </c>
      <c r="G2497" s="49">
        <v>8.0000000000000036</v>
      </c>
      <c r="H2497" s="49">
        <v>4.9999999999999964</v>
      </c>
      <c r="I2497" s="49">
        <v>4.9999999999999964</v>
      </c>
      <c r="J2497" s="53" t="s">
        <v>30</v>
      </c>
      <c r="K2497" s="51" t="s">
        <v>808</v>
      </c>
      <c r="L2497" s="102">
        <v>1</v>
      </c>
      <c r="M2497" s="19" t="str">
        <f t="shared" si="60"/>
        <v>Mar_2019</v>
      </c>
    </row>
    <row r="2498" spans="1:13">
      <c r="A2498" s="45" t="s">
        <v>11</v>
      </c>
      <c r="B2498" s="52" t="s">
        <v>161</v>
      </c>
      <c r="C2498" s="46">
        <v>43539</v>
      </c>
      <c r="D2498" s="47" t="s">
        <v>17</v>
      </c>
      <c r="E2498" s="48">
        <v>0.64583333333333326</v>
      </c>
      <c r="F2498" s="48">
        <v>0.89583333333333337</v>
      </c>
      <c r="G2498" s="49">
        <v>8.0000000000000036</v>
      </c>
      <c r="H2498" s="49">
        <v>5.9999999999999964</v>
      </c>
      <c r="I2498" s="49">
        <v>5.9999999999999964</v>
      </c>
      <c r="J2498" s="53" t="s">
        <v>30</v>
      </c>
      <c r="K2498" s="51" t="s">
        <v>809</v>
      </c>
      <c r="L2498" s="102">
        <v>1</v>
      </c>
      <c r="M2498" s="19" t="str">
        <f t="shared" si="60"/>
        <v>Mar_2019</v>
      </c>
    </row>
    <row r="2499" spans="1:13">
      <c r="A2499" s="45" t="s">
        <v>11</v>
      </c>
      <c r="B2499" s="52" t="s">
        <v>542</v>
      </c>
      <c r="C2499" s="46">
        <v>43539</v>
      </c>
      <c r="D2499" s="47" t="s">
        <v>17</v>
      </c>
      <c r="E2499" s="48">
        <v>0.6875</v>
      </c>
      <c r="F2499" s="48">
        <v>0.89583333333333337</v>
      </c>
      <c r="G2499" s="49">
        <v>8.0000000000000036</v>
      </c>
      <c r="H2499" s="49">
        <v>4.9999999999999964</v>
      </c>
      <c r="I2499" s="49">
        <v>4.9999999999999964</v>
      </c>
      <c r="J2499" s="53" t="s">
        <v>30</v>
      </c>
      <c r="K2499" s="51" t="s">
        <v>809</v>
      </c>
      <c r="L2499" s="102">
        <v>1</v>
      </c>
      <c r="M2499" s="19" t="str">
        <f t="shared" si="60"/>
        <v>Mar_2019</v>
      </c>
    </row>
    <row r="2500" spans="1:13">
      <c r="A2500" s="45" t="s">
        <v>22</v>
      </c>
      <c r="B2500" s="52" t="s">
        <v>662</v>
      </c>
      <c r="C2500" s="46">
        <v>43539</v>
      </c>
      <c r="D2500" s="47" t="s">
        <v>17</v>
      </c>
      <c r="E2500" s="48">
        <v>0.35416666666666669</v>
      </c>
      <c r="F2500" s="48">
        <v>0.72916666666666663</v>
      </c>
      <c r="G2500" s="49">
        <v>0</v>
      </c>
      <c r="H2500" s="49">
        <v>7.9999999999999982</v>
      </c>
      <c r="I2500" s="49">
        <v>7.9999999999999982</v>
      </c>
      <c r="J2500" s="53" t="s">
        <v>30</v>
      </c>
      <c r="K2500" s="51" t="s">
        <v>800</v>
      </c>
      <c r="L2500" s="102" t="s">
        <v>281</v>
      </c>
      <c r="M2500" s="19" t="str">
        <f t="shared" si="60"/>
        <v>Mar_2019</v>
      </c>
    </row>
    <row r="2501" spans="1:13">
      <c r="A2501" s="45" t="s">
        <v>22</v>
      </c>
      <c r="B2501" s="52" t="s">
        <v>26</v>
      </c>
      <c r="C2501" s="46">
        <v>43539</v>
      </c>
      <c r="D2501" s="47" t="s">
        <v>17</v>
      </c>
      <c r="E2501" s="48">
        <v>0.35416666666666669</v>
      </c>
      <c r="F2501" s="48">
        <v>0.72916666666666663</v>
      </c>
      <c r="G2501" s="49">
        <v>0</v>
      </c>
      <c r="H2501" s="49">
        <v>7.9999999999999982</v>
      </c>
      <c r="I2501" s="49">
        <v>7.9999999999999982</v>
      </c>
      <c r="J2501" s="53" t="s">
        <v>30</v>
      </c>
      <c r="K2501" s="51" t="s">
        <v>809</v>
      </c>
      <c r="L2501" s="102" t="s">
        <v>281</v>
      </c>
      <c r="M2501" s="19" t="str">
        <f t="shared" si="60"/>
        <v>Mar_2019</v>
      </c>
    </row>
    <row r="2502" spans="1:13">
      <c r="A2502" s="45" t="s">
        <v>22</v>
      </c>
      <c r="B2502" s="52" t="s">
        <v>801</v>
      </c>
      <c r="C2502" s="46">
        <v>43539</v>
      </c>
      <c r="D2502" s="47" t="s">
        <v>17</v>
      </c>
      <c r="E2502" s="48">
        <v>0.35416666666666669</v>
      </c>
      <c r="F2502" s="48">
        <v>0.72916666666666663</v>
      </c>
      <c r="G2502" s="49">
        <v>0</v>
      </c>
      <c r="H2502" s="49">
        <v>7.9999999999999982</v>
      </c>
      <c r="I2502" s="49">
        <v>7.9999999999999982</v>
      </c>
      <c r="J2502" s="53" t="s">
        <v>30</v>
      </c>
      <c r="K2502" s="51" t="s">
        <v>802</v>
      </c>
      <c r="L2502" s="102" t="s">
        <v>281</v>
      </c>
      <c r="M2502" s="19" t="str">
        <f t="shared" si="60"/>
        <v>Mar_2019</v>
      </c>
    </row>
    <row r="2503" spans="1:13">
      <c r="A2503" s="45" t="s">
        <v>11</v>
      </c>
      <c r="B2503" s="52" t="s">
        <v>12</v>
      </c>
      <c r="C2503" s="54">
        <v>43540</v>
      </c>
      <c r="D2503" s="47" t="s">
        <v>24</v>
      </c>
      <c r="E2503" s="48">
        <v>0.8125</v>
      </c>
      <c r="F2503" s="48">
        <v>0.89583333333333337</v>
      </c>
      <c r="G2503" s="49">
        <v>8.0000000000000036</v>
      </c>
      <c r="H2503" s="49">
        <v>1.9999999999999964</v>
      </c>
      <c r="I2503" s="49">
        <v>10</v>
      </c>
      <c r="J2503" s="53" t="s">
        <v>52</v>
      </c>
      <c r="K2503" s="51" t="s">
        <v>808</v>
      </c>
      <c r="L2503" s="102">
        <v>1</v>
      </c>
      <c r="M2503" s="19" t="str">
        <f t="shared" si="60"/>
        <v>Mar_2019</v>
      </c>
    </row>
    <row r="2504" spans="1:13">
      <c r="A2504" s="45" t="s">
        <v>11</v>
      </c>
      <c r="B2504" s="52" t="s">
        <v>19</v>
      </c>
      <c r="C2504" s="46">
        <v>43540</v>
      </c>
      <c r="D2504" s="47" t="s">
        <v>24</v>
      </c>
      <c r="E2504" s="48">
        <v>0.6875</v>
      </c>
      <c r="F2504" s="48">
        <v>0.89583333333333337</v>
      </c>
      <c r="G2504" s="49">
        <v>8.0000000000000036</v>
      </c>
      <c r="H2504" s="49">
        <v>4.9999999999999964</v>
      </c>
      <c r="I2504" s="49">
        <v>13</v>
      </c>
      <c r="J2504" s="53" t="s">
        <v>52</v>
      </c>
      <c r="K2504" s="51" t="s">
        <v>809</v>
      </c>
      <c r="L2504" s="102">
        <v>1</v>
      </c>
      <c r="M2504" s="19" t="str">
        <f t="shared" si="60"/>
        <v>Mar_2019</v>
      </c>
    </row>
    <row r="2505" spans="1:13">
      <c r="A2505" s="45" t="s">
        <v>11</v>
      </c>
      <c r="B2505" s="52" t="s">
        <v>161</v>
      </c>
      <c r="C2505" s="46">
        <v>43540</v>
      </c>
      <c r="D2505" s="47" t="s">
        <v>24</v>
      </c>
      <c r="E2505" s="48">
        <v>0.64583333333333326</v>
      </c>
      <c r="F2505" s="48">
        <v>0.89583333333333337</v>
      </c>
      <c r="G2505" s="49">
        <v>8.0000000000000036</v>
      </c>
      <c r="H2505" s="49">
        <v>5.9999999999999964</v>
      </c>
      <c r="I2505" s="49">
        <v>14</v>
      </c>
      <c r="J2505" s="53" t="s">
        <v>52</v>
      </c>
      <c r="K2505" s="51" t="s">
        <v>809</v>
      </c>
      <c r="L2505" s="102">
        <v>1</v>
      </c>
      <c r="M2505" s="19" t="str">
        <f t="shared" si="60"/>
        <v>Mar_2019</v>
      </c>
    </row>
    <row r="2506" spans="1:13">
      <c r="A2506" s="45" t="s">
        <v>22</v>
      </c>
      <c r="B2506" s="52" t="s">
        <v>26</v>
      </c>
      <c r="C2506" s="46">
        <v>43540</v>
      </c>
      <c r="D2506" s="47" t="s">
        <v>24</v>
      </c>
      <c r="E2506" s="48">
        <v>0.27083333333333331</v>
      </c>
      <c r="F2506" s="48">
        <v>0.89583333333333337</v>
      </c>
      <c r="G2506" s="49">
        <v>0</v>
      </c>
      <c r="H2506" s="49">
        <v>14</v>
      </c>
      <c r="I2506" s="49">
        <v>14</v>
      </c>
      <c r="J2506" s="53" t="s">
        <v>52</v>
      </c>
      <c r="K2506" s="51" t="s">
        <v>809</v>
      </c>
      <c r="L2506" s="102" t="s">
        <v>281</v>
      </c>
      <c r="M2506" s="19" t="str">
        <f t="shared" si="60"/>
        <v>Mar_2019</v>
      </c>
    </row>
    <row r="2507" spans="1:13">
      <c r="A2507" s="45" t="s">
        <v>11</v>
      </c>
      <c r="B2507" s="52" t="s">
        <v>19</v>
      </c>
      <c r="C2507" s="46">
        <v>43542</v>
      </c>
      <c r="D2507" s="47" t="s">
        <v>16</v>
      </c>
      <c r="E2507" s="48">
        <v>0.64583333333333326</v>
      </c>
      <c r="F2507" s="48">
        <v>0.89583333333333337</v>
      </c>
      <c r="G2507" s="49">
        <v>8.0000000000000036</v>
      </c>
      <c r="H2507" s="49">
        <v>5.9999999999999964</v>
      </c>
      <c r="I2507" s="49">
        <v>5.9999999999999964</v>
      </c>
      <c r="J2507" s="53" t="s">
        <v>30</v>
      </c>
      <c r="K2507" s="51" t="s">
        <v>808</v>
      </c>
      <c r="L2507" s="102">
        <v>1</v>
      </c>
      <c r="M2507" s="19" t="str">
        <f t="shared" si="60"/>
        <v>Mar_2019</v>
      </c>
    </row>
    <row r="2508" spans="1:13">
      <c r="A2508" s="45" t="s">
        <v>11</v>
      </c>
      <c r="B2508" s="52" t="s">
        <v>161</v>
      </c>
      <c r="C2508" s="46">
        <v>43542</v>
      </c>
      <c r="D2508" s="47" t="s">
        <v>16</v>
      </c>
      <c r="E2508" s="48">
        <v>0.64583333333333326</v>
      </c>
      <c r="F2508" s="48">
        <v>0.89583333333333337</v>
      </c>
      <c r="G2508" s="49">
        <v>8.0000000000000036</v>
      </c>
      <c r="H2508" s="49">
        <v>5.9999999999999964</v>
      </c>
      <c r="I2508" s="49">
        <v>5.9999999999999964</v>
      </c>
      <c r="J2508" s="53" t="s">
        <v>30</v>
      </c>
      <c r="K2508" s="51" t="s">
        <v>809</v>
      </c>
      <c r="L2508" s="102">
        <v>1</v>
      </c>
      <c r="M2508" s="19" t="str">
        <f t="shared" si="60"/>
        <v>Mar_2019</v>
      </c>
    </row>
    <row r="2509" spans="1:13">
      <c r="A2509" s="45" t="s">
        <v>11</v>
      </c>
      <c r="B2509" s="52" t="s">
        <v>542</v>
      </c>
      <c r="C2509" s="46">
        <v>43542</v>
      </c>
      <c r="D2509" s="47" t="s">
        <v>16</v>
      </c>
      <c r="E2509" s="48">
        <v>0.64583333333333326</v>
      </c>
      <c r="F2509" s="48">
        <v>0.89583333333333337</v>
      </c>
      <c r="G2509" s="49">
        <v>8.0000000000000036</v>
      </c>
      <c r="H2509" s="49">
        <v>5.9999999999999964</v>
      </c>
      <c r="I2509" s="49">
        <v>5.9999999999999964</v>
      </c>
      <c r="J2509" s="53" t="s">
        <v>30</v>
      </c>
      <c r="K2509" s="51" t="s">
        <v>809</v>
      </c>
      <c r="L2509" s="102">
        <v>1</v>
      </c>
      <c r="M2509" s="19" t="str">
        <f t="shared" si="60"/>
        <v>Mar_2019</v>
      </c>
    </row>
    <row r="2510" spans="1:13">
      <c r="A2510" s="45" t="s">
        <v>22</v>
      </c>
      <c r="B2510" s="52" t="s">
        <v>662</v>
      </c>
      <c r="C2510" s="46">
        <v>43542</v>
      </c>
      <c r="D2510" s="47" t="s">
        <v>16</v>
      </c>
      <c r="E2510" s="48">
        <v>0.35416666666666669</v>
      </c>
      <c r="F2510" s="48">
        <v>0.72916666666666663</v>
      </c>
      <c r="G2510" s="49">
        <v>0</v>
      </c>
      <c r="H2510" s="49">
        <v>7.9999999999999982</v>
      </c>
      <c r="I2510" s="49">
        <v>7.9999999999999982</v>
      </c>
      <c r="J2510" s="53" t="s">
        <v>30</v>
      </c>
      <c r="K2510" s="51" t="s">
        <v>803</v>
      </c>
      <c r="L2510" s="102" t="s">
        <v>281</v>
      </c>
      <c r="M2510" s="19" t="str">
        <f t="shared" si="60"/>
        <v>Mar_2019</v>
      </c>
    </row>
    <row r="2511" spans="1:13">
      <c r="A2511" s="45" t="s">
        <v>22</v>
      </c>
      <c r="B2511" s="52" t="s">
        <v>26</v>
      </c>
      <c r="C2511" s="46">
        <v>43542</v>
      </c>
      <c r="D2511" s="47" t="s">
        <v>16</v>
      </c>
      <c r="E2511" s="48">
        <v>0.35416666666666669</v>
      </c>
      <c r="F2511" s="48">
        <v>0.72916666666666663</v>
      </c>
      <c r="G2511" s="49">
        <v>0</v>
      </c>
      <c r="H2511" s="49">
        <v>7.9999999999999982</v>
      </c>
      <c r="I2511" s="49">
        <v>7.9999999999999982</v>
      </c>
      <c r="J2511" s="53" t="s">
        <v>30</v>
      </c>
      <c r="K2511" s="51" t="s">
        <v>809</v>
      </c>
      <c r="L2511" s="102" t="s">
        <v>281</v>
      </c>
      <c r="M2511" s="19" t="str">
        <f t="shared" si="60"/>
        <v>Mar_2019</v>
      </c>
    </row>
    <row r="2512" spans="1:13">
      <c r="A2512" s="45" t="s">
        <v>22</v>
      </c>
      <c r="B2512" s="52" t="s">
        <v>801</v>
      </c>
      <c r="C2512" s="46">
        <v>43542</v>
      </c>
      <c r="D2512" s="47" t="s">
        <v>16</v>
      </c>
      <c r="E2512" s="48">
        <v>0.35416666666666669</v>
      </c>
      <c r="F2512" s="48">
        <v>0.72916666666666663</v>
      </c>
      <c r="G2512" s="49">
        <v>0</v>
      </c>
      <c r="H2512" s="49">
        <v>7.9999999999999982</v>
      </c>
      <c r="I2512" s="49">
        <v>7.9999999999999982</v>
      </c>
      <c r="J2512" s="53" t="s">
        <v>30</v>
      </c>
      <c r="K2512" s="51" t="s">
        <v>804</v>
      </c>
      <c r="L2512" s="102" t="s">
        <v>281</v>
      </c>
      <c r="M2512" s="19" t="str">
        <f t="shared" si="60"/>
        <v>Mar_2019</v>
      </c>
    </row>
    <row r="2513" spans="1:13">
      <c r="A2513" s="45" t="s">
        <v>11</v>
      </c>
      <c r="B2513" s="52" t="s">
        <v>19</v>
      </c>
      <c r="C2513" s="46">
        <v>43543</v>
      </c>
      <c r="D2513" s="47" t="s">
        <v>14</v>
      </c>
      <c r="E2513" s="48">
        <v>0.66666666666666674</v>
      </c>
      <c r="F2513" s="48">
        <v>0.89583333333333337</v>
      </c>
      <c r="G2513" s="49">
        <v>8.0000000000000036</v>
      </c>
      <c r="H2513" s="49">
        <v>5.4999999999999982</v>
      </c>
      <c r="I2513" s="49">
        <v>5.4999999999999982</v>
      </c>
      <c r="J2513" s="53" t="s">
        <v>30</v>
      </c>
      <c r="K2513" s="51" t="s">
        <v>808</v>
      </c>
      <c r="L2513" s="102">
        <v>1</v>
      </c>
      <c r="M2513" s="19" t="str">
        <f t="shared" si="60"/>
        <v>Mar_2019</v>
      </c>
    </row>
    <row r="2514" spans="1:13">
      <c r="A2514" s="45" t="s">
        <v>11</v>
      </c>
      <c r="B2514" s="52" t="s">
        <v>542</v>
      </c>
      <c r="C2514" s="46">
        <v>43543</v>
      </c>
      <c r="D2514" s="47" t="s">
        <v>14</v>
      </c>
      <c r="E2514" s="48">
        <v>0.64583333333333326</v>
      </c>
      <c r="F2514" s="48">
        <v>0.89583333333333337</v>
      </c>
      <c r="G2514" s="49">
        <v>8.0000000000000036</v>
      </c>
      <c r="H2514" s="49">
        <v>5.9999999999999964</v>
      </c>
      <c r="I2514" s="49">
        <v>5.9999999999999964</v>
      </c>
      <c r="J2514" s="53" t="s">
        <v>30</v>
      </c>
      <c r="K2514" s="51" t="s">
        <v>809</v>
      </c>
      <c r="L2514" s="102">
        <v>1</v>
      </c>
      <c r="M2514" s="19" t="str">
        <f t="shared" si="60"/>
        <v>Mar_2019</v>
      </c>
    </row>
    <row r="2515" spans="1:13">
      <c r="A2515" s="45" t="s">
        <v>22</v>
      </c>
      <c r="B2515" s="52" t="s">
        <v>679</v>
      </c>
      <c r="C2515" s="46">
        <v>43543</v>
      </c>
      <c r="D2515" s="47" t="s">
        <v>14</v>
      </c>
      <c r="E2515" s="48">
        <v>0.35416666666666669</v>
      </c>
      <c r="F2515" s="48">
        <v>0.72916666666666663</v>
      </c>
      <c r="G2515" s="49">
        <v>0</v>
      </c>
      <c r="H2515" s="49">
        <v>7.9999999999999982</v>
      </c>
      <c r="I2515" s="49">
        <v>7.9999999999999982</v>
      </c>
      <c r="J2515" s="53" t="s">
        <v>30</v>
      </c>
      <c r="K2515" s="51" t="s">
        <v>805</v>
      </c>
      <c r="L2515" s="102" t="s">
        <v>281</v>
      </c>
      <c r="M2515" s="19" t="str">
        <f t="shared" si="60"/>
        <v>Mar_2019</v>
      </c>
    </row>
    <row r="2516" spans="1:13">
      <c r="A2516" s="45" t="s">
        <v>22</v>
      </c>
      <c r="B2516" s="52" t="s">
        <v>26</v>
      </c>
      <c r="C2516" s="46">
        <v>43543</v>
      </c>
      <c r="D2516" s="47" t="s">
        <v>14</v>
      </c>
      <c r="E2516" s="48">
        <v>0.27083333333333331</v>
      </c>
      <c r="F2516" s="48">
        <v>0.89583333333333337</v>
      </c>
      <c r="G2516" s="49">
        <v>0</v>
      </c>
      <c r="H2516" s="49">
        <v>14</v>
      </c>
      <c r="I2516" s="49">
        <v>14</v>
      </c>
      <c r="J2516" s="53" t="s">
        <v>30</v>
      </c>
      <c r="K2516" s="51" t="s">
        <v>809</v>
      </c>
      <c r="L2516" s="102" t="s">
        <v>281</v>
      </c>
      <c r="M2516" s="19" t="str">
        <f t="shared" si="60"/>
        <v>Mar_2019</v>
      </c>
    </row>
    <row r="2517" spans="1:13">
      <c r="A2517" s="45" t="s">
        <v>22</v>
      </c>
      <c r="B2517" s="52" t="s">
        <v>801</v>
      </c>
      <c r="C2517" s="46">
        <v>43543</v>
      </c>
      <c r="D2517" s="47" t="s">
        <v>14</v>
      </c>
      <c r="E2517" s="48">
        <v>0.35416666666666669</v>
      </c>
      <c r="F2517" s="48">
        <v>0.72916666666666663</v>
      </c>
      <c r="G2517" s="49">
        <v>0</v>
      </c>
      <c r="H2517" s="49">
        <v>7.9999999999999982</v>
      </c>
      <c r="I2517" s="49">
        <v>7.9999999999999982</v>
      </c>
      <c r="J2517" s="53" t="s">
        <v>30</v>
      </c>
      <c r="K2517" s="51" t="s">
        <v>805</v>
      </c>
      <c r="L2517" s="102" t="s">
        <v>281</v>
      </c>
      <c r="M2517" s="19" t="str">
        <f t="shared" si="60"/>
        <v>Mar_2019</v>
      </c>
    </row>
    <row r="2518" spans="1:13">
      <c r="A2518" s="45" t="s">
        <v>11</v>
      </c>
      <c r="B2518" s="52" t="s">
        <v>19</v>
      </c>
      <c r="C2518" s="46">
        <v>43544</v>
      </c>
      <c r="D2518" s="47" t="s">
        <v>15</v>
      </c>
      <c r="E2518" s="48">
        <v>0.64583333333333326</v>
      </c>
      <c r="F2518" s="48">
        <v>0.89583333333333337</v>
      </c>
      <c r="G2518" s="49">
        <v>8.0000000000000036</v>
      </c>
      <c r="H2518" s="49">
        <v>5.9999999999999964</v>
      </c>
      <c r="I2518" s="49">
        <v>5.9999999999999964</v>
      </c>
      <c r="J2518" s="53" t="s">
        <v>30</v>
      </c>
      <c r="K2518" s="51" t="s">
        <v>808</v>
      </c>
      <c r="L2518" s="102">
        <v>1</v>
      </c>
      <c r="M2518" s="19" t="str">
        <f t="shared" si="60"/>
        <v>Mar_2019</v>
      </c>
    </row>
    <row r="2519" spans="1:13">
      <c r="A2519" s="45" t="s">
        <v>11</v>
      </c>
      <c r="B2519" s="52" t="s">
        <v>161</v>
      </c>
      <c r="C2519" s="46">
        <v>43544</v>
      </c>
      <c r="D2519" s="47" t="s">
        <v>15</v>
      </c>
      <c r="E2519" s="48">
        <v>0.64583333333333326</v>
      </c>
      <c r="F2519" s="48">
        <v>0.89583333333333337</v>
      </c>
      <c r="G2519" s="49">
        <v>8.0000000000000036</v>
      </c>
      <c r="H2519" s="49">
        <v>5.9999999999999964</v>
      </c>
      <c r="I2519" s="49">
        <v>5.9999999999999964</v>
      </c>
      <c r="J2519" s="53" t="s">
        <v>30</v>
      </c>
      <c r="K2519" s="51" t="s">
        <v>809</v>
      </c>
      <c r="L2519" s="102">
        <v>1</v>
      </c>
      <c r="M2519" s="19" t="str">
        <f t="shared" si="60"/>
        <v>Mar_2019</v>
      </c>
    </row>
    <row r="2520" spans="1:13">
      <c r="A2520" s="45" t="s">
        <v>11</v>
      </c>
      <c r="B2520" s="52" t="s">
        <v>542</v>
      </c>
      <c r="C2520" s="46">
        <v>43544</v>
      </c>
      <c r="D2520" s="47" t="s">
        <v>15</v>
      </c>
      <c r="E2520" s="48">
        <v>0.72916666666666674</v>
      </c>
      <c r="F2520" s="48">
        <v>0.89583333333333337</v>
      </c>
      <c r="G2520" s="49">
        <v>8.0000000000000036</v>
      </c>
      <c r="H2520" s="49">
        <v>3.9999999999999982</v>
      </c>
      <c r="I2520" s="49">
        <v>3.9999999999999982</v>
      </c>
      <c r="J2520" s="53" t="s">
        <v>30</v>
      </c>
      <c r="K2520" s="51" t="s">
        <v>809</v>
      </c>
      <c r="L2520" s="102">
        <v>1</v>
      </c>
      <c r="M2520" s="19" t="str">
        <f t="shared" si="60"/>
        <v>Mar_2019</v>
      </c>
    </row>
    <row r="2521" spans="1:13">
      <c r="A2521" s="45" t="s">
        <v>22</v>
      </c>
      <c r="B2521" s="52" t="s">
        <v>662</v>
      </c>
      <c r="C2521" s="46">
        <v>43544</v>
      </c>
      <c r="D2521" s="47" t="s">
        <v>15</v>
      </c>
      <c r="E2521" s="48">
        <v>0.35416666666666669</v>
      </c>
      <c r="F2521" s="48">
        <v>0.72916666666666663</v>
      </c>
      <c r="G2521" s="49">
        <v>0</v>
      </c>
      <c r="H2521" s="49">
        <v>7.9999999999999982</v>
      </c>
      <c r="I2521" s="49">
        <v>7.9999999999999982</v>
      </c>
      <c r="J2521" s="53" t="s">
        <v>30</v>
      </c>
      <c r="K2521" s="51" t="s">
        <v>809</v>
      </c>
      <c r="L2521" s="102" t="s">
        <v>281</v>
      </c>
      <c r="M2521" s="19" t="str">
        <f t="shared" si="60"/>
        <v>Mar_2019</v>
      </c>
    </row>
    <row r="2522" spans="1:13">
      <c r="A2522" s="45" t="s">
        <v>22</v>
      </c>
      <c r="B2522" s="52" t="s">
        <v>679</v>
      </c>
      <c r="C2522" s="46">
        <v>43544</v>
      </c>
      <c r="D2522" s="47" t="s">
        <v>15</v>
      </c>
      <c r="E2522" s="48">
        <v>0.35416666666666669</v>
      </c>
      <c r="F2522" s="48">
        <v>0.72916666666666663</v>
      </c>
      <c r="G2522" s="49">
        <v>0</v>
      </c>
      <c r="H2522" s="49">
        <v>7.9999999999999982</v>
      </c>
      <c r="I2522" s="49">
        <v>7.9999999999999982</v>
      </c>
      <c r="J2522" s="53" t="s">
        <v>30</v>
      </c>
      <c r="K2522" s="51" t="s">
        <v>806</v>
      </c>
      <c r="L2522" s="102" t="s">
        <v>281</v>
      </c>
      <c r="M2522" s="19" t="str">
        <f t="shared" si="60"/>
        <v>Mar_2019</v>
      </c>
    </row>
    <row r="2523" spans="1:13">
      <c r="A2523" s="45" t="s">
        <v>22</v>
      </c>
      <c r="B2523" s="52" t="s">
        <v>26</v>
      </c>
      <c r="C2523" s="46">
        <v>43544</v>
      </c>
      <c r="D2523" s="47" t="s">
        <v>15</v>
      </c>
      <c r="E2523" s="48">
        <v>0.27083333333333331</v>
      </c>
      <c r="F2523" s="48">
        <v>0.72916666666666663</v>
      </c>
      <c r="G2523" s="49">
        <v>0</v>
      </c>
      <c r="H2523" s="49">
        <v>10</v>
      </c>
      <c r="I2523" s="49">
        <v>10</v>
      </c>
      <c r="J2523" s="53" t="s">
        <v>30</v>
      </c>
      <c r="K2523" s="51" t="s">
        <v>809</v>
      </c>
      <c r="L2523" s="102" t="s">
        <v>281</v>
      </c>
      <c r="M2523" s="19" t="str">
        <f t="shared" si="60"/>
        <v>Mar_2019</v>
      </c>
    </row>
    <row r="2524" spans="1:13">
      <c r="A2524" s="45" t="s">
        <v>22</v>
      </c>
      <c r="B2524" s="52" t="s">
        <v>478</v>
      </c>
      <c r="C2524" s="46">
        <v>43544</v>
      </c>
      <c r="D2524" s="47" t="s">
        <v>15</v>
      </c>
      <c r="E2524" s="48">
        <v>0.35416666666666669</v>
      </c>
      <c r="F2524" s="48">
        <v>0.625</v>
      </c>
      <c r="G2524" s="49">
        <v>0</v>
      </c>
      <c r="H2524" s="49">
        <v>5.5</v>
      </c>
      <c r="I2524" s="49">
        <v>5.5</v>
      </c>
      <c r="J2524" s="53" t="s">
        <v>30</v>
      </c>
      <c r="K2524" s="51" t="s">
        <v>806</v>
      </c>
      <c r="L2524" s="102" t="s">
        <v>281</v>
      </c>
      <c r="M2524" s="19" t="str">
        <f t="shared" si="60"/>
        <v>Mar_2019</v>
      </c>
    </row>
    <row r="2525" spans="1:13">
      <c r="A2525" s="45" t="s">
        <v>22</v>
      </c>
      <c r="B2525" s="52" t="s">
        <v>801</v>
      </c>
      <c r="C2525" s="46">
        <v>43544</v>
      </c>
      <c r="D2525" s="47" t="s">
        <v>15</v>
      </c>
      <c r="E2525" s="48">
        <v>0.35416666666666669</v>
      </c>
      <c r="F2525" s="48">
        <v>0.72916666666666663</v>
      </c>
      <c r="G2525" s="49">
        <v>0</v>
      </c>
      <c r="H2525" s="49">
        <v>7.9999999999999982</v>
      </c>
      <c r="I2525" s="49">
        <v>7.9999999999999982</v>
      </c>
      <c r="J2525" s="53" t="s">
        <v>30</v>
      </c>
      <c r="K2525" s="51" t="s">
        <v>807</v>
      </c>
      <c r="L2525" s="102" t="s">
        <v>281</v>
      </c>
      <c r="M2525" s="19" t="str">
        <f t="shared" si="60"/>
        <v>Mar_2019</v>
      </c>
    </row>
    <row r="2526" spans="1:13">
      <c r="A2526" s="45" t="s">
        <v>11</v>
      </c>
      <c r="B2526" s="52" t="s">
        <v>19</v>
      </c>
      <c r="C2526" s="46">
        <v>43545</v>
      </c>
      <c r="D2526" s="47" t="s">
        <v>25</v>
      </c>
      <c r="E2526" s="48">
        <v>0.66666666666666674</v>
      </c>
      <c r="F2526" s="48">
        <v>0.72916666666666663</v>
      </c>
      <c r="G2526" s="49">
        <v>8.0000000000000036</v>
      </c>
      <c r="H2526" s="49">
        <v>1.4999999999999947</v>
      </c>
      <c r="I2526" s="49">
        <v>1.4999999999999947</v>
      </c>
      <c r="J2526" s="53" t="s">
        <v>30</v>
      </c>
      <c r="K2526" s="51" t="s">
        <v>808</v>
      </c>
      <c r="L2526" s="102" t="s">
        <v>281</v>
      </c>
      <c r="M2526" s="19" t="str">
        <f t="shared" si="60"/>
        <v>Mar_2019</v>
      </c>
    </row>
    <row r="2527" spans="1:13">
      <c r="A2527" s="45" t="s">
        <v>11</v>
      </c>
      <c r="B2527" s="52" t="s">
        <v>161</v>
      </c>
      <c r="C2527" s="46">
        <v>43545</v>
      </c>
      <c r="D2527" s="47" t="s">
        <v>25</v>
      </c>
      <c r="E2527" s="48">
        <v>0.64583333333333326</v>
      </c>
      <c r="F2527" s="48">
        <v>0.89583333333333337</v>
      </c>
      <c r="G2527" s="49">
        <v>8.0000000000000036</v>
      </c>
      <c r="H2527" s="49">
        <v>5.9999999999999964</v>
      </c>
      <c r="I2527" s="49">
        <v>5.9999999999999964</v>
      </c>
      <c r="J2527" s="53" t="s">
        <v>30</v>
      </c>
      <c r="K2527" s="51" t="s">
        <v>809</v>
      </c>
      <c r="L2527" s="102">
        <v>1</v>
      </c>
      <c r="M2527" s="19" t="str">
        <f t="shared" ref="M2527:M2558" si="61">IF($C2527="","",TEXT(DATE(YEAR($C2527),MONTH($C2527),DAY($C2527)),"MMM")&amp;"_"&amp;YEAR($C2527))</f>
        <v>Mar_2019</v>
      </c>
    </row>
    <row r="2528" spans="1:13">
      <c r="A2528" s="45" t="s">
        <v>11</v>
      </c>
      <c r="B2528" s="52" t="s">
        <v>542</v>
      </c>
      <c r="C2528" s="46">
        <v>43545</v>
      </c>
      <c r="D2528" s="47" t="s">
        <v>25</v>
      </c>
      <c r="E2528" s="48">
        <v>0.6875</v>
      </c>
      <c r="F2528" s="48">
        <v>0.89583333333333337</v>
      </c>
      <c r="G2528" s="49">
        <v>8.0000000000000036</v>
      </c>
      <c r="H2528" s="49">
        <v>4.9999999999999964</v>
      </c>
      <c r="I2528" s="49">
        <v>4.9999999999999964</v>
      </c>
      <c r="J2528" s="53" t="s">
        <v>30</v>
      </c>
      <c r="K2528" s="51" t="s">
        <v>809</v>
      </c>
      <c r="L2528" s="102">
        <v>1</v>
      </c>
      <c r="M2528" s="19" t="str">
        <f t="shared" si="61"/>
        <v>Mar_2019</v>
      </c>
    </row>
    <row r="2529" spans="1:13">
      <c r="A2529" s="45" t="s">
        <v>22</v>
      </c>
      <c r="B2529" s="52" t="s">
        <v>662</v>
      </c>
      <c r="C2529" s="46">
        <v>43545</v>
      </c>
      <c r="D2529" s="47" t="s">
        <v>25</v>
      </c>
      <c r="E2529" s="48">
        <v>0.35416666666666669</v>
      </c>
      <c r="F2529" s="48">
        <v>0.72916666666666663</v>
      </c>
      <c r="G2529" s="49">
        <v>0</v>
      </c>
      <c r="H2529" s="49">
        <v>7.9999999999999982</v>
      </c>
      <c r="I2529" s="49">
        <v>7.9999999999999982</v>
      </c>
      <c r="J2529" s="53" t="s">
        <v>30</v>
      </c>
      <c r="K2529" s="51" t="s">
        <v>809</v>
      </c>
      <c r="L2529" s="102" t="s">
        <v>281</v>
      </c>
      <c r="M2529" s="19" t="str">
        <f t="shared" si="61"/>
        <v>Mar_2019</v>
      </c>
    </row>
    <row r="2530" spans="1:13">
      <c r="A2530" s="45" t="s">
        <v>22</v>
      </c>
      <c r="B2530" s="52" t="s">
        <v>26</v>
      </c>
      <c r="C2530" s="46">
        <v>43545</v>
      </c>
      <c r="D2530" s="47" t="s">
        <v>25</v>
      </c>
      <c r="E2530" s="48">
        <v>0.35416666666666669</v>
      </c>
      <c r="F2530" s="48">
        <v>0.89583333333333337</v>
      </c>
      <c r="G2530" s="49">
        <v>0</v>
      </c>
      <c r="H2530" s="49">
        <v>12.000000000000002</v>
      </c>
      <c r="I2530" s="49">
        <v>12.000000000000002</v>
      </c>
      <c r="J2530" s="53" t="s">
        <v>30</v>
      </c>
      <c r="K2530" s="51" t="s">
        <v>809</v>
      </c>
      <c r="L2530" s="102" t="s">
        <v>281</v>
      </c>
      <c r="M2530" s="19" t="str">
        <f t="shared" si="61"/>
        <v>Mar_2019</v>
      </c>
    </row>
    <row r="2531" spans="1:13">
      <c r="A2531" s="45" t="s">
        <v>11</v>
      </c>
      <c r="B2531" s="52" t="s">
        <v>19</v>
      </c>
      <c r="C2531" s="46">
        <v>43546</v>
      </c>
      <c r="D2531" s="47" t="s">
        <v>17</v>
      </c>
      <c r="E2531" s="48">
        <v>0.64583333333333326</v>
      </c>
      <c r="F2531" s="48">
        <v>0.72916666666666663</v>
      </c>
      <c r="G2531" s="49">
        <v>8.0000000000000036</v>
      </c>
      <c r="H2531" s="49">
        <v>1.9999999999999964</v>
      </c>
      <c r="I2531" s="49">
        <v>1.9999999999999964</v>
      </c>
      <c r="J2531" s="53" t="s">
        <v>30</v>
      </c>
      <c r="K2531" s="51" t="s">
        <v>808</v>
      </c>
      <c r="L2531" s="102">
        <v>1</v>
      </c>
      <c r="M2531" s="19" t="str">
        <f t="shared" si="61"/>
        <v>Mar_2019</v>
      </c>
    </row>
    <row r="2532" spans="1:13">
      <c r="A2532" s="45" t="s">
        <v>11</v>
      </c>
      <c r="B2532" s="52" t="s">
        <v>161</v>
      </c>
      <c r="C2532" s="46">
        <v>43546</v>
      </c>
      <c r="D2532" s="47" t="s">
        <v>17</v>
      </c>
      <c r="E2532" s="48">
        <v>0.64583333333333326</v>
      </c>
      <c r="F2532" s="48">
        <v>0.72916666666666663</v>
      </c>
      <c r="G2532" s="49">
        <v>8.0000000000000036</v>
      </c>
      <c r="H2532" s="49">
        <v>1.9999999999999964</v>
      </c>
      <c r="I2532" s="49">
        <v>1.9999999999999964</v>
      </c>
      <c r="J2532" s="53" t="s">
        <v>30</v>
      </c>
      <c r="K2532" s="51" t="s">
        <v>809</v>
      </c>
      <c r="L2532" s="102">
        <v>1</v>
      </c>
      <c r="M2532" s="19" t="str">
        <f t="shared" si="61"/>
        <v>Mar_2019</v>
      </c>
    </row>
    <row r="2533" spans="1:13">
      <c r="A2533" s="45" t="s">
        <v>22</v>
      </c>
      <c r="B2533" s="52" t="s">
        <v>662</v>
      </c>
      <c r="C2533" s="46">
        <v>43546</v>
      </c>
      <c r="D2533" s="47" t="s">
        <v>17</v>
      </c>
      <c r="E2533" s="48">
        <v>0.35416666666666669</v>
      </c>
      <c r="F2533" s="48">
        <v>0.72916666666666663</v>
      </c>
      <c r="G2533" s="49">
        <v>0</v>
      </c>
      <c r="H2533" s="49">
        <v>7.9999999999999982</v>
      </c>
      <c r="I2533" s="49">
        <v>7.9999999999999982</v>
      </c>
      <c r="J2533" s="53" t="s">
        <v>30</v>
      </c>
      <c r="K2533" s="51" t="s">
        <v>809</v>
      </c>
      <c r="L2533" s="102" t="s">
        <v>281</v>
      </c>
      <c r="M2533" s="19" t="str">
        <f t="shared" si="61"/>
        <v>Mar_2019</v>
      </c>
    </row>
    <row r="2534" spans="1:13">
      <c r="A2534" s="45" t="s">
        <v>22</v>
      </c>
      <c r="B2534" s="52" t="s">
        <v>26</v>
      </c>
      <c r="C2534" s="46">
        <v>43546</v>
      </c>
      <c r="D2534" s="47" t="s">
        <v>17</v>
      </c>
      <c r="E2534" s="48">
        <v>0.27083333333333331</v>
      </c>
      <c r="F2534" s="48">
        <v>0.72916666666666663</v>
      </c>
      <c r="G2534" s="49">
        <v>0</v>
      </c>
      <c r="H2534" s="49">
        <v>10</v>
      </c>
      <c r="I2534" s="49">
        <v>10</v>
      </c>
      <c r="J2534" s="53" t="s">
        <v>30</v>
      </c>
      <c r="K2534" s="51" t="s">
        <v>809</v>
      </c>
      <c r="L2534" s="102" t="s">
        <v>281</v>
      </c>
      <c r="M2534" s="19" t="str">
        <f t="shared" si="61"/>
        <v>Mar_2019</v>
      </c>
    </row>
    <row r="2535" spans="1:13">
      <c r="A2535" s="45" t="s">
        <v>22</v>
      </c>
      <c r="B2535" s="52" t="s">
        <v>478</v>
      </c>
      <c r="C2535" s="46">
        <v>43546</v>
      </c>
      <c r="D2535" s="47" t="s">
        <v>17</v>
      </c>
      <c r="E2535" s="48">
        <v>0.33333333333333331</v>
      </c>
      <c r="F2535" s="48">
        <v>0.5</v>
      </c>
      <c r="G2535" s="49">
        <v>0</v>
      </c>
      <c r="H2535" s="49">
        <v>4</v>
      </c>
      <c r="I2535" s="49">
        <v>4</v>
      </c>
      <c r="J2535" s="53" t="s">
        <v>30</v>
      </c>
      <c r="K2535" s="51" t="s">
        <v>817</v>
      </c>
      <c r="L2535" s="102" t="s">
        <v>281</v>
      </c>
      <c r="M2535" s="19" t="str">
        <f t="shared" si="61"/>
        <v>Mar_2019</v>
      </c>
    </row>
    <row r="2536" spans="1:13">
      <c r="A2536" s="45" t="s">
        <v>22</v>
      </c>
      <c r="B2536" s="52" t="s">
        <v>662</v>
      </c>
      <c r="C2536" s="46">
        <v>43549</v>
      </c>
      <c r="D2536" s="47" t="s">
        <v>16</v>
      </c>
      <c r="E2536" s="48">
        <v>0.35416666666666669</v>
      </c>
      <c r="F2536" s="48">
        <v>0.72916666666666663</v>
      </c>
      <c r="G2536" s="49">
        <v>0</v>
      </c>
      <c r="H2536" s="49">
        <v>7.9999999999999982</v>
      </c>
      <c r="I2536" s="49">
        <v>7.9999999999999982</v>
      </c>
      <c r="J2536" s="53" t="s">
        <v>30</v>
      </c>
      <c r="K2536" s="51" t="s">
        <v>818</v>
      </c>
      <c r="L2536" s="102" t="s">
        <v>281</v>
      </c>
      <c r="M2536" s="19" t="str">
        <f t="shared" si="61"/>
        <v>Mar_2019</v>
      </c>
    </row>
    <row r="2537" spans="1:13">
      <c r="A2537" s="45" t="s">
        <v>22</v>
      </c>
      <c r="B2537" s="52" t="s">
        <v>26</v>
      </c>
      <c r="C2537" s="46">
        <v>43549</v>
      </c>
      <c r="D2537" s="47" t="s">
        <v>16</v>
      </c>
      <c r="E2537" s="48">
        <v>0.54166666666666663</v>
      </c>
      <c r="F2537" s="48">
        <v>0.72916666666666663</v>
      </c>
      <c r="G2537" s="49">
        <v>0</v>
      </c>
      <c r="H2537" s="49">
        <v>4.5</v>
      </c>
      <c r="I2537" s="49">
        <v>4.5</v>
      </c>
      <c r="J2537" s="53" t="s">
        <v>30</v>
      </c>
      <c r="K2537" s="51" t="s">
        <v>819</v>
      </c>
      <c r="L2537" s="102" t="s">
        <v>281</v>
      </c>
      <c r="M2537" s="19" t="str">
        <f t="shared" si="61"/>
        <v>Mar_2019</v>
      </c>
    </row>
    <row r="2538" spans="1:13">
      <c r="A2538" s="45" t="s">
        <v>22</v>
      </c>
      <c r="B2538" s="52" t="s">
        <v>801</v>
      </c>
      <c r="C2538" s="46">
        <v>43549</v>
      </c>
      <c r="D2538" s="47" t="s">
        <v>16</v>
      </c>
      <c r="E2538" s="48">
        <v>0.39583333333333331</v>
      </c>
      <c r="F2538" s="48">
        <v>0.72916666666666663</v>
      </c>
      <c r="G2538" s="49">
        <v>0</v>
      </c>
      <c r="H2538" s="49">
        <v>7</v>
      </c>
      <c r="I2538" s="49">
        <v>7</v>
      </c>
      <c r="J2538" s="53" t="s">
        <v>30</v>
      </c>
      <c r="K2538" s="51" t="s">
        <v>820</v>
      </c>
      <c r="L2538" s="102" t="s">
        <v>281</v>
      </c>
      <c r="M2538" s="19" t="str">
        <f t="shared" si="61"/>
        <v>Mar_2019</v>
      </c>
    </row>
    <row r="2539" spans="1:13">
      <c r="A2539" s="45" t="s">
        <v>22</v>
      </c>
      <c r="B2539" s="52" t="s">
        <v>662</v>
      </c>
      <c r="C2539" s="46">
        <v>43550</v>
      </c>
      <c r="D2539" s="47" t="s">
        <v>14</v>
      </c>
      <c r="E2539" s="48">
        <v>0.52083333333333337</v>
      </c>
      <c r="F2539" s="48">
        <v>0.72916666666666663</v>
      </c>
      <c r="G2539" s="49">
        <v>0</v>
      </c>
      <c r="H2539" s="49">
        <v>4.9999999999999982</v>
      </c>
      <c r="I2539" s="49">
        <v>4.9999999999999982</v>
      </c>
      <c r="J2539" s="53" t="s">
        <v>30</v>
      </c>
      <c r="K2539" s="51" t="s">
        <v>821</v>
      </c>
      <c r="L2539" s="102" t="s">
        <v>281</v>
      </c>
      <c r="M2539" s="19" t="str">
        <f t="shared" si="61"/>
        <v>Mar_2019</v>
      </c>
    </row>
    <row r="2540" spans="1:13">
      <c r="A2540" s="45" t="s">
        <v>22</v>
      </c>
      <c r="B2540" s="52" t="s">
        <v>801</v>
      </c>
      <c r="C2540" s="46">
        <v>43550</v>
      </c>
      <c r="D2540" s="47" t="s">
        <v>14</v>
      </c>
      <c r="E2540" s="48">
        <v>0.35416666666666669</v>
      </c>
      <c r="F2540" s="48">
        <v>0.72916666666666663</v>
      </c>
      <c r="G2540" s="49">
        <v>0</v>
      </c>
      <c r="H2540" s="49">
        <v>7.9999999999999982</v>
      </c>
      <c r="I2540" s="49">
        <v>7.9999999999999982</v>
      </c>
      <c r="J2540" s="53" t="s">
        <v>30</v>
      </c>
      <c r="K2540" s="51" t="s">
        <v>822</v>
      </c>
      <c r="L2540" s="102" t="s">
        <v>281</v>
      </c>
      <c r="M2540" s="19" t="str">
        <f t="shared" si="61"/>
        <v>Mar_2019</v>
      </c>
    </row>
    <row r="2541" spans="1:13">
      <c r="A2541" s="45" t="s">
        <v>22</v>
      </c>
      <c r="B2541" s="52" t="s">
        <v>662</v>
      </c>
      <c r="C2541" s="46">
        <v>43551</v>
      </c>
      <c r="D2541" s="47" t="s">
        <v>15</v>
      </c>
      <c r="E2541" s="48">
        <v>0.35416666666666669</v>
      </c>
      <c r="F2541" s="48">
        <v>0.72916666666666663</v>
      </c>
      <c r="G2541" s="49">
        <v>0</v>
      </c>
      <c r="H2541" s="49">
        <v>7.9999999999999982</v>
      </c>
      <c r="I2541" s="49">
        <v>7.9999999999999982</v>
      </c>
      <c r="J2541" s="53" t="s">
        <v>30</v>
      </c>
      <c r="K2541" s="51" t="s">
        <v>823</v>
      </c>
      <c r="L2541" s="102" t="s">
        <v>281</v>
      </c>
      <c r="M2541" s="19" t="str">
        <f t="shared" si="61"/>
        <v>Mar_2019</v>
      </c>
    </row>
    <row r="2542" spans="1:13">
      <c r="A2542" s="45" t="s">
        <v>22</v>
      </c>
      <c r="B2542" s="52" t="s">
        <v>679</v>
      </c>
      <c r="C2542" s="46">
        <v>43551</v>
      </c>
      <c r="D2542" s="47" t="s">
        <v>15</v>
      </c>
      <c r="E2542" s="48">
        <v>0.33333333333333331</v>
      </c>
      <c r="F2542" s="48">
        <v>0.625</v>
      </c>
      <c r="G2542" s="49">
        <v>0</v>
      </c>
      <c r="H2542" s="49">
        <v>6</v>
      </c>
      <c r="I2542" s="49">
        <v>6</v>
      </c>
      <c r="J2542" s="53" t="s">
        <v>30</v>
      </c>
      <c r="K2542" s="51" t="s">
        <v>824</v>
      </c>
      <c r="L2542" s="102" t="s">
        <v>281</v>
      </c>
      <c r="M2542" s="19" t="str">
        <f t="shared" si="61"/>
        <v>Mar_2019</v>
      </c>
    </row>
    <row r="2543" spans="1:13">
      <c r="A2543" s="45" t="s">
        <v>22</v>
      </c>
      <c r="B2543" s="52" t="s">
        <v>801</v>
      </c>
      <c r="C2543" s="46">
        <v>43551</v>
      </c>
      <c r="D2543" s="47" t="s">
        <v>15</v>
      </c>
      <c r="E2543" s="48">
        <v>0.35416666666666669</v>
      </c>
      <c r="F2543" s="48">
        <v>0.72916666666666663</v>
      </c>
      <c r="G2543" s="49">
        <v>0</v>
      </c>
      <c r="H2543" s="49">
        <v>7.9999999999999982</v>
      </c>
      <c r="I2543" s="49">
        <v>7.9999999999999982</v>
      </c>
      <c r="J2543" s="53" t="s">
        <v>30</v>
      </c>
      <c r="K2543" s="51" t="s">
        <v>825</v>
      </c>
      <c r="L2543" s="102" t="s">
        <v>281</v>
      </c>
      <c r="M2543" s="19" t="str">
        <f t="shared" si="61"/>
        <v>Mar_2019</v>
      </c>
    </row>
    <row r="2544" spans="1:13">
      <c r="A2544" s="45" t="s">
        <v>22</v>
      </c>
      <c r="B2544" s="52" t="s">
        <v>662</v>
      </c>
      <c r="C2544" s="46">
        <v>43552</v>
      </c>
      <c r="D2544" s="47" t="s">
        <v>25</v>
      </c>
      <c r="E2544" s="48">
        <v>0.35416666666666669</v>
      </c>
      <c r="F2544" s="48">
        <v>0.72916666666666663</v>
      </c>
      <c r="G2544" s="49">
        <v>0</v>
      </c>
      <c r="H2544" s="49">
        <v>7.9999999999999982</v>
      </c>
      <c r="I2544" s="49">
        <v>7.9999999999999982</v>
      </c>
      <c r="J2544" s="53" t="s">
        <v>30</v>
      </c>
      <c r="K2544" s="51" t="s">
        <v>826</v>
      </c>
      <c r="L2544" s="102" t="s">
        <v>281</v>
      </c>
      <c r="M2544" s="19" t="str">
        <f t="shared" si="61"/>
        <v>Mar_2019</v>
      </c>
    </row>
    <row r="2545" spans="1:13">
      <c r="A2545" s="45" t="s">
        <v>22</v>
      </c>
      <c r="B2545" s="52" t="s">
        <v>801</v>
      </c>
      <c r="C2545" s="46">
        <v>43552</v>
      </c>
      <c r="D2545" s="47" t="s">
        <v>25</v>
      </c>
      <c r="E2545" s="48">
        <v>0.35416666666666669</v>
      </c>
      <c r="F2545" s="48">
        <v>0.72916666666666663</v>
      </c>
      <c r="G2545" s="49">
        <v>0</v>
      </c>
      <c r="H2545" s="49">
        <v>7.9999999999999982</v>
      </c>
      <c r="I2545" s="49">
        <v>7.9999999999999982</v>
      </c>
      <c r="J2545" s="53" t="s">
        <v>30</v>
      </c>
      <c r="K2545" s="51" t="s">
        <v>827</v>
      </c>
      <c r="L2545" s="102" t="s">
        <v>281</v>
      </c>
      <c r="M2545" s="19" t="str">
        <f t="shared" si="61"/>
        <v>Mar_2019</v>
      </c>
    </row>
    <row r="2546" spans="1:13">
      <c r="A2546" s="45" t="s">
        <v>22</v>
      </c>
      <c r="B2546" s="52" t="s">
        <v>662</v>
      </c>
      <c r="C2546" s="46">
        <v>43553</v>
      </c>
      <c r="D2546" s="47" t="s">
        <v>17</v>
      </c>
      <c r="E2546" s="48">
        <v>0.35416666666666669</v>
      </c>
      <c r="F2546" s="48">
        <v>0.72916666666666663</v>
      </c>
      <c r="G2546" s="49">
        <v>0</v>
      </c>
      <c r="H2546" s="49">
        <v>7.9999999999999982</v>
      </c>
      <c r="I2546" s="49">
        <v>7.9999999999999982</v>
      </c>
      <c r="J2546" s="53" t="s">
        <v>30</v>
      </c>
      <c r="K2546" s="51" t="s">
        <v>828</v>
      </c>
      <c r="L2546" s="102" t="s">
        <v>281</v>
      </c>
      <c r="M2546" s="19" t="str">
        <f t="shared" si="61"/>
        <v>Mar_2019</v>
      </c>
    </row>
    <row r="2547" spans="1:13">
      <c r="A2547" s="45" t="s">
        <v>22</v>
      </c>
      <c r="B2547" s="52" t="s">
        <v>26</v>
      </c>
      <c r="C2547" s="46">
        <v>43553</v>
      </c>
      <c r="D2547" s="47" t="s">
        <v>17</v>
      </c>
      <c r="E2547" s="48">
        <v>0.35416666666666669</v>
      </c>
      <c r="F2547" s="48">
        <v>0.625</v>
      </c>
      <c r="G2547" s="49">
        <v>0</v>
      </c>
      <c r="H2547" s="49">
        <v>5.5</v>
      </c>
      <c r="I2547" s="49">
        <v>5.5</v>
      </c>
      <c r="J2547" s="53" t="s">
        <v>30</v>
      </c>
      <c r="K2547" s="51" t="s">
        <v>828</v>
      </c>
      <c r="L2547" s="102" t="s">
        <v>281</v>
      </c>
      <c r="M2547" s="19" t="str">
        <f t="shared" si="61"/>
        <v>Mar_2019</v>
      </c>
    </row>
    <row r="2548" spans="1:13">
      <c r="A2548" s="45" t="s">
        <v>22</v>
      </c>
      <c r="B2548" s="52" t="s">
        <v>801</v>
      </c>
      <c r="C2548" s="46">
        <v>43553</v>
      </c>
      <c r="D2548" s="47" t="s">
        <v>17</v>
      </c>
      <c r="E2548" s="48">
        <v>0.35416666666666669</v>
      </c>
      <c r="F2548" s="48">
        <v>0.54166666666666663</v>
      </c>
      <c r="G2548" s="49">
        <v>0</v>
      </c>
      <c r="H2548" s="49">
        <v>3.4999999999999982</v>
      </c>
      <c r="I2548" s="49">
        <v>3.4999999999999982</v>
      </c>
      <c r="J2548" s="53" t="s">
        <v>30</v>
      </c>
      <c r="K2548" s="51" t="s">
        <v>828</v>
      </c>
      <c r="L2548" s="102" t="s">
        <v>281</v>
      </c>
      <c r="M2548" s="19" t="str">
        <f t="shared" si="61"/>
        <v>Mar_2019</v>
      </c>
    </row>
    <row r="2549" spans="1:13">
      <c r="A2549" s="45" t="s">
        <v>11</v>
      </c>
      <c r="B2549" s="52" t="s">
        <v>19</v>
      </c>
      <c r="C2549" s="46">
        <v>43554</v>
      </c>
      <c r="D2549" s="47" t="s">
        <v>24</v>
      </c>
      <c r="E2549" s="48">
        <v>0.35416666666666669</v>
      </c>
      <c r="F2549" s="48">
        <v>0.72916666666666663</v>
      </c>
      <c r="G2549" s="49">
        <v>8.0000000000000036</v>
      </c>
      <c r="H2549" s="49">
        <v>0</v>
      </c>
      <c r="I2549" s="49">
        <v>8.0000000000000036</v>
      </c>
      <c r="J2549" s="53" t="s">
        <v>281</v>
      </c>
      <c r="K2549" s="51" t="s">
        <v>829</v>
      </c>
      <c r="L2549" s="102" t="s">
        <v>281</v>
      </c>
      <c r="M2549" s="19" t="str">
        <f t="shared" si="61"/>
        <v>Mar_2019</v>
      </c>
    </row>
    <row r="2550" spans="1:13">
      <c r="A2550" s="45" t="s">
        <v>11</v>
      </c>
      <c r="B2550" s="52" t="s">
        <v>149</v>
      </c>
      <c r="C2550" s="46">
        <v>43554</v>
      </c>
      <c r="D2550" s="47" t="s">
        <v>24</v>
      </c>
      <c r="E2550" s="48">
        <v>0.72916666666666674</v>
      </c>
      <c r="F2550" s="48">
        <v>0.89583333333333337</v>
      </c>
      <c r="G2550" s="49">
        <v>8.0000000000000036</v>
      </c>
      <c r="H2550" s="49">
        <v>3.9999999999999982</v>
      </c>
      <c r="I2550" s="49">
        <v>12.000000000000002</v>
      </c>
      <c r="J2550" s="53" t="s">
        <v>52</v>
      </c>
      <c r="K2550" s="51" t="s">
        <v>829</v>
      </c>
      <c r="L2550" s="102">
        <v>1</v>
      </c>
      <c r="M2550" s="19" t="str">
        <f t="shared" si="61"/>
        <v>Mar_2019</v>
      </c>
    </row>
    <row r="2551" spans="1:13">
      <c r="A2551" s="45" t="s">
        <v>11</v>
      </c>
      <c r="B2551" s="52" t="s">
        <v>161</v>
      </c>
      <c r="C2551" s="46">
        <v>43554</v>
      </c>
      <c r="D2551" s="47" t="s">
        <v>24</v>
      </c>
      <c r="E2551" s="48">
        <v>0.72916666666666674</v>
      </c>
      <c r="F2551" s="48">
        <v>0.89583333333333337</v>
      </c>
      <c r="G2551" s="49">
        <v>8.0000000000000036</v>
      </c>
      <c r="H2551" s="49">
        <v>3.9999999999999982</v>
      </c>
      <c r="I2551" s="49">
        <v>12.000000000000002</v>
      </c>
      <c r="J2551" s="53" t="s">
        <v>52</v>
      </c>
      <c r="K2551" s="51" t="s">
        <v>829</v>
      </c>
      <c r="L2551" s="102">
        <v>1</v>
      </c>
      <c r="M2551" s="19" t="str">
        <f t="shared" si="61"/>
        <v>Mar_2019</v>
      </c>
    </row>
    <row r="2552" spans="1:13">
      <c r="A2552" s="45" t="s">
        <v>11</v>
      </c>
      <c r="B2552" s="52" t="s">
        <v>542</v>
      </c>
      <c r="C2552" s="46">
        <v>43554</v>
      </c>
      <c r="D2552" s="47" t="s">
        <v>24</v>
      </c>
      <c r="E2552" s="48">
        <v>0.27083333333333331</v>
      </c>
      <c r="F2552" s="48">
        <v>0.64583333333333337</v>
      </c>
      <c r="G2552" s="49">
        <v>8.0000000000000036</v>
      </c>
      <c r="H2552" s="49">
        <v>0</v>
      </c>
      <c r="I2552" s="49">
        <v>8.0000000000000036</v>
      </c>
      <c r="J2552" s="53" t="s">
        <v>281</v>
      </c>
      <c r="K2552" s="51" t="s">
        <v>829</v>
      </c>
      <c r="L2552" s="102" t="s">
        <v>281</v>
      </c>
      <c r="M2552" s="19" t="str">
        <f t="shared" si="61"/>
        <v>Mar_2019</v>
      </c>
    </row>
    <row r="2553" spans="1:13">
      <c r="A2553" s="45" t="s">
        <v>11</v>
      </c>
      <c r="B2553" s="52" t="s">
        <v>547</v>
      </c>
      <c r="C2553" s="46">
        <v>43554</v>
      </c>
      <c r="D2553" s="47" t="s">
        <v>24</v>
      </c>
      <c r="E2553" s="48">
        <v>0.72916666666666674</v>
      </c>
      <c r="F2553" s="48">
        <v>0.89583333333333337</v>
      </c>
      <c r="G2553" s="49">
        <v>8.0000000000000036</v>
      </c>
      <c r="H2553" s="49">
        <v>3.9999999999999982</v>
      </c>
      <c r="I2553" s="49">
        <v>12.000000000000002</v>
      </c>
      <c r="J2553" s="53" t="s">
        <v>52</v>
      </c>
      <c r="K2553" s="51" t="s">
        <v>829</v>
      </c>
      <c r="L2553" s="102">
        <v>1</v>
      </c>
      <c r="M2553" s="19" t="str">
        <f t="shared" si="61"/>
        <v>Mar_2019</v>
      </c>
    </row>
    <row r="2554" spans="1:13">
      <c r="A2554" s="45" t="s">
        <v>11</v>
      </c>
      <c r="B2554" s="52" t="s">
        <v>684</v>
      </c>
      <c r="C2554" s="46">
        <v>43554</v>
      </c>
      <c r="D2554" s="47" t="s">
        <v>24</v>
      </c>
      <c r="E2554" s="48">
        <v>0.72916666666666674</v>
      </c>
      <c r="F2554" s="48">
        <v>0.89583333333333337</v>
      </c>
      <c r="G2554" s="49">
        <v>8.0000000000000036</v>
      </c>
      <c r="H2554" s="49">
        <v>3.9999999999999982</v>
      </c>
      <c r="I2554" s="49">
        <v>12.000000000000002</v>
      </c>
      <c r="J2554" s="53" t="s">
        <v>52</v>
      </c>
      <c r="K2554" s="51" t="s">
        <v>829</v>
      </c>
      <c r="L2554" s="102">
        <v>1</v>
      </c>
      <c r="M2554" s="19" t="str">
        <f t="shared" si="61"/>
        <v>Mar_2019</v>
      </c>
    </row>
    <row r="2555" spans="1:13">
      <c r="A2555" s="45" t="s">
        <v>11</v>
      </c>
      <c r="B2555" s="52" t="s">
        <v>779</v>
      </c>
      <c r="C2555" s="46">
        <v>43554</v>
      </c>
      <c r="D2555" s="47" t="s">
        <v>24</v>
      </c>
      <c r="E2555" s="48">
        <v>0.72916666666666674</v>
      </c>
      <c r="F2555" s="48">
        <v>0.89583333333333337</v>
      </c>
      <c r="G2555" s="49">
        <v>8.0000000000000036</v>
      </c>
      <c r="H2555" s="49">
        <v>3.9999999999999982</v>
      </c>
      <c r="I2555" s="49">
        <v>12.000000000000002</v>
      </c>
      <c r="J2555" s="53" t="s">
        <v>52</v>
      </c>
      <c r="K2555" s="51" t="s">
        <v>829</v>
      </c>
      <c r="L2555" s="102">
        <v>1</v>
      </c>
      <c r="M2555" s="19" t="str">
        <f t="shared" si="61"/>
        <v>Mar_2019</v>
      </c>
    </row>
    <row r="2556" spans="1:13">
      <c r="A2556" s="45" t="s">
        <v>22</v>
      </c>
      <c r="B2556" s="52" t="s">
        <v>662</v>
      </c>
      <c r="C2556" s="46">
        <v>43554</v>
      </c>
      <c r="D2556" s="47" t="s">
        <v>24</v>
      </c>
      <c r="E2556" s="48">
        <v>0.35416666666666669</v>
      </c>
      <c r="F2556" s="48">
        <v>0.72916666666666663</v>
      </c>
      <c r="G2556" s="49">
        <v>0</v>
      </c>
      <c r="H2556" s="49">
        <v>7.9999999999999982</v>
      </c>
      <c r="I2556" s="49">
        <v>7.9999999999999982</v>
      </c>
      <c r="J2556" s="53" t="s">
        <v>52</v>
      </c>
      <c r="K2556" s="51" t="s">
        <v>829</v>
      </c>
      <c r="L2556" s="102" t="s">
        <v>281</v>
      </c>
      <c r="M2556" s="19" t="str">
        <f t="shared" si="61"/>
        <v>Mar_2019</v>
      </c>
    </row>
    <row r="2557" spans="1:13">
      <c r="A2557" s="45" t="s">
        <v>22</v>
      </c>
      <c r="B2557" s="52" t="s">
        <v>26</v>
      </c>
      <c r="C2557" s="46">
        <v>43554</v>
      </c>
      <c r="D2557" s="47" t="s">
        <v>24</v>
      </c>
      <c r="E2557" s="48">
        <v>0.35416666666666669</v>
      </c>
      <c r="F2557" s="48">
        <v>0.79166666666666663</v>
      </c>
      <c r="G2557" s="49">
        <v>0</v>
      </c>
      <c r="H2557" s="49">
        <v>9.4999999999999982</v>
      </c>
      <c r="I2557" s="49">
        <v>9.4999999999999982</v>
      </c>
      <c r="J2557" s="53" t="s">
        <v>52</v>
      </c>
      <c r="K2557" s="51" t="s">
        <v>830</v>
      </c>
      <c r="L2557" s="102" t="s">
        <v>281</v>
      </c>
      <c r="M2557" s="19" t="str">
        <f t="shared" si="61"/>
        <v>Mar_2019</v>
      </c>
    </row>
    <row r="2558" spans="1:13">
      <c r="A2558" s="45" t="s">
        <v>11</v>
      </c>
      <c r="B2558" s="52" t="s">
        <v>811</v>
      </c>
      <c r="C2558" s="46">
        <v>43554</v>
      </c>
      <c r="D2558" s="47" t="s">
        <v>24</v>
      </c>
      <c r="E2558" s="48">
        <v>0.72916666666666674</v>
      </c>
      <c r="F2558" s="48">
        <v>0.875</v>
      </c>
      <c r="G2558" s="49">
        <v>8.0000000000000036</v>
      </c>
      <c r="H2558" s="49">
        <v>3.4999999999999947</v>
      </c>
      <c r="I2558" s="49">
        <v>11.499999999999998</v>
      </c>
      <c r="J2558" s="53" t="s">
        <v>52</v>
      </c>
      <c r="K2558" s="51" t="s">
        <v>829</v>
      </c>
      <c r="L2558" s="102">
        <v>1</v>
      </c>
      <c r="M2558" s="19" t="str">
        <f t="shared" si="61"/>
        <v>Mar_2019</v>
      </c>
    </row>
    <row r="2559" spans="1:13">
      <c r="A2559" s="45" t="s">
        <v>11</v>
      </c>
      <c r="B2559" s="52" t="s">
        <v>19</v>
      </c>
      <c r="C2559" s="46">
        <v>43556</v>
      </c>
      <c r="D2559" s="47" t="s">
        <v>16</v>
      </c>
      <c r="E2559" s="48">
        <v>0.72916666666666674</v>
      </c>
      <c r="F2559" s="48">
        <v>0.89583333333333337</v>
      </c>
      <c r="G2559" s="49">
        <v>8.0000000000000036</v>
      </c>
      <c r="H2559" s="49">
        <v>3.9999999999999982</v>
      </c>
      <c r="I2559" s="49">
        <v>3.9999999999999982</v>
      </c>
      <c r="J2559" s="53" t="s">
        <v>30</v>
      </c>
      <c r="K2559" s="51" t="s">
        <v>831</v>
      </c>
      <c r="L2559" s="102">
        <v>1</v>
      </c>
      <c r="M2559" s="19" t="str">
        <f>IF($C2559="","",TEXT(DATE(YEAR($C2559),MONTH($C2559),DAY($C2559)),"MMM")&amp;"_"&amp;YEAR($C2559))</f>
        <v>Apr_2019</v>
      </c>
    </row>
    <row r="2560" spans="1:13">
      <c r="A2560" s="45" t="s">
        <v>11</v>
      </c>
      <c r="B2560" s="52" t="s">
        <v>149</v>
      </c>
      <c r="C2560" s="46">
        <v>43556</v>
      </c>
      <c r="D2560" s="47" t="s">
        <v>16</v>
      </c>
      <c r="E2560" s="48">
        <v>0.64583333333333326</v>
      </c>
      <c r="F2560" s="48">
        <v>0.89583333333333337</v>
      </c>
      <c r="G2560" s="49">
        <v>8.0000000000000036</v>
      </c>
      <c r="H2560" s="49">
        <v>5.9999999999999964</v>
      </c>
      <c r="I2560" s="49">
        <v>5.9999999999999964</v>
      </c>
      <c r="J2560" s="53" t="s">
        <v>30</v>
      </c>
      <c r="K2560" s="51" t="s">
        <v>831</v>
      </c>
      <c r="L2560" s="102">
        <v>1</v>
      </c>
      <c r="M2560" s="19" t="str">
        <f t="shared" ref="M2560:M2623" si="62">IF($C2560="","",TEXT(DATE(YEAR($C2560),MONTH($C2560),DAY($C2560)),"MMM")&amp;"_"&amp;YEAR($C2560))</f>
        <v>Apr_2019</v>
      </c>
    </row>
    <row r="2561" spans="1:13">
      <c r="A2561" s="45" t="s">
        <v>11</v>
      </c>
      <c r="B2561" s="52" t="s">
        <v>161</v>
      </c>
      <c r="C2561" s="46">
        <v>43556</v>
      </c>
      <c r="D2561" s="47" t="s">
        <v>16</v>
      </c>
      <c r="E2561" s="48">
        <v>0.72916666666666674</v>
      </c>
      <c r="F2561" s="48">
        <v>0.89583333333333337</v>
      </c>
      <c r="G2561" s="49">
        <v>8.0000000000000036</v>
      </c>
      <c r="H2561" s="49">
        <v>3.9999999999999982</v>
      </c>
      <c r="I2561" s="49">
        <v>3.9999999999999982</v>
      </c>
      <c r="J2561" s="53" t="s">
        <v>30</v>
      </c>
      <c r="K2561" s="51" t="s">
        <v>831</v>
      </c>
      <c r="L2561" s="102">
        <v>1</v>
      </c>
      <c r="M2561" s="19" t="str">
        <f t="shared" si="62"/>
        <v>Apr_2019</v>
      </c>
    </row>
    <row r="2562" spans="1:13">
      <c r="A2562" s="45" t="s">
        <v>11</v>
      </c>
      <c r="B2562" s="52" t="s">
        <v>542</v>
      </c>
      <c r="C2562" s="46">
        <v>43556</v>
      </c>
      <c r="D2562" s="47" t="s">
        <v>16</v>
      </c>
      <c r="E2562" s="48">
        <v>0.72916666666666674</v>
      </c>
      <c r="F2562" s="48">
        <v>0.89583333333333337</v>
      </c>
      <c r="G2562" s="49">
        <v>8.0000000000000036</v>
      </c>
      <c r="H2562" s="49">
        <v>3.9999999999999982</v>
      </c>
      <c r="I2562" s="49">
        <v>3.9999999999999982</v>
      </c>
      <c r="J2562" s="53" t="s">
        <v>30</v>
      </c>
      <c r="K2562" s="51" t="s">
        <v>831</v>
      </c>
      <c r="L2562" s="102">
        <v>1</v>
      </c>
      <c r="M2562" s="19" t="str">
        <f t="shared" si="62"/>
        <v>Apr_2019</v>
      </c>
    </row>
    <row r="2563" spans="1:13">
      <c r="A2563" s="45" t="s">
        <v>11</v>
      </c>
      <c r="B2563" s="52" t="s">
        <v>547</v>
      </c>
      <c r="C2563" s="46">
        <v>43556</v>
      </c>
      <c r="D2563" s="47" t="s">
        <v>16</v>
      </c>
      <c r="E2563" s="48">
        <v>0.72916666666666674</v>
      </c>
      <c r="F2563" s="48">
        <v>0.89583333333333337</v>
      </c>
      <c r="G2563" s="49">
        <v>8.0000000000000036</v>
      </c>
      <c r="H2563" s="49">
        <v>3.9999999999999982</v>
      </c>
      <c r="I2563" s="49">
        <v>3.9999999999999982</v>
      </c>
      <c r="J2563" s="53" t="s">
        <v>30</v>
      </c>
      <c r="K2563" s="51" t="s">
        <v>831</v>
      </c>
      <c r="L2563" s="102">
        <v>1</v>
      </c>
      <c r="M2563" s="19" t="str">
        <f t="shared" si="62"/>
        <v>Apr_2019</v>
      </c>
    </row>
    <row r="2564" spans="1:13">
      <c r="A2564" s="45" t="s">
        <v>11</v>
      </c>
      <c r="B2564" s="52" t="s">
        <v>684</v>
      </c>
      <c r="C2564" s="46">
        <v>43556</v>
      </c>
      <c r="D2564" s="47" t="s">
        <v>16</v>
      </c>
      <c r="E2564" s="48">
        <v>0.72916666666666674</v>
      </c>
      <c r="F2564" s="48">
        <v>0.89583333333333337</v>
      </c>
      <c r="G2564" s="49">
        <v>8.0000000000000036</v>
      </c>
      <c r="H2564" s="49">
        <v>3.9999999999999982</v>
      </c>
      <c r="I2564" s="49">
        <v>3.9999999999999982</v>
      </c>
      <c r="J2564" s="53" t="s">
        <v>30</v>
      </c>
      <c r="K2564" s="51" t="s">
        <v>831</v>
      </c>
      <c r="L2564" s="102">
        <v>1</v>
      </c>
      <c r="M2564" s="19" t="str">
        <f t="shared" si="62"/>
        <v>Apr_2019</v>
      </c>
    </row>
    <row r="2565" spans="1:13">
      <c r="A2565" s="45" t="s">
        <v>11</v>
      </c>
      <c r="B2565" s="52" t="s">
        <v>779</v>
      </c>
      <c r="C2565" s="46">
        <v>43556</v>
      </c>
      <c r="D2565" s="47" t="s">
        <v>16</v>
      </c>
      <c r="E2565" s="48">
        <v>0.72916666666666674</v>
      </c>
      <c r="F2565" s="48">
        <v>0.89583333333333337</v>
      </c>
      <c r="G2565" s="49">
        <v>8.0000000000000036</v>
      </c>
      <c r="H2565" s="49">
        <v>3.9999999999999982</v>
      </c>
      <c r="I2565" s="49">
        <v>3.9999999999999982</v>
      </c>
      <c r="J2565" s="53" t="s">
        <v>30</v>
      </c>
      <c r="K2565" s="51" t="s">
        <v>831</v>
      </c>
      <c r="L2565" s="102">
        <v>1</v>
      </c>
      <c r="M2565" s="19" t="str">
        <f t="shared" si="62"/>
        <v>Apr_2019</v>
      </c>
    </row>
    <row r="2566" spans="1:13">
      <c r="A2566" s="45" t="s">
        <v>11</v>
      </c>
      <c r="B2566" s="52" t="s">
        <v>811</v>
      </c>
      <c r="C2566" s="46">
        <v>43556</v>
      </c>
      <c r="D2566" s="47" t="s">
        <v>16</v>
      </c>
      <c r="E2566" s="48">
        <v>0.72916666666666674</v>
      </c>
      <c r="F2566" s="48">
        <v>0.89583333333333337</v>
      </c>
      <c r="G2566" s="49">
        <v>8.0000000000000036</v>
      </c>
      <c r="H2566" s="49">
        <v>3.9999999999999982</v>
      </c>
      <c r="I2566" s="49">
        <v>3.9999999999999982</v>
      </c>
      <c r="J2566" s="53" t="s">
        <v>30</v>
      </c>
      <c r="K2566" s="51" t="s">
        <v>831</v>
      </c>
      <c r="L2566" s="102">
        <v>1</v>
      </c>
      <c r="M2566" s="19" t="str">
        <f t="shared" si="62"/>
        <v>Apr_2019</v>
      </c>
    </row>
    <row r="2567" spans="1:13">
      <c r="A2567" s="45" t="s">
        <v>22</v>
      </c>
      <c r="B2567" s="52" t="s">
        <v>662</v>
      </c>
      <c r="C2567" s="46">
        <v>43556</v>
      </c>
      <c r="D2567" s="47" t="s">
        <v>16</v>
      </c>
      <c r="E2567" s="48">
        <v>0.35416666666666669</v>
      </c>
      <c r="F2567" s="48">
        <v>0.89583333333333337</v>
      </c>
      <c r="G2567" s="49">
        <v>0</v>
      </c>
      <c r="H2567" s="49">
        <v>12.000000000000002</v>
      </c>
      <c r="I2567" s="49">
        <v>12.000000000000002</v>
      </c>
      <c r="J2567" s="53" t="s">
        <v>30</v>
      </c>
      <c r="K2567" s="51" t="s">
        <v>831</v>
      </c>
      <c r="L2567" s="102" t="s">
        <v>281</v>
      </c>
      <c r="M2567" s="19" t="str">
        <f t="shared" si="62"/>
        <v>Apr_2019</v>
      </c>
    </row>
    <row r="2568" spans="1:13">
      <c r="A2568" s="45" t="s">
        <v>22</v>
      </c>
      <c r="B2568" s="52" t="s">
        <v>801</v>
      </c>
      <c r="C2568" s="46">
        <v>43556</v>
      </c>
      <c r="D2568" s="47" t="s">
        <v>16</v>
      </c>
      <c r="E2568" s="48">
        <v>0.35416666666666669</v>
      </c>
      <c r="F2568" s="48">
        <v>0.64583333333333337</v>
      </c>
      <c r="G2568" s="49">
        <v>0</v>
      </c>
      <c r="H2568" s="49">
        <v>6</v>
      </c>
      <c r="I2568" s="49">
        <v>6</v>
      </c>
      <c r="J2568" s="53" t="s">
        <v>30</v>
      </c>
      <c r="K2568" s="51" t="s">
        <v>831</v>
      </c>
      <c r="L2568" s="102" t="s">
        <v>281</v>
      </c>
      <c r="M2568" s="19" t="str">
        <f t="shared" si="62"/>
        <v>Apr_2019</v>
      </c>
    </row>
    <row r="2569" spans="1:13">
      <c r="A2569" s="45" t="s">
        <v>22</v>
      </c>
      <c r="B2569" s="69" t="s">
        <v>26</v>
      </c>
      <c r="C2569" s="46">
        <v>43556</v>
      </c>
      <c r="D2569" s="46" t="s">
        <v>16</v>
      </c>
      <c r="E2569" s="48">
        <v>0.35416666666666669</v>
      </c>
      <c r="F2569" s="48">
        <v>0.89583333333333337</v>
      </c>
      <c r="G2569" s="49">
        <v>0</v>
      </c>
      <c r="H2569" s="49">
        <v>12.000000000000002</v>
      </c>
      <c r="I2569" s="49">
        <v>12.000000000000002</v>
      </c>
      <c r="J2569" s="53" t="s">
        <v>30</v>
      </c>
      <c r="K2569" s="51" t="s">
        <v>831</v>
      </c>
      <c r="L2569" s="102" t="s">
        <v>281</v>
      </c>
      <c r="M2569" s="19" t="str">
        <f t="shared" si="62"/>
        <v>Apr_2019</v>
      </c>
    </row>
    <row r="2570" spans="1:13">
      <c r="A2570" s="45" t="s">
        <v>11</v>
      </c>
      <c r="B2570" s="52" t="s">
        <v>19</v>
      </c>
      <c r="C2570" s="46">
        <v>43557</v>
      </c>
      <c r="D2570" s="47" t="s">
        <v>14</v>
      </c>
      <c r="E2570" s="48">
        <v>0.72916666666666674</v>
      </c>
      <c r="F2570" s="48">
        <v>0.89583333333333337</v>
      </c>
      <c r="G2570" s="49">
        <v>8.0000000000000036</v>
      </c>
      <c r="H2570" s="49">
        <v>3.9999999999999982</v>
      </c>
      <c r="I2570" s="49">
        <v>3.9999999999999982</v>
      </c>
      <c r="J2570" s="53" t="s">
        <v>30</v>
      </c>
      <c r="K2570" s="51" t="s">
        <v>832</v>
      </c>
      <c r="L2570" s="102">
        <v>1</v>
      </c>
      <c r="M2570" s="19" t="str">
        <f t="shared" si="62"/>
        <v>Apr_2019</v>
      </c>
    </row>
    <row r="2571" spans="1:13">
      <c r="A2571" s="45" t="s">
        <v>11</v>
      </c>
      <c r="B2571" s="52" t="s">
        <v>149</v>
      </c>
      <c r="C2571" s="46">
        <v>43557</v>
      </c>
      <c r="D2571" s="47" t="s">
        <v>14</v>
      </c>
      <c r="E2571" s="48">
        <v>0.72916666666666674</v>
      </c>
      <c r="F2571" s="48">
        <v>0.89583333333333337</v>
      </c>
      <c r="G2571" s="49">
        <v>8.0000000000000036</v>
      </c>
      <c r="H2571" s="49">
        <v>3.9999999999999982</v>
      </c>
      <c r="I2571" s="49">
        <v>3.9999999999999982</v>
      </c>
      <c r="J2571" s="53" t="s">
        <v>30</v>
      </c>
      <c r="K2571" s="51" t="s">
        <v>832</v>
      </c>
      <c r="L2571" s="102">
        <v>1</v>
      </c>
      <c r="M2571" s="19" t="str">
        <f t="shared" si="62"/>
        <v>Apr_2019</v>
      </c>
    </row>
    <row r="2572" spans="1:13">
      <c r="A2572" s="45" t="s">
        <v>11</v>
      </c>
      <c r="B2572" s="52" t="s">
        <v>161</v>
      </c>
      <c r="C2572" s="46">
        <v>43557</v>
      </c>
      <c r="D2572" s="47" t="s">
        <v>14</v>
      </c>
      <c r="E2572" s="48">
        <v>0.72916666666666674</v>
      </c>
      <c r="F2572" s="48">
        <v>0.89583333333333337</v>
      </c>
      <c r="G2572" s="49">
        <v>8.0000000000000036</v>
      </c>
      <c r="H2572" s="49">
        <v>3.9999999999999982</v>
      </c>
      <c r="I2572" s="49">
        <v>3.9999999999999982</v>
      </c>
      <c r="J2572" s="53" t="s">
        <v>30</v>
      </c>
      <c r="K2572" s="51" t="s">
        <v>832</v>
      </c>
      <c r="L2572" s="102">
        <v>1</v>
      </c>
      <c r="M2572" s="19" t="str">
        <f t="shared" si="62"/>
        <v>Apr_2019</v>
      </c>
    </row>
    <row r="2573" spans="1:13">
      <c r="A2573" s="45" t="s">
        <v>11</v>
      </c>
      <c r="B2573" s="52" t="s">
        <v>542</v>
      </c>
      <c r="C2573" s="46">
        <v>43557</v>
      </c>
      <c r="D2573" s="47" t="s">
        <v>14</v>
      </c>
      <c r="E2573" s="48">
        <v>0.72916666666666674</v>
      </c>
      <c r="F2573" s="48">
        <v>0.89583333333333337</v>
      </c>
      <c r="G2573" s="49">
        <v>8.0000000000000036</v>
      </c>
      <c r="H2573" s="49">
        <v>3.9999999999999982</v>
      </c>
      <c r="I2573" s="49">
        <v>3.9999999999999982</v>
      </c>
      <c r="J2573" s="53" t="s">
        <v>30</v>
      </c>
      <c r="K2573" s="51" t="s">
        <v>832</v>
      </c>
      <c r="L2573" s="102">
        <v>1</v>
      </c>
      <c r="M2573" s="19" t="str">
        <f t="shared" si="62"/>
        <v>Apr_2019</v>
      </c>
    </row>
    <row r="2574" spans="1:13">
      <c r="A2574" s="45" t="s">
        <v>11</v>
      </c>
      <c r="B2574" s="52" t="s">
        <v>547</v>
      </c>
      <c r="C2574" s="46">
        <v>43557</v>
      </c>
      <c r="D2574" s="47" t="s">
        <v>14</v>
      </c>
      <c r="E2574" s="48">
        <v>0.72916666666666674</v>
      </c>
      <c r="F2574" s="48">
        <v>0.89583333333333337</v>
      </c>
      <c r="G2574" s="49">
        <v>8.0000000000000036</v>
      </c>
      <c r="H2574" s="49">
        <v>3.9999999999999982</v>
      </c>
      <c r="I2574" s="49">
        <v>3.9999999999999982</v>
      </c>
      <c r="J2574" s="53" t="s">
        <v>30</v>
      </c>
      <c r="K2574" s="51" t="s">
        <v>832</v>
      </c>
      <c r="L2574" s="102">
        <v>1</v>
      </c>
      <c r="M2574" s="19" t="str">
        <f t="shared" si="62"/>
        <v>Apr_2019</v>
      </c>
    </row>
    <row r="2575" spans="1:13">
      <c r="A2575" s="45" t="s">
        <v>11</v>
      </c>
      <c r="B2575" s="52" t="s">
        <v>684</v>
      </c>
      <c r="C2575" s="46">
        <v>43557</v>
      </c>
      <c r="D2575" s="47" t="s">
        <v>14</v>
      </c>
      <c r="E2575" s="48">
        <v>0.64583333333333326</v>
      </c>
      <c r="F2575" s="48">
        <v>0.89583333333333337</v>
      </c>
      <c r="G2575" s="49">
        <v>8.0000000000000036</v>
      </c>
      <c r="H2575" s="49">
        <v>5.9999999999999964</v>
      </c>
      <c r="I2575" s="49">
        <v>5.9999999999999964</v>
      </c>
      <c r="J2575" s="53" t="s">
        <v>30</v>
      </c>
      <c r="K2575" s="51" t="s">
        <v>832</v>
      </c>
      <c r="L2575" s="102">
        <v>1</v>
      </c>
      <c r="M2575" s="19" t="str">
        <f t="shared" si="62"/>
        <v>Apr_2019</v>
      </c>
    </row>
    <row r="2576" spans="1:13">
      <c r="A2576" s="45" t="s">
        <v>11</v>
      </c>
      <c r="B2576" s="52" t="s">
        <v>779</v>
      </c>
      <c r="C2576" s="46">
        <v>43557</v>
      </c>
      <c r="D2576" s="47" t="s">
        <v>14</v>
      </c>
      <c r="E2576" s="48">
        <v>0.72916666666666674</v>
      </c>
      <c r="F2576" s="48">
        <v>0.89583333333333337</v>
      </c>
      <c r="G2576" s="49">
        <v>8.0000000000000036</v>
      </c>
      <c r="H2576" s="49">
        <v>3.9999999999999982</v>
      </c>
      <c r="I2576" s="49">
        <v>3.9999999999999982</v>
      </c>
      <c r="J2576" s="53" t="s">
        <v>30</v>
      </c>
      <c r="K2576" s="51" t="s">
        <v>832</v>
      </c>
      <c r="L2576" s="102">
        <v>1</v>
      </c>
      <c r="M2576" s="19" t="str">
        <f t="shared" si="62"/>
        <v>Apr_2019</v>
      </c>
    </row>
    <row r="2577" spans="1:13">
      <c r="A2577" s="45" t="s">
        <v>11</v>
      </c>
      <c r="B2577" s="52" t="s">
        <v>811</v>
      </c>
      <c r="C2577" s="46">
        <v>43557</v>
      </c>
      <c r="D2577" s="47" t="s">
        <v>14</v>
      </c>
      <c r="E2577" s="48">
        <v>0.72916666666666674</v>
      </c>
      <c r="F2577" s="48">
        <v>0.89583333333333337</v>
      </c>
      <c r="G2577" s="49">
        <v>8.0000000000000036</v>
      </c>
      <c r="H2577" s="49">
        <v>3.9999999999999982</v>
      </c>
      <c r="I2577" s="49">
        <v>3.9999999999999982</v>
      </c>
      <c r="J2577" s="53" t="s">
        <v>30</v>
      </c>
      <c r="K2577" s="51" t="s">
        <v>832</v>
      </c>
      <c r="L2577" s="102">
        <v>1</v>
      </c>
      <c r="M2577" s="19" t="str">
        <f t="shared" si="62"/>
        <v>Apr_2019</v>
      </c>
    </row>
    <row r="2578" spans="1:13">
      <c r="A2578" s="45" t="s">
        <v>22</v>
      </c>
      <c r="B2578" s="52" t="s">
        <v>662</v>
      </c>
      <c r="C2578" s="46">
        <v>43557</v>
      </c>
      <c r="D2578" s="47" t="s">
        <v>14</v>
      </c>
      <c r="E2578" s="48">
        <v>0.35416666666666669</v>
      </c>
      <c r="F2578" s="48">
        <v>0.89583333333333337</v>
      </c>
      <c r="G2578" s="49">
        <v>0</v>
      </c>
      <c r="H2578" s="49">
        <v>12.000000000000002</v>
      </c>
      <c r="I2578" s="49">
        <v>12.000000000000002</v>
      </c>
      <c r="J2578" s="53" t="s">
        <v>30</v>
      </c>
      <c r="K2578" s="51" t="s">
        <v>832</v>
      </c>
      <c r="L2578" s="102" t="s">
        <v>281</v>
      </c>
      <c r="M2578" s="19" t="str">
        <f t="shared" si="62"/>
        <v>Apr_2019</v>
      </c>
    </row>
    <row r="2579" spans="1:13">
      <c r="A2579" s="45" t="s">
        <v>22</v>
      </c>
      <c r="B2579" s="52" t="s">
        <v>801</v>
      </c>
      <c r="C2579" s="46">
        <v>43557</v>
      </c>
      <c r="D2579" s="47" t="s">
        <v>14</v>
      </c>
      <c r="E2579" s="48">
        <v>0.35416666666666669</v>
      </c>
      <c r="F2579" s="48">
        <v>0.64583333333333337</v>
      </c>
      <c r="G2579" s="49">
        <v>0</v>
      </c>
      <c r="H2579" s="49">
        <v>6</v>
      </c>
      <c r="I2579" s="49">
        <v>6</v>
      </c>
      <c r="J2579" s="53" t="s">
        <v>30</v>
      </c>
      <c r="K2579" s="51" t="s">
        <v>832</v>
      </c>
      <c r="L2579" s="102" t="s">
        <v>281</v>
      </c>
      <c r="M2579" s="19" t="str">
        <f t="shared" si="62"/>
        <v>Apr_2019</v>
      </c>
    </row>
    <row r="2580" spans="1:13">
      <c r="A2580" s="45" t="s">
        <v>22</v>
      </c>
      <c r="B2580" s="52" t="s">
        <v>26</v>
      </c>
      <c r="C2580" s="46">
        <v>43557</v>
      </c>
      <c r="D2580" s="47" t="s">
        <v>14</v>
      </c>
      <c r="E2580" s="48">
        <v>0.35416666666666669</v>
      </c>
      <c r="F2580" s="48">
        <v>0.72916666666666663</v>
      </c>
      <c r="G2580" s="49">
        <v>0</v>
      </c>
      <c r="H2580" s="49">
        <v>7.9999999999999982</v>
      </c>
      <c r="I2580" s="49">
        <v>7.9999999999999982</v>
      </c>
      <c r="J2580" s="53" t="s">
        <v>30</v>
      </c>
      <c r="K2580" s="51" t="s">
        <v>832</v>
      </c>
      <c r="L2580" s="102" t="s">
        <v>281</v>
      </c>
      <c r="M2580" s="19" t="str">
        <f t="shared" si="62"/>
        <v>Apr_2019</v>
      </c>
    </row>
    <row r="2581" spans="1:13">
      <c r="A2581" s="45" t="s">
        <v>22</v>
      </c>
      <c r="B2581" s="52" t="s">
        <v>478</v>
      </c>
      <c r="C2581" s="46">
        <v>43557</v>
      </c>
      <c r="D2581" s="47" t="s">
        <v>14</v>
      </c>
      <c r="E2581" s="48">
        <v>0.35416666666666669</v>
      </c>
      <c r="F2581" s="48">
        <v>0.625</v>
      </c>
      <c r="G2581" s="49">
        <v>0</v>
      </c>
      <c r="H2581" s="49">
        <v>5.5</v>
      </c>
      <c r="I2581" s="49">
        <v>5.5</v>
      </c>
      <c r="J2581" s="53" t="s">
        <v>30</v>
      </c>
      <c r="K2581" s="51" t="s">
        <v>832</v>
      </c>
      <c r="L2581" s="102" t="s">
        <v>281</v>
      </c>
      <c r="M2581" s="19" t="str">
        <f t="shared" si="62"/>
        <v>Apr_2019</v>
      </c>
    </row>
    <row r="2582" spans="1:13">
      <c r="A2582" s="45" t="s">
        <v>11</v>
      </c>
      <c r="B2582" s="52" t="s">
        <v>149</v>
      </c>
      <c r="C2582" s="46">
        <v>43558</v>
      </c>
      <c r="D2582" s="47" t="s">
        <v>15</v>
      </c>
      <c r="E2582" s="48">
        <v>0.72916666666666674</v>
      </c>
      <c r="F2582" s="48">
        <v>0.89583333333333337</v>
      </c>
      <c r="G2582" s="49">
        <v>8.0000000000000036</v>
      </c>
      <c r="H2582" s="49">
        <v>3.9999999999999982</v>
      </c>
      <c r="I2582" s="49">
        <v>3.9999999999999982</v>
      </c>
      <c r="J2582" s="53" t="s">
        <v>30</v>
      </c>
      <c r="K2582" s="51" t="s">
        <v>833</v>
      </c>
      <c r="L2582" s="102">
        <v>1</v>
      </c>
      <c r="M2582" s="19" t="str">
        <f t="shared" si="62"/>
        <v>Apr_2019</v>
      </c>
    </row>
    <row r="2583" spans="1:13">
      <c r="A2583" s="45" t="s">
        <v>11</v>
      </c>
      <c r="B2583" s="52" t="s">
        <v>161</v>
      </c>
      <c r="C2583" s="46">
        <v>43558</v>
      </c>
      <c r="D2583" s="47" t="s">
        <v>15</v>
      </c>
      <c r="E2583" s="48">
        <v>0.72916666666666674</v>
      </c>
      <c r="F2583" s="48">
        <v>0.89583333333333337</v>
      </c>
      <c r="G2583" s="49">
        <v>8.0000000000000036</v>
      </c>
      <c r="H2583" s="49">
        <v>3.9999999999999982</v>
      </c>
      <c r="I2583" s="49">
        <v>3.9999999999999982</v>
      </c>
      <c r="J2583" s="53" t="s">
        <v>30</v>
      </c>
      <c r="K2583" s="51" t="s">
        <v>833</v>
      </c>
      <c r="L2583" s="102">
        <v>1</v>
      </c>
      <c r="M2583" s="19" t="str">
        <f t="shared" si="62"/>
        <v>Apr_2019</v>
      </c>
    </row>
    <row r="2584" spans="1:13">
      <c r="A2584" s="45" t="s">
        <v>11</v>
      </c>
      <c r="B2584" s="52" t="s">
        <v>542</v>
      </c>
      <c r="C2584" s="46">
        <v>43558</v>
      </c>
      <c r="D2584" s="47" t="s">
        <v>15</v>
      </c>
      <c r="E2584" s="48">
        <v>0.72916666666666674</v>
      </c>
      <c r="F2584" s="48">
        <v>0.89583333333333337</v>
      </c>
      <c r="G2584" s="49">
        <v>8.0000000000000036</v>
      </c>
      <c r="H2584" s="49">
        <v>3.9999999999999982</v>
      </c>
      <c r="I2584" s="49">
        <v>3.9999999999999982</v>
      </c>
      <c r="J2584" s="53" t="s">
        <v>30</v>
      </c>
      <c r="K2584" s="51" t="s">
        <v>833</v>
      </c>
      <c r="L2584" s="102">
        <v>1</v>
      </c>
      <c r="M2584" s="19" t="str">
        <f t="shared" si="62"/>
        <v>Apr_2019</v>
      </c>
    </row>
    <row r="2585" spans="1:13">
      <c r="A2585" s="45" t="s">
        <v>11</v>
      </c>
      <c r="B2585" s="52" t="s">
        <v>547</v>
      </c>
      <c r="C2585" s="46">
        <v>43558</v>
      </c>
      <c r="D2585" s="47" t="s">
        <v>15</v>
      </c>
      <c r="E2585" s="48">
        <v>0.72916666666666674</v>
      </c>
      <c r="F2585" s="48">
        <v>0.89583333333333337</v>
      </c>
      <c r="G2585" s="49">
        <v>8.0000000000000036</v>
      </c>
      <c r="H2585" s="49">
        <v>3.9999999999999982</v>
      </c>
      <c r="I2585" s="49">
        <v>3.9999999999999982</v>
      </c>
      <c r="J2585" s="53" t="s">
        <v>30</v>
      </c>
      <c r="K2585" s="51" t="s">
        <v>833</v>
      </c>
      <c r="L2585" s="102">
        <v>1</v>
      </c>
      <c r="M2585" s="19" t="str">
        <f t="shared" si="62"/>
        <v>Apr_2019</v>
      </c>
    </row>
    <row r="2586" spans="1:13">
      <c r="A2586" s="45" t="s">
        <v>11</v>
      </c>
      <c r="B2586" s="52" t="s">
        <v>684</v>
      </c>
      <c r="C2586" s="46">
        <v>43558</v>
      </c>
      <c r="D2586" s="47" t="s">
        <v>15</v>
      </c>
      <c r="E2586" s="48">
        <v>0.64583333333333326</v>
      </c>
      <c r="F2586" s="48">
        <v>0.89583333333333337</v>
      </c>
      <c r="G2586" s="49">
        <v>8.0000000000000036</v>
      </c>
      <c r="H2586" s="49">
        <v>5.9999999999999964</v>
      </c>
      <c r="I2586" s="49">
        <v>5.9999999999999964</v>
      </c>
      <c r="J2586" s="53" t="s">
        <v>30</v>
      </c>
      <c r="K2586" s="51" t="s">
        <v>833</v>
      </c>
      <c r="L2586" s="102">
        <v>1</v>
      </c>
      <c r="M2586" s="19" t="str">
        <f t="shared" si="62"/>
        <v>Apr_2019</v>
      </c>
    </row>
    <row r="2587" spans="1:13">
      <c r="A2587" s="45" t="s">
        <v>11</v>
      </c>
      <c r="B2587" s="52" t="s">
        <v>779</v>
      </c>
      <c r="C2587" s="46">
        <v>43558</v>
      </c>
      <c r="D2587" s="47" t="s">
        <v>15</v>
      </c>
      <c r="E2587" s="48">
        <v>0.72916666666666674</v>
      </c>
      <c r="F2587" s="48">
        <v>0.89583333333333337</v>
      </c>
      <c r="G2587" s="49">
        <v>8.0000000000000036</v>
      </c>
      <c r="H2587" s="49">
        <v>3.9999999999999982</v>
      </c>
      <c r="I2587" s="49">
        <v>3.9999999999999982</v>
      </c>
      <c r="J2587" s="53" t="s">
        <v>30</v>
      </c>
      <c r="K2587" s="51" t="s">
        <v>833</v>
      </c>
      <c r="L2587" s="102">
        <v>1</v>
      </c>
      <c r="M2587" s="19" t="str">
        <f t="shared" si="62"/>
        <v>Apr_2019</v>
      </c>
    </row>
    <row r="2588" spans="1:13">
      <c r="A2588" s="45" t="s">
        <v>11</v>
      </c>
      <c r="B2588" s="52" t="s">
        <v>811</v>
      </c>
      <c r="C2588" s="46">
        <v>43558</v>
      </c>
      <c r="D2588" s="47" t="s">
        <v>15</v>
      </c>
      <c r="E2588" s="48">
        <v>0.72916666666666674</v>
      </c>
      <c r="F2588" s="48">
        <v>0.89583333333333337</v>
      </c>
      <c r="G2588" s="49">
        <v>8.0000000000000036</v>
      </c>
      <c r="H2588" s="49">
        <v>3.9999999999999982</v>
      </c>
      <c r="I2588" s="49">
        <v>3.9999999999999982</v>
      </c>
      <c r="J2588" s="53" t="s">
        <v>30</v>
      </c>
      <c r="K2588" s="51" t="s">
        <v>833</v>
      </c>
      <c r="L2588" s="102">
        <v>1</v>
      </c>
      <c r="M2588" s="19" t="str">
        <f t="shared" si="62"/>
        <v>Apr_2019</v>
      </c>
    </row>
    <row r="2589" spans="1:13">
      <c r="A2589" s="45" t="s">
        <v>22</v>
      </c>
      <c r="B2589" s="52" t="s">
        <v>662</v>
      </c>
      <c r="C2589" s="46">
        <v>43558</v>
      </c>
      <c r="D2589" s="47" t="s">
        <v>15</v>
      </c>
      <c r="E2589" s="48">
        <v>0.35416666666666669</v>
      </c>
      <c r="F2589" s="48">
        <v>0.89583333333333337</v>
      </c>
      <c r="G2589" s="49">
        <v>0</v>
      </c>
      <c r="H2589" s="49">
        <v>12.000000000000002</v>
      </c>
      <c r="I2589" s="49">
        <v>12.000000000000002</v>
      </c>
      <c r="J2589" s="53" t="s">
        <v>30</v>
      </c>
      <c r="K2589" s="51" t="s">
        <v>833</v>
      </c>
      <c r="L2589" s="102" t="s">
        <v>281</v>
      </c>
      <c r="M2589" s="19" t="str">
        <f t="shared" si="62"/>
        <v>Apr_2019</v>
      </c>
    </row>
    <row r="2590" spans="1:13">
      <c r="A2590" s="45" t="s">
        <v>22</v>
      </c>
      <c r="B2590" s="52" t="s">
        <v>801</v>
      </c>
      <c r="C2590" s="46">
        <v>43558</v>
      </c>
      <c r="D2590" s="47" t="s">
        <v>15</v>
      </c>
      <c r="E2590" s="48">
        <v>0.35416666666666669</v>
      </c>
      <c r="F2590" s="48">
        <v>0.64583333333333337</v>
      </c>
      <c r="G2590" s="49">
        <v>0</v>
      </c>
      <c r="H2590" s="49">
        <v>6</v>
      </c>
      <c r="I2590" s="49">
        <v>6</v>
      </c>
      <c r="J2590" s="53" t="s">
        <v>30</v>
      </c>
      <c r="K2590" s="51" t="s">
        <v>833</v>
      </c>
      <c r="L2590" s="102" t="s">
        <v>281</v>
      </c>
      <c r="M2590" s="19" t="str">
        <f t="shared" si="62"/>
        <v>Apr_2019</v>
      </c>
    </row>
    <row r="2591" spans="1:13">
      <c r="A2591" s="45" t="s">
        <v>22</v>
      </c>
      <c r="B2591" s="52" t="s">
        <v>26</v>
      </c>
      <c r="C2591" s="46">
        <v>43558</v>
      </c>
      <c r="D2591" s="47" t="s">
        <v>15</v>
      </c>
      <c r="E2591" s="48">
        <v>0.35416666666666669</v>
      </c>
      <c r="F2591" s="48">
        <v>0.89583333333333337</v>
      </c>
      <c r="G2591" s="49">
        <v>0</v>
      </c>
      <c r="H2591" s="49">
        <v>12.000000000000002</v>
      </c>
      <c r="I2591" s="49">
        <v>12.000000000000002</v>
      </c>
      <c r="J2591" s="53" t="s">
        <v>30</v>
      </c>
      <c r="K2591" s="51" t="s">
        <v>833</v>
      </c>
      <c r="L2591" s="102" t="s">
        <v>281</v>
      </c>
      <c r="M2591" s="19" t="str">
        <f t="shared" si="62"/>
        <v>Apr_2019</v>
      </c>
    </row>
    <row r="2592" spans="1:13">
      <c r="A2592" s="45" t="s">
        <v>22</v>
      </c>
      <c r="B2592" s="52" t="s">
        <v>478</v>
      </c>
      <c r="C2592" s="46">
        <v>43558</v>
      </c>
      <c r="D2592" s="47" t="s">
        <v>15</v>
      </c>
      <c r="E2592" s="48">
        <v>0.54166666666666663</v>
      </c>
      <c r="F2592" s="48">
        <v>0.89583333333333337</v>
      </c>
      <c r="G2592" s="49">
        <v>0</v>
      </c>
      <c r="H2592" s="49">
        <v>7.5000000000000018</v>
      </c>
      <c r="I2592" s="49">
        <v>7.5000000000000018</v>
      </c>
      <c r="J2592" s="53" t="s">
        <v>30</v>
      </c>
      <c r="K2592" s="51" t="s">
        <v>833</v>
      </c>
      <c r="L2592" s="102" t="s">
        <v>281</v>
      </c>
      <c r="M2592" s="19" t="str">
        <f t="shared" si="62"/>
        <v>Apr_2019</v>
      </c>
    </row>
    <row r="2593" spans="1:13">
      <c r="A2593" s="45" t="s">
        <v>22</v>
      </c>
      <c r="B2593" s="52" t="s">
        <v>662</v>
      </c>
      <c r="C2593" s="46">
        <v>43559</v>
      </c>
      <c r="D2593" s="47" t="s">
        <v>25</v>
      </c>
      <c r="E2593" s="48">
        <v>0.35416666666666669</v>
      </c>
      <c r="F2593" s="48">
        <v>0.72916666666666663</v>
      </c>
      <c r="G2593" s="49">
        <v>0</v>
      </c>
      <c r="H2593" s="49">
        <v>7.9999999999999982</v>
      </c>
      <c r="I2593" s="49">
        <v>7.9999999999999982</v>
      </c>
      <c r="J2593" s="53" t="s">
        <v>30</v>
      </c>
      <c r="K2593" s="51" t="s">
        <v>834</v>
      </c>
      <c r="L2593" s="102" t="s">
        <v>281</v>
      </c>
      <c r="M2593" s="19" t="str">
        <f t="shared" si="62"/>
        <v>Apr_2019</v>
      </c>
    </row>
    <row r="2594" spans="1:13">
      <c r="A2594" s="45" t="s">
        <v>22</v>
      </c>
      <c r="B2594" s="52" t="s">
        <v>801</v>
      </c>
      <c r="C2594" s="46">
        <v>43559</v>
      </c>
      <c r="D2594" s="47" t="s">
        <v>25</v>
      </c>
      <c r="E2594" s="48">
        <v>0.35416666666666669</v>
      </c>
      <c r="F2594" s="48">
        <v>0.625</v>
      </c>
      <c r="G2594" s="49">
        <v>0</v>
      </c>
      <c r="H2594" s="49">
        <v>5.5</v>
      </c>
      <c r="I2594" s="49">
        <v>5.5</v>
      </c>
      <c r="J2594" s="53" t="s">
        <v>30</v>
      </c>
      <c r="K2594" s="51" t="s">
        <v>835</v>
      </c>
      <c r="L2594" s="102" t="s">
        <v>281</v>
      </c>
      <c r="M2594" s="19" t="str">
        <f t="shared" si="62"/>
        <v>Apr_2019</v>
      </c>
    </row>
    <row r="2595" spans="1:13">
      <c r="A2595" s="45" t="s">
        <v>22</v>
      </c>
      <c r="B2595" s="52" t="s">
        <v>26</v>
      </c>
      <c r="C2595" s="46">
        <v>43559</v>
      </c>
      <c r="D2595" s="47" t="s">
        <v>25</v>
      </c>
      <c r="E2595" s="48">
        <v>0.35416666666666669</v>
      </c>
      <c r="F2595" s="48">
        <v>0.625</v>
      </c>
      <c r="G2595" s="49">
        <v>0</v>
      </c>
      <c r="H2595" s="49">
        <v>5.5</v>
      </c>
      <c r="I2595" s="49">
        <v>5.5</v>
      </c>
      <c r="J2595" s="53" t="s">
        <v>30</v>
      </c>
      <c r="K2595" s="51" t="s">
        <v>836</v>
      </c>
      <c r="L2595" s="102" t="s">
        <v>281</v>
      </c>
      <c r="M2595" s="19" t="str">
        <f t="shared" si="62"/>
        <v>Apr_2019</v>
      </c>
    </row>
    <row r="2596" spans="1:13">
      <c r="A2596" s="45" t="s">
        <v>22</v>
      </c>
      <c r="B2596" s="52" t="s">
        <v>478</v>
      </c>
      <c r="C2596" s="46">
        <v>43559</v>
      </c>
      <c r="D2596" s="47" t="s">
        <v>25</v>
      </c>
      <c r="E2596" s="48">
        <v>0.35416666666666669</v>
      </c>
      <c r="F2596" s="48">
        <v>0.625</v>
      </c>
      <c r="G2596" s="49">
        <v>0</v>
      </c>
      <c r="H2596" s="49">
        <v>5.5</v>
      </c>
      <c r="I2596" s="49">
        <v>5.5</v>
      </c>
      <c r="J2596" s="53" t="s">
        <v>30</v>
      </c>
      <c r="K2596" s="51" t="s">
        <v>834</v>
      </c>
      <c r="L2596" s="102" t="s">
        <v>281</v>
      </c>
      <c r="M2596" s="19" t="str">
        <f t="shared" si="62"/>
        <v>Apr_2019</v>
      </c>
    </row>
    <row r="2597" spans="1:13">
      <c r="A2597" s="45" t="s">
        <v>22</v>
      </c>
      <c r="B2597" s="52" t="s">
        <v>710</v>
      </c>
      <c r="C2597" s="46">
        <v>43559</v>
      </c>
      <c r="D2597" s="47" t="s">
        <v>25</v>
      </c>
      <c r="E2597" s="48">
        <v>0.35416666666666669</v>
      </c>
      <c r="F2597" s="48">
        <v>0.625</v>
      </c>
      <c r="G2597" s="49">
        <v>0</v>
      </c>
      <c r="H2597" s="49">
        <v>5.5</v>
      </c>
      <c r="I2597" s="49">
        <v>5.5</v>
      </c>
      <c r="J2597" s="53" t="s">
        <v>30</v>
      </c>
      <c r="K2597" s="51" t="s">
        <v>837</v>
      </c>
      <c r="L2597" s="102" t="s">
        <v>281</v>
      </c>
      <c r="M2597" s="19" t="str">
        <f t="shared" si="62"/>
        <v>Apr_2019</v>
      </c>
    </row>
    <row r="2598" spans="1:13">
      <c r="A2598" s="45" t="s">
        <v>22</v>
      </c>
      <c r="B2598" s="52" t="s">
        <v>662</v>
      </c>
      <c r="C2598" s="46">
        <v>43560</v>
      </c>
      <c r="D2598" s="47" t="s">
        <v>17</v>
      </c>
      <c r="E2598" s="48">
        <v>0.35416666666666669</v>
      </c>
      <c r="F2598" s="48">
        <v>0.72916666666666663</v>
      </c>
      <c r="G2598" s="49">
        <v>0</v>
      </c>
      <c r="H2598" s="49">
        <v>7.9999999999999982</v>
      </c>
      <c r="I2598" s="49">
        <v>7.9999999999999982</v>
      </c>
      <c r="J2598" s="53" t="s">
        <v>30</v>
      </c>
      <c r="K2598" s="51" t="s">
        <v>838</v>
      </c>
      <c r="L2598" s="102" t="s">
        <v>281</v>
      </c>
      <c r="M2598" s="19" t="str">
        <f t="shared" si="62"/>
        <v>Apr_2019</v>
      </c>
    </row>
    <row r="2599" spans="1:13">
      <c r="A2599" s="45" t="s">
        <v>22</v>
      </c>
      <c r="B2599" s="52" t="s">
        <v>801</v>
      </c>
      <c r="C2599" s="46">
        <v>43560</v>
      </c>
      <c r="D2599" s="47" t="s">
        <v>17</v>
      </c>
      <c r="E2599" s="48">
        <v>0.35416666666666669</v>
      </c>
      <c r="F2599" s="48">
        <v>0.64583333333333337</v>
      </c>
      <c r="G2599" s="49">
        <v>0</v>
      </c>
      <c r="H2599" s="49">
        <v>6</v>
      </c>
      <c r="I2599" s="49">
        <v>6</v>
      </c>
      <c r="J2599" s="53" t="s">
        <v>30</v>
      </c>
      <c r="K2599" s="51" t="s">
        <v>838</v>
      </c>
      <c r="L2599" s="102" t="s">
        <v>281</v>
      </c>
      <c r="M2599" s="19" t="str">
        <f t="shared" si="62"/>
        <v>Apr_2019</v>
      </c>
    </row>
    <row r="2600" spans="1:13">
      <c r="A2600" s="45" t="s">
        <v>22</v>
      </c>
      <c r="B2600" s="52" t="s">
        <v>26</v>
      </c>
      <c r="C2600" s="46">
        <v>43560</v>
      </c>
      <c r="D2600" s="47" t="s">
        <v>17</v>
      </c>
      <c r="E2600" s="48">
        <v>0.35416666666666669</v>
      </c>
      <c r="F2600" s="48">
        <v>0.72916666666666663</v>
      </c>
      <c r="G2600" s="49">
        <v>0</v>
      </c>
      <c r="H2600" s="49">
        <v>7.9999999999999982</v>
      </c>
      <c r="I2600" s="49">
        <v>7.9999999999999982</v>
      </c>
      <c r="J2600" s="53" t="s">
        <v>30</v>
      </c>
      <c r="K2600" s="51" t="s">
        <v>838</v>
      </c>
      <c r="L2600" s="102" t="s">
        <v>281</v>
      </c>
      <c r="M2600" s="19" t="str">
        <f t="shared" si="62"/>
        <v>Apr_2019</v>
      </c>
    </row>
    <row r="2601" spans="1:13">
      <c r="A2601" s="45" t="s">
        <v>22</v>
      </c>
      <c r="B2601" s="52" t="s">
        <v>710</v>
      </c>
      <c r="C2601" s="46">
        <v>43560</v>
      </c>
      <c r="D2601" s="47" t="s">
        <v>17</v>
      </c>
      <c r="E2601" s="48">
        <v>0.35416666666666669</v>
      </c>
      <c r="F2601" s="48">
        <v>0.72916666666666663</v>
      </c>
      <c r="G2601" s="49">
        <v>0</v>
      </c>
      <c r="H2601" s="49">
        <v>7.9999999999999982</v>
      </c>
      <c r="I2601" s="49">
        <v>7.9999999999999982</v>
      </c>
      <c r="J2601" s="53" t="s">
        <v>30</v>
      </c>
      <c r="K2601" s="51" t="s">
        <v>838</v>
      </c>
      <c r="L2601" s="102" t="s">
        <v>281</v>
      </c>
      <c r="M2601" s="19" t="str">
        <f t="shared" si="62"/>
        <v>Apr_2019</v>
      </c>
    </row>
    <row r="2602" spans="1:13">
      <c r="A2602" s="45" t="s">
        <v>22</v>
      </c>
      <c r="B2602" s="52" t="s">
        <v>662</v>
      </c>
      <c r="C2602" s="46">
        <v>43563</v>
      </c>
      <c r="D2602" s="47" t="s">
        <v>16</v>
      </c>
      <c r="E2602" s="48">
        <v>0.35416666666666669</v>
      </c>
      <c r="F2602" s="48">
        <v>0.72916666666666663</v>
      </c>
      <c r="G2602" s="49">
        <v>0</v>
      </c>
      <c r="H2602" s="49">
        <v>7.9999999999999982</v>
      </c>
      <c r="I2602" s="49">
        <v>7.9999999999999982</v>
      </c>
      <c r="J2602" s="53" t="s">
        <v>30</v>
      </c>
      <c r="K2602" s="51" t="s">
        <v>839</v>
      </c>
      <c r="L2602" s="102" t="s">
        <v>281</v>
      </c>
      <c r="M2602" s="19" t="str">
        <f t="shared" si="62"/>
        <v>Apr_2019</v>
      </c>
    </row>
    <row r="2603" spans="1:13">
      <c r="A2603" s="45" t="s">
        <v>22</v>
      </c>
      <c r="B2603" s="52" t="s">
        <v>662</v>
      </c>
      <c r="C2603" s="46">
        <v>43564</v>
      </c>
      <c r="D2603" s="47" t="s">
        <v>14</v>
      </c>
      <c r="E2603" s="48">
        <v>0.35416666666666669</v>
      </c>
      <c r="F2603" s="48">
        <v>0.72916666666666663</v>
      </c>
      <c r="G2603" s="49">
        <v>0</v>
      </c>
      <c r="H2603" s="49">
        <v>7.9999999999999982</v>
      </c>
      <c r="I2603" s="49">
        <v>7.9999999999999982</v>
      </c>
      <c r="J2603" s="53" t="s">
        <v>30</v>
      </c>
      <c r="K2603" s="51" t="s">
        <v>840</v>
      </c>
      <c r="L2603" s="102" t="s">
        <v>281</v>
      </c>
      <c r="M2603" s="19" t="str">
        <f t="shared" si="62"/>
        <v>Apr_2019</v>
      </c>
    </row>
    <row r="2604" spans="1:13">
      <c r="A2604" s="45" t="s">
        <v>22</v>
      </c>
      <c r="B2604" s="52" t="s">
        <v>662</v>
      </c>
      <c r="C2604" s="46">
        <v>43565</v>
      </c>
      <c r="D2604" s="47" t="s">
        <v>15</v>
      </c>
      <c r="E2604" s="48">
        <v>0.35416666666666669</v>
      </c>
      <c r="F2604" s="48">
        <v>0.72916666666666663</v>
      </c>
      <c r="G2604" s="49">
        <v>0</v>
      </c>
      <c r="H2604" s="49">
        <v>7.9999999999999982</v>
      </c>
      <c r="I2604" s="49">
        <v>7.9999999999999982</v>
      </c>
      <c r="J2604" s="53" t="s">
        <v>30</v>
      </c>
      <c r="K2604" s="51" t="s">
        <v>841</v>
      </c>
      <c r="L2604" s="102" t="s">
        <v>281</v>
      </c>
      <c r="M2604" s="19" t="str">
        <f t="shared" si="62"/>
        <v>Apr_2019</v>
      </c>
    </row>
    <row r="2605" spans="1:13">
      <c r="A2605" s="45" t="s">
        <v>22</v>
      </c>
      <c r="B2605" s="52" t="s">
        <v>662</v>
      </c>
      <c r="C2605" s="46">
        <v>43566</v>
      </c>
      <c r="D2605" s="47" t="s">
        <v>25</v>
      </c>
      <c r="E2605" s="48">
        <v>0.35416666666666669</v>
      </c>
      <c r="F2605" s="48">
        <v>0.72916666666666663</v>
      </c>
      <c r="G2605" s="49">
        <v>0</v>
      </c>
      <c r="H2605" s="49">
        <v>7.9999999999999982</v>
      </c>
      <c r="I2605" s="49">
        <v>7.9999999999999982</v>
      </c>
      <c r="J2605" s="53" t="s">
        <v>30</v>
      </c>
      <c r="K2605" s="51" t="s">
        <v>842</v>
      </c>
      <c r="L2605" s="102" t="s">
        <v>281</v>
      </c>
      <c r="M2605" s="19" t="str">
        <f t="shared" si="62"/>
        <v>Apr_2019</v>
      </c>
    </row>
    <row r="2606" spans="1:13">
      <c r="A2606" s="45" t="s">
        <v>22</v>
      </c>
      <c r="B2606" s="52" t="s">
        <v>662</v>
      </c>
      <c r="C2606" s="46">
        <v>43567</v>
      </c>
      <c r="D2606" s="47" t="s">
        <v>17</v>
      </c>
      <c r="E2606" s="48">
        <v>0.35416666666666669</v>
      </c>
      <c r="F2606" s="48">
        <v>0.72916666666666663</v>
      </c>
      <c r="G2606" s="49">
        <v>0</v>
      </c>
      <c r="H2606" s="49">
        <v>7.9999999999999982</v>
      </c>
      <c r="I2606" s="49">
        <v>7.9999999999999982</v>
      </c>
      <c r="J2606" s="53" t="s">
        <v>30</v>
      </c>
      <c r="K2606" s="51" t="s">
        <v>843</v>
      </c>
      <c r="L2606" s="102" t="s">
        <v>281</v>
      </c>
      <c r="M2606" s="19" t="str">
        <f t="shared" si="62"/>
        <v>Apr_2019</v>
      </c>
    </row>
    <row r="2607" spans="1:13">
      <c r="A2607" s="45" t="s">
        <v>22</v>
      </c>
      <c r="B2607" s="52" t="s">
        <v>662</v>
      </c>
      <c r="C2607" s="46">
        <v>43571</v>
      </c>
      <c r="D2607" s="47" t="s">
        <v>14</v>
      </c>
      <c r="E2607" s="48">
        <v>0.35416666666666669</v>
      </c>
      <c r="F2607" s="48">
        <v>0.72916666666666663</v>
      </c>
      <c r="G2607" s="49">
        <v>0</v>
      </c>
      <c r="H2607" s="49">
        <v>7.9999999999999982</v>
      </c>
      <c r="I2607" s="49">
        <v>7.9999999999999982</v>
      </c>
      <c r="J2607" s="53" t="s">
        <v>30</v>
      </c>
      <c r="K2607" s="51" t="s">
        <v>844</v>
      </c>
      <c r="L2607" s="102" t="s">
        <v>281</v>
      </c>
      <c r="M2607" s="19" t="str">
        <f t="shared" si="62"/>
        <v>Apr_2019</v>
      </c>
    </row>
    <row r="2608" spans="1:13">
      <c r="A2608" s="45" t="s">
        <v>22</v>
      </c>
      <c r="B2608" s="52" t="s">
        <v>801</v>
      </c>
      <c r="C2608" s="46">
        <v>43571</v>
      </c>
      <c r="D2608" s="47" t="s">
        <v>14</v>
      </c>
      <c r="E2608" s="48">
        <v>0.35416666666666669</v>
      </c>
      <c r="F2608" s="48">
        <v>0.64583333333333337</v>
      </c>
      <c r="G2608" s="49">
        <v>0</v>
      </c>
      <c r="H2608" s="49">
        <v>6</v>
      </c>
      <c r="I2608" s="49">
        <v>6</v>
      </c>
      <c r="J2608" s="53" t="s">
        <v>30</v>
      </c>
      <c r="K2608" s="51" t="s">
        <v>845</v>
      </c>
      <c r="L2608" s="102" t="s">
        <v>281</v>
      </c>
      <c r="M2608" s="19" t="str">
        <f t="shared" si="62"/>
        <v>Apr_2019</v>
      </c>
    </row>
    <row r="2609" spans="1:13">
      <c r="A2609" s="45" t="s">
        <v>22</v>
      </c>
      <c r="B2609" s="52" t="s">
        <v>662</v>
      </c>
      <c r="C2609" s="46">
        <v>43572</v>
      </c>
      <c r="D2609" s="47" t="s">
        <v>15</v>
      </c>
      <c r="E2609" s="48">
        <v>0.35416666666666669</v>
      </c>
      <c r="F2609" s="48">
        <v>0.72916666666666663</v>
      </c>
      <c r="G2609" s="49">
        <v>0</v>
      </c>
      <c r="H2609" s="49">
        <v>7.9999999999999982</v>
      </c>
      <c r="I2609" s="49">
        <v>7.9999999999999982</v>
      </c>
      <c r="J2609" s="53" t="s">
        <v>30</v>
      </c>
      <c r="K2609" s="51" t="s">
        <v>846</v>
      </c>
      <c r="L2609" s="102" t="s">
        <v>281</v>
      </c>
      <c r="M2609" s="19" t="str">
        <f t="shared" si="62"/>
        <v>Apr_2019</v>
      </c>
    </row>
    <row r="2610" spans="1:13">
      <c r="A2610" s="45" t="s">
        <v>22</v>
      </c>
      <c r="B2610" s="52" t="s">
        <v>662</v>
      </c>
      <c r="C2610" s="46">
        <v>43577</v>
      </c>
      <c r="D2610" s="47" t="s">
        <v>16</v>
      </c>
      <c r="E2610" s="48">
        <v>0.35416666666666669</v>
      </c>
      <c r="F2610" s="48">
        <v>0.72916666666666663</v>
      </c>
      <c r="G2610" s="49">
        <v>0</v>
      </c>
      <c r="H2610" s="49">
        <v>7.9999999999999982</v>
      </c>
      <c r="I2610" s="49">
        <v>7.9999999999999982</v>
      </c>
      <c r="J2610" s="53" t="s">
        <v>30</v>
      </c>
      <c r="K2610" s="51" t="s">
        <v>847</v>
      </c>
      <c r="L2610" s="102" t="s">
        <v>281</v>
      </c>
      <c r="M2610" s="19" t="str">
        <f t="shared" si="62"/>
        <v>Apr_2019</v>
      </c>
    </row>
    <row r="2611" spans="1:13">
      <c r="A2611" s="45" t="s">
        <v>22</v>
      </c>
      <c r="B2611" s="52" t="s">
        <v>662</v>
      </c>
      <c r="C2611" s="46">
        <v>43578</v>
      </c>
      <c r="D2611" s="47" t="s">
        <v>14</v>
      </c>
      <c r="E2611" s="48">
        <v>0.35416666666666669</v>
      </c>
      <c r="F2611" s="48">
        <v>0.72916666666666663</v>
      </c>
      <c r="G2611" s="49">
        <v>0</v>
      </c>
      <c r="H2611" s="49">
        <v>7.9999999999999982</v>
      </c>
      <c r="I2611" s="49">
        <v>7.9999999999999982</v>
      </c>
      <c r="J2611" s="53" t="s">
        <v>30</v>
      </c>
      <c r="K2611" s="51" t="s">
        <v>848</v>
      </c>
      <c r="L2611" s="102" t="s">
        <v>281</v>
      </c>
      <c r="M2611" s="19" t="str">
        <f t="shared" si="62"/>
        <v>Apr_2019</v>
      </c>
    </row>
    <row r="2612" spans="1:13">
      <c r="A2612" s="45" t="s">
        <v>22</v>
      </c>
      <c r="B2612" s="52" t="s">
        <v>662</v>
      </c>
      <c r="C2612" s="46">
        <v>43579</v>
      </c>
      <c r="D2612" s="47" t="s">
        <v>15</v>
      </c>
      <c r="E2612" s="48">
        <v>0.35416666666666669</v>
      </c>
      <c r="F2612" s="48">
        <v>0.72916666666666663</v>
      </c>
      <c r="G2612" s="49">
        <v>0</v>
      </c>
      <c r="H2612" s="49">
        <v>7.9999999999999982</v>
      </c>
      <c r="I2612" s="49">
        <v>7.9999999999999982</v>
      </c>
      <c r="J2612" s="53" t="s">
        <v>30</v>
      </c>
      <c r="K2612" s="51" t="s">
        <v>849</v>
      </c>
      <c r="L2612" s="102" t="s">
        <v>281</v>
      </c>
      <c r="M2612" s="19" t="str">
        <f t="shared" si="62"/>
        <v>Apr_2019</v>
      </c>
    </row>
    <row r="2613" spans="1:13">
      <c r="A2613" s="45" t="s">
        <v>22</v>
      </c>
      <c r="B2613" s="52" t="s">
        <v>662</v>
      </c>
      <c r="C2613" s="46">
        <v>43580</v>
      </c>
      <c r="D2613" s="47" t="s">
        <v>25</v>
      </c>
      <c r="E2613" s="48">
        <v>0.35416666666666669</v>
      </c>
      <c r="F2613" s="48">
        <v>0.72916666666666663</v>
      </c>
      <c r="G2613" s="49">
        <v>0</v>
      </c>
      <c r="H2613" s="49">
        <v>7.9999999999999982</v>
      </c>
      <c r="I2613" s="49">
        <v>7.9999999999999982</v>
      </c>
      <c r="J2613" s="53" t="s">
        <v>30</v>
      </c>
      <c r="K2613" s="51" t="s">
        <v>850</v>
      </c>
      <c r="L2613" s="102" t="s">
        <v>281</v>
      </c>
      <c r="M2613" s="19" t="str">
        <f t="shared" si="62"/>
        <v>Apr_2019</v>
      </c>
    </row>
    <row r="2614" spans="1:13">
      <c r="A2614" s="45" t="s">
        <v>22</v>
      </c>
      <c r="B2614" s="52" t="s">
        <v>801</v>
      </c>
      <c r="C2614" s="46">
        <v>43580</v>
      </c>
      <c r="D2614" s="47" t="s">
        <v>25</v>
      </c>
      <c r="E2614" s="48">
        <v>0.35416666666666669</v>
      </c>
      <c r="F2614" s="48">
        <v>0.64583333333333337</v>
      </c>
      <c r="G2614" s="49">
        <v>0</v>
      </c>
      <c r="H2614" s="49">
        <v>6</v>
      </c>
      <c r="I2614" s="49">
        <v>6</v>
      </c>
      <c r="J2614" s="53" t="s">
        <v>30</v>
      </c>
      <c r="K2614" s="51" t="s">
        <v>851</v>
      </c>
      <c r="L2614" s="102" t="s">
        <v>281</v>
      </c>
      <c r="M2614" s="19" t="str">
        <f t="shared" si="62"/>
        <v>Apr_2019</v>
      </c>
    </row>
    <row r="2615" spans="1:13">
      <c r="A2615" s="45" t="s">
        <v>22</v>
      </c>
      <c r="B2615" s="52" t="s">
        <v>26</v>
      </c>
      <c r="C2615" s="46">
        <v>43580</v>
      </c>
      <c r="D2615" s="47" t="s">
        <v>25</v>
      </c>
      <c r="E2615" s="48">
        <v>0.35416666666666669</v>
      </c>
      <c r="F2615" s="48">
        <v>0.72916666666666663</v>
      </c>
      <c r="G2615" s="49">
        <v>0</v>
      </c>
      <c r="H2615" s="49">
        <v>7.9999999999999982</v>
      </c>
      <c r="I2615" s="49">
        <v>7.9999999999999982</v>
      </c>
      <c r="J2615" s="53" t="s">
        <v>30</v>
      </c>
      <c r="K2615" s="51" t="s">
        <v>852</v>
      </c>
      <c r="L2615" s="102" t="s">
        <v>281</v>
      </c>
      <c r="M2615" s="19" t="str">
        <f t="shared" si="62"/>
        <v>Apr_2019</v>
      </c>
    </row>
    <row r="2616" spans="1:13">
      <c r="A2616" s="45" t="s">
        <v>22</v>
      </c>
      <c r="B2616" s="52" t="s">
        <v>662</v>
      </c>
      <c r="C2616" s="46">
        <v>43581</v>
      </c>
      <c r="D2616" s="47" t="s">
        <v>17</v>
      </c>
      <c r="E2616" s="48">
        <v>0.375</v>
      </c>
      <c r="F2616" s="48">
        <v>0.72916666666666663</v>
      </c>
      <c r="G2616" s="49">
        <v>0</v>
      </c>
      <c r="H2616" s="49">
        <v>7.5</v>
      </c>
      <c r="I2616" s="49">
        <v>7.5</v>
      </c>
      <c r="J2616" s="53" t="s">
        <v>30</v>
      </c>
      <c r="K2616" s="51" t="s">
        <v>853</v>
      </c>
      <c r="L2616" s="102" t="s">
        <v>281</v>
      </c>
      <c r="M2616" s="19" t="str">
        <f t="shared" si="62"/>
        <v>Apr_2019</v>
      </c>
    </row>
    <row r="2617" spans="1:13">
      <c r="A2617" s="45" t="s">
        <v>22</v>
      </c>
      <c r="B2617" s="52" t="s">
        <v>26</v>
      </c>
      <c r="C2617" s="46">
        <v>43581</v>
      </c>
      <c r="D2617" s="47" t="s">
        <v>17</v>
      </c>
      <c r="E2617" s="48">
        <v>0.35416666666666669</v>
      </c>
      <c r="F2617" s="48">
        <v>0.72916666666666663</v>
      </c>
      <c r="G2617" s="49">
        <v>0</v>
      </c>
      <c r="H2617" s="49">
        <v>7.9999999999999982</v>
      </c>
      <c r="I2617" s="49">
        <v>7.9999999999999982</v>
      </c>
      <c r="J2617" s="53" t="s">
        <v>30</v>
      </c>
      <c r="K2617" s="51" t="s">
        <v>854</v>
      </c>
      <c r="L2617" s="102" t="s">
        <v>281</v>
      </c>
      <c r="M2617" s="19" t="str">
        <f t="shared" si="62"/>
        <v>Apr_2019</v>
      </c>
    </row>
    <row r="2618" spans="1:13">
      <c r="A2618" s="45" t="s">
        <v>22</v>
      </c>
      <c r="B2618" s="52" t="s">
        <v>710</v>
      </c>
      <c r="C2618" s="46">
        <v>43581</v>
      </c>
      <c r="D2618" s="47" t="s">
        <v>17</v>
      </c>
      <c r="E2618" s="48">
        <v>0.35416666666666669</v>
      </c>
      <c r="F2618" s="48">
        <v>0.72916666666666663</v>
      </c>
      <c r="G2618" s="49">
        <v>0</v>
      </c>
      <c r="H2618" s="49">
        <v>7.9999999999999982</v>
      </c>
      <c r="I2618" s="49">
        <v>7.9999999999999982</v>
      </c>
      <c r="J2618" s="53" t="s">
        <v>30</v>
      </c>
      <c r="K2618" s="51" t="s">
        <v>855</v>
      </c>
      <c r="L2618" s="102" t="s">
        <v>281</v>
      </c>
      <c r="M2618" s="19" t="str">
        <f t="shared" si="62"/>
        <v>Apr_2019</v>
      </c>
    </row>
    <row r="2619" spans="1:13">
      <c r="A2619" s="45" t="s">
        <v>11</v>
      </c>
      <c r="B2619" s="52" t="s">
        <v>19</v>
      </c>
      <c r="C2619" s="46">
        <v>43584</v>
      </c>
      <c r="D2619" s="47" t="s">
        <v>16</v>
      </c>
      <c r="E2619" s="48">
        <v>0.72916666666666674</v>
      </c>
      <c r="F2619" s="48">
        <v>0.89583333333333337</v>
      </c>
      <c r="G2619" s="49">
        <v>8.0000000000000036</v>
      </c>
      <c r="H2619" s="49">
        <v>3.9999999999999982</v>
      </c>
      <c r="I2619" s="49">
        <v>3.9999999999999982</v>
      </c>
      <c r="J2619" s="53" t="s">
        <v>30</v>
      </c>
      <c r="K2619" s="51" t="s">
        <v>856</v>
      </c>
      <c r="L2619" s="102">
        <v>1</v>
      </c>
      <c r="M2619" s="19" t="str">
        <f t="shared" si="62"/>
        <v>Apr_2019</v>
      </c>
    </row>
    <row r="2620" spans="1:13">
      <c r="A2620" s="45" t="s">
        <v>11</v>
      </c>
      <c r="B2620" s="52" t="s">
        <v>149</v>
      </c>
      <c r="C2620" s="46">
        <v>43584</v>
      </c>
      <c r="D2620" s="47" t="s">
        <v>16</v>
      </c>
      <c r="E2620" s="48">
        <v>0.64583333333333326</v>
      </c>
      <c r="F2620" s="48">
        <v>0.8125</v>
      </c>
      <c r="G2620" s="49">
        <v>8.0000000000000036</v>
      </c>
      <c r="H2620" s="49">
        <v>3.9999999999999982</v>
      </c>
      <c r="I2620" s="49">
        <v>3.9999999999999982</v>
      </c>
      <c r="J2620" s="53" t="s">
        <v>30</v>
      </c>
      <c r="K2620" s="51" t="s">
        <v>856</v>
      </c>
      <c r="L2620" s="102">
        <v>1</v>
      </c>
      <c r="M2620" s="19" t="str">
        <f t="shared" si="62"/>
        <v>Apr_2019</v>
      </c>
    </row>
    <row r="2621" spans="1:13">
      <c r="A2621" s="45" t="s">
        <v>11</v>
      </c>
      <c r="B2621" s="52" t="s">
        <v>161</v>
      </c>
      <c r="C2621" s="46">
        <v>43584</v>
      </c>
      <c r="D2621" s="47" t="s">
        <v>16</v>
      </c>
      <c r="E2621" s="48">
        <v>0.72916666666666674</v>
      </c>
      <c r="F2621" s="48">
        <v>0.89583333333333337</v>
      </c>
      <c r="G2621" s="49">
        <v>8.0000000000000036</v>
      </c>
      <c r="H2621" s="49">
        <v>3.9999999999999982</v>
      </c>
      <c r="I2621" s="49">
        <v>3.9999999999999982</v>
      </c>
      <c r="J2621" s="53" t="s">
        <v>30</v>
      </c>
      <c r="K2621" s="51" t="s">
        <v>856</v>
      </c>
      <c r="L2621" s="102">
        <v>1</v>
      </c>
      <c r="M2621" s="19" t="str">
        <f t="shared" si="62"/>
        <v>Apr_2019</v>
      </c>
    </row>
    <row r="2622" spans="1:13">
      <c r="A2622" s="45" t="s">
        <v>11</v>
      </c>
      <c r="B2622" s="52" t="s">
        <v>542</v>
      </c>
      <c r="C2622" s="46">
        <v>43584</v>
      </c>
      <c r="D2622" s="47" t="s">
        <v>16</v>
      </c>
      <c r="E2622" s="48">
        <v>0.72916666666666674</v>
      </c>
      <c r="F2622" s="48">
        <v>0.89583333333333337</v>
      </c>
      <c r="G2622" s="49">
        <v>8.0000000000000036</v>
      </c>
      <c r="H2622" s="49">
        <v>3.9999999999999982</v>
      </c>
      <c r="I2622" s="49">
        <v>3.9999999999999982</v>
      </c>
      <c r="J2622" s="53" t="s">
        <v>30</v>
      </c>
      <c r="K2622" s="51" t="s">
        <v>856</v>
      </c>
      <c r="L2622" s="102">
        <v>1</v>
      </c>
      <c r="M2622" s="19" t="str">
        <f t="shared" si="62"/>
        <v>Apr_2019</v>
      </c>
    </row>
    <row r="2623" spans="1:13">
      <c r="A2623" s="45" t="s">
        <v>11</v>
      </c>
      <c r="B2623" s="52" t="s">
        <v>547</v>
      </c>
      <c r="C2623" s="46">
        <v>43584</v>
      </c>
      <c r="D2623" s="47" t="s">
        <v>16</v>
      </c>
      <c r="E2623" s="48">
        <v>0.72916666666666674</v>
      </c>
      <c r="F2623" s="48">
        <v>0.89583333333333337</v>
      </c>
      <c r="G2623" s="49">
        <v>8.0000000000000036</v>
      </c>
      <c r="H2623" s="49">
        <v>3.9999999999999982</v>
      </c>
      <c r="I2623" s="49">
        <v>3.9999999999999982</v>
      </c>
      <c r="J2623" s="53" t="s">
        <v>30</v>
      </c>
      <c r="K2623" s="51" t="s">
        <v>856</v>
      </c>
      <c r="L2623" s="102">
        <v>1</v>
      </c>
      <c r="M2623" s="19" t="str">
        <f t="shared" si="62"/>
        <v>Apr_2019</v>
      </c>
    </row>
    <row r="2624" spans="1:13">
      <c r="A2624" s="45" t="s">
        <v>11</v>
      </c>
      <c r="B2624" s="52" t="s">
        <v>684</v>
      </c>
      <c r="C2624" s="46">
        <v>43584</v>
      </c>
      <c r="D2624" s="47" t="s">
        <v>16</v>
      </c>
      <c r="E2624" s="48">
        <v>0.72916666666666674</v>
      </c>
      <c r="F2624" s="48">
        <v>0.89583333333333337</v>
      </c>
      <c r="G2624" s="49">
        <v>8.0000000000000036</v>
      </c>
      <c r="H2624" s="49">
        <v>3.9999999999999982</v>
      </c>
      <c r="I2624" s="49">
        <v>3.9999999999999982</v>
      </c>
      <c r="J2624" s="53" t="s">
        <v>30</v>
      </c>
      <c r="K2624" s="51" t="s">
        <v>856</v>
      </c>
      <c r="L2624" s="102">
        <v>1</v>
      </c>
      <c r="M2624" s="19" t="str">
        <f t="shared" ref="M2624:M2628" si="63">IF($C2624="","",TEXT(DATE(YEAR($C2624),MONTH($C2624),DAY($C2624)),"MMM")&amp;"_"&amp;YEAR($C2624))</f>
        <v>Apr_2019</v>
      </c>
    </row>
    <row r="2625" spans="1:13">
      <c r="A2625" s="45" t="s">
        <v>11</v>
      </c>
      <c r="B2625" s="52" t="s">
        <v>779</v>
      </c>
      <c r="C2625" s="46">
        <v>43584</v>
      </c>
      <c r="D2625" s="47" t="s">
        <v>16</v>
      </c>
      <c r="E2625" s="48">
        <v>0.72916666666666674</v>
      </c>
      <c r="F2625" s="48">
        <v>0.89583333333333337</v>
      </c>
      <c r="G2625" s="49">
        <v>8.0000000000000036</v>
      </c>
      <c r="H2625" s="49">
        <v>3.9999999999999982</v>
      </c>
      <c r="I2625" s="49">
        <v>3.9999999999999982</v>
      </c>
      <c r="J2625" s="53" t="s">
        <v>30</v>
      </c>
      <c r="K2625" s="51" t="s">
        <v>856</v>
      </c>
      <c r="L2625" s="102">
        <v>1</v>
      </c>
      <c r="M2625" s="19" t="str">
        <f t="shared" si="63"/>
        <v>Apr_2019</v>
      </c>
    </row>
    <row r="2626" spans="1:13">
      <c r="A2626" s="45" t="s">
        <v>11</v>
      </c>
      <c r="B2626" s="52" t="s">
        <v>811</v>
      </c>
      <c r="C2626" s="46">
        <v>43584</v>
      </c>
      <c r="D2626" s="47" t="s">
        <v>16</v>
      </c>
      <c r="E2626" s="48">
        <v>0.72916666666666674</v>
      </c>
      <c r="F2626" s="48">
        <v>0.89583333333333337</v>
      </c>
      <c r="G2626" s="49">
        <v>8.0000000000000036</v>
      </c>
      <c r="H2626" s="49">
        <v>3.9999999999999982</v>
      </c>
      <c r="I2626" s="49">
        <v>3.9999999999999982</v>
      </c>
      <c r="J2626" s="53" t="s">
        <v>30</v>
      </c>
      <c r="K2626" s="51" t="s">
        <v>856</v>
      </c>
      <c r="L2626" s="102">
        <v>1</v>
      </c>
      <c r="M2626" s="19" t="str">
        <f t="shared" si="63"/>
        <v>Apr_2019</v>
      </c>
    </row>
    <row r="2627" spans="1:13">
      <c r="A2627" s="45" t="s">
        <v>22</v>
      </c>
      <c r="B2627" s="52" t="s">
        <v>662</v>
      </c>
      <c r="C2627" s="46">
        <v>43584</v>
      </c>
      <c r="D2627" s="47" t="s">
        <v>16</v>
      </c>
      <c r="E2627" s="48">
        <v>0.35416666666666669</v>
      </c>
      <c r="F2627" s="48">
        <v>0.89583333333333337</v>
      </c>
      <c r="G2627" s="49">
        <v>0</v>
      </c>
      <c r="H2627" s="49">
        <v>12.000000000000002</v>
      </c>
      <c r="I2627" s="49">
        <v>4</v>
      </c>
      <c r="J2627" s="53" t="s">
        <v>30</v>
      </c>
      <c r="K2627" s="51" t="s">
        <v>856</v>
      </c>
      <c r="L2627" s="102" t="s">
        <v>281</v>
      </c>
      <c r="M2627" s="19" t="str">
        <f t="shared" si="63"/>
        <v>Apr_2019</v>
      </c>
    </row>
    <row r="2628" spans="1:13">
      <c r="A2628" s="45" t="s">
        <v>22</v>
      </c>
      <c r="B2628" s="52" t="s">
        <v>26</v>
      </c>
      <c r="C2628" s="46">
        <v>43584</v>
      </c>
      <c r="D2628" s="47" t="s">
        <v>16</v>
      </c>
      <c r="E2628" s="48">
        <v>0.35416666666666669</v>
      </c>
      <c r="F2628" s="48">
        <v>0.89583333333333337</v>
      </c>
      <c r="G2628" s="49">
        <v>0</v>
      </c>
      <c r="H2628" s="49">
        <v>12.000000000000002</v>
      </c>
      <c r="I2628" s="49">
        <v>4</v>
      </c>
      <c r="J2628" s="53" t="s">
        <v>30</v>
      </c>
      <c r="K2628" s="51" t="s">
        <v>856</v>
      </c>
      <c r="L2628" s="102" t="s">
        <v>281</v>
      </c>
      <c r="M2628" s="19" t="str">
        <f t="shared" si="63"/>
        <v>Apr_2019</v>
      </c>
    </row>
    <row r="2629" spans="1:13">
      <c r="A2629" s="45" t="s">
        <v>11</v>
      </c>
      <c r="B2629" s="52" t="s">
        <v>19</v>
      </c>
      <c r="C2629" s="46">
        <v>43587</v>
      </c>
      <c r="D2629" s="47" t="s">
        <v>25</v>
      </c>
      <c r="E2629" s="48">
        <v>0.72916666666666674</v>
      </c>
      <c r="F2629" s="48">
        <v>0.89583333333333337</v>
      </c>
      <c r="G2629" s="49">
        <v>8.0000000000000036</v>
      </c>
      <c r="H2629" s="49">
        <v>3.9999999999999982</v>
      </c>
      <c r="I2629" s="49">
        <v>3.9999999999999982</v>
      </c>
      <c r="J2629" s="53" t="s">
        <v>30</v>
      </c>
      <c r="K2629" s="51" t="s">
        <v>857</v>
      </c>
      <c r="L2629" s="102">
        <v>1</v>
      </c>
      <c r="M2629" s="19" t="str">
        <f>IF($C2629="","",TEXT(DATE(YEAR($C2629),MONTH($C2629),DAY($C2629)),"MMM")&amp;"_"&amp;YEAR($C2629))</f>
        <v>May_2019</v>
      </c>
    </row>
    <row r="2630" spans="1:13">
      <c r="A2630" s="45" t="s">
        <v>11</v>
      </c>
      <c r="B2630" s="52" t="s">
        <v>149</v>
      </c>
      <c r="C2630" s="46">
        <v>43587</v>
      </c>
      <c r="D2630" s="47" t="s">
        <v>25</v>
      </c>
      <c r="E2630" s="48">
        <v>0.72916666666666674</v>
      </c>
      <c r="F2630" s="48">
        <v>0.89583333333333337</v>
      </c>
      <c r="G2630" s="49">
        <v>8.0000000000000036</v>
      </c>
      <c r="H2630" s="49">
        <v>3.9999999999999982</v>
      </c>
      <c r="I2630" s="49">
        <v>3.9999999999999982</v>
      </c>
      <c r="J2630" s="53" t="s">
        <v>30</v>
      </c>
      <c r="K2630" s="51" t="s">
        <v>857</v>
      </c>
      <c r="L2630" s="102">
        <v>1</v>
      </c>
      <c r="M2630" s="19" t="str">
        <f t="shared" ref="M2630:M2689" si="64">IF($C2630="","",TEXT(DATE(YEAR($C2630),MONTH($C2630),DAY($C2630)),"MMM")&amp;"_"&amp;YEAR($C2630))</f>
        <v>May_2019</v>
      </c>
    </row>
    <row r="2631" spans="1:13">
      <c r="A2631" s="45" t="s">
        <v>11</v>
      </c>
      <c r="B2631" s="52" t="s">
        <v>161</v>
      </c>
      <c r="C2631" s="46">
        <v>43587</v>
      </c>
      <c r="D2631" s="47" t="s">
        <v>25</v>
      </c>
      <c r="E2631" s="48">
        <v>0.64583333333333326</v>
      </c>
      <c r="F2631" s="48">
        <v>0.8125</v>
      </c>
      <c r="G2631" s="49">
        <v>8.0000000000000036</v>
      </c>
      <c r="H2631" s="49">
        <v>3.9999999999999982</v>
      </c>
      <c r="I2631" s="49">
        <v>3.9999999999999982</v>
      </c>
      <c r="J2631" s="53" t="s">
        <v>30</v>
      </c>
      <c r="K2631" s="51" t="s">
        <v>857</v>
      </c>
      <c r="L2631" s="102">
        <v>1</v>
      </c>
      <c r="M2631" s="19" t="str">
        <f t="shared" si="64"/>
        <v>May_2019</v>
      </c>
    </row>
    <row r="2632" spans="1:13">
      <c r="A2632" s="45" t="s">
        <v>11</v>
      </c>
      <c r="B2632" s="52" t="s">
        <v>542</v>
      </c>
      <c r="C2632" s="46">
        <v>43587</v>
      </c>
      <c r="D2632" s="47" t="s">
        <v>25</v>
      </c>
      <c r="E2632" s="48">
        <v>0.72916666666666674</v>
      </c>
      <c r="F2632" s="48">
        <v>0.89583333333333337</v>
      </c>
      <c r="G2632" s="49">
        <v>8.0000000000000036</v>
      </c>
      <c r="H2632" s="49">
        <v>3.9999999999999982</v>
      </c>
      <c r="I2632" s="49">
        <v>3.9999999999999982</v>
      </c>
      <c r="J2632" s="53" t="s">
        <v>30</v>
      </c>
      <c r="K2632" s="51" t="s">
        <v>857</v>
      </c>
      <c r="L2632" s="102">
        <v>1</v>
      </c>
      <c r="M2632" s="19" t="str">
        <f t="shared" si="64"/>
        <v>May_2019</v>
      </c>
    </row>
    <row r="2633" spans="1:13">
      <c r="A2633" s="45" t="s">
        <v>11</v>
      </c>
      <c r="B2633" s="52" t="s">
        <v>547</v>
      </c>
      <c r="C2633" s="46">
        <v>43587</v>
      </c>
      <c r="D2633" s="47" t="s">
        <v>25</v>
      </c>
      <c r="E2633" s="48">
        <v>0.72916666666666674</v>
      </c>
      <c r="F2633" s="48">
        <v>0.89583333333333337</v>
      </c>
      <c r="G2633" s="49">
        <v>8.0000000000000036</v>
      </c>
      <c r="H2633" s="49">
        <v>3.9999999999999982</v>
      </c>
      <c r="I2633" s="49">
        <v>3.9999999999999982</v>
      </c>
      <c r="J2633" s="53" t="s">
        <v>30</v>
      </c>
      <c r="K2633" s="51" t="s">
        <v>857</v>
      </c>
      <c r="L2633" s="102">
        <v>1</v>
      </c>
      <c r="M2633" s="19" t="str">
        <f t="shared" si="64"/>
        <v>May_2019</v>
      </c>
    </row>
    <row r="2634" spans="1:13">
      <c r="A2634" s="45" t="s">
        <v>11</v>
      </c>
      <c r="B2634" s="52" t="s">
        <v>684</v>
      </c>
      <c r="C2634" s="46">
        <v>43587</v>
      </c>
      <c r="D2634" s="47" t="s">
        <v>25</v>
      </c>
      <c r="E2634" s="48">
        <v>0.72916666666666674</v>
      </c>
      <c r="F2634" s="48">
        <v>0.89583333333333337</v>
      </c>
      <c r="G2634" s="49">
        <v>8.0000000000000036</v>
      </c>
      <c r="H2634" s="49">
        <v>3.9999999999999982</v>
      </c>
      <c r="I2634" s="49">
        <v>3.9999999999999982</v>
      </c>
      <c r="J2634" s="53" t="s">
        <v>30</v>
      </c>
      <c r="K2634" s="51" t="s">
        <v>857</v>
      </c>
      <c r="L2634" s="102">
        <v>1</v>
      </c>
      <c r="M2634" s="19" t="str">
        <f t="shared" si="64"/>
        <v>May_2019</v>
      </c>
    </row>
    <row r="2635" spans="1:13">
      <c r="A2635" s="45" t="s">
        <v>11</v>
      </c>
      <c r="B2635" s="52" t="s">
        <v>779</v>
      </c>
      <c r="C2635" s="46">
        <v>43587</v>
      </c>
      <c r="D2635" s="47" t="s">
        <v>25</v>
      </c>
      <c r="E2635" s="48">
        <v>0.72916666666666674</v>
      </c>
      <c r="F2635" s="48">
        <v>0.89583333333333337</v>
      </c>
      <c r="G2635" s="49">
        <v>8.0000000000000036</v>
      </c>
      <c r="H2635" s="49">
        <v>3.9999999999999982</v>
      </c>
      <c r="I2635" s="49">
        <v>3.9999999999999982</v>
      </c>
      <c r="J2635" s="53" t="s">
        <v>30</v>
      </c>
      <c r="K2635" s="51" t="s">
        <v>857</v>
      </c>
      <c r="L2635" s="102">
        <v>1</v>
      </c>
      <c r="M2635" s="19" t="str">
        <f t="shared" si="64"/>
        <v>May_2019</v>
      </c>
    </row>
    <row r="2636" spans="1:13">
      <c r="A2636" s="45" t="s">
        <v>11</v>
      </c>
      <c r="B2636" s="52" t="s">
        <v>811</v>
      </c>
      <c r="C2636" s="46">
        <v>43587</v>
      </c>
      <c r="D2636" s="47" t="s">
        <v>25</v>
      </c>
      <c r="E2636" s="48">
        <v>0.72916666666666674</v>
      </c>
      <c r="F2636" s="48">
        <v>0.89583333333333337</v>
      </c>
      <c r="G2636" s="49">
        <v>8.0000000000000036</v>
      </c>
      <c r="H2636" s="49">
        <v>3.9999999999999982</v>
      </c>
      <c r="I2636" s="49">
        <v>3.9999999999999982</v>
      </c>
      <c r="J2636" s="53" t="s">
        <v>30</v>
      </c>
      <c r="K2636" s="51" t="s">
        <v>857</v>
      </c>
      <c r="L2636" s="102">
        <v>1</v>
      </c>
      <c r="M2636" s="19" t="str">
        <f t="shared" si="64"/>
        <v>May_2019</v>
      </c>
    </row>
    <row r="2637" spans="1:13">
      <c r="A2637" s="45" t="s">
        <v>22</v>
      </c>
      <c r="B2637" s="52" t="s">
        <v>662</v>
      </c>
      <c r="C2637" s="46">
        <v>43587</v>
      </c>
      <c r="D2637" s="47" t="s">
        <v>25</v>
      </c>
      <c r="E2637" s="48">
        <v>0.35416666666666669</v>
      </c>
      <c r="F2637" s="48">
        <v>0.89583333333333337</v>
      </c>
      <c r="G2637" s="49">
        <v>0</v>
      </c>
      <c r="H2637" s="49">
        <v>12.000000000000002</v>
      </c>
      <c r="I2637" s="49">
        <v>12.000000000000002</v>
      </c>
      <c r="J2637" s="53" t="s">
        <v>30</v>
      </c>
      <c r="K2637" s="51" t="s">
        <v>857</v>
      </c>
      <c r="L2637" s="102" t="s">
        <v>281</v>
      </c>
      <c r="M2637" s="19" t="str">
        <f t="shared" si="64"/>
        <v>May_2019</v>
      </c>
    </row>
    <row r="2638" spans="1:13">
      <c r="A2638" s="45" t="s">
        <v>22</v>
      </c>
      <c r="B2638" s="52" t="s">
        <v>801</v>
      </c>
      <c r="C2638" s="46">
        <v>43587</v>
      </c>
      <c r="D2638" s="47" t="s">
        <v>25</v>
      </c>
      <c r="E2638" s="48">
        <v>0.35416666666666669</v>
      </c>
      <c r="F2638" s="48">
        <v>0.8125</v>
      </c>
      <c r="G2638" s="49">
        <v>0</v>
      </c>
      <c r="H2638" s="49">
        <v>10</v>
      </c>
      <c r="I2638" s="49">
        <v>10</v>
      </c>
      <c r="J2638" s="53" t="s">
        <v>30</v>
      </c>
      <c r="K2638" s="51" t="s">
        <v>857</v>
      </c>
      <c r="L2638" s="102" t="s">
        <v>281</v>
      </c>
      <c r="M2638" s="19" t="str">
        <f t="shared" si="64"/>
        <v>May_2019</v>
      </c>
    </row>
    <row r="2639" spans="1:13">
      <c r="A2639" s="45" t="s">
        <v>11</v>
      </c>
      <c r="B2639" s="52" t="s">
        <v>19</v>
      </c>
      <c r="C2639" s="46">
        <v>43588</v>
      </c>
      <c r="D2639" s="47" t="s">
        <v>17</v>
      </c>
      <c r="E2639" s="48">
        <v>0.72916666666666674</v>
      </c>
      <c r="F2639" s="48">
        <v>0.91666666666666663</v>
      </c>
      <c r="G2639" s="49">
        <v>8.0000000000000036</v>
      </c>
      <c r="H2639" s="49">
        <v>4.4999999999999964</v>
      </c>
      <c r="I2639" s="49">
        <v>4.4999999999999964</v>
      </c>
      <c r="J2639" s="53" t="s">
        <v>30</v>
      </c>
      <c r="K2639" s="51" t="s">
        <v>858</v>
      </c>
      <c r="L2639" s="102">
        <v>1</v>
      </c>
      <c r="M2639" s="19" t="str">
        <f t="shared" si="64"/>
        <v>May_2019</v>
      </c>
    </row>
    <row r="2640" spans="1:13">
      <c r="A2640" s="45" t="s">
        <v>11</v>
      </c>
      <c r="B2640" s="52" t="s">
        <v>149</v>
      </c>
      <c r="C2640" s="46">
        <v>43588</v>
      </c>
      <c r="D2640" s="47" t="s">
        <v>17</v>
      </c>
      <c r="E2640" s="48">
        <v>0.72916666666666674</v>
      </c>
      <c r="F2640" s="48">
        <v>0.91666666666666663</v>
      </c>
      <c r="G2640" s="49">
        <v>8.0000000000000036</v>
      </c>
      <c r="H2640" s="49">
        <v>4.4999999999999964</v>
      </c>
      <c r="I2640" s="49">
        <v>4.4999999999999964</v>
      </c>
      <c r="J2640" s="53" t="s">
        <v>30</v>
      </c>
      <c r="K2640" s="51" t="s">
        <v>858</v>
      </c>
      <c r="L2640" s="102">
        <v>1</v>
      </c>
      <c r="M2640" s="19" t="str">
        <f t="shared" si="64"/>
        <v>May_2019</v>
      </c>
    </row>
    <row r="2641" spans="1:13">
      <c r="A2641" s="45" t="s">
        <v>11</v>
      </c>
      <c r="B2641" s="52" t="s">
        <v>161</v>
      </c>
      <c r="C2641" s="46">
        <v>43588</v>
      </c>
      <c r="D2641" s="47" t="s">
        <v>17</v>
      </c>
      <c r="E2641" s="48">
        <v>0.72916666666666674</v>
      </c>
      <c r="F2641" s="48">
        <v>0.91666666666666663</v>
      </c>
      <c r="G2641" s="49">
        <v>8.0000000000000036</v>
      </c>
      <c r="H2641" s="49">
        <v>4.4999999999999964</v>
      </c>
      <c r="I2641" s="49">
        <v>4.4999999999999964</v>
      </c>
      <c r="J2641" s="53" t="s">
        <v>30</v>
      </c>
      <c r="K2641" s="51" t="s">
        <v>858</v>
      </c>
      <c r="L2641" s="102">
        <v>1</v>
      </c>
      <c r="M2641" s="19" t="str">
        <f t="shared" si="64"/>
        <v>May_2019</v>
      </c>
    </row>
    <row r="2642" spans="1:13">
      <c r="A2642" s="45" t="s">
        <v>11</v>
      </c>
      <c r="B2642" s="52" t="s">
        <v>542</v>
      </c>
      <c r="C2642" s="46">
        <v>43588</v>
      </c>
      <c r="D2642" s="47" t="s">
        <v>17</v>
      </c>
      <c r="E2642" s="48">
        <v>0.72916666666666674</v>
      </c>
      <c r="F2642" s="48">
        <v>0.91666666666666663</v>
      </c>
      <c r="G2642" s="49">
        <v>8.0000000000000036</v>
      </c>
      <c r="H2642" s="49">
        <v>4.4999999999999964</v>
      </c>
      <c r="I2642" s="49">
        <v>4.4999999999999964</v>
      </c>
      <c r="J2642" s="53" t="s">
        <v>30</v>
      </c>
      <c r="K2642" s="51" t="s">
        <v>858</v>
      </c>
      <c r="L2642" s="102">
        <v>1</v>
      </c>
      <c r="M2642" s="19" t="str">
        <f t="shared" si="64"/>
        <v>May_2019</v>
      </c>
    </row>
    <row r="2643" spans="1:13">
      <c r="A2643" s="45" t="s">
        <v>11</v>
      </c>
      <c r="B2643" s="52" t="s">
        <v>547</v>
      </c>
      <c r="C2643" s="46">
        <v>43588</v>
      </c>
      <c r="D2643" s="47" t="s">
        <v>17</v>
      </c>
      <c r="E2643" s="48">
        <v>0.72916666666666674</v>
      </c>
      <c r="F2643" s="48">
        <v>0.91666666666666663</v>
      </c>
      <c r="G2643" s="49">
        <v>8.0000000000000036</v>
      </c>
      <c r="H2643" s="49">
        <v>4.4999999999999964</v>
      </c>
      <c r="I2643" s="49">
        <v>4.4999999999999964</v>
      </c>
      <c r="J2643" s="53" t="s">
        <v>30</v>
      </c>
      <c r="K2643" s="51" t="s">
        <v>858</v>
      </c>
      <c r="L2643" s="102">
        <v>1</v>
      </c>
      <c r="M2643" s="19" t="str">
        <f t="shared" si="64"/>
        <v>May_2019</v>
      </c>
    </row>
    <row r="2644" spans="1:13">
      <c r="A2644" s="45" t="s">
        <v>11</v>
      </c>
      <c r="B2644" s="52" t="s">
        <v>684</v>
      </c>
      <c r="C2644" s="46">
        <v>43588</v>
      </c>
      <c r="D2644" s="47" t="s">
        <v>17</v>
      </c>
      <c r="E2644" s="48">
        <v>0.64583333333333326</v>
      </c>
      <c r="F2644" s="48">
        <v>0.8125</v>
      </c>
      <c r="G2644" s="49">
        <v>8.0000000000000036</v>
      </c>
      <c r="H2644" s="49">
        <v>3.9999999999999982</v>
      </c>
      <c r="I2644" s="49">
        <v>3.9999999999999982</v>
      </c>
      <c r="J2644" s="53" t="s">
        <v>30</v>
      </c>
      <c r="K2644" s="51" t="s">
        <v>858</v>
      </c>
      <c r="L2644" s="102">
        <v>1</v>
      </c>
      <c r="M2644" s="19" t="str">
        <f t="shared" si="64"/>
        <v>May_2019</v>
      </c>
    </row>
    <row r="2645" spans="1:13">
      <c r="A2645" s="45" t="s">
        <v>11</v>
      </c>
      <c r="B2645" s="52" t="s">
        <v>779</v>
      </c>
      <c r="C2645" s="46">
        <v>43588</v>
      </c>
      <c r="D2645" s="47" t="s">
        <v>17</v>
      </c>
      <c r="E2645" s="48">
        <v>0.72916666666666674</v>
      </c>
      <c r="F2645" s="48">
        <v>0.91666666666666663</v>
      </c>
      <c r="G2645" s="49">
        <v>8.0000000000000036</v>
      </c>
      <c r="H2645" s="49">
        <v>4.4999999999999964</v>
      </c>
      <c r="I2645" s="49">
        <v>4.4999999999999964</v>
      </c>
      <c r="J2645" s="53" t="s">
        <v>30</v>
      </c>
      <c r="K2645" s="51" t="s">
        <v>858</v>
      </c>
      <c r="L2645" s="102">
        <v>1</v>
      </c>
      <c r="M2645" s="19" t="str">
        <f t="shared" si="64"/>
        <v>May_2019</v>
      </c>
    </row>
    <row r="2646" spans="1:13">
      <c r="A2646" s="45" t="s">
        <v>11</v>
      </c>
      <c r="B2646" s="52" t="s">
        <v>811</v>
      </c>
      <c r="C2646" s="46">
        <v>43588</v>
      </c>
      <c r="D2646" s="47" t="s">
        <v>17</v>
      </c>
      <c r="E2646" s="48">
        <v>0.72916666666666674</v>
      </c>
      <c r="F2646" s="48">
        <v>0.91666666666666663</v>
      </c>
      <c r="G2646" s="49">
        <v>8.0000000000000036</v>
      </c>
      <c r="H2646" s="49">
        <v>4.4999999999999964</v>
      </c>
      <c r="I2646" s="49">
        <v>4.4999999999999964</v>
      </c>
      <c r="J2646" s="53" t="s">
        <v>30</v>
      </c>
      <c r="K2646" s="51" t="s">
        <v>858</v>
      </c>
      <c r="L2646" s="102">
        <v>1</v>
      </c>
      <c r="M2646" s="19" t="str">
        <f t="shared" si="64"/>
        <v>May_2019</v>
      </c>
    </row>
    <row r="2647" spans="1:13">
      <c r="A2647" s="45" t="s">
        <v>22</v>
      </c>
      <c r="B2647" s="52" t="s">
        <v>662</v>
      </c>
      <c r="C2647" s="46">
        <v>43588</v>
      </c>
      <c r="D2647" s="47" t="s">
        <v>17</v>
      </c>
      <c r="E2647" s="48">
        <v>0.35416666666666669</v>
      </c>
      <c r="F2647" s="48">
        <v>0.91666666666666663</v>
      </c>
      <c r="G2647" s="49">
        <v>0</v>
      </c>
      <c r="H2647" s="49">
        <v>12.5</v>
      </c>
      <c r="I2647" s="49">
        <v>12.5</v>
      </c>
      <c r="J2647" s="53" t="s">
        <v>30</v>
      </c>
      <c r="K2647" s="51" t="s">
        <v>858</v>
      </c>
      <c r="L2647" s="102" t="s">
        <v>281</v>
      </c>
      <c r="M2647" s="19" t="str">
        <f t="shared" si="64"/>
        <v>May_2019</v>
      </c>
    </row>
    <row r="2648" spans="1:13">
      <c r="A2648" s="45" t="s">
        <v>22</v>
      </c>
      <c r="B2648" s="52" t="s">
        <v>26</v>
      </c>
      <c r="C2648" s="46">
        <v>43588</v>
      </c>
      <c r="D2648" s="47" t="s">
        <v>17</v>
      </c>
      <c r="E2648" s="48">
        <v>0.35416666666666669</v>
      </c>
      <c r="F2648" s="48">
        <v>0.83333333333333337</v>
      </c>
      <c r="G2648" s="49">
        <v>0</v>
      </c>
      <c r="H2648" s="49">
        <v>10.5</v>
      </c>
      <c r="I2648" s="49">
        <v>10.5</v>
      </c>
      <c r="J2648" s="53" t="s">
        <v>30</v>
      </c>
      <c r="K2648" s="51" t="s">
        <v>858</v>
      </c>
      <c r="L2648" s="102" t="s">
        <v>281</v>
      </c>
      <c r="M2648" s="19" t="str">
        <f t="shared" si="64"/>
        <v>May_2019</v>
      </c>
    </row>
    <row r="2649" spans="1:13">
      <c r="A2649" s="45" t="s">
        <v>22</v>
      </c>
      <c r="B2649" s="52" t="s">
        <v>78</v>
      </c>
      <c r="C2649" s="46">
        <v>43588</v>
      </c>
      <c r="D2649" s="47" t="s">
        <v>17</v>
      </c>
      <c r="E2649" s="48">
        <v>0.35416666666666669</v>
      </c>
      <c r="F2649" s="48">
        <v>0.91666666666666663</v>
      </c>
      <c r="G2649" s="49">
        <v>0</v>
      </c>
      <c r="H2649" s="49">
        <v>12.5</v>
      </c>
      <c r="I2649" s="49">
        <v>12.5</v>
      </c>
      <c r="J2649" s="53" t="s">
        <v>30</v>
      </c>
      <c r="K2649" s="51" t="s">
        <v>858</v>
      </c>
      <c r="L2649" s="102" t="s">
        <v>281</v>
      </c>
      <c r="M2649" s="19" t="str">
        <f t="shared" si="64"/>
        <v>May_2019</v>
      </c>
    </row>
    <row r="2650" spans="1:13">
      <c r="A2650" s="45" t="s">
        <v>22</v>
      </c>
      <c r="B2650" s="52" t="s">
        <v>26</v>
      </c>
      <c r="C2650" s="46">
        <v>43591</v>
      </c>
      <c r="D2650" s="47" t="s">
        <v>16</v>
      </c>
      <c r="E2650" s="48">
        <v>0.35416666666666669</v>
      </c>
      <c r="F2650" s="48">
        <v>0.72916666666666663</v>
      </c>
      <c r="G2650" s="49">
        <v>0</v>
      </c>
      <c r="H2650" s="49">
        <v>7.9999999999999982</v>
      </c>
      <c r="I2650" s="49">
        <v>7.9999999999999982</v>
      </c>
      <c r="J2650" s="53" t="s">
        <v>30</v>
      </c>
      <c r="K2650" s="51" t="s">
        <v>859</v>
      </c>
      <c r="L2650" s="102" t="s">
        <v>281</v>
      </c>
      <c r="M2650" s="19" t="str">
        <f t="shared" si="64"/>
        <v>May_2019</v>
      </c>
    </row>
    <row r="2651" spans="1:13">
      <c r="A2651" s="45" t="s">
        <v>22</v>
      </c>
      <c r="B2651" s="52" t="s">
        <v>78</v>
      </c>
      <c r="C2651" s="46">
        <v>43592</v>
      </c>
      <c r="D2651" s="47" t="s">
        <v>14</v>
      </c>
      <c r="E2651" s="48">
        <v>0.35416666666666669</v>
      </c>
      <c r="F2651" s="48">
        <v>0.72916666666666663</v>
      </c>
      <c r="G2651" s="49">
        <v>0</v>
      </c>
      <c r="H2651" s="49">
        <v>7.9999999999999982</v>
      </c>
      <c r="I2651" s="49">
        <v>7.9999999999999982</v>
      </c>
      <c r="J2651" s="53" t="s">
        <v>30</v>
      </c>
      <c r="K2651" s="51" t="s">
        <v>860</v>
      </c>
      <c r="L2651" s="102" t="s">
        <v>281</v>
      </c>
      <c r="M2651" s="19" t="str">
        <f t="shared" si="64"/>
        <v>May_2019</v>
      </c>
    </row>
    <row r="2652" spans="1:13">
      <c r="A2652" s="45" t="s">
        <v>22</v>
      </c>
      <c r="B2652" s="52" t="s">
        <v>26</v>
      </c>
      <c r="C2652" s="46">
        <v>43593</v>
      </c>
      <c r="D2652" s="47" t="s">
        <v>15</v>
      </c>
      <c r="E2652" s="48">
        <v>0.35416666666666669</v>
      </c>
      <c r="F2652" s="48">
        <v>0.72916666666666663</v>
      </c>
      <c r="G2652" s="49">
        <v>0</v>
      </c>
      <c r="H2652" s="49">
        <v>7.9999999999999982</v>
      </c>
      <c r="I2652" s="49">
        <v>7.9999999999999982</v>
      </c>
      <c r="J2652" s="53" t="s">
        <v>30</v>
      </c>
      <c r="K2652" s="51" t="s">
        <v>861</v>
      </c>
      <c r="L2652" s="102" t="s">
        <v>281</v>
      </c>
      <c r="M2652" s="19" t="str">
        <f t="shared" si="64"/>
        <v>May_2019</v>
      </c>
    </row>
    <row r="2653" spans="1:13">
      <c r="A2653" s="45" t="s">
        <v>22</v>
      </c>
      <c r="B2653" s="52" t="s">
        <v>662</v>
      </c>
      <c r="C2653" s="46">
        <v>43594</v>
      </c>
      <c r="D2653" s="47" t="s">
        <v>25</v>
      </c>
      <c r="E2653" s="48">
        <v>0.35416666666666669</v>
      </c>
      <c r="F2653" s="48">
        <v>0.72916666666666663</v>
      </c>
      <c r="G2653" s="49">
        <v>0</v>
      </c>
      <c r="H2653" s="49">
        <v>7.9999999999999982</v>
      </c>
      <c r="I2653" s="49">
        <v>7.9999999999999982</v>
      </c>
      <c r="J2653" s="53" t="s">
        <v>30</v>
      </c>
      <c r="K2653" s="51" t="s">
        <v>862</v>
      </c>
      <c r="L2653" s="102" t="s">
        <v>281</v>
      </c>
      <c r="M2653" s="19" t="str">
        <f t="shared" si="64"/>
        <v>May_2019</v>
      </c>
    </row>
    <row r="2654" spans="1:13">
      <c r="A2654" s="45" t="s">
        <v>22</v>
      </c>
      <c r="B2654" s="52" t="s">
        <v>78</v>
      </c>
      <c r="C2654" s="46">
        <v>43594</v>
      </c>
      <c r="D2654" s="47" t="s">
        <v>25</v>
      </c>
      <c r="E2654" s="48">
        <v>0.35416666666666669</v>
      </c>
      <c r="F2654" s="48">
        <v>0.5</v>
      </c>
      <c r="G2654" s="49">
        <v>0</v>
      </c>
      <c r="H2654" s="49">
        <v>3.4999999999999996</v>
      </c>
      <c r="I2654" s="49">
        <v>3.4999999999999996</v>
      </c>
      <c r="J2654" s="53" t="s">
        <v>30</v>
      </c>
      <c r="K2654" s="51" t="s">
        <v>863</v>
      </c>
      <c r="L2654" s="102" t="s">
        <v>281</v>
      </c>
      <c r="M2654" s="19" t="str">
        <f t="shared" si="64"/>
        <v>May_2019</v>
      </c>
    </row>
    <row r="2655" spans="1:13">
      <c r="A2655" s="45" t="s">
        <v>22</v>
      </c>
      <c r="B2655" s="52" t="s">
        <v>662</v>
      </c>
      <c r="C2655" s="46">
        <v>43595</v>
      </c>
      <c r="D2655" s="47" t="s">
        <v>17</v>
      </c>
      <c r="E2655" s="48">
        <v>0.35416666666666669</v>
      </c>
      <c r="F2655" s="48">
        <v>0.72916666666666663</v>
      </c>
      <c r="G2655" s="49">
        <v>0</v>
      </c>
      <c r="H2655" s="49">
        <v>7.9999999999999982</v>
      </c>
      <c r="I2655" s="49">
        <v>7.9999999999999982</v>
      </c>
      <c r="J2655" s="53" t="s">
        <v>30</v>
      </c>
      <c r="K2655" s="51" t="s">
        <v>864</v>
      </c>
      <c r="L2655" s="102" t="s">
        <v>281</v>
      </c>
      <c r="M2655" s="19" t="str">
        <f t="shared" si="64"/>
        <v>May_2019</v>
      </c>
    </row>
    <row r="2656" spans="1:13">
      <c r="A2656" s="45" t="s">
        <v>22</v>
      </c>
      <c r="B2656" s="52" t="s">
        <v>26</v>
      </c>
      <c r="C2656" s="46">
        <v>43595</v>
      </c>
      <c r="D2656" s="47" t="s">
        <v>17</v>
      </c>
      <c r="E2656" s="48">
        <v>0.35416666666666669</v>
      </c>
      <c r="F2656" s="48">
        <v>0.72916666666666663</v>
      </c>
      <c r="G2656" s="49">
        <v>0</v>
      </c>
      <c r="H2656" s="49">
        <v>7.9999999999999982</v>
      </c>
      <c r="I2656" s="49">
        <v>7.9999999999999982</v>
      </c>
      <c r="J2656" s="53" t="s">
        <v>30</v>
      </c>
      <c r="K2656" s="51" t="s">
        <v>865</v>
      </c>
      <c r="L2656" s="102" t="s">
        <v>281</v>
      </c>
      <c r="M2656" s="19" t="str">
        <f t="shared" si="64"/>
        <v>May_2019</v>
      </c>
    </row>
    <row r="2657" spans="1:13">
      <c r="A2657" s="45" t="s">
        <v>22</v>
      </c>
      <c r="B2657" s="52" t="s">
        <v>662</v>
      </c>
      <c r="C2657" s="46">
        <v>43598</v>
      </c>
      <c r="D2657" s="47" t="s">
        <v>16</v>
      </c>
      <c r="E2657" s="48">
        <v>0.35416666666666669</v>
      </c>
      <c r="F2657" s="48">
        <v>0.72916666666666663</v>
      </c>
      <c r="G2657" s="49">
        <v>0</v>
      </c>
      <c r="H2657" s="49">
        <v>7.9999999999999982</v>
      </c>
      <c r="I2657" s="49">
        <v>7.9999999999999982</v>
      </c>
      <c r="J2657" s="53" t="s">
        <v>30</v>
      </c>
      <c r="K2657" s="51" t="s">
        <v>866</v>
      </c>
      <c r="L2657" s="102" t="s">
        <v>281</v>
      </c>
      <c r="M2657" s="19" t="str">
        <f t="shared" si="64"/>
        <v>May_2019</v>
      </c>
    </row>
    <row r="2658" spans="1:13">
      <c r="A2658" s="45" t="s">
        <v>22</v>
      </c>
      <c r="B2658" s="52" t="s">
        <v>26</v>
      </c>
      <c r="C2658" s="46">
        <v>43598</v>
      </c>
      <c r="D2658" s="47" t="s">
        <v>16</v>
      </c>
      <c r="E2658" s="48">
        <v>0.35416666666666669</v>
      </c>
      <c r="F2658" s="48">
        <v>0.72916666666666663</v>
      </c>
      <c r="G2658" s="49">
        <v>0</v>
      </c>
      <c r="H2658" s="49">
        <v>7.9999999999999982</v>
      </c>
      <c r="I2658" s="49">
        <v>7.9999999999999982</v>
      </c>
      <c r="J2658" s="53" t="s">
        <v>30</v>
      </c>
      <c r="K2658" s="51" t="s">
        <v>867</v>
      </c>
      <c r="L2658" s="102" t="s">
        <v>281</v>
      </c>
      <c r="M2658" s="19" t="str">
        <f t="shared" si="64"/>
        <v>May_2019</v>
      </c>
    </row>
    <row r="2659" spans="1:13">
      <c r="A2659" s="45" t="s">
        <v>22</v>
      </c>
      <c r="B2659" s="52" t="s">
        <v>662</v>
      </c>
      <c r="C2659" s="46">
        <v>43599</v>
      </c>
      <c r="D2659" s="47" t="s">
        <v>14</v>
      </c>
      <c r="E2659" s="48">
        <v>0.35416666666666669</v>
      </c>
      <c r="F2659" s="48">
        <v>0.72916666666666663</v>
      </c>
      <c r="G2659" s="49">
        <v>0</v>
      </c>
      <c r="H2659" s="49">
        <v>7.9999999999999982</v>
      </c>
      <c r="I2659" s="49">
        <v>7.9999999999999982</v>
      </c>
      <c r="J2659" s="53" t="s">
        <v>30</v>
      </c>
      <c r="K2659" s="51" t="s">
        <v>868</v>
      </c>
      <c r="L2659" s="102" t="s">
        <v>281</v>
      </c>
      <c r="M2659" s="19" t="str">
        <f t="shared" si="64"/>
        <v>May_2019</v>
      </c>
    </row>
    <row r="2660" spans="1:13">
      <c r="A2660" s="45" t="s">
        <v>22</v>
      </c>
      <c r="B2660" s="52" t="s">
        <v>26</v>
      </c>
      <c r="C2660" s="46">
        <v>43599</v>
      </c>
      <c r="D2660" s="47" t="s">
        <v>14</v>
      </c>
      <c r="E2660" s="48">
        <v>0.35416666666666669</v>
      </c>
      <c r="F2660" s="48">
        <v>0.72916666666666663</v>
      </c>
      <c r="G2660" s="49">
        <v>0</v>
      </c>
      <c r="H2660" s="49">
        <v>7.9999999999999982</v>
      </c>
      <c r="I2660" s="49">
        <v>7.9999999999999982</v>
      </c>
      <c r="J2660" s="53" t="s">
        <v>30</v>
      </c>
      <c r="K2660" s="51" t="s">
        <v>869</v>
      </c>
      <c r="L2660" s="102" t="s">
        <v>281</v>
      </c>
      <c r="M2660" s="19" t="str">
        <f t="shared" si="64"/>
        <v>May_2019</v>
      </c>
    </row>
    <row r="2661" spans="1:13">
      <c r="A2661" s="45" t="s">
        <v>22</v>
      </c>
      <c r="B2661" s="52" t="s">
        <v>662</v>
      </c>
      <c r="C2661" s="46">
        <v>43600</v>
      </c>
      <c r="D2661" s="47" t="s">
        <v>15</v>
      </c>
      <c r="E2661" s="48">
        <v>0.35416666666666669</v>
      </c>
      <c r="F2661" s="48">
        <v>0.72916666666666663</v>
      </c>
      <c r="G2661" s="49">
        <v>0</v>
      </c>
      <c r="H2661" s="49">
        <v>7.9999999999999982</v>
      </c>
      <c r="I2661" s="49">
        <v>7.9999999999999982</v>
      </c>
      <c r="J2661" s="53" t="s">
        <v>30</v>
      </c>
      <c r="K2661" s="51" t="s">
        <v>870</v>
      </c>
      <c r="L2661" s="102" t="s">
        <v>281</v>
      </c>
      <c r="M2661" s="19" t="str">
        <f t="shared" si="64"/>
        <v>May_2019</v>
      </c>
    </row>
    <row r="2662" spans="1:13">
      <c r="A2662" s="45" t="s">
        <v>22</v>
      </c>
      <c r="B2662" s="52" t="s">
        <v>756</v>
      </c>
      <c r="C2662" s="46">
        <v>43602</v>
      </c>
      <c r="D2662" s="47" t="s">
        <v>17</v>
      </c>
      <c r="E2662" s="48">
        <v>0.4375</v>
      </c>
      <c r="F2662" s="48">
        <v>0.72916666666666663</v>
      </c>
      <c r="G2662" s="49">
        <v>0</v>
      </c>
      <c r="H2662" s="49">
        <v>5.9999999999999991</v>
      </c>
      <c r="I2662" s="49">
        <v>5.9999999999999991</v>
      </c>
      <c r="J2662" s="53" t="s">
        <v>30</v>
      </c>
      <c r="K2662" s="51" t="s">
        <v>871</v>
      </c>
      <c r="L2662" s="102" t="s">
        <v>281</v>
      </c>
      <c r="M2662" s="19" t="str">
        <f t="shared" si="64"/>
        <v>May_2019</v>
      </c>
    </row>
    <row r="2663" spans="1:13">
      <c r="A2663" s="45" t="s">
        <v>22</v>
      </c>
      <c r="B2663" s="52" t="s">
        <v>662</v>
      </c>
      <c r="C2663" s="46">
        <v>43605</v>
      </c>
      <c r="D2663" s="47" t="s">
        <v>16</v>
      </c>
      <c r="E2663" s="48">
        <v>0.35416666666666669</v>
      </c>
      <c r="F2663" s="48">
        <v>0.72916666666666663</v>
      </c>
      <c r="G2663" s="49">
        <v>0</v>
      </c>
      <c r="H2663" s="49">
        <v>7.9999999999999982</v>
      </c>
      <c r="I2663" s="49">
        <v>7.9999999999999982</v>
      </c>
      <c r="J2663" s="53" t="s">
        <v>30</v>
      </c>
      <c r="K2663" s="51" t="s">
        <v>872</v>
      </c>
      <c r="L2663" s="102" t="s">
        <v>281</v>
      </c>
      <c r="M2663" s="19" t="str">
        <f t="shared" si="64"/>
        <v>May_2019</v>
      </c>
    </row>
    <row r="2664" spans="1:13">
      <c r="A2664" s="45" t="s">
        <v>22</v>
      </c>
      <c r="B2664" s="52" t="s">
        <v>26</v>
      </c>
      <c r="C2664" s="46">
        <v>43606</v>
      </c>
      <c r="D2664" s="47" t="s">
        <v>14</v>
      </c>
      <c r="E2664" s="48">
        <v>0.35416666666666669</v>
      </c>
      <c r="F2664" s="48">
        <v>0.72916666666666663</v>
      </c>
      <c r="G2664" s="49">
        <v>0</v>
      </c>
      <c r="H2664" s="49">
        <v>7.9999999999999982</v>
      </c>
      <c r="I2664" s="49">
        <v>7.9999999999999982</v>
      </c>
      <c r="J2664" s="53" t="s">
        <v>30</v>
      </c>
      <c r="K2664" s="51" t="s">
        <v>873</v>
      </c>
      <c r="L2664" s="102" t="s">
        <v>281</v>
      </c>
      <c r="M2664" s="19" t="str">
        <f t="shared" si="64"/>
        <v>May_2019</v>
      </c>
    </row>
    <row r="2665" spans="1:13">
      <c r="A2665" s="45" t="s">
        <v>22</v>
      </c>
      <c r="B2665" s="52" t="s">
        <v>662</v>
      </c>
      <c r="C2665" s="46">
        <v>43607</v>
      </c>
      <c r="D2665" s="47" t="s">
        <v>15</v>
      </c>
      <c r="E2665" s="48">
        <v>0.35416666666666669</v>
      </c>
      <c r="F2665" s="48">
        <v>0.72916666666666663</v>
      </c>
      <c r="G2665" s="49">
        <v>0</v>
      </c>
      <c r="H2665" s="49">
        <v>7.9999999999999982</v>
      </c>
      <c r="I2665" s="49">
        <v>7.9999999999999982</v>
      </c>
      <c r="J2665" s="53" t="s">
        <v>30</v>
      </c>
      <c r="K2665" s="51" t="s">
        <v>874</v>
      </c>
      <c r="L2665" s="102" t="s">
        <v>281</v>
      </c>
      <c r="M2665" s="19" t="str">
        <f t="shared" si="64"/>
        <v>May_2019</v>
      </c>
    </row>
    <row r="2666" spans="1:13">
      <c r="A2666" s="45" t="s">
        <v>22</v>
      </c>
      <c r="B2666" s="52" t="s">
        <v>662</v>
      </c>
      <c r="C2666" s="46">
        <v>43608</v>
      </c>
      <c r="D2666" s="47" t="s">
        <v>25</v>
      </c>
      <c r="E2666" s="48">
        <v>0.35416666666666669</v>
      </c>
      <c r="F2666" s="48">
        <v>0.72916666666666663</v>
      </c>
      <c r="G2666" s="49">
        <v>0</v>
      </c>
      <c r="H2666" s="49">
        <v>7.9999999999999982</v>
      </c>
      <c r="I2666" s="49">
        <v>7.9999999999999982</v>
      </c>
      <c r="J2666" s="53" t="s">
        <v>30</v>
      </c>
      <c r="K2666" s="51" t="s">
        <v>875</v>
      </c>
      <c r="L2666" s="102" t="s">
        <v>281</v>
      </c>
      <c r="M2666" s="19" t="str">
        <f t="shared" si="64"/>
        <v>May_2019</v>
      </c>
    </row>
    <row r="2667" spans="1:13">
      <c r="A2667" s="45" t="s">
        <v>22</v>
      </c>
      <c r="B2667" s="52" t="s">
        <v>26</v>
      </c>
      <c r="C2667" s="46">
        <v>43608</v>
      </c>
      <c r="D2667" s="47" t="s">
        <v>25</v>
      </c>
      <c r="E2667" s="48">
        <v>0.35416666666666669</v>
      </c>
      <c r="F2667" s="48">
        <v>0.72916666666666663</v>
      </c>
      <c r="G2667" s="49">
        <v>0</v>
      </c>
      <c r="H2667" s="49">
        <v>7.9999999999999982</v>
      </c>
      <c r="I2667" s="49">
        <v>7.9999999999999982</v>
      </c>
      <c r="J2667" s="53" t="s">
        <v>30</v>
      </c>
      <c r="K2667" s="51" t="s">
        <v>876</v>
      </c>
      <c r="L2667" s="102" t="s">
        <v>281</v>
      </c>
      <c r="M2667" s="19" t="str">
        <f t="shared" si="64"/>
        <v>May_2019</v>
      </c>
    </row>
    <row r="2668" spans="1:13">
      <c r="A2668" s="45" t="s">
        <v>22</v>
      </c>
      <c r="B2668" s="52" t="s">
        <v>662</v>
      </c>
      <c r="C2668" s="46">
        <v>43609</v>
      </c>
      <c r="D2668" s="47" t="s">
        <v>17</v>
      </c>
      <c r="E2668" s="48">
        <v>0.35416666666666669</v>
      </c>
      <c r="F2668" s="48">
        <v>0.72916666666666663</v>
      </c>
      <c r="G2668" s="49">
        <v>0</v>
      </c>
      <c r="H2668" s="49">
        <v>7.9999999999999982</v>
      </c>
      <c r="I2668" s="49">
        <v>7.9999999999999982</v>
      </c>
      <c r="J2668" s="53" t="s">
        <v>30</v>
      </c>
      <c r="K2668" s="51" t="s">
        <v>877</v>
      </c>
      <c r="L2668" s="102" t="s">
        <v>281</v>
      </c>
      <c r="M2668" s="19" t="str">
        <f t="shared" si="64"/>
        <v>May_2019</v>
      </c>
    </row>
    <row r="2669" spans="1:13">
      <c r="A2669" s="45" t="s">
        <v>22</v>
      </c>
      <c r="B2669" s="52" t="s">
        <v>26</v>
      </c>
      <c r="C2669" s="46">
        <v>43609</v>
      </c>
      <c r="D2669" s="47" t="s">
        <v>17</v>
      </c>
      <c r="E2669" s="48">
        <v>0.35416666666666669</v>
      </c>
      <c r="F2669" s="48">
        <v>0.72916666666666663</v>
      </c>
      <c r="G2669" s="49">
        <v>0</v>
      </c>
      <c r="H2669" s="49">
        <v>7.9999999999999982</v>
      </c>
      <c r="I2669" s="49">
        <v>7.9999999999999982</v>
      </c>
      <c r="J2669" s="53" t="s">
        <v>30</v>
      </c>
      <c r="K2669" s="51" t="s">
        <v>878</v>
      </c>
      <c r="L2669" s="102" t="s">
        <v>281</v>
      </c>
      <c r="M2669" s="19" t="str">
        <f t="shared" si="64"/>
        <v>May_2019</v>
      </c>
    </row>
    <row r="2670" spans="1:13">
      <c r="A2670" s="45" t="s">
        <v>22</v>
      </c>
      <c r="B2670" s="52" t="s">
        <v>662</v>
      </c>
      <c r="C2670" s="46">
        <v>43612</v>
      </c>
      <c r="D2670" s="47" t="s">
        <v>16</v>
      </c>
      <c r="E2670" s="48">
        <v>0.35416666666666669</v>
      </c>
      <c r="F2670" s="48">
        <v>0.72916666666666663</v>
      </c>
      <c r="G2670" s="49">
        <v>0</v>
      </c>
      <c r="H2670" s="49">
        <v>7.9999999999999982</v>
      </c>
      <c r="I2670" s="49">
        <v>7.9999999999999982</v>
      </c>
      <c r="J2670" s="53" t="s">
        <v>30</v>
      </c>
      <c r="K2670" s="51" t="s">
        <v>879</v>
      </c>
      <c r="L2670" s="102" t="s">
        <v>281</v>
      </c>
      <c r="M2670" s="19" t="str">
        <f t="shared" si="64"/>
        <v>May_2019</v>
      </c>
    </row>
    <row r="2671" spans="1:13">
      <c r="A2671" s="45" t="s">
        <v>22</v>
      </c>
      <c r="B2671" s="52" t="s">
        <v>756</v>
      </c>
      <c r="C2671" s="46">
        <v>43612</v>
      </c>
      <c r="D2671" s="47" t="s">
        <v>16</v>
      </c>
      <c r="E2671" s="48">
        <v>0.35416666666666669</v>
      </c>
      <c r="F2671" s="48">
        <v>0.72916666666666663</v>
      </c>
      <c r="G2671" s="49">
        <v>0</v>
      </c>
      <c r="H2671" s="49">
        <v>7.9999999999999982</v>
      </c>
      <c r="I2671" s="49">
        <v>7.9999999999999982</v>
      </c>
      <c r="J2671" s="53" t="s">
        <v>30</v>
      </c>
      <c r="K2671" s="51" t="s">
        <v>879</v>
      </c>
      <c r="L2671" s="102" t="s">
        <v>281</v>
      </c>
      <c r="M2671" s="19" t="str">
        <f t="shared" si="64"/>
        <v>May_2019</v>
      </c>
    </row>
    <row r="2672" spans="1:13">
      <c r="A2672" s="45" t="s">
        <v>22</v>
      </c>
      <c r="B2672" s="52" t="s">
        <v>662</v>
      </c>
      <c r="C2672" s="46">
        <v>43613</v>
      </c>
      <c r="D2672" s="47" t="s">
        <v>14</v>
      </c>
      <c r="E2672" s="48">
        <v>0.35416666666666669</v>
      </c>
      <c r="F2672" s="48">
        <v>0.72916666666666663</v>
      </c>
      <c r="G2672" s="49">
        <v>0</v>
      </c>
      <c r="H2672" s="49">
        <v>7.9999999999999982</v>
      </c>
      <c r="I2672" s="49">
        <v>7.9999999999999982</v>
      </c>
      <c r="J2672" s="53" t="s">
        <v>30</v>
      </c>
      <c r="K2672" s="51" t="s">
        <v>880</v>
      </c>
      <c r="L2672" s="102" t="s">
        <v>281</v>
      </c>
      <c r="M2672" s="19" t="str">
        <f t="shared" si="64"/>
        <v>May_2019</v>
      </c>
    </row>
    <row r="2673" spans="1:13">
      <c r="A2673" s="45" t="s">
        <v>22</v>
      </c>
      <c r="B2673" s="52" t="s">
        <v>26</v>
      </c>
      <c r="C2673" s="46">
        <v>43613</v>
      </c>
      <c r="D2673" s="47" t="s">
        <v>14</v>
      </c>
      <c r="E2673" s="48">
        <v>0.39583333333333331</v>
      </c>
      <c r="F2673" s="48">
        <v>0.72916666666666663</v>
      </c>
      <c r="G2673" s="49">
        <v>0</v>
      </c>
      <c r="H2673" s="49">
        <v>7</v>
      </c>
      <c r="I2673" s="49">
        <v>7</v>
      </c>
      <c r="J2673" s="53" t="s">
        <v>30</v>
      </c>
      <c r="K2673" s="51" t="s">
        <v>880</v>
      </c>
      <c r="L2673" s="102" t="s">
        <v>281</v>
      </c>
      <c r="M2673" s="19" t="str">
        <f t="shared" si="64"/>
        <v>May_2019</v>
      </c>
    </row>
    <row r="2674" spans="1:13">
      <c r="A2674" s="45" t="s">
        <v>22</v>
      </c>
      <c r="B2674" s="52" t="s">
        <v>756</v>
      </c>
      <c r="C2674" s="46">
        <v>43613</v>
      </c>
      <c r="D2674" s="47" t="s">
        <v>14</v>
      </c>
      <c r="E2674" s="48">
        <v>0.54166666666666663</v>
      </c>
      <c r="F2674" s="48">
        <v>0.72916666666666663</v>
      </c>
      <c r="G2674" s="49">
        <v>0</v>
      </c>
      <c r="H2674" s="49">
        <v>4.5</v>
      </c>
      <c r="I2674" s="49">
        <v>4.5</v>
      </c>
      <c r="J2674" s="53" t="s">
        <v>30</v>
      </c>
      <c r="K2674" s="51" t="s">
        <v>880</v>
      </c>
      <c r="L2674" s="102" t="s">
        <v>281</v>
      </c>
      <c r="M2674" s="19" t="str">
        <f t="shared" si="64"/>
        <v>May_2019</v>
      </c>
    </row>
    <row r="2675" spans="1:13">
      <c r="A2675" s="45" t="s">
        <v>22</v>
      </c>
      <c r="B2675" s="52" t="s">
        <v>662</v>
      </c>
      <c r="C2675" s="46">
        <v>43614</v>
      </c>
      <c r="D2675" s="47" t="s">
        <v>15</v>
      </c>
      <c r="E2675" s="48">
        <v>0.35416666666666669</v>
      </c>
      <c r="F2675" s="48">
        <v>0.72916666666666663</v>
      </c>
      <c r="G2675" s="49">
        <v>0</v>
      </c>
      <c r="H2675" s="49">
        <v>7.9999999999999982</v>
      </c>
      <c r="I2675" s="49">
        <v>7.9999999999999982</v>
      </c>
      <c r="J2675" s="53" t="s">
        <v>30</v>
      </c>
      <c r="K2675" s="51" t="s">
        <v>881</v>
      </c>
      <c r="L2675" s="102" t="s">
        <v>281</v>
      </c>
      <c r="M2675" s="19" t="str">
        <f t="shared" si="64"/>
        <v>May_2019</v>
      </c>
    </row>
    <row r="2676" spans="1:13">
      <c r="A2676" s="45" t="s">
        <v>22</v>
      </c>
      <c r="B2676" s="52" t="s">
        <v>26</v>
      </c>
      <c r="C2676" s="46">
        <v>43614</v>
      </c>
      <c r="D2676" s="47" t="s">
        <v>15</v>
      </c>
      <c r="E2676" s="48">
        <v>0.35416666666666669</v>
      </c>
      <c r="F2676" s="48">
        <v>0.72916666666666663</v>
      </c>
      <c r="G2676" s="49">
        <v>0</v>
      </c>
      <c r="H2676" s="49">
        <v>7.9999999999999982</v>
      </c>
      <c r="I2676" s="49">
        <v>7.9999999999999982</v>
      </c>
      <c r="J2676" s="53" t="s">
        <v>30</v>
      </c>
      <c r="K2676" s="51" t="s">
        <v>881</v>
      </c>
      <c r="L2676" s="102" t="s">
        <v>281</v>
      </c>
      <c r="M2676" s="19" t="str">
        <f t="shared" si="64"/>
        <v>May_2019</v>
      </c>
    </row>
    <row r="2677" spans="1:13">
      <c r="A2677" s="45" t="s">
        <v>22</v>
      </c>
      <c r="B2677" s="52" t="s">
        <v>756</v>
      </c>
      <c r="C2677" s="46">
        <v>43614</v>
      </c>
      <c r="D2677" s="47" t="s">
        <v>15</v>
      </c>
      <c r="E2677" s="48">
        <v>0.35416666666666669</v>
      </c>
      <c r="F2677" s="48">
        <v>0.72916666666666663</v>
      </c>
      <c r="G2677" s="49">
        <v>0</v>
      </c>
      <c r="H2677" s="49">
        <v>7.9999999999999982</v>
      </c>
      <c r="I2677" s="49">
        <v>7.9999999999999982</v>
      </c>
      <c r="J2677" s="53" t="s">
        <v>30</v>
      </c>
      <c r="K2677" s="51" t="s">
        <v>882</v>
      </c>
      <c r="L2677" s="102" t="s">
        <v>281</v>
      </c>
      <c r="M2677" s="19" t="str">
        <f t="shared" si="64"/>
        <v>May_2019</v>
      </c>
    </row>
    <row r="2678" spans="1:13">
      <c r="A2678" s="45" t="s">
        <v>22</v>
      </c>
      <c r="B2678" s="52" t="s">
        <v>662</v>
      </c>
      <c r="C2678" s="46">
        <v>43615</v>
      </c>
      <c r="D2678" s="47" t="s">
        <v>25</v>
      </c>
      <c r="E2678" s="48">
        <v>0.35416666666666669</v>
      </c>
      <c r="F2678" s="48">
        <v>0.72916666666666663</v>
      </c>
      <c r="G2678" s="49">
        <v>0</v>
      </c>
      <c r="H2678" s="49">
        <v>7.9999999999999982</v>
      </c>
      <c r="I2678" s="49">
        <v>7.9999999999999982</v>
      </c>
      <c r="J2678" s="53" t="s">
        <v>30</v>
      </c>
      <c r="K2678" s="51" t="s">
        <v>883</v>
      </c>
      <c r="L2678" s="102" t="s">
        <v>281</v>
      </c>
      <c r="M2678" s="19" t="str">
        <f t="shared" si="64"/>
        <v>May_2019</v>
      </c>
    </row>
    <row r="2679" spans="1:13">
      <c r="A2679" s="45" t="s">
        <v>22</v>
      </c>
      <c r="B2679" s="52" t="s">
        <v>26</v>
      </c>
      <c r="C2679" s="46">
        <v>43615</v>
      </c>
      <c r="D2679" s="47" t="s">
        <v>25</v>
      </c>
      <c r="E2679" s="48">
        <v>0.35416666666666669</v>
      </c>
      <c r="F2679" s="48">
        <v>0.72916666666666663</v>
      </c>
      <c r="G2679" s="49">
        <v>0</v>
      </c>
      <c r="H2679" s="49">
        <v>7.9999999999999982</v>
      </c>
      <c r="I2679" s="49">
        <v>7.9999999999999982</v>
      </c>
      <c r="J2679" s="53" t="s">
        <v>30</v>
      </c>
      <c r="K2679" s="51" t="s">
        <v>883</v>
      </c>
      <c r="L2679" s="102" t="s">
        <v>281</v>
      </c>
      <c r="M2679" s="19" t="str">
        <f t="shared" si="64"/>
        <v>May_2019</v>
      </c>
    </row>
    <row r="2680" spans="1:13">
      <c r="A2680" s="45" t="s">
        <v>11</v>
      </c>
      <c r="B2680" s="52" t="s">
        <v>19</v>
      </c>
      <c r="C2680" s="46">
        <v>43616</v>
      </c>
      <c r="D2680" s="47" t="s">
        <v>17</v>
      </c>
      <c r="E2680" s="48">
        <v>0.6875</v>
      </c>
      <c r="F2680" s="48">
        <v>0.85416666666666663</v>
      </c>
      <c r="G2680" s="49">
        <v>8.0000000000000036</v>
      </c>
      <c r="H2680" s="49">
        <v>3.9999999999999964</v>
      </c>
      <c r="I2680" s="49">
        <v>3.9999999999999964</v>
      </c>
      <c r="J2680" s="53" t="s">
        <v>30</v>
      </c>
      <c r="K2680" s="51" t="s">
        <v>884</v>
      </c>
      <c r="L2680" s="102">
        <v>1</v>
      </c>
      <c r="M2680" s="19" t="str">
        <f t="shared" si="64"/>
        <v>May_2019</v>
      </c>
    </row>
    <row r="2681" spans="1:13">
      <c r="A2681" s="45" t="s">
        <v>11</v>
      </c>
      <c r="B2681" s="52" t="s">
        <v>149</v>
      </c>
      <c r="C2681" s="46">
        <v>43616</v>
      </c>
      <c r="D2681" s="47" t="s">
        <v>17</v>
      </c>
      <c r="E2681" s="48">
        <v>0.72916666666666674</v>
      </c>
      <c r="F2681" s="48">
        <v>0.91666666666666663</v>
      </c>
      <c r="G2681" s="49">
        <v>8.0000000000000036</v>
      </c>
      <c r="H2681" s="49">
        <v>4.4999999999999964</v>
      </c>
      <c r="I2681" s="49">
        <v>4.4999999999999964</v>
      </c>
      <c r="J2681" s="53" t="s">
        <v>30</v>
      </c>
      <c r="K2681" s="51" t="s">
        <v>884</v>
      </c>
      <c r="L2681" s="102">
        <v>1</v>
      </c>
      <c r="M2681" s="19" t="str">
        <f t="shared" si="64"/>
        <v>May_2019</v>
      </c>
    </row>
    <row r="2682" spans="1:13">
      <c r="A2682" s="45" t="s">
        <v>11</v>
      </c>
      <c r="B2682" s="52" t="s">
        <v>161</v>
      </c>
      <c r="C2682" s="46">
        <v>43616</v>
      </c>
      <c r="D2682" s="47" t="s">
        <v>17</v>
      </c>
      <c r="E2682" s="48">
        <v>0.72916666666666674</v>
      </c>
      <c r="F2682" s="48">
        <v>0.91666666666666663</v>
      </c>
      <c r="G2682" s="49">
        <v>8.0000000000000036</v>
      </c>
      <c r="H2682" s="49">
        <v>4.4999999999999964</v>
      </c>
      <c r="I2682" s="49">
        <v>4.4999999999999964</v>
      </c>
      <c r="J2682" s="53" t="s">
        <v>30</v>
      </c>
      <c r="K2682" s="51" t="s">
        <v>884</v>
      </c>
      <c r="L2682" s="102">
        <v>1</v>
      </c>
      <c r="M2682" s="19" t="str">
        <f t="shared" si="64"/>
        <v>May_2019</v>
      </c>
    </row>
    <row r="2683" spans="1:13">
      <c r="A2683" s="45" t="s">
        <v>11</v>
      </c>
      <c r="B2683" s="52" t="s">
        <v>542</v>
      </c>
      <c r="C2683" s="46">
        <v>43616</v>
      </c>
      <c r="D2683" s="47" t="s">
        <v>17</v>
      </c>
      <c r="E2683" s="48">
        <v>0.72916666666666674</v>
      </c>
      <c r="F2683" s="48">
        <v>0.91666666666666663</v>
      </c>
      <c r="G2683" s="49">
        <v>8.0000000000000036</v>
      </c>
      <c r="H2683" s="49">
        <v>4.4999999999999964</v>
      </c>
      <c r="I2683" s="49">
        <v>4.4999999999999964</v>
      </c>
      <c r="J2683" s="53" t="s">
        <v>30</v>
      </c>
      <c r="K2683" s="51" t="s">
        <v>884</v>
      </c>
      <c r="L2683" s="102">
        <v>1</v>
      </c>
      <c r="M2683" s="19" t="str">
        <f t="shared" si="64"/>
        <v>May_2019</v>
      </c>
    </row>
    <row r="2684" spans="1:13">
      <c r="A2684" s="45" t="s">
        <v>11</v>
      </c>
      <c r="B2684" s="52" t="s">
        <v>547</v>
      </c>
      <c r="C2684" s="46">
        <v>43616</v>
      </c>
      <c r="D2684" s="47" t="s">
        <v>17</v>
      </c>
      <c r="E2684" s="48">
        <v>0.72916666666666674</v>
      </c>
      <c r="F2684" s="48">
        <v>0.91666666666666663</v>
      </c>
      <c r="G2684" s="49">
        <v>8.0000000000000036</v>
      </c>
      <c r="H2684" s="49">
        <v>4.4999999999999964</v>
      </c>
      <c r="I2684" s="49">
        <v>4.4999999999999964</v>
      </c>
      <c r="J2684" s="53" t="s">
        <v>30</v>
      </c>
      <c r="K2684" s="51" t="s">
        <v>884</v>
      </c>
      <c r="L2684" s="102">
        <v>1</v>
      </c>
      <c r="M2684" s="19" t="str">
        <f t="shared" si="64"/>
        <v>May_2019</v>
      </c>
    </row>
    <row r="2685" spans="1:13">
      <c r="A2685" s="45" t="s">
        <v>11</v>
      </c>
      <c r="B2685" s="52" t="s">
        <v>684</v>
      </c>
      <c r="C2685" s="46">
        <v>43616</v>
      </c>
      <c r="D2685" s="47" t="s">
        <v>17</v>
      </c>
      <c r="E2685" s="48">
        <v>0.72916666666666674</v>
      </c>
      <c r="F2685" s="48">
        <v>0.91666666666666663</v>
      </c>
      <c r="G2685" s="49">
        <v>8.0000000000000036</v>
      </c>
      <c r="H2685" s="49">
        <v>4.4999999999999964</v>
      </c>
      <c r="I2685" s="49">
        <v>4.4999999999999964</v>
      </c>
      <c r="J2685" s="53" t="s">
        <v>30</v>
      </c>
      <c r="K2685" s="51" t="s">
        <v>884</v>
      </c>
      <c r="L2685" s="102">
        <v>1</v>
      </c>
      <c r="M2685" s="19" t="str">
        <f t="shared" si="64"/>
        <v>May_2019</v>
      </c>
    </row>
    <row r="2686" spans="1:13">
      <c r="A2686" s="45" t="s">
        <v>11</v>
      </c>
      <c r="B2686" s="52" t="s">
        <v>779</v>
      </c>
      <c r="C2686" s="46">
        <v>43616</v>
      </c>
      <c r="D2686" s="47" t="s">
        <v>17</v>
      </c>
      <c r="E2686" s="48">
        <v>0.72916666666666674</v>
      </c>
      <c r="F2686" s="48">
        <v>0.91666666666666663</v>
      </c>
      <c r="G2686" s="49">
        <v>8.0000000000000036</v>
      </c>
      <c r="H2686" s="49">
        <v>4.4999999999999964</v>
      </c>
      <c r="I2686" s="49">
        <v>4.4999999999999964</v>
      </c>
      <c r="J2686" s="53" t="s">
        <v>30</v>
      </c>
      <c r="K2686" s="51" t="s">
        <v>884</v>
      </c>
      <c r="L2686" s="102">
        <v>1</v>
      </c>
      <c r="M2686" s="19" t="str">
        <f t="shared" si="64"/>
        <v>May_2019</v>
      </c>
    </row>
    <row r="2687" spans="1:13">
      <c r="A2687" s="45" t="s">
        <v>11</v>
      </c>
      <c r="B2687" s="52" t="s">
        <v>811</v>
      </c>
      <c r="C2687" s="46">
        <v>43616</v>
      </c>
      <c r="D2687" s="47" t="s">
        <v>17</v>
      </c>
      <c r="E2687" s="48">
        <v>0.72916666666666674</v>
      </c>
      <c r="F2687" s="48">
        <v>0.89583333333333337</v>
      </c>
      <c r="G2687" s="49">
        <v>8.0000000000000036</v>
      </c>
      <c r="H2687" s="49">
        <v>3.9999999999999982</v>
      </c>
      <c r="I2687" s="49">
        <v>3.9999999999999982</v>
      </c>
      <c r="J2687" s="53" t="s">
        <v>30</v>
      </c>
      <c r="K2687" s="51" t="s">
        <v>884</v>
      </c>
      <c r="L2687" s="102">
        <v>1</v>
      </c>
      <c r="M2687" s="19" t="str">
        <f t="shared" si="64"/>
        <v>May_2019</v>
      </c>
    </row>
    <row r="2688" spans="1:13">
      <c r="A2688" s="45" t="s">
        <v>22</v>
      </c>
      <c r="B2688" s="52" t="s">
        <v>662</v>
      </c>
      <c r="C2688" s="46">
        <v>43616</v>
      </c>
      <c r="D2688" s="47" t="s">
        <v>17</v>
      </c>
      <c r="E2688" s="48">
        <v>0.35416666666666669</v>
      </c>
      <c r="F2688" s="48">
        <v>0.72916666666666663</v>
      </c>
      <c r="G2688" s="49">
        <v>0</v>
      </c>
      <c r="H2688" s="49">
        <v>7.9999999999999982</v>
      </c>
      <c r="I2688" s="49">
        <v>7.9999999999999982</v>
      </c>
      <c r="J2688" s="53" t="s">
        <v>30</v>
      </c>
      <c r="K2688" s="51" t="s">
        <v>884</v>
      </c>
      <c r="L2688" s="102" t="s">
        <v>281</v>
      </c>
      <c r="M2688" s="19" t="str">
        <f t="shared" si="64"/>
        <v>May_2019</v>
      </c>
    </row>
    <row r="2689" spans="1:13">
      <c r="A2689" s="45" t="s">
        <v>22</v>
      </c>
      <c r="B2689" s="52" t="s">
        <v>26</v>
      </c>
      <c r="C2689" s="46">
        <v>43616</v>
      </c>
      <c r="D2689" s="47" t="s">
        <v>17</v>
      </c>
      <c r="E2689" s="48">
        <v>0.54166666666666663</v>
      </c>
      <c r="F2689" s="48">
        <v>0.91666666666666663</v>
      </c>
      <c r="G2689" s="49">
        <v>0</v>
      </c>
      <c r="H2689" s="49">
        <v>9</v>
      </c>
      <c r="I2689" s="49">
        <v>9</v>
      </c>
      <c r="J2689" s="53" t="s">
        <v>30</v>
      </c>
      <c r="K2689" s="51" t="s">
        <v>884</v>
      </c>
      <c r="L2689" s="102" t="s">
        <v>281</v>
      </c>
      <c r="M2689" s="19" t="str">
        <f t="shared" si="64"/>
        <v>May_2019</v>
      </c>
    </row>
    <row r="2690" spans="1:13">
      <c r="A2690" s="45" t="s">
        <v>11</v>
      </c>
      <c r="B2690" s="52" t="s">
        <v>19</v>
      </c>
      <c r="C2690" s="46">
        <v>43619</v>
      </c>
      <c r="D2690" s="47" t="s">
        <v>16</v>
      </c>
      <c r="E2690" s="48">
        <v>0.72916666666666674</v>
      </c>
      <c r="F2690" s="48">
        <v>0.89583333333333337</v>
      </c>
      <c r="G2690" s="49">
        <v>8.0000000000000036</v>
      </c>
      <c r="H2690" s="49">
        <v>3.9999999999999982</v>
      </c>
      <c r="I2690" s="49">
        <v>3.9999999999999982</v>
      </c>
      <c r="J2690" s="53" t="s">
        <v>30</v>
      </c>
      <c r="K2690" s="51" t="s">
        <v>885</v>
      </c>
      <c r="L2690" s="102">
        <v>1</v>
      </c>
      <c r="M2690" s="19" t="str">
        <f>IF($C2690="","",TEXT(DATE(YEAR($C2690),MONTH($C2690),DAY($C2690)),"MMM")&amp;"_"&amp;YEAR($C2690))</f>
        <v>Jun_2019</v>
      </c>
    </row>
    <row r="2691" spans="1:13">
      <c r="A2691" s="45" t="s">
        <v>11</v>
      </c>
      <c r="B2691" s="52" t="s">
        <v>149</v>
      </c>
      <c r="C2691" s="46">
        <v>43619</v>
      </c>
      <c r="D2691" s="47" t="s">
        <v>16</v>
      </c>
      <c r="E2691" s="48">
        <v>0.72916666666666674</v>
      </c>
      <c r="F2691" s="48">
        <v>0.89583333333333337</v>
      </c>
      <c r="G2691" s="49">
        <v>8.0000000000000036</v>
      </c>
      <c r="H2691" s="49">
        <v>3.9999999999999982</v>
      </c>
      <c r="I2691" s="49">
        <v>3.9999999999999982</v>
      </c>
      <c r="J2691" s="53" t="s">
        <v>30</v>
      </c>
      <c r="K2691" s="51" t="s">
        <v>885</v>
      </c>
      <c r="L2691" s="102">
        <v>1</v>
      </c>
      <c r="M2691" s="19" t="str">
        <f t="shared" ref="M2691:M2737" si="65">IF($C2691="","",TEXT(DATE(YEAR($C2691),MONTH($C2691),DAY($C2691)),"MMM")&amp;"_"&amp;YEAR($C2691))</f>
        <v>Jun_2019</v>
      </c>
    </row>
    <row r="2692" spans="1:13">
      <c r="A2692" s="45" t="s">
        <v>11</v>
      </c>
      <c r="B2692" s="52" t="s">
        <v>161</v>
      </c>
      <c r="C2692" s="46">
        <v>43619</v>
      </c>
      <c r="D2692" s="47" t="s">
        <v>16</v>
      </c>
      <c r="E2692" s="48">
        <v>0.72916666666666674</v>
      </c>
      <c r="F2692" s="48">
        <v>0.89583333333333337</v>
      </c>
      <c r="G2692" s="49">
        <v>8.0000000000000036</v>
      </c>
      <c r="H2692" s="49">
        <v>3.9999999999999982</v>
      </c>
      <c r="I2692" s="49">
        <v>3.9999999999999982</v>
      </c>
      <c r="J2692" s="53" t="s">
        <v>30</v>
      </c>
      <c r="K2692" s="51" t="s">
        <v>885</v>
      </c>
      <c r="L2692" s="102">
        <v>1</v>
      </c>
      <c r="M2692" s="19" t="str">
        <f t="shared" si="65"/>
        <v>Jun_2019</v>
      </c>
    </row>
    <row r="2693" spans="1:13">
      <c r="A2693" s="45" t="s">
        <v>11</v>
      </c>
      <c r="B2693" s="52" t="s">
        <v>542</v>
      </c>
      <c r="C2693" s="46">
        <v>43619</v>
      </c>
      <c r="D2693" s="47" t="s">
        <v>16</v>
      </c>
      <c r="E2693" s="48">
        <v>0.72916666666666674</v>
      </c>
      <c r="F2693" s="48">
        <v>0.89583333333333337</v>
      </c>
      <c r="G2693" s="49">
        <v>8.0000000000000036</v>
      </c>
      <c r="H2693" s="49">
        <v>3.9999999999999982</v>
      </c>
      <c r="I2693" s="49">
        <v>3.9999999999999982</v>
      </c>
      <c r="J2693" s="53" t="s">
        <v>30</v>
      </c>
      <c r="K2693" s="51" t="s">
        <v>885</v>
      </c>
      <c r="L2693" s="102">
        <v>1</v>
      </c>
      <c r="M2693" s="19" t="str">
        <f t="shared" si="65"/>
        <v>Jun_2019</v>
      </c>
    </row>
    <row r="2694" spans="1:13">
      <c r="A2694" s="45" t="s">
        <v>11</v>
      </c>
      <c r="B2694" s="52" t="s">
        <v>547</v>
      </c>
      <c r="C2694" s="46">
        <v>43619</v>
      </c>
      <c r="D2694" s="47" t="s">
        <v>16</v>
      </c>
      <c r="E2694" s="48">
        <v>0.72916666666666674</v>
      </c>
      <c r="F2694" s="48">
        <v>0.89583333333333337</v>
      </c>
      <c r="G2694" s="49">
        <v>8.0000000000000036</v>
      </c>
      <c r="H2694" s="49">
        <v>3.9999999999999982</v>
      </c>
      <c r="I2694" s="49">
        <v>3.9999999999999982</v>
      </c>
      <c r="J2694" s="53" t="s">
        <v>30</v>
      </c>
      <c r="K2694" s="51" t="s">
        <v>885</v>
      </c>
      <c r="L2694" s="102">
        <v>1</v>
      </c>
      <c r="M2694" s="19" t="str">
        <f t="shared" si="65"/>
        <v>Jun_2019</v>
      </c>
    </row>
    <row r="2695" spans="1:13">
      <c r="A2695" s="45" t="s">
        <v>11</v>
      </c>
      <c r="B2695" s="52" t="s">
        <v>684</v>
      </c>
      <c r="C2695" s="46">
        <v>43619</v>
      </c>
      <c r="D2695" s="47" t="s">
        <v>16</v>
      </c>
      <c r="E2695" s="48">
        <v>0.6875</v>
      </c>
      <c r="F2695" s="48">
        <v>0.85416666666666663</v>
      </c>
      <c r="G2695" s="49">
        <v>8.0000000000000036</v>
      </c>
      <c r="H2695" s="49">
        <v>3.9999999999999964</v>
      </c>
      <c r="I2695" s="49">
        <v>3.9999999999999964</v>
      </c>
      <c r="J2695" s="53" t="s">
        <v>30</v>
      </c>
      <c r="K2695" s="51" t="s">
        <v>885</v>
      </c>
      <c r="L2695" s="102">
        <v>1</v>
      </c>
      <c r="M2695" s="19" t="str">
        <f t="shared" si="65"/>
        <v>Jun_2019</v>
      </c>
    </row>
    <row r="2696" spans="1:13">
      <c r="A2696" s="45" t="s">
        <v>11</v>
      </c>
      <c r="B2696" s="52" t="s">
        <v>779</v>
      </c>
      <c r="C2696" s="46">
        <v>43619</v>
      </c>
      <c r="D2696" s="47" t="s">
        <v>16</v>
      </c>
      <c r="E2696" s="48">
        <v>0.72916666666666674</v>
      </c>
      <c r="F2696" s="48">
        <v>0.89583333333333337</v>
      </c>
      <c r="G2696" s="49">
        <v>8.0000000000000036</v>
      </c>
      <c r="H2696" s="49">
        <v>3.9999999999999982</v>
      </c>
      <c r="I2696" s="49">
        <v>3.9999999999999982</v>
      </c>
      <c r="J2696" s="53" t="s">
        <v>30</v>
      </c>
      <c r="K2696" s="51" t="s">
        <v>885</v>
      </c>
      <c r="L2696" s="102">
        <v>1</v>
      </c>
      <c r="M2696" s="19" t="str">
        <f t="shared" si="65"/>
        <v>Jun_2019</v>
      </c>
    </row>
    <row r="2697" spans="1:13">
      <c r="A2697" s="45" t="s">
        <v>11</v>
      </c>
      <c r="B2697" s="52" t="s">
        <v>811</v>
      </c>
      <c r="C2697" s="46">
        <v>43619</v>
      </c>
      <c r="D2697" s="47" t="s">
        <v>16</v>
      </c>
      <c r="E2697" s="48">
        <v>0.72916666666666674</v>
      </c>
      <c r="F2697" s="48">
        <v>0.89583333333333337</v>
      </c>
      <c r="G2697" s="49">
        <v>8.0000000000000036</v>
      </c>
      <c r="H2697" s="49">
        <v>3.9999999999999982</v>
      </c>
      <c r="I2697" s="49">
        <v>3.9999999999999982</v>
      </c>
      <c r="J2697" s="53" t="s">
        <v>30</v>
      </c>
      <c r="K2697" s="51" t="s">
        <v>885</v>
      </c>
      <c r="L2697" s="102">
        <v>1</v>
      </c>
      <c r="M2697" s="19" t="str">
        <f t="shared" si="65"/>
        <v>Jun_2019</v>
      </c>
    </row>
    <row r="2698" spans="1:13">
      <c r="A2698" s="45" t="s">
        <v>22</v>
      </c>
      <c r="B2698" s="52" t="s">
        <v>662</v>
      </c>
      <c r="C2698" s="46">
        <v>43619</v>
      </c>
      <c r="D2698" s="47" t="s">
        <v>16</v>
      </c>
      <c r="E2698" s="48">
        <v>0.35416666666666669</v>
      </c>
      <c r="F2698" s="48">
        <v>0.89583333333333337</v>
      </c>
      <c r="G2698" s="49">
        <v>0</v>
      </c>
      <c r="H2698" s="49">
        <v>12.000000000000002</v>
      </c>
      <c r="I2698" s="49">
        <v>12.000000000000002</v>
      </c>
      <c r="J2698" s="53" t="s">
        <v>30</v>
      </c>
      <c r="K2698" s="51" t="s">
        <v>885</v>
      </c>
      <c r="L2698" s="102" t="s">
        <v>281</v>
      </c>
      <c r="M2698" s="19" t="str">
        <f t="shared" si="65"/>
        <v>Jun_2019</v>
      </c>
    </row>
    <row r="2699" spans="1:13">
      <c r="A2699" s="45" t="s">
        <v>22</v>
      </c>
      <c r="B2699" s="52" t="s">
        <v>478</v>
      </c>
      <c r="C2699" s="46">
        <v>43619</v>
      </c>
      <c r="D2699" s="47" t="s">
        <v>16</v>
      </c>
      <c r="E2699" s="48">
        <v>0.35416666666666669</v>
      </c>
      <c r="F2699" s="48">
        <v>0.875</v>
      </c>
      <c r="G2699" s="49">
        <v>0</v>
      </c>
      <c r="H2699" s="49">
        <v>11.499999999999998</v>
      </c>
      <c r="I2699" s="49">
        <v>11.499999999999998</v>
      </c>
      <c r="J2699" s="53" t="s">
        <v>30</v>
      </c>
      <c r="K2699" s="51" t="s">
        <v>885</v>
      </c>
      <c r="L2699" s="102" t="s">
        <v>281</v>
      </c>
      <c r="M2699" s="19" t="str">
        <f t="shared" si="65"/>
        <v>Jun_2019</v>
      </c>
    </row>
    <row r="2700" spans="1:13">
      <c r="A2700" s="45" t="s">
        <v>22</v>
      </c>
      <c r="B2700" s="52" t="s">
        <v>662</v>
      </c>
      <c r="C2700" s="46">
        <v>43620</v>
      </c>
      <c r="D2700" s="47" t="s">
        <v>14</v>
      </c>
      <c r="E2700" s="48">
        <v>0.35416666666666669</v>
      </c>
      <c r="F2700" s="48">
        <v>0.72916666666666663</v>
      </c>
      <c r="G2700" s="49">
        <v>0</v>
      </c>
      <c r="H2700" s="49">
        <v>7.9999999999999982</v>
      </c>
      <c r="I2700" s="49">
        <v>7.9999999999999982</v>
      </c>
      <c r="J2700" s="53" t="s">
        <v>30</v>
      </c>
      <c r="K2700" s="51" t="s">
        <v>886</v>
      </c>
      <c r="L2700" s="102" t="s">
        <v>281</v>
      </c>
      <c r="M2700" s="19" t="str">
        <f t="shared" si="65"/>
        <v>Jun_2019</v>
      </c>
    </row>
    <row r="2701" spans="1:13">
      <c r="A2701" s="45" t="s">
        <v>22</v>
      </c>
      <c r="B2701" s="52" t="s">
        <v>26</v>
      </c>
      <c r="C2701" s="46">
        <v>43620</v>
      </c>
      <c r="D2701" s="47" t="s">
        <v>14</v>
      </c>
      <c r="E2701" s="48">
        <v>0.35416666666666669</v>
      </c>
      <c r="F2701" s="48">
        <v>0.72916666666666663</v>
      </c>
      <c r="G2701" s="49">
        <v>0</v>
      </c>
      <c r="H2701" s="49">
        <v>7.9999999999999982</v>
      </c>
      <c r="I2701" s="49">
        <v>7.9999999999999982</v>
      </c>
      <c r="J2701" s="53" t="s">
        <v>30</v>
      </c>
      <c r="K2701" s="51" t="s">
        <v>886</v>
      </c>
      <c r="L2701" s="102" t="s">
        <v>281</v>
      </c>
      <c r="M2701" s="19" t="str">
        <f t="shared" si="65"/>
        <v>Jun_2019</v>
      </c>
    </row>
    <row r="2702" spans="1:13">
      <c r="A2702" s="45" t="s">
        <v>22</v>
      </c>
      <c r="B2702" s="52" t="s">
        <v>662</v>
      </c>
      <c r="C2702" s="46">
        <v>43621</v>
      </c>
      <c r="D2702" s="47" t="s">
        <v>15</v>
      </c>
      <c r="E2702" s="48">
        <v>0.35416666666666669</v>
      </c>
      <c r="F2702" s="48">
        <v>0.72916666666666663</v>
      </c>
      <c r="G2702" s="49">
        <v>0</v>
      </c>
      <c r="H2702" s="49">
        <v>7.9999999999999982</v>
      </c>
      <c r="I2702" s="49">
        <v>7.9999999999999982</v>
      </c>
      <c r="J2702" s="53" t="s">
        <v>30</v>
      </c>
      <c r="K2702" s="51" t="s">
        <v>887</v>
      </c>
      <c r="L2702" s="102" t="s">
        <v>281</v>
      </c>
      <c r="M2702" s="19" t="str">
        <f t="shared" si="65"/>
        <v>Jun_2019</v>
      </c>
    </row>
    <row r="2703" spans="1:13">
      <c r="A2703" s="45" t="s">
        <v>22</v>
      </c>
      <c r="B2703" s="52" t="s">
        <v>26</v>
      </c>
      <c r="C2703" s="46">
        <v>43621</v>
      </c>
      <c r="D2703" s="47" t="s">
        <v>15</v>
      </c>
      <c r="E2703" s="48">
        <v>0.35416666666666669</v>
      </c>
      <c r="F2703" s="48">
        <v>0.72916666666666663</v>
      </c>
      <c r="G2703" s="49">
        <v>0</v>
      </c>
      <c r="H2703" s="49">
        <v>7.9999999999999982</v>
      </c>
      <c r="I2703" s="49">
        <v>7.9999999999999982</v>
      </c>
      <c r="J2703" s="53" t="s">
        <v>30</v>
      </c>
      <c r="K2703" s="51" t="s">
        <v>887</v>
      </c>
      <c r="L2703" s="102" t="s">
        <v>281</v>
      </c>
      <c r="M2703" s="19" t="str">
        <f t="shared" si="65"/>
        <v>Jun_2019</v>
      </c>
    </row>
    <row r="2704" spans="1:13">
      <c r="A2704" s="45" t="s">
        <v>22</v>
      </c>
      <c r="B2704" s="52" t="s">
        <v>662</v>
      </c>
      <c r="C2704" s="46">
        <v>43622</v>
      </c>
      <c r="D2704" s="47" t="s">
        <v>25</v>
      </c>
      <c r="E2704" s="48">
        <v>0.35416666666666669</v>
      </c>
      <c r="F2704" s="48">
        <v>0.72916666666666663</v>
      </c>
      <c r="G2704" s="49">
        <v>0</v>
      </c>
      <c r="H2704" s="49">
        <v>7.9999999999999982</v>
      </c>
      <c r="I2704" s="49">
        <v>7.9999999999999982</v>
      </c>
      <c r="J2704" s="53" t="s">
        <v>30</v>
      </c>
      <c r="K2704" s="51" t="s">
        <v>888</v>
      </c>
      <c r="L2704" s="102" t="s">
        <v>281</v>
      </c>
      <c r="M2704" s="19" t="str">
        <f t="shared" si="65"/>
        <v>Jun_2019</v>
      </c>
    </row>
    <row r="2705" spans="1:13">
      <c r="A2705" s="45" t="s">
        <v>22</v>
      </c>
      <c r="B2705" s="52" t="s">
        <v>662</v>
      </c>
      <c r="C2705" s="46">
        <v>43623</v>
      </c>
      <c r="D2705" s="47" t="s">
        <v>17</v>
      </c>
      <c r="E2705" s="48">
        <v>0.35416666666666669</v>
      </c>
      <c r="F2705" s="48">
        <v>0.72916666666666663</v>
      </c>
      <c r="G2705" s="49">
        <v>0</v>
      </c>
      <c r="H2705" s="49">
        <v>7.9999999999999982</v>
      </c>
      <c r="I2705" s="49">
        <v>7.9999999999999982</v>
      </c>
      <c r="J2705" s="53" t="s">
        <v>30</v>
      </c>
      <c r="K2705" s="51" t="s">
        <v>889</v>
      </c>
      <c r="L2705" s="102" t="s">
        <v>281</v>
      </c>
      <c r="M2705" s="19" t="str">
        <f t="shared" si="65"/>
        <v>Jun_2019</v>
      </c>
    </row>
    <row r="2706" spans="1:13">
      <c r="A2706" s="45" t="s">
        <v>22</v>
      </c>
      <c r="B2706" s="52" t="s">
        <v>662</v>
      </c>
      <c r="C2706" s="46">
        <v>43626</v>
      </c>
      <c r="D2706" s="47" t="s">
        <v>16</v>
      </c>
      <c r="E2706" s="48">
        <v>0.35416666666666669</v>
      </c>
      <c r="F2706" s="48">
        <v>0.72916666666666663</v>
      </c>
      <c r="G2706" s="49">
        <v>0</v>
      </c>
      <c r="H2706" s="49">
        <v>7.9999999999999982</v>
      </c>
      <c r="I2706" s="49">
        <v>7.9999999999999982</v>
      </c>
      <c r="J2706" s="53" t="s">
        <v>30</v>
      </c>
      <c r="K2706" s="51" t="s">
        <v>890</v>
      </c>
      <c r="L2706" s="102" t="s">
        <v>281</v>
      </c>
      <c r="M2706" s="19" t="str">
        <f t="shared" si="65"/>
        <v>Jun_2019</v>
      </c>
    </row>
    <row r="2707" spans="1:13">
      <c r="A2707" s="45" t="s">
        <v>22</v>
      </c>
      <c r="B2707" s="52" t="s">
        <v>662</v>
      </c>
      <c r="C2707" s="46">
        <v>43627</v>
      </c>
      <c r="D2707" s="47" t="s">
        <v>14</v>
      </c>
      <c r="E2707" s="48">
        <v>0.35416666666666669</v>
      </c>
      <c r="F2707" s="48">
        <v>0.72916666666666663</v>
      </c>
      <c r="G2707" s="49">
        <v>0</v>
      </c>
      <c r="H2707" s="49">
        <v>7.9999999999999982</v>
      </c>
      <c r="I2707" s="49">
        <v>7.9999999999999982</v>
      </c>
      <c r="J2707" s="53" t="s">
        <v>30</v>
      </c>
      <c r="K2707" s="51" t="s">
        <v>891</v>
      </c>
      <c r="L2707" s="102" t="s">
        <v>281</v>
      </c>
      <c r="M2707" s="19" t="str">
        <f t="shared" si="65"/>
        <v>Jun_2019</v>
      </c>
    </row>
    <row r="2708" spans="1:13">
      <c r="A2708" s="45" t="s">
        <v>22</v>
      </c>
      <c r="B2708" s="52" t="s">
        <v>662</v>
      </c>
      <c r="C2708" s="46">
        <v>43629</v>
      </c>
      <c r="D2708" s="47" t="s">
        <v>25</v>
      </c>
      <c r="E2708" s="48">
        <v>0.35416666666666669</v>
      </c>
      <c r="F2708" s="48">
        <v>0.72916666666666663</v>
      </c>
      <c r="G2708" s="49">
        <v>0</v>
      </c>
      <c r="H2708" s="49">
        <v>7.9999999999999982</v>
      </c>
      <c r="I2708" s="49">
        <v>7.9999999999999982</v>
      </c>
      <c r="J2708" s="53" t="s">
        <v>30</v>
      </c>
      <c r="K2708" s="51" t="s">
        <v>892</v>
      </c>
      <c r="L2708" s="102" t="s">
        <v>281</v>
      </c>
      <c r="M2708" s="19" t="str">
        <f t="shared" si="65"/>
        <v>Jun_2019</v>
      </c>
    </row>
    <row r="2709" spans="1:13">
      <c r="A2709" s="45" t="s">
        <v>22</v>
      </c>
      <c r="B2709" s="52" t="s">
        <v>26</v>
      </c>
      <c r="C2709" s="46">
        <v>43629</v>
      </c>
      <c r="D2709" s="47" t="s">
        <v>25</v>
      </c>
      <c r="E2709" s="48">
        <v>0.35416666666666669</v>
      </c>
      <c r="F2709" s="48">
        <v>0.72916666666666663</v>
      </c>
      <c r="G2709" s="49">
        <v>0</v>
      </c>
      <c r="H2709" s="49">
        <v>7.9999999999999982</v>
      </c>
      <c r="I2709" s="49">
        <v>7.9999999999999982</v>
      </c>
      <c r="J2709" s="53" t="s">
        <v>30</v>
      </c>
      <c r="K2709" s="51" t="s">
        <v>893</v>
      </c>
      <c r="L2709" s="102" t="s">
        <v>281</v>
      </c>
      <c r="M2709" s="19" t="str">
        <f t="shared" si="65"/>
        <v>Jun_2019</v>
      </c>
    </row>
    <row r="2710" spans="1:13">
      <c r="A2710" s="45" t="s">
        <v>22</v>
      </c>
      <c r="B2710" s="52" t="s">
        <v>478</v>
      </c>
      <c r="C2710" s="46">
        <v>43629</v>
      </c>
      <c r="D2710" s="47" t="s">
        <v>25</v>
      </c>
      <c r="E2710" s="48">
        <v>0.54166666666666663</v>
      </c>
      <c r="F2710" s="48">
        <v>0.72916666666666663</v>
      </c>
      <c r="G2710" s="49">
        <v>0</v>
      </c>
      <c r="H2710" s="49">
        <v>4.5</v>
      </c>
      <c r="I2710" s="49">
        <v>4.5</v>
      </c>
      <c r="J2710" s="53" t="s">
        <v>30</v>
      </c>
      <c r="K2710" s="51" t="s">
        <v>894</v>
      </c>
      <c r="L2710" s="102" t="s">
        <v>281</v>
      </c>
      <c r="M2710" s="19" t="str">
        <f t="shared" si="65"/>
        <v>Jun_2019</v>
      </c>
    </row>
    <row r="2711" spans="1:13">
      <c r="A2711" s="45" t="s">
        <v>22</v>
      </c>
      <c r="B2711" s="52" t="s">
        <v>662</v>
      </c>
      <c r="C2711" s="46">
        <v>43630</v>
      </c>
      <c r="D2711" s="47" t="s">
        <v>17</v>
      </c>
      <c r="E2711" s="48">
        <v>0.35416666666666669</v>
      </c>
      <c r="F2711" s="48">
        <v>0.72916666666666663</v>
      </c>
      <c r="G2711" s="49">
        <v>0</v>
      </c>
      <c r="H2711" s="49">
        <v>7.9999999999999982</v>
      </c>
      <c r="I2711" s="49">
        <v>7.9999999999999982</v>
      </c>
      <c r="J2711" s="53" t="s">
        <v>30</v>
      </c>
      <c r="K2711" s="51" t="s">
        <v>895</v>
      </c>
      <c r="L2711" s="102" t="s">
        <v>281</v>
      </c>
      <c r="M2711" s="19" t="str">
        <f t="shared" si="65"/>
        <v>Jun_2019</v>
      </c>
    </row>
    <row r="2712" spans="1:13">
      <c r="A2712" s="45" t="s">
        <v>22</v>
      </c>
      <c r="B2712" s="52" t="s">
        <v>26</v>
      </c>
      <c r="C2712" s="46">
        <v>43630</v>
      </c>
      <c r="D2712" s="47" t="s">
        <v>17</v>
      </c>
      <c r="E2712" s="48">
        <v>0.35416666666666669</v>
      </c>
      <c r="F2712" s="48">
        <v>0.72916666666666663</v>
      </c>
      <c r="G2712" s="49">
        <v>0</v>
      </c>
      <c r="H2712" s="49">
        <v>7.9999999999999982</v>
      </c>
      <c r="I2712" s="49">
        <v>7.9999999999999982</v>
      </c>
      <c r="J2712" s="53" t="s">
        <v>30</v>
      </c>
      <c r="K2712" s="51" t="s">
        <v>896</v>
      </c>
      <c r="L2712" s="102" t="s">
        <v>281</v>
      </c>
      <c r="M2712" s="19" t="str">
        <f t="shared" si="65"/>
        <v>Jun_2019</v>
      </c>
    </row>
    <row r="2713" spans="1:13">
      <c r="A2713" s="45" t="s">
        <v>22</v>
      </c>
      <c r="B2713" s="52" t="s">
        <v>897</v>
      </c>
      <c r="C2713" s="46">
        <v>43630</v>
      </c>
      <c r="D2713" s="47" t="s">
        <v>17</v>
      </c>
      <c r="E2713" s="48">
        <v>0.35416666666666669</v>
      </c>
      <c r="F2713" s="48">
        <v>0.72916666666666663</v>
      </c>
      <c r="G2713" s="49">
        <v>0</v>
      </c>
      <c r="H2713" s="49">
        <v>7.9999999999999982</v>
      </c>
      <c r="I2713" s="49">
        <v>7.9999999999999982</v>
      </c>
      <c r="J2713" s="53" t="s">
        <v>30</v>
      </c>
      <c r="K2713" s="51" t="s">
        <v>898</v>
      </c>
      <c r="L2713" s="102" t="s">
        <v>281</v>
      </c>
      <c r="M2713" s="19" t="str">
        <f t="shared" si="65"/>
        <v>Jun_2019</v>
      </c>
    </row>
    <row r="2714" spans="1:13">
      <c r="A2714" s="45" t="s">
        <v>22</v>
      </c>
      <c r="B2714" s="52" t="s">
        <v>662</v>
      </c>
      <c r="C2714" s="46">
        <v>43635</v>
      </c>
      <c r="D2714" s="47" t="s">
        <v>15</v>
      </c>
      <c r="E2714" s="48">
        <v>0.35416666666666669</v>
      </c>
      <c r="F2714" s="48">
        <v>0.72916666666666663</v>
      </c>
      <c r="G2714" s="49">
        <v>0</v>
      </c>
      <c r="H2714" s="49">
        <v>7.9999999999999982</v>
      </c>
      <c r="I2714" s="49">
        <v>7.9999999999999982</v>
      </c>
      <c r="J2714" s="53" t="s">
        <v>30</v>
      </c>
      <c r="K2714" s="51" t="s">
        <v>899</v>
      </c>
      <c r="L2714" s="102" t="s">
        <v>281</v>
      </c>
      <c r="M2714" s="19" t="str">
        <f t="shared" si="65"/>
        <v>Jun_2019</v>
      </c>
    </row>
    <row r="2715" spans="1:13">
      <c r="A2715" s="45" t="s">
        <v>22</v>
      </c>
      <c r="B2715" s="52" t="s">
        <v>662</v>
      </c>
      <c r="C2715" s="46">
        <v>43636</v>
      </c>
      <c r="D2715" s="47" t="s">
        <v>25</v>
      </c>
      <c r="E2715" s="48">
        <v>0.35416666666666669</v>
      </c>
      <c r="F2715" s="48">
        <v>0.72916666666666663</v>
      </c>
      <c r="G2715" s="49">
        <v>0</v>
      </c>
      <c r="H2715" s="49">
        <v>7.9999999999999982</v>
      </c>
      <c r="I2715" s="49">
        <v>7.9999999999999982</v>
      </c>
      <c r="J2715" s="53" t="s">
        <v>30</v>
      </c>
      <c r="K2715" s="51" t="s">
        <v>900</v>
      </c>
      <c r="L2715" s="102" t="s">
        <v>281</v>
      </c>
      <c r="M2715" s="19" t="str">
        <f t="shared" si="65"/>
        <v>Jun_2019</v>
      </c>
    </row>
    <row r="2716" spans="1:13">
      <c r="A2716" s="45" t="s">
        <v>22</v>
      </c>
      <c r="B2716" s="52" t="s">
        <v>662</v>
      </c>
      <c r="C2716" s="46">
        <v>43637</v>
      </c>
      <c r="D2716" s="47" t="s">
        <v>17</v>
      </c>
      <c r="E2716" s="48">
        <v>0.35416666666666669</v>
      </c>
      <c r="F2716" s="48">
        <v>0.72916666666666663</v>
      </c>
      <c r="G2716" s="49">
        <v>0</v>
      </c>
      <c r="H2716" s="49">
        <v>7.9999999999999982</v>
      </c>
      <c r="I2716" s="49">
        <v>7.9999999999999982</v>
      </c>
      <c r="J2716" s="53" t="s">
        <v>30</v>
      </c>
      <c r="K2716" s="51" t="s">
        <v>901</v>
      </c>
      <c r="L2716" s="102" t="s">
        <v>281</v>
      </c>
      <c r="M2716" s="19" t="str">
        <f t="shared" si="65"/>
        <v>Jun_2019</v>
      </c>
    </row>
    <row r="2717" spans="1:13">
      <c r="A2717" s="45" t="s">
        <v>22</v>
      </c>
      <c r="B2717" s="52" t="s">
        <v>26</v>
      </c>
      <c r="C2717" s="46">
        <v>43637</v>
      </c>
      <c r="D2717" s="47" t="s">
        <v>17</v>
      </c>
      <c r="E2717" s="48">
        <v>0.375</v>
      </c>
      <c r="F2717" s="48">
        <v>0.66666666666666663</v>
      </c>
      <c r="G2717" s="49">
        <v>0</v>
      </c>
      <c r="H2717" s="49">
        <v>5.9999999999999991</v>
      </c>
      <c r="I2717" s="49">
        <v>5.9999999999999991</v>
      </c>
      <c r="J2717" s="53" t="s">
        <v>30</v>
      </c>
      <c r="K2717" s="51" t="s">
        <v>901</v>
      </c>
      <c r="L2717" s="102" t="s">
        <v>281</v>
      </c>
      <c r="M2717" s="19" t="str">
        <f t="shared" si="65"/>
        <v>Jun_2019</v>
      </c>
    </row>
    <row r="2718" spans="1:13">
      <c r="A2718" s="45" t="s">
        <v>22</v>
      </c>
      <c r="B2718" s="52" t="s">
        <v>26</v>
      </c>
      <c r="C2718" s="46">
        <v>43640</v>
      </c>
      <c r="D2718" s="47" t="s">
        <v>16</v>
      </c>
      <c r="E2718" s="48">
        <v>0.35416666666666669</v>
      </c>
      <c r="F2718" s="48">
        <v>0.72916666666666663</v>
      </c>
      <c r="G2718" s="49">
        <v>0</v>
      </c>
      <c r="H2718" s="49">
        <v>7.9999999999999982</v>
      </c>
      <c r="I2718" s="49">
        <v>7.9999999999999982</v>
      </c>
      <c r="J2718" s="53" t="s">
        <v>30</v>
      </c>
      <c r="K2718" s="51" t="s">
        <v>902</v>
      </c>
      <c r="L2718" s="102" t="s">
        <v>281</v>
      </c>
      <c r="M2718" s="19" t="str">
        <f t="shared" si="65"/>
        <v>Jun_2019</v>
      </c>
    </row>
    <row r="2719" spans="1:13">
      <c r="A2719" s="45" t="s">
        <v>22</v>
      </c>
      <c r="B2719" s="52" t="s">
        <v>897</v>
      </c>
      <c r="C2719" s="46">
        <v>43640</v>
      </c>
      <c r="D2719" s="47" t="s">
        <v>16</v>
      </c>
      <c r="E2719" s="48">
        <v>0.35416666666666669</v>
      </c>
      <c r="F2719" s="48">
        <v>0.75</v>
      </c>
      <c r="G2719" s="49">
        <v>0</v>
      </c>
      <c r="H2719" s="49">
        <v>8.5</v>
      </c>
      <c r="I2719" s="49">
        <v>8.5</v>
      </c>
      <c r="J2719" s="53" t="s">
        <v>30</v>
      </c>
      <c r="K2719" s="51" t="s">
        <v>902</v>
      </c>
      <c r="L2719" s="102" t="s">
        <v>281</v>
      </c>
      <c r="M2719" s="19" t="str">
        <f t="shared" si="65"/>
        <v>Jun_2019</v>
      </c>
    </row>
    <row r="2720" spans="1:13">
      <c r="A2720" s="45" t="s">
        <v>22</v>
      </c>
      <c r="B2720" s="52" t="s">
        <v>26</v>
      </c>
      <c r="C2720" s="46">
        <v>43641</v>
      </c>
      <c r="D2720" s="47" t="s">
        <v>14</v>
      </c>
      <c r="E2720" s="48">
        <v>0.35416666666666669</v>
      </c>
      <c r="F2720" s="48">
        <v>0.72916666666666663</v>
      </c>
      <c r="G2720" s="49">
        <v>0</v>
      </c>
      <c r="H2720" s="49">
        <v>7.9999999999999982</v>
      </c>
      <c r="I2720" s="49">
        <v>7.9999999999999982</v>
      </c>
      <c r="J2720" s="53" t="s">
        <v>30</v>
      </c>
      <c r="K2720" s="51" t="s">
        <v>903</v>
      </c>
      <c r="L2720" s="102" t="s">
        <v>281</v>
      </c>
      <c r="M2720" s="19" t="str">
        <f t="shared" si="65"/>
        <v>Jun_2019</v>
      </c>
    </row>
    <row r="2721" spans="1:13">
      <c r="A2721" s="45" t="s">
        <v>22</v>
      </c>
      <c r="B2721" s="52" t="s">
        <v>897</v>
      </c>
      <c r="C2721" s="46">
        <v>43641</v>
      </c>
      <c r="D2721" s="47" t="s">
        <v>14</v>
      </c>
      <c r="E2721" s="48">
        <v>0.35416666666666669</v>
      </c>
      <c r="F2721" s="48">
        <v>0.72916666666666663</v>
      </c>
      <c r="G2721" s="49">
        <v>0</v>
      </c>
      <c r="H2721" s="49">
        <v>7.9999999999999982</v>
      </c>
      <c r="I2721" s="49">
        <v>7.9999999999999982</v>
      </c>
      <c r="J2721" s="53" t="s">
        <v>30</v>
      </c>
      <c r="K2721" s="51" t="s">
        <v>903</v>
      </c>
      <c r="L2721" s="102" t="s">
        <v>281</v>
      </c>
      <c r="M2721" s="19" t="str">
        <f t="shared" si="65"/>
        <v>Jun_2019</v>
      </c>
    </row>
    <row r="2722" spans="1:13">
      <c r="A2722" s="45" t="s">
        <v>22</v>
      </c>
      <c r="B2722" s="52" t="s">
        <v>662</v>
      </c>
      <c r="C2722" s="46">
        <v>43642</v>
      </c>
      <c r="D2722" s="47" t="s">
        <v>15</v>
      </c>
      <c r="E2722" s="48">
        <v>0.35416666666666669</v>
      </c>
      <c r="F2722" s="48">
        <v>0.72916666666666663</v>
      </c>
      <c r="G2722" s="49">
        <v>0</v>
      </c>
      <c r="H2722" s="49">
        <v>7.9999999999999982</v>
      </c>
      <c r="I2722" s="49">
        <v>7.9999999999999982</v>
      </c>
      <c r="J2722" s="53" t="s">
        <v>30</v>
      </c>
      <c r="K2722" s="51" t="s">
        <v>904</v>
      </c>
      <c r="L2722" s="102" t="s">
        <v>281</v>
      </c>
      <c r="M2722" s="19" t="str">
        <f t="shared" si="65"/>
        <v>Jun_2019</v>
      </c>
    </row>
    <row r="2723" spans="1:13">
      <c r="A2723" s="45" t="s">
        <v>22</v>
      </c>
      <c r="B2723" s="52" t="s">
        <v>662</v>
      </c>
      <c r="C2723" s="46">
        <v>43643</v>
      </c>
      <c r="D2723" s="47" t="s">
        <v>25</v>
      </c>
      <c r="E2723" s="48">
        <v>0.35416666666666669</v>
      </c>
      <c r="F2723" s="48">
        <v>0.72916666666666663</v>
      </c>
      <c r="G2723" s="49">
        <v>0</v>
      </c>
      <c r="H2723" s="49">
        <v>7.9999999999999982</v>
      </c>
      <c r="I2723" s="49">
        <v>7.9999999999999982</v>
      </c>
      <c r="J2723" s="53" t="s">
        <v>30</v>
      </c>
      <c r="K2723" s="51" t="s">
        <v>905</v>
      </c>
      <c r="L2723" s="102" t="s">
        <v>281</v>
      </c>
      <c r="M2723" s="19" t="str">
        <f t="shared" si="65"/>
        <v>Jun_2019</v>
      </c>
    </row>
    <row r="2724" spans="1:13">
      <c r="A2724" s="45" t="s">
        <v>22</v>
      </c>
      <c r="B2724" s="52" t="s">
        <v>26</v>
      </c>
      <c r="C2724" s="46">
        <v>43643</v>
      </c>
      <c r="D2724" s="47" t="s">
        <v>25</v>
      </c>
      <c r="E2724" s="48">
        <v>0.35416666666666669</v>
      </c>
      <c r="F2724" s="48">
        <v>0.72916666666666663</v>
      </c>
      <c r="G2724" s="49">
        <v>0</v>
      </c>
      <c r="H2724" s="49">
        <v>7.9999999999999982</v>
      </c>
      <c r="I2724" s="49">
        <v>7.9999999999999982</v>
      </c>
      <c r="J2724" s="53" t="s">
        <v>30</v>
      </c>
      <c r="K2724" s="51" t="s">
        <v>906</v>
      </c>
      <c r="L2724" s="102" t="s">
        <v>281</v>
      </c>
      <c r="M2724" s="19" t="str">
        <f t="shared" si="65"/>
        <v>Jun_2019</v>
      </c>
    </row>
    <row r="2725" spans="1:13">
      <c r="A2725" s="45" t="s">
        <v>11</v>
      </c>
      <c r="B2725" s="52" t="s">
        <v>19</v>
      </c>
      <c r="C2725" s="46">
        <v>43644</v>
      </c>
      <c r="D2725" s="47" t="s">
        <v>17</v>
      </c>
      <c r="E2725" s="48">
        <v>0.72916666666666674</v>
      </c>
      <c r="F2725" s="48">
        <v>0.91666666666666663</v>
      </c>
      <c r="G2725" s="49">
        <v>8.0000000000000036</v>
      </c>
      <c r="H2725" s="49">
        <v>4.4999999999999964</v>
      </c>
      <c r="I2725" s="49">
        <v>4.4999999999999964</v>
      </c>
      <c r="J2725" s="53" t="s">
        <v>30</v>
      </c>
      <c r="K2725" s="51" t="s">
        <v>907</v>
      </c>
      <c r="L2725" s="102">
        <v>1</v>
      </c>
      <c r="M2725" s="19" t="str">
        <f t="shared" si="65"/>
        <v>Jun_2019</v>
      </c>
    </row>
    <row r="2726" spans="1:13">
      <c r="A2726" s="45" t="s">
        <v>11</v>
      </c>
      <c r="B2726" s="52" t="s">
        <v>149</v>
      </c>
      <c r="C2726" s="46">
        <v>43644</v>
      </c>
      <c r="D2726" s="47" t="s">
        <v>17</v>
      </c>
      <c r="E2726" s="48">
        <v>0.72916666666666674</v>
      </c>
      <c r="F2726" s="48">
        <v>0.85416666666666663</v>
      </c>
      <c r="G2726" s="49">
        <v>8.0000000000000036</v>
      </c>
      <c r="H2726" s="49">
        <v>2.9999999999999947</v>
      </c>
      <c r="I2726" s="49">
        <v>2.9999999999999947</v>
      </c>
      <c r="J2726" s="53" t="s">
        <v>30</v>
      </c>
      <c r="K2726" s="51" t="s">
        <v>907</v>
      </c>
      <c r="L2726" s="102">
        <v>1</v>
      </c>
      <c r="M2726" s="19" t="str">
        <f t="shared" si="65"/>
        <v>Jun_2019</v>
      </c>
    </row>
    <row r="2727" spans="1:13">
      <c r="A2727" s="45" t="s">
        <v>11</v>
      </c>
      <c r="B2727" s="52" t="s">
        <v>161</v>
      </c>
      <c r="C2727" s="46">
        <v>43644</v>
      </c>
      <c r="D2727" s="47" t="s">
        <v>17</v>
      </c>
      <c r="E2727" s="48">
        <v>0.72916666666666674</v>
      </c>
      <c r="F2727" s="48">
        <v>0.85416666666666663</v>
      </c>
      <c r="G2727" s="49">
        <v>8.0000000000000036</v>
      </c>
      <c r="H2727" s="49">
        <v>2.9999999999999947</v>
      </c>
      <c r="I2727" s="49">
        <v>2.9999999999999947</v>
      </c>
      <c r="J2727" s="53" t="s">
        <v>30</v>
      </c>
      <c r="K2727" s="51" t="s">
        <v>907</v>
      </c>
      <c r="L2727" s="102">
        <v>1</v>
      </c>
      <c r="M2727" s="19" t="str">
        <f t="shared" si="65"/>
        <v>Jun_2019</v>
      </c>
    </row>
    <row r="2728" spans="1:13">
      <c r="A2728" s="45" t="s">
        <v>11</v>
      </c>
      <c r="B2728" s="52" t="s">
        <v>542</v>
      </c>
      <c r="C2728" s="46">
        <v>43644</v>
      </c>
      <c r="D2728" s="47" t="s">
        <v>17</v>
      </c>
      <c r="E2728" s="48">
        <v>0.72916666666666674</v>
      </c>
      <c r="F2728" s="48">
        <v>0.91666666666666663</v>
      </c>
      <c r="G2728" s="49">
        <v>8.0000000000000036</v>
      </c>
      <c r="H2728" s="49">
        <v>4.4999999999999964</v>
      </c>
      <c r="I2728" s="49">
        <v>4.4999999999999964</v>
      </c>
      <c r="J2728" s="53" t="s">
        <v>30</v>
      </c>
      <c r="K2728" s="51" t="s">
        <v>907</v>
      </c>
      <c r="L2728" s="102">
        <v>1</v>
      </c>
      <c r="M2728" s="19" t="str">
        <f t="shared" si="65"/>
        <v>Jun_2019</v>
      </c>
    </row>
    <row r="2729" spans="1:13">
      <c r="A2729" s="45" t="s">
        <v>11</v>
      </c>
      <c r="B2729" s="52" t="s">
        <v>547</v>
      </c>
      <c r="C2729" s="46">
        <v>43644</v>
      </c>
      <c r="D2729" s="47" t="s">
        <v>17</v>
      </c>
      <c r="E2729" s="48">
        <v>0.72916666666666674</v>
      </c>
      <c r="F2729" s="48">
        <v>0.91666666666666663</v>
      </c>
      <c r="G2729" s="49">
        <v>8.0000000000000036</v>
      </c>
      <c r="H2729" s="49">
        <v>4.4999999999999964</v>
      </c>
      <c r="I2729" s="49">
        <v>4.4999999999999964</v>
      </c>
      <c r="J2729" s="53" t="s">
        <v>30</v>
      </c>
      <c r="K2729" s="51" t="s">
        <v>907</v>
      </c>
      <c r="L2729" s="102">
        <v>1</v>
      </c>
      <c r="M2729" s="19" t="str">
        <f t="shared" si="65"/>
        <v>Jun_2019</v>
      </c>
    </row>
    <row r="2730" spans="1:13">
      <c r="A2730" s="45" t="s">
        <v>11</v>
      </c>
      <c r="B2730" s="52" t="s">
        <v>684</v>
      </c>
      <c r="C2730" s="46">
        <v>43644</v>
      </c>
      <c r="D2730" s="47" t="s">
        <v>17</v>
      </c>
      <c r="E2730" s="48">
        <v>0.6875</v>
      </c>
      <c r="F2730" s="48">
        <v>0.85416666666666663</v>
      </c>
      <c r="G2730" s="49">
        <v>8.0000000000000036</v>
      </c>
      <c r="H2730" s="49">
        <v>3.9999999999999964</v>
      </c>
      <c r="I2730" s="49">
        <v>3.9999999999999964</v>
      </c>
      <c r="J2730" s="53" t="s">
        <v>30</v>
      </c>
      <c r="K2730" s="51" t="s">
        <v>907</v>
      </c>
      <c r="L2730" s="102">
        <v>1</v>
      </c>
      <c r="M2730" s="19" t="str">
        <f t="shared" si="65"/>
        <v>Jun_2019</v>
      </c>
    </row>
    <row r="2731" spans="1:13">
      <c r="A2731" s="45" t="s">
        <v>11</v>
      </c>
      <c r="B2731" s="52" t="s">
        <v>779</v>
      </c>
      <c r="C2731" s="46">
        <v>43644</v>
      </c>
      <c r="D2731" s="47" t="s">
        <v>17</v>
      </c>
      <c r="E2731" s="48">
        <v>0.72916666666666674</v>
      </c>
      <c r="F2731" s="48">
        <v>0.91666666666666663</v>
      </c>
      <c r="G2731" s="49">
        <v>8.0000000000000036</v>
      </c>
      <c r="H2731" s="49">
        <v>4.4999999999999964</v>
      </c>
      <c r="I2731" s="49">
        <v>4.4999999999999964</v>
      </c>
      <c r="J2731" s="53" t="s">
        <v>30</v>
      </c>
      <c r="K2731" s="51" t="s">
        <v>907</v>
      </c>
      <c r="L2731" s="102">
        <v>1</v>
      </c>
      <c r="M2731" s="19" t="str">
        <f t="shared" si="65"/>
        <v>Jun_2019</v>
      </c>
    </row>
    <row r="2732" spans="1:13">
      <c r="A2732" s="45" t="s">
        <v>11</v>
      </c>
      <c r="B2732" s="52" t="s">
        <v>811</v>
      </c>
      <c r="C2732" s="46">
        <v>43644</v>
      </c>
      <c r="D2732" s="47" t="s">
        <v>17</v>
      </c>
      <c r="E2732" s="48">
        <v>0.72916666666666674</v>
      </c>
      <c r="F2732" s="48">
        <v>0.89583333333333337</v>
      </c>
      <c r="G2732" s="49">
        <v>8.0000000000000036</v>
      </c>
      <c r="H2732" s="49">
        <v>3.9999999999999982</v>
      </c>
      <c r="I2732" s="49">
        <v>3.9999999999999982</v>
      </c>
      <c r="J2732" s="53" t="s">
        <v>30</v>
      </c>
      <c r="K2732" s="51" t="s">
        <v>907</v>
      </c>
      <c r="L2732" s="102">
        <v>1</v>
      </c>
      <c r="M2732" s="19" t="str">
        <f t="shared" si="65"/>
        <v>Jun_2019</v>
      </c>
    </row>
    <row r="2733" spans="1:13">
      <c r="A2733" s="45" t="s">
        <v>22</v>
      </c>
      <c r="B2733" s="52" t="s">
        <v>662</v>
      </c>
      <c r="C2733" s="46">
        <v>43644</v>
      </c>
      <c r="D2733" s="47" t="s">
        <v>17</v>
      </c>
      <c r="E2733" s="48">
        <v>0.35416666666666669</v>
      </c>
      <c r="F2733" s="48">
        <v>0.72916666666666663</v>
      </c>
      <c r="G2733" s="49">
        <v>0</v>
      </c>
      <c r="H2733" s="49">
        <v>7.9999999999999982</v>
      </c>
      <c r="I2733" s="49">
        <v>7.9999999999999982</v>
      </c>
      <c r="J2733" s="53" t="s">
        <v>30</v>
      </c>
      <c r="K2733" s="51" t="s">
        <v>907</v>
      </c>
      <c r="L2733" s="102" t="s">
        <v>281</v>
      </c>
      <c r="M2733" s="19" t="str">
        <f t="shared" si="65"/>
        <v>Jun_2019</v>
      </c>
    </row>
    <row r="2734" spans="1:13">
      <c r="A2734" s="45" t="s">
        <v>22</v>
      </c>
      <c r="B2734" s="52" t="s">
        <v>26</v>
      </c>
      <c r="C2734" s="46">
        <v>43644</v>
      </c>
      <c r="D2734" s="47" t="s">
        <v>17</v>
      </c>
      <c r="E2734" s="48">
        <v>0.35416666666666669</v>
      </c>
      <c r="F2734" s="48">
        <v>0.72916666666666663</v>
      </c>
      <c r="G2734" s="49">
        <v>0</v>
      </c>
      <c r="H2734" s="49">
        <v>7.9999999999999982</v>
      </c>
      <c r="I2734" s="49">
        <v>7.9999999999999982</v>
      </c>
      <c r="J2734" s="53" t="s">
        <v>30</v>
      </c>
      <c r="K2734" s="51" t="s">
        <v>908</v>
      </c>
      <c r="L2734" s="102" t="s">
        <v>281</v>
      </c>
      <c r="M2734" s="19" t="str">
        <f t="shared" si="65"/>
        <v>Jun_2019</v>
      </c>
    </row>
    <row r="2735" spans="1:13">
      <c r="A2735" s="45" t="s">
        <v>22</v>
      </c>
      <c r="B2735" s="52" t="s">
        <v>679</v>
      </c>
      <c r="C2735" s="46">
        <v>43644</v>
      </c>
      <c r="D2735" s="47" t="s">
        <v>17</v>
      </c>
      <c r="E2735" s="48">
        <v>0.54166666666666663</v>
      </c>
      <c r="F2735" s="48">
        <v>0.91666666666666663</v>
      </c>
      <c r="G2735" s="49">
        <v>0</v>
      </c>
      <c r="H2735" s="49">
        <v>8</v>
      </c>
      <c r="I2735" s="49">
        <v>8</v>
      </c>
      <c r="J2735" s="53" t="s">
        <v>30</v>
      </c>
      <c r="K2735" s="51" t="s">
        <v>909</v>
      </c>
      <c r="L2735" s="102" t="s">
        <v>281</v>
      </c>
      <c r="M2735" s="19" t="str">
        <f t="shared" si="65"/>
        <v>Jun_2019</v>
      </c>
    </row>
    <row r="2736" spans="1:13">
      <c r="A2736" s="45" t="s">
        <v>11</v>
      </c>
      <c r="B2736" s="52" t="s">
        <v>910</v>
      </c>
      <c r="C2736" s="46">
        <v>43644</v>
      </c>
      <c r="D2736" s="47" t="s">
        <v>17</v>
      </c>
      <c r="E2736" s="48">
        <v>0.72916666666666674</v>
      </c>
      <c r="F2736" s="48">
        <v>0.91666666666666663</v>
      </c>
      <c r="G2736" s="49">
        <v>8.0000000000000036</v>
      </c>
      <c r="H2736" s="49">
        <v>4.4999999999999964</v>
      </c>
      <c r="I2736" s="49">
        <v>4.4999999999999964</v>
      </c>
      <c r="J2736" s="53" t="s">
        <v>30</v>
      </c>
      <c r="K2736" s="51" t="s">
        <v>907</v>
      </c>
      <c r="L2736" s="102">
        <v>1</v>
      </c>
      <c r="M2736" s="19" t="str">
        <f t="shared" si="65"/>
        <v>Jun_2019</v>
      </c>
    </row>
    <row r="2737" spans="1:13">
      <c r="A2737" s="45" t="s">
        <v>22</v>
      </c>
      <c r="B2737" s="52" t="s">
        <v>911</v>
      </c>
      <c r="C2737" s="46">
        <v>43644</v>
      </c>
      <c r="D2737" s="47" t="s">
        <v>17</v>
      </c>
      <c r="E2737" s="48">
        <v>0.54166666666666663</v>
      </c>
      <c r="F2737" s="48">
        <v>0.91666666666666663</v>
      </c>
      <c r="G2737" s="49">
        <v>0</v>
      </c>
      <c r="H2737" s="49">
        <v>8</v>
      </c>
      <c r="I2737" s="49">
        <v>8</v>
      </c>
      <c r="J2737" s="53" t="s">
        <v>30</v>
      </c>
      <c r="K2737" s="51" t="s">
        <v>909</v>
      </c>
      <c r="L2737" s="102" t="s">
        <v>281</v>
      </c>
      <c r="M2737" s="19" t="str">
        <f t="shared" si="65"/>
        <v>Jun_2019</v>
      </c>
    </row>
    <row r="2738" spans="1:13">
      <c r="A2738" s="45" t="s">
        <v>11</v>
      </c>
      <c r="B2738" s="52" t="s">
        <v>912</v>
      </c>
      <c r="C2738" s="46">
        <v>43647</v>
      </c>
      <c r="D2738" s="47" t="s">
        <v>16</v>
      </c>
      <c r="E2738" s="48">
        <v>0.72916666666666674</v>
      </c>
      <c r="F2738" s="48">
        <v>0.89583333333333337</v>
      </c>
      <c r="G2738" s="49">
        <v>8.0000000000000036</v>
      </c>
      <c r="H2738" s="49">
        <v>3.9999999999999982</v>
      </c>
      <c r="I2738" s="49">
        <v>3.9999999999999982</v>
      </c>
      <c r="J2738" s="53" t="s">
        <v>30</v>
      </c>
      <c r="K2738" s="51" t="s">
        <v>913</v>
      </c>
      <c r="L2738" s="52">
        <v>1</v>
      </c>
      <c r="M2738" s="19" t="str">
        <f>IF($C2738="","",TEXT(DATE(YEAR($C2738),MONTH($C2738),DAY($C2738)),"MMM")&amp;"_"&amp;YEAR($C2738))</f>
        <v>Jul_2019</v>
      </c>
    </row>
    <row r="2739" spans="1:13">
      <c r="A2739" s="45" t="s">
        <v>11</v>
      </c>
      <c r="B2739" s="52" t="s">
        <v>19</v>
      </c>
      <c r="C2739" s="46">
        <v>43647</v>
      </c>
      <c r="D2739" s="47" t="s">
        <v>16</v>
      </c>
      <c r="E2739" s="48">
        <v>0.72916666666666674</v>
      </c>
      <c r="F2739" s="48">
        <v>0.89583333333333337</v>
      </c>
      <c r="G2739" s="49">
        <v>8.0000000000000036</v>
      </c>
      <c r="H2739" s="49">
        <v>3.9999999999999982</v>
      </c>
      <c r="I2739" s="49">
        <v>3.9999999999999982</v>
      </c>
      <c r="J2739" s="53" t="s">
        <v>30</v>
      </c>
      <c r="K2739" s="51" t="s">
        <v>913</v>
      </c>
      <c r="L2739" s="52">
        <v>1</v>
      </c>
      <c r="M2739" s="19" t="str">
        <f t="shared" ref="M2739:M2802" si="66">IF($C2739="","",TEXT(DATE(YEAR($C2739),MONTH($C2739),DAY($C2739)),"MMM")&amp;"_"&amp;YEAR($C2739))</f>
        <v>Jul_2019</v>
      </c>
    </row>
    <row r="2740" spans="1:13">
      <c r="A2740" s="45" t="s">
        <v>11</v>
      </c>
      <c r="B2740" s="52" t="s">
        <v>149</v>
      </c>
      <c r="C2740" s="46">
        <v>43647</v>
      </c>
      <c r="D2740" s="47" t="s">
        <v>16</v>
      </c>
      <c r="E2740" s="48">
        <v>0.72916666666666674</v>
      </c>
      <c r="F2740" s="48">
        <v>0.89583333333333337</v>
      </c>
      <c r="G2740" s="49">
        <v>8.0000000000000036</v>
      </c>
      <c r="H2740" s="49">
        <v>3.9999999999999982</v>
      </c>
      <c r="I2740" s="49">
        <v>3.9999999999999982</v>
      </c>
      <c r="J2740" s="53" t="s">
        <v>30</v>
      </c>
      <c r="K2740" s="51" t="s">
        <v>913</v>
      </c>
      <c r="L2740" s="52">
        <v>1</v>
      </c>
      <c r="M2740" s="19" t="str">
        <f t="shared" si="66"/>
        <v>Jul_2019</v>
      </c>
    </row>
    <row r="2741" spans="1:13">
      <c r="A2741" s="45" t="s">
        <v>11</v>
      </c>
      <c r="B2741" s="52" t="s">
        <v>161</v>
      </c>
      <c r="C2741" s="46">
        <v>43647</v>
      </c>
      <c r="D2741" s="47" t="s">
        <v>16</v>
      </c>
      <c r="E2741" s="48">
        <v>0.72916666666666674</v>
      </c>
      <c r="F2741" s="48">
        <v>0.89583333333333337</v>
      </c>
      <c r="G2741" s="49">
        <v>8.0000000000000036</v>
      </c>
      <c r="H2741" s="49">
        <v>3.9999999999999982</v>
      </c>
      <c r="I2741" s="49">
        <v>3.9999999999999982</v>
      </c>
      <c r="J2741" s="53" t="s">
        <v>30</v>
      </c>
      <c r="K2741" s="51" t="s">
        <v>913</v>
      </c>
      <c r="L2741" s="52">
        <v>1</v>
      </c>
      <c r="M2741" s="19" t="str">
        <f t="shared" si="66"/>
        <v>Jul_2019</v>
      </c>
    </row>
    <row r="2742" spans="1:13">
      <c r="A2742" s="45" t="s">
        <v>11</v>
      </c>
      <c r="B2742" s="52" t="s">
        <v>542</v>
      </c>
      <c r="C2742" s="46">
        <v>43647</v>
      </c>
      <c r="D2742" s="47" t="s">
        <v>16</v>
      </c>
      <c r="E2742" s="48">
        <v>0.6875</v>
      </c>
      <c r="F2742" s="48">
        <v>0.85416666666666663</v>
      </c>
      <c r="G2742" s="49">
        <v>8.0000000000000036</v>
      </c>
      <c r="H2742" s="49">
        <v>3.9999999999999964</v>
      </c>
      <c r="I2742" s="49">
        <v>3.9999999999999964</v>
      </c>
      <c r="J2742" s="53" t="s">
        <v>30</v>
      </c>
      <c r="K2742" s="51" t="s">
        <v>913</v>
      </c>
      <c r="L2742" s="52">
        <v>1</v>
      </c>
      <c r="M2742" s="19" t="str">
        <f t="shared" si="66"/>
        <v>Jul_2019</v>
      </c>
    </row>
    <row r="2743" spans="1:13">
      <c r="A2743" s="45" t="s">
        <v>11</v>
      </c>
      <c r="B2743" s="52" t="s">
        <v>547</v>
      </c>
      <c r="C2743" s="46">
        <v>43647</v>
      </c>
      <c r="D2743" s="47" t="s">
        <v>16</v>
      </c>
      <c r="E2743" s="48">
        <v>0.72916666666666674</v>
      </c>
      <c r="F2743" s="48">
        <v>0.89583333333333337</v>
      </c>
      <c r="G2743" s="49">
        <v>8.0000000000000036</v>
      </c>
      <c r="H2743" s="49">
        <v>3.9999999999999982</v>
      </c>
      <c r="I2743" s="49">
        <v>3.9999999999999982</v>
      </c>
      <c r="J2743" s="53" t="s">
        <v>30</v>
      </c>
      <c r="K2743" s="51" t="s">
        <v>913</v>
      </c>
      <c r="L2743" s="52">
        <v>1</v>
      </c>
      <c r="M2743" s="19" t="str">
        <f t="shared" si="66"/>
        <v>Jul_2019</v>
      </c>
    </row>
    <row r="2744" spans="1:13">
      <c r="A2744" s="45" t="s">
        <v>11</v>
      </c>
      <c r="B2744" s="52" t="s">
        <v>684</v>
      </c>
      <c r="C2744" s="46">
        <v>43647</v>
      </c>
      <c r="D2744" s="47" t="s">
        <v>16</v>
      </c>
      <c r="E2744" s="48">
        <v>0.72916666666666674</v>
      </c>
      <c r="F2744" s="48">
        <v>0.89583333333333337</v>
      </c>
      <c r="G2744" s="49">
        <v>8.0000000000000036</v>
      </c>
      <c r="H2744" s="49">
        <v>3.9999999999999982</v>
      </c>
      <c r="I2744" s="49">
        <v>3.9999999999999982</v>
      </c>
      <c r="J2744" s="53" t="s">
        <v>30</v>
      </c>
      <c r="K2744" s="51" t="s">
        <v>913</v>
      </c>
      <c r="L2744" s="52">
        <v>1</v>
      </c>
      <c r="M2744" s="19" t="str">
        <f t="shared" si="66"/>
        <v>Jul_2019</v>
      </c>
    </row>
    <row r="2745" spans="1:13">
      <c r="A2745" s="45" t="s">
        <v>11</v>
      </c>
      <c r="B2745" s="52" t="s">
        <v>779</v>
      </c>
      <c r="C2745" s="46">
        <v>43647</v>
      </c>
      <c r="D2745" s="47" t="s">
        <v>16</v>
      </c>
      <c r="E2745" s="48">
        <v>0.72916666666666674</v>
      </c>
      <c r="F2745" s="48">
        <v>0.89583333333333337</v>
      </c>
      <c r="G2745" s="49">
        <v>8.0000000000000036</v>
      </c>
      <c r="H2745" s="49">
        <v>3.9999999999999982</v>
      </c>
      <c r="I2745" s="49">
        <v>3.9999999999999982</v>
      </c>
      <c r="J2745" s="53" t="s">
        <v>30</v>
      </c>
      <c r="K2745" s="51" t="s">
        <v>913</v>
      </c>
      <c r="L2745" s="52">
        <v>1</v>
      </c>
      <c r="M2745" s="19" t="str">
        <f t="shared" si="66"/>
        <v>Jul_2019</v>
      </c>
    </row>
    <row r="2746" spans="1:13">
      <c r="A2746" s="45" t="s">
        <v>11</v>
      </c>
      <c r="B2746" s="52" t="s">
        <v>811</v>
      </c>
      <c r="C2746" s="46">
        <v>43647</v>
      </c>
      <c r="D2746" s="47" t="s">
        <v>16</v>
      </c>
      <c r="E2746" s="48">
        <v>0.72916666666666674</v>
      </c>
      <c r="F2746" s="48">
        <v>0.89583333333333337</v>
      </c>
      <c r="G2746" s="49">
        <v>8.0000000000000036</v>
      </c>
      <c r="H2746" s="49">
        <v>3.9999999999999982</v>
      </c>
      <c r="I2746" s="49">
        <v>3.9999999999999982</v>
      </c>
      <c r="J2746" s="53" t="s">
        <v>30</v>
      </c>
      <c r="K2746" s="51" t="s">
        <v>913</v>
      </c>
      <c r="L2746" s="52">
        <v>1</v>
      </c>
      <c r="M2746" s="19" t="str">
        <f t="shared" si="66"/>
        <v>Jul_2019</v>
      </c>
    </row>
    <row r="2747" spans="1:13">
      <c r="A2747" s="45" t="s">
        <v>11</v>
      </c>
      <c r="B2747" s="52" t="s">
        <v>910</v>
      </c>
      <c r="C2747" s="46">
        <v>43647</v>
      </c>
      <c r="D2747" s="47" t="s">
        <v>16</v>
      </c>
      <c r="E2747" s="48">
        <v>0.72916666666666674</v>
      </c>
      <c r="F2747" s="48">
        <v>0.89583333333333337</v>
      </c>
      <c r="G2747" s="49">
        <v>8.0000000000000036</v>
      </c>
      <c r="H2747" s="49">
        <v>3.9999999999999982</v>
      </c>
      <c r="I2747" s="49">
        <v>3.9999999999999982</v>
      </c>
      <c r="J2747" s="53" t="s">
        <v>30</v>
      </c>
      <c r="K2747" s="51" t="s">
        <v>913</v>
      </c>
      <c r="L2747" s="52">
        <v>1</v>
      </c>
      <c r="M2747" s="19" t="str">
        <f t="shared" si="66"/>
        <v>Jul_2019</v>
      </c>
    </row>
    <row r="2748" spans="1:13">
      <c r="A2748" s="45" t="s">
        <v>22</v>
      </c>
      <c r="B2748" s="69" t="s">
        <v>662</v>
      </c>
      <c r="C2748" s="46">
        <v>43647</v>
      </c>
      <c r="D2748" s="46" t="s">
        <v>16</v>
      </c>
      <c r="E2748" s="48">
        <v>0.35416666666666669</v>
      </c>
      <c r="F2748" s="48">
        <v>0.89583333333333337</v>
      </c>
      <c r="G2748" s="49">
        <v>0</v>
      </c>
      <c r="H2748" s="49">
        <v>12.000000000000002</v>
      </c>
      <c r="I2748" s="49">
        <v>12.000000000000002</v>
      </c>
      <c r="J2748" s="53" t="s">
        <v>30</v>
      </c>
      <c r="K2748" s="51" t="s">
        <v>913</v>
      </c>
      <c r="L2748" s="52" t="s">
        <v>281</v>
      </c>
      <c r="M2748" s="19" t="str">
        <f t="shared" si="66"/>
        <v>Jul_2019</v>
      </c>
    </row>
    <row r="2749" spans="1:13">
      <c r="A2749" s="45" t="s">
        <v>11</v>
      </c>
      <c r="B2749" s="52" t="s">
        <v>912</v>
      </c>
      <c r="C2749" s="46">
        <v>43648</v>
      </c>
      <c r="D2749" s="47" t="s">
        <v>14</v>
      </c>
      <c r="E2749" s="48">
        <v>0.72916666666666674</v>
      </c>
      <c r="F2749" s="48">
        <v>0.89583333333333337</v>
      </c>
      <c r="G2749" s="49">
        <v>8.0000000000000036</v>
      </c>
      <c r="H2749" s="49">
        <v>3.9999999999999982</v>
      </c>
      <c r="I2749" s="49">
        <v>3.9999999999999982</v>
      </c>
      <c r="J2749" s="53" t="s">
        <v>30</v>
      </c>
      <c r="K2749" s="51" t="s">
        <v>914</v>
      </c>
      <c r="L2749" s="52">
        <v>1</v>
      </c>
      <c r="M2749" s="19" t="str">
        <f t="shared" si="66"/>
        <v>Jul_2019</v>
      </c>
    </row>
    <row r="2750" spans="1:13">
      <c r="A2750" s="45" t="s">
        <v>11</v>
      </c>
      <c r="B2750" s="52" t="s">
        <v>19</v>
      </c>
      <c r="C2750" s="46">
        <v>43648</v>
      </c>
      <c r="D2750" s="47" t="s">
        <v>14</v>
      </c>
      <c r="E2750" s="48">
        <v>0.72916666666666674</v>
      </c>
      <c r="F2750" s="48">
        <v>0.89583333333333337</v>
      </c>
      <c r="G2750" s="49">
        <v>8.0000000000000036</v>
      </c>
      <c r="H2750" s="49">
        <v>3.9999999999999982</v>
      </c>
      <c r="I2750" s="49">
        <v>3.9999999999999982</v>
      </c>
      <c r="J2750" s="53" t="s">
        <v>30</v>
      </c>
      <c r="K2750" s="51" t="s">
        <v>914</v>
      </c>
      <c r="L2750" s="52">
        <v>1</v>
      </c>
      <c r="M2750" s="19" t="str">
        <f t="shared" si="66"/>
        <v>Jul_2019</v>
      </c>
    </row>
    <row r="2751" spans="1:13">
      <c r="A2751" s="45" t="s">
        <v>11</v>
      </c>
      <c r="B2751" s="52" t="s">
        <v>149</v>
      </c>
      <c r="C2751" s="46">
        <v>43648</v>
      </c>
      <c r="D2751" s="47" t="s">
        <v>14</v>
      </c>
      <c r="E2751" s="48">
        <v>0.72916666666666674</v>
      </c>
      <c r="F2751" s="48">
        <v>0.89583333333333337</v>
      </c>
      <c r="G2751" s="49">
        <v>8.0000000000000036</v>
      </c>
      <c r="H2751" s="49">
        <v>3.9999999999999982</v>
      </c>
      <c r="I2751" s="49">
        <v>3.9999999999999982</v>
      </c>
      <c r="J2751" s="53" t="s">
        <v>30</v>
      </c>
      <c r="K2751" s="51" t="s">
        <v>914</v>
      </c>
      <c r="L2751" s="52">
        <v>1</v>
      </c>
      <c r="M2751" s="19" t="str">
        <f t="shared" si="66"/>
        <v>Jul_2019</v>
      </c>
    </row>
    <row r="2752" spans="1:13">
      <c r="A2752" s="45" t="s">
        <v>11</v>
      </c>
      <c r="B2752" s="52" t="s">
        <v>161</v>
      </c>
      <c r="C2752" s="46">
        <v>43648</v>
      </c>
      <c r="D2752" s="47" t="s">
        <v>14</v>
      </c>
      <c r="E2752" s="48">
        <v>0.6875</v>
      </c>
      <c r="F2752" s="48">
        <v>0.85416666666666663</v>
      </c>
      <c r="G2752" s="49">
        <v>8.0000000000000036</v>
      </c>
      <c r="H2752" s="49">
        <v>3.9999999999999964</v>
      </c>
      <c r="I2752" s="49">
        <v>3.9999999999999964</v>
      </c>
      <c r="J2752" s="53" t="s">
        <v>30</v>
      </c>
      <c r="K2752" s="51" t="s">
        <v>914</v>
      </c>
      <c r="L2752" s="52">
        <v>1</v>
      </c>
      <c r="M2752" s="19" t="str">
        <f t="shared" si="66"/>
        <v>Jul_2019</v>
      </c>
    </row>
    <row r="2753" spans="1:13">
      <c r="A2753" s="45" t="s">
        <v>11</v>
      </c>
      <c r="B2753" s="52" t="s">
        <v>542</v>
      </c>
      <c r="C2753" s="46">
        <v>43648</v>
      </c>
      <c r="D2753" s="47" t="s">
        <v>14</v>
      </c>
      <c r="E2753" s="48">
        <v>0.72916666666666674</v>
      </c>
      <c r="F2753" s="48">
        <v>0.89583333333333337</v>
      </c>
      <c r="G2753" s="49">
        <v>8.0000000000000036</v>
      </c>
      <c r="H2753" s="49">
        <v>3.9999999999999982</v>
      </c>
      <c r="I2753" s="49">
        <v>3.9999999999999982</v>
      </c>
      <c r="J2753" s="53" t="s">
        <v>30</v>
      </c>
      <c r="K2753" s="51" t="s">
        <v>914</v>
      </c>
      <c r="L2753" s="52">
        <v>1</v>
      </c>
      <c r="M2753" s="19" t="str">
        <f t="shared" si="66"/>
        <v>Jul_2019</v>
      </c>
    </row>
    <row r="2754" spans="1:13">
      <c r="A2754" s="45" t="s">
        <v>11</v>
      </c>
      <c r="B2754" s="52" t="s">
        <v>547</v>
      </c>
      <c r="C2754" s="46">
        <v>43648</v>
      </c>
      <c r="D2754" s="47" t="s">
        <v>14</v>
      </c>
      <c r="E2754" s="48">
        <v>0.72916666666666674</v>
      </c>
      <c r="F2754" s="48">
        <v>0.89583333333333337</v>
      </c>
      <c r="G2754" s="49">
        <v>8.0000000000000036</v>
      </c>
      <c r="H2754" s="49">
        <v>3.9999999999999982</v>
      </c>
      <c r="I2754" s="49">
        <v>3.9999999999999982</v>
      </c>
      <c r="J2754" s="53" t="s">
        <v>30</v>
      </c>
      <c r="K2754" s="51" t="s">
        <v>914</v>
      </c>
      <c r="L2754" s="52">
        <v>1</v>
      </c>
      <c r="M2754" s="19" t="str">
        <f t="shared" si="66"/>
        <v>Jul_2019</v>
      </c>
    </row>
    <row r="2755" spans="1:13">
      <c r="A2755" s="45" t="s">
        <v>11</v>
      </c>
      <c r="B2755" s="52" t="s">
        <v>684</v>
      </c>
      <c r="C2755" s="46">
        <v>43648</v>
      </c>
      <c r="D2755" s="47" t="s">
        <v>14</v>
      </c>
      <c r="E2755" s="48">
        <v>0.72916666666666674</v>
      </c>
      <c r="F2755" s="48">
        <v>0.89583333333333337</v>
      </c>
      <c r="G2755" s="49">
        <v>8.0000000000000036</v>
      </c>
      <c r="H2755" s="49">
        <v>3.9999999999999982</v>
      </c>
      <c r="I2755" s="49">
        <v>3.9999999999999982</v>
      </c>
      <c r="J2755" s="53" t="s">
        <v>30</v>
      </c>
      <c r="K2755" s="51" t="s">
        <v>914</v>
      </c>
      <c r="L2755" s="52">
        <v>1</v>
      </c>
      <c r="M2755" s="19" t="str">
        <f t="shared" si="66"/>
        <v>Jul_2019</v>
      </c>
    </row>
    <row r="2756" spans="1:13">
      <c r="A2756" s="45" t="s">
        <v>11</v>
      </c>
      <c r="B2756" s="52" t="s">
        <v>779</v>
      </c>
      <c r="C2756" s="46">
        <v>43648</v>
      </c>
      <c r="D2756" s="47" t="s">
        <v>14</v>
      </c>
      <c r="E2756" s="48">
        <v>0.72916666666666674</v>
      </c>
      <c r="F2756" s="48">
        <v>0.89583333333333337</v>
      </c>
      <c r="G2756" s="49">
        <v>8.0000000000000036</v>
      </c>
      <c r="H2756" s="49">
        <v>3.9999999999999982</v>
      </c>
      <c r="I2756" s="49">
        <v>3.9999999999999982</v>
      </c>
      <c r="J2756" s="53" t="s">
        <v>30</v>
      </c>
      <c r="K2756" s="51" t="s">
        <v>914</v>
      </c>
      <c r="L2756" s="52">
        <v>1</v>
      </c>
      <c r="M2756" s="19" t="str">
        <f t="shared" si="66"/>
        <v>Jul_2019</v>
      </c>
    </row>
    <row r="2757" spans="1:13">
      <c r="A2757" s="45" t="s">
        <v>11</v>
      </c>
      <c r="B2757" s="52" t="s">
        <v>811</v>
      </c>
      <c r="C2757" s="46">
        <v>43648</v>
      </c>
      <c r="D2757" s="47" t="s">
        <v>14</v>
      </c>
      <c r="E2757" s="48">
        <v>0.72916666666666674</v>
      </c>
      <c r="F2757" s="48">
        <v>0.89583333333333337</v>
      </c>
      <c r="G2757" s="49">
        <v>8.0000000000000036</v>
      </c>
      <c r="H2757" s="49">
        <v>3.9999999999999982</v>
      </c>
      <c r="I2757" s="49">
        <v>3.9999999999999982</v>
      </c>
      <c r="J2757" s="53" t="s">
        <v>30</v>
      </c>
      <c r="K2757" s="51" t="s">
        <v>914</v>
      </c>
      <c r="L2757" s="52">
        <v>1</v>
      </c>
      <c r="M2757" s="19" t="str">
        <f t="shared" si="66"/>
        <v>Jul_2019</v>
      </c>
    </row>
    <row r="2758" spans="1:13">
      <c r="A2758" s="45" t="s">
        <v>11</v>
      </c>
      <c r="B2758" s="52" t="s">
        <v>910</v>
      </c>
      <c r="C2758" s="46">
        <v>43648</v>
      </c>
      <c r="D2758" s="47" t="s">
        <v>14</v>
      </c>
      <c r="E2758" s="48">
        <v>0.72916666666666674</v>
      </c>
      <c r="F2758" s="48">
        <v>0.89583333333333337</v>
      </c>
      <c r="G2758" s="49">
        <v>8.0000000000000036</v>
      </c>
      <c r="H2758" s="49">
        <v>3.9999999999999982</v>
      </c>
      <c r="I2758" s="49">
        <v>3.9999999999999982</v>
      </c>
      <c r="J2758" s="53" t="s">
        <v>30</v>
      </c>
      <c r="K2758" s="51" t="s">
        <v>914</v>
      </c>
      <c r="L2758" s="52">
        <v>1</v>
      </c>
      <c r="M2758" s="19" t="str">
        <f t="shared" si="66"/>
        <v>Jul_2019</v>
      </c>
    </row>
    <row r="2759" spans="1:13">
      <c r="A2759" s="45" t="s">
        <v>22</v>
      </c>
      <c r="B2759" s="52" t="s">
        <v>662</v>
      </c>
      <c r="C2759" s="46">
        <v>43648</v>
      </c>
      <c r="D2759" s="47" t="s">
        <v>14</v>
      </c>
      <c r="E2759" s="48">
        <v>0.35416666666666669</v>
      </c>
      <c r="F2759" s="48">
        <v>0.89583333333333337</v>
      </c>
      <c r="G2759" s="49">
        <v>0</v>
      </c>
      <c r="H2759" s="49">
        <v>12.000000000000002</v>
      </c>
      <c r="I2759" s="49">
        <v>12.000000000000002</v>
      </c>
      <c r="J2759" s="53" t="s">
        <v>30</v>
      </c>
      <c r="K2759" s="51" t="s">
        <v>914</v>
      </c>
      <c r="L2759" s="52" t="s">
        <v>281</v>
      </c>
      <c r="M2759" s="19" t="str">
        <f t="shared" si="66"/>
        <v>Jul_2019</v>
      </c>
    </row>
    <row r="2760" spans="1:13">
      <c r="A2760" s="45" t="s">
        <v>11</v>
      </c>
      <c r="B2760" s="52" t="s">
        <v>912</v>
      </c>
      <c r="C2760" s="46">
        <v>43649</v>
      </c>
      <c r="D2760" s="47" t="s">
        <v>15</v>
      </c>
      <c r="E2760" s="48">
        <v>0.72916666666666674</v>
      </c>
      <c r="F2760" s="48">
        <v>0.89583333333333337</v>
      </c>
      <c r="G2760" s="49">
        <v>8.0000000000000036</v>
      </c>
      <c r="H2760" s="49">
        <v>3.9999999999999982</v>
      </c>
      <c r="I2760" s="49">
        <v>3.9999999999999982</v>
      </c>
      <c r="J2760" s="53" t="s">
        <v>30</v>
      </c>
      <c r="K2760" s="51" t="s">
        <v>915</v>
      </c>
      <c r="L2760" s="52">
        <v>1</v>
      </c>
      <c r="M2760" s="19" t="str">
        <f t="shared" si="66"/>
        <v>Jul_2019</v>
      </c>
    </row>
    <row r="2761" spans="1:13">
      <c r="A2761" s="45" t="s">
        <v>11</v>
      </c>
      <c r="B2761" s="52" t="s">
        <v>19</v>
      </c>
      <c r="C2761" s="46">
        <v>43649</v>
      </c>
      <c r="D2761" s="47" t="s">
        <v>15</v>
      </c>
      <c r="E2761" s="48">
        <v>0.72916666666666674</v>
      </c>
      <c r="F2761" s="48">
        <v>0.89583333333333337</v>
      </c>
      <c r="G2761" s="49">
        <v>8.0000000000000036</v>
      </c>
      <c r="H2761" s="49">
        <v>3.9999999999999982</v>
      </c>
      <c r="I2761" s="49">
        <v>3.9999999999999982</v>
      </c>
      <c r="J2761" s="53" t="s">
        <v>30</v>
      </c>
      <c r="K2761" s="51" t="s">
        <v>915</v>
      </c>
      <c r="L2761" s="52">
        <v>1</v>
      </c>
      <c r="M2761" s="19" t="str">
        <f t="shared" si="66"/>
        <v>Jul_2019</v>
      </c>
    </row>
    <row r="2762" spans="1:13">
      <c r="A2762" s="45" t="s">
        <v>11</v>
      </c>
      <c r="B2762" s="52" t="s">
        <v>149</v>
      </c>
      <c r="C2762" s="46">
        <v>43649</v>
      </c>
      <c r="D2762" s="47" t="s">
        <v>15</v>
      </c>
      <c r="E2762" s="48">
        <v>0.72916666666666674</v>
      </c>
      <c r="F2762" s="48">
        <v>0.89583333333333337</v>
      </c>
      <c r="G2762" s="49">
        <v>8.0000000000000036</v>
      </c>
      <c r="H2762" s="49">
        <v>3.9999999999999982</v>
      </c>
      <c r="I2762" s="49">
        <v>3.9999999999999982</v>
      </c>
      <c r="J2762" s="53" t="s">
        <v>30</v>
      </c>
      <c r="K2762" s="51" t="s">
        <v>915</v>
      </c>
      <c r="L2762" s="52">
        <v>1</v>
      </c>
      <c r="M2762" s="19" t="str">
        <f t="shared" si="66"/>
        <v>Jul_2019</v>
      </c>
    </row>
    <row r="2763" spans="1:13">
      <c r="A2763" s="45" t="s">
        <v>11</v>
      </c>
      <c r="B2763" s="52" t="s">
        <v>161</v>
      </c>
      <c r="C2763" s="46">
        <v>43649</v>
      </c>
      <c r="D2763" s="47" t="s">
        <v>15</v>
      </c>
      <c r="E2763" s="48">
        <v>0.72916666666666674</v>
      </c>
      <c r="F2763" s="48">
        <v>0.89583333333333337</v>
      </c>
      <c r="G2763" s="49">
        <v>8.0000000000000036</v>
      </c>
      <c r="H2763" s="49">
        <v>3.9999999999999982</v>
      </c>
      <c r="I2763" s="49">
        <v>3.9999999999999982</v>
      </c>
      <c r="J2763" s="53" t="s">
        <v>30</v>
      </c>
      <c r="K2763" s="51" t="s">
        <v>915</v>
      </c>
      <c r="L2763" s="52">
        <v>1</v>
      </c>
      <c r="M2763" s="19" t="str">
        <f t="shared" si="66"/>
        <v>Jul_2019</v>
      </c>
    </row>
    <row r="2764" spans="1:13">
      <c r="A2764" s="45" t="s">
        <v>11</v>
      </c>
      <c r="B2764" s="52" t="s">
        <v>542</v>
      </c>
      <c r="C2764" s="46">
        <v>43649</v>
      </c>
      <c r="D2764" s="47" t="s">
        <v>15</v>
      </c>
      <c r="E2764" s="48">
        <v>0.72916666666666674</v>
      </c>
      <c r="F2764" s="48">
        <v>0.89583333333333337</v>
      </c>
      <c r="G2764" s="49">
        <v>8.0000000000000036</v>
      </c>
      <c r="H2764" s="49">
        <v>3.9999999999999982</v>
      </c>
      <c r="I2764" s="49">
        <v>3.9999999999999982</v>
      </c>
      <c r="J2764" s="53" t="s">
        <v>30</v>
      </c>
      <c r="K2764" s="51" t="s">
        <v>915</v>
      </c>
      <c r="L2764" s="52">
        <v>1</v>
      </c>
      <c r="M2764" s="19" t="str">
        <f t="shared" si="66"/>
        <v>Jul_2019</v>
      </c>
    </row>
    <row r="2765" spans="1:13">
      <c r="A2765" s="45" t="s">
        <v>11</v>
      </c>
      <c r="B2765" s="52" t="s">
        <v>547</v>
      </c>
      <c r="C2765" s="46">
        <v>43649</v>
      </c>
      <c r="D2765" s="47" t="s">
        <v>15</v>
      </c>
      <c r="E2765" s="48">
        <v>0.72916666666666674</v>
      </c>
      <c r="F2765" s="48">
        <v>0.89583333333333337</v>
      </c>
      <c r="G2765" s="49">
        <v>8.0000000000000036</v>
      </c>
      <c r="H2765" s="49">
        <v>3.9999999999999982</v>
      </c>
      <c r="I2765" s="49">
        <v>3.9999999999999982</v>
      </c>
      <c r="J2765" s="53" t="s">
        <v>30</v>
      </c>
      <c r="K2765" s="51" t="s">
        <v>915</v>
      </c>
      <c r="L2765" s="52">
        <v>1</v>
      </c>
      <c r="M2765" s="19" t="str">
        <f t="shared" si="66"/>
        <v>Jul_2019</v>
      </c>
    </row>
    <row r="2766" spans="1:13">
      <c r="A2766" s="45" t="s">
        <v>11</v>
      </c>
      <c r="B2766" s="52" t="s">
        <v>684</v>
      </c>
      <c r="C2766" s="46">
        <v>43649</v>
      </c>
      <c r="D2766" s="47" t="s">
        <v>15</v>
      </c>
      <c r="E2766" s="48">
        <v>0.64583333333333326</v>
      </c>
      <c r="F2766" s="48">
        <v>0.89583333333333337</v>
      </c>
      <c r="G2766" s="49">
        <v>8.0000000000000036</v>
      </c>
      <c r="H2766" s="49">
        <v>5.9999999999999964</v>
      </c>
      <c r="I2766" s="49">
        <v>5.9999999999999964</v>
      </c>
      <c r="J2766" s="53" t="s">
        <v>30</v>
      </c>
      <c r="K2766" s="51" t="s">
        <v>915</v>
      </c>
      <c r="L2766" s="52">
        <v>1</v>
      </c>
      <c r="M2766" s="19" t="str">
        <f t="shared" si="66"/>
        <v>Jul_2019</v>
      </c>
    </row>
    <row r="2767" spans="1:13">
      <c r="A2767" s="45" t="s">
        <v>11</v>
      </c>
      <c r="B2767" s="52" t="s">
        <v>779</v>
      </c>
      <c r="C2767" s="46">
        <v>43649</v>
      </c>
      <c r="D2767" s="47" t="s">
        <v>15</v>
      </c>
      <c r="E2767" s="48">
        <v>0.72916666666666674</v>
      </c>
      <c r="F2767" s="48">
        <v>0.89583333333333337</v>
      </c>
      <c r="G2767" s="49">
        <v>8.0000000000000036</v>
      </c>
      <c r="H2767" s="49">
        <v>3.9999999999999982</v>
      </c>
      <c r="I2767" s="49">
        <v>3.9999999999999982</v>
      </c>
      <c r="J2767" s="53" t="s">
        <v>30</v>
      </c>
      <c r="K2767" s="51" t="s">
        <v>915</v>
      </c>
      <c r="L2767" s="52">
        <v>1</v>
      </c>
      <c r="M2767" s="19" t="str">
        <f t="shared" si="66"/>
        <v>Jul_2019</v>
      </c>
    </row>
    <row r="2768" spans="1:13">
      <c r="A2768" s="45" t="s">
        <v>11</v>
      </c>
      <c r="B2768" s="52" t="s">
        <v>811</v>
      </c>
      <c r="C2768" s="46">
        <v>43649</v>
      </c>
      <c r="D2768" s="47" t="s">
        <v>15</v>
      </c>
      <c r="E2768" s="48">
        <v>0.72916666666666674</v>
      </c>
      <c r="F2768" s="48">
        <v>0.89583333333333337</v>
      </c>
      <c r="G2768" s="49">
        <v>8.0000000000000036</v>
      </c>
      <c r="H2768" s="49">
        <v>3.9999999999999982</v>
      </c>
      <c r="I2768" s="49">
        <v>3.9999999999999982</v>
      </c>
      <c r="J2768" s="53" t="s">
        <v>30</v>
      </c>
      <c r="K2768" s="51" t="s">
        <v>915</v>
      </c>
      <c r="L2768" s="52">
        <v>1</v>
      </c>
      <c r="M2768" s="19" t="str">
        <f t="shared" si="66"/>
        <v>Jul_2019</v>
      </c>
    </row>
    <row r="2769" spans="1:13">
      <c r="A2769" s="45" t="s">
        <v>22</v>
      </c>
      <c r="B2769" s="52" t="s">
        <v>662</v>
      </c>
      <c r="C2769" s="46">
        <v>43649</v>
      </c>
      <c r="D2769" s="47" t="s">
        <v>15</v>
      </c>
      <c r="E2769" s="48">
        <v>0.35416666666666669</v>
      </c>
      <c r="F2769" s="48">
        <v>0.89583333333333337</v>
      </c>
      <c r="G2769" s="49">
        <v>0</v>
      </c>
      <c r="H2769" s="49">
        <v>12.000000000000002</v>
      </c>
      <c r="I2769" s="49">
        <v>12.000000000000002</v>
      </c>
      <c r="J2769" s="53" t="s">
        <v>30</v>
      </c>
      <c r="K2769" s="51" t="s">
        <v>915</v>
      </c>
      <c r="L2769" s="52" t="s">
        <v>281</v>
      </c>
      <c r="M2769" s="19" t="str">
        <f t="shared" si="66"/>
        <v>Jul_2019</v>
      </c>
    </row>
    <row r="2770" spans="1:13">
      <c r="A2770" s="45" t="s">
        <v>22</v>
      </c>
      <c r="B2770" s="52" t="s">
        <v>679</v>
      </c>
      <c r="C2770" s="46">
        <v>43649</v>
      </c>
      <c r="D2770" s="47" t="s">
        <v>15</v>
      </c>
      <c r="E2770" s="48">
        <v>0.54166666666666663</v>
      </c>
      <c r="F2770" s="48">
        <v>0.89583333333333337</v>
      </c>
      <c r="G2770" s="49">
        <v>0</v>
      </c>
      <c r="H2770" s="49">
        <v>7.5000000000000018</v>
      </c>
      <c r="I2770" s="49">
        <v>7.5000000000000018</v>
      </c>
      <c r="J2770" s="53" t="s">
        <v>30</v>
      </c>
      <c r="K2770" s="51" t="s">
        <v>915</v>
      </c>
      <c r="L2770" s="52" t="s">
        <v>281</v>
      </c>
      <c r="M2770" s="19" t="str">
        <f t="shared" si="66"/>
        <v>Jul_2019</v>
      </c>
    </row>
    <row r="2771" spans="1:13">
      <c r="A2771" s="45" t="s">
        <v>11</v>
      </c>
      <c r="B2771" s="52" t="s">
        <v>912</v>
      </c>
      <c r="C2771" s="46">
        <v>43650</v>
      </c>
      <c r="D2771" s="47" t="s">
        <v>25</v>
      </c>
      <c r="E2771" s="48">
        <v>0.72916666666666674</v>
      </c>
      <c r="F2771" s="48">
        <v>0.89583333333333337</v>
      </c>
      <c r="G2771" s="49">
        <v>8.0000000000000036</v>
      </c>
      <c r="H2771" s="49">
        <v>3.9999999999999982</v>
      </c>
      <c r="I2771" s="49">
        <v>3.9999999999999982</v>
      </c>
      <c r="J2771" s="53" t="s">
        <v>30</v>
      </c>
      <c r="K2771" s="51" t="s">
        <v>916</v>
      </c>
      <c r="L2771" s="52">
        <v>1</v>
      </c>
      <c r="M2771" s="19" t="str">
        <f t="shared" si="66"/>
        <v>Jul_2019</v>
      </c>
    </row>
    <row r="2772" spans="1:13">
      <c r="A2772" s="45" t="s">
        <v>11</v>
      </c>
      <c r="B2772" s="52" t="s">
        <v>19</v>
      </c>
      <c r="C2772" s="46">
        <v>43650</v>
      </c>
      <c r="D2772" s="47" t="s">
        <v>25</v>
      </c>
      <c r="E2772" s="48">
        <v>0.72916666666666674</v>
      </c>
      <c r="F2772" s="48">
        <v>0.89583333333333337</v>
      </c>
      <c r="G2772" s="49">
        <v>8.0000000000000036</v>
      </c>
      <c r="H2772" s="49">
        <v>3.9999999999999982</v>
      </c>
      <c r="I2772" s="49">
        <v>3.9999999999999982</v>
      </c>
      <c r="J2772" s="53" t="s">
        <v>30</v>
      </c>
      <c r="K2772" s="51" t="s">
        <v>916</v>
      </c>
      <c r="L2772" s="52">
        <v>1</v>
      </c>
      <c r="M2772" s="19" t="str">
        <f t="shared" si="66"/>
        <v>Jul_2019</v>
      </c>
    </row>
    <row r="2773" spans="1:13">
      <c r="A2773" s="45" t="s">
        <v>11</v>
      </c>
      <c r="B2773" s="52" t="s">
        <v>149</v>
      </c>
      <c r="C2773" s="46">
        <v>43650</v>
      </c>
      <c r="D2773" s="47" t="s">
        <v>25</v>
      </c>
      <c r="E2773" s="48">
        <v>0.72916666666666674</v>
      </c>
      <c r="F2773" s="48">
        <v>0.89583333333333337</v>
      </c>
      <c r="G2773" s="49">
        <v>8.0000000000000036</v>
      </c>
      <c r="H2773" s="49">
        <v>3.9999999999999982</v>
      </c>
      <c r="I2773" s="49">
        <v>3.9999999999999982</v>
      </c>
      <c r="J2773" s="53" t="s">
        <v>30</v>
      </c>
      <c r="K2773" s="51" t="s">
        <v>916</v>
      </c>
      <c r="L2773" s="52">
        <v>1</v>
      </c>
      <c r="M2773" s="19" t="str">
        <f t="shared" si="66"/>
        <v>Jul_2019</v>
      </c>
    </row>
    <row r="2774" spans="1:13">
      <c r="A2774" s="45" t="s">
        <v>11</v>
      </c>
      <c r="B2774" s="52" t="s">
        <v>161</v>
      </c>
      <c r="C2774" s="46">
        <v>43650</v>
      </c>
      <c r="D2774" s="47" t="s">
        <v>25</v>
      </c>
      <c r="E2774" s="48">
        <v>0.72916666666666674</v>
      </c>
      <c r="F2774" s="48">
        <v>0.89583333333333337</v>
      </c>
      <c r="G2774" s="49">
        <v>8.0000000000000036</v>
      </c>
      <c r="H2774" s="49">
        <v>3.9999999999999982</v>
      </c>
      <c r="I2774" s="49">
        <v>3.9999999999999982</v>
      </c>
      <c r="J2774" s="53" t="s">
        <v>30</v>
      </c>
      <c r="K2774" s="51" t="s">
        <v>916</v>
      </c>
      <c r="L2774" s="52">
        <v>1</v>
      </c>
      <c r="M2774" s="19" t="str">
        <f t="shared" si="66"/>
        <v>Jul_2019</v>
      </c>
    </row>
    <row r="2775" spans="1:13">
      <c r="A2775" s="45" t="s">
        <v>11</v>
      </c>
      <c r="B2775" s="52" t="s">
        <v>542</v>
      </c>
      <c r="C2775" s="46">
        <v>43650</v>
      </c>
      <c r="D2775" s="47" t="s">
        <v>25</v>
      </c>
      <c r="E2775" s="48">
        <v>0.6875</v>
      </c>
      <c r="F2775" s="48">
        <v>0.85416666666666663</v>
      </c>
      <c r="G2775" s="49">
        <v>8.0000000000000036</v>
      </c>
      <c r="H2775" s="49">
        <v>3.9999999999999964</v>
      </c>
      <c r="I2775" s="49">
        <v>3.9999999999999964</v>
      </c>
      <c r="J2775" s="53" t="s">
        <v>30</v>
      </c>
      <c r="K2775" s="51" t="s">
        <v>916</v>
      </c>
      <c r="L2775" s="52">
        <v>1</v>
      </c>
      <c r="M2775" s="19" t="str">
        <f t="shared" si="66"/>
        <v>Jul_2019</v>
      </c>
    </row>
    <row r="2776" spans="1:13">
      <c r="A2776" s="45" t="s">
        <v>11</v>
      </c>
      <c r="B2776" s="52" t="s">
        <v>547</v>
      </c>
      <c r="C2776" s="46">
        <v>43650</v>
      </c>
      <c r="D2776" s="47" t="s">
        <v>25</v>
      </c>
      <c r="E2776" s="48">
        <v>0.72916666666666674</v>
      </c>
      <c r="F2776" s="48">
        <v>0.89583333333333337</v>
      </c>
      <c r="G2776" s="49">
        <v>8.0000000000000036</v>
      </c>
      <c r="H2776" s="49">
        <v>3.9999999999999982</v>
      </c>
      <c r="I2776" s="49">
        <v>3.9999999999999982</v>
      </c>
      <c r="J2776" s="53" t="s">
        <v>30</v>
      </c>
      <c r="K2776" s="51" t="s">
        <v>916</v>
      </c>
      <c r="L2776" s="52">
        <v>1</v>
      </c>
      <c r="M2776" s="19" t="str">
        <f t="shared" si="66"/>
        <v>Jul_2019</v>
      </c>
    </row>
    <row r="2777" spans="1:13">
      <c r="A2777" s="45" t="s">
        <v>11</v>
      </c>
      <c r="B2777" s="52" t="s">
        <v>684</v>
      </c>
      <c r="C2777" s="46">
        <v>43650</v>
      </c>
      <c r="D2777" s="47" t="s">
        <v>25</v>
      </c>
      <c r="E2777" s="48">
        <v>0.72916666666666674</v>
      </c>
      <c r="F2777" s="48">
        <v>0.89583333333333337</v>
      </c>
      <c r="G2777" s="49">
        <v>8.0000000000000036</v>
      </c>
      <c r="H2777" s="49">
        <v>3.9999999999999982</v>
      </c>
      <c r="I2777" s="49">
        <v>3.9999999999999982</v>
      </c>
      <c r="J2777" s="53" t="s">
        <v>30</v>
      </c>
      <c r="K2777" s="51" t="s">
        <v>916</v>
      </c>
      <c r="L2777" s="52">
        <v>1</v>
      </c>
      <c r="M2777" s="19" t="str">
        <f t="shared" si="66"/>
        <v>Jul_2019</v>
      </c>
    </row>
    <row r="2778" spans="1:13">
      <c r="A2778" s="45" t="s">
        <v>11</v>
      </c>
      <c r="B2778" s="52" t="s">
        <v>779</v>
      </c>
      <c r="C2778" s="46">
        <v>43650</v>
      </c>
      <c r="D2778" s="47" t="s">
        <v>25</v>
      </c>
      <c r="E2778" s="48">
        <v>0.72916666666666674</v>
      </c>
      <c r="F2778" s="48">
        <v>0.89583333333333337</v>
      </c>
      <c r="G2778" s="49">
        <v>8.0000000000000036</v>
      </c>
      <c r="H2778" s="49">
        <v>3.9999999999999982</v>
      </c>
      <c r="I2778" s="49">
        <v>3.9999999999999982</v>
      </c>
      <c r="J2778" s="53" t="s">
        <v>30</v>
      </c>
      <c r="K2778" s="51" t="s">
        <v>916</v>
      </c>
      <c r="L2778" s="52">
        <v>1</v>
      </c>
      <c r="M2778" s="19" t="str">
        <f t="shared" si="66"/>
        <v>Jul_2019</v>
      </c>
    </row>
    <row r="2779" spans="1:13">
      <c r="A2779" s="45" t="s">
        <v>11</v>
      </c>
      <c r="B2779" s="52" t="s">
        <v>811</v>
      </c>
      <c r="C2779" s="46">
        <v>43650</v>
      </c>
      <c r="D2779" s="47" t="s">
        <v>25</v>
      </c>
      <c r="E2779" s="48">
        <v>0.72916666666666674</v>
      </c>
      <c r="F2779" s="48">
        <v>0.89583333333333337</v>
      </c>
      <c r="G2779" s="49">
        <v>8.0000000000000036</v>
      </c>
      <c r="H2779" s="49">
        <v>3.9999999999999982</v>
      </c>
      <c r="I2779" s="49">
        <v>3.9999999999999982</v>
      </c>
      <c r="J2779" s="53" t="s">
        <v>30</v>
      </c>
      <c r="K2779" s="51" t="s">
        <v>916</v>
      </c>
      <c r="L2779" s="52">
        <v>1</v>
      </c>
      <c r="M2779" s="19" t="str">
        <f t="shared" si="66"/>
        <v>Jul_2019</v>
      </c>
    </row>
    <row r="2780" spans="1:13">
      <c r="A2780" s="45" t="s">
        <v>11</v>
      </c>
      <c r="B2780" s="52" t="s">
        <v>910</v>
      </c>
      <c r="C2780" s="46">
        <v>43650</v>
      </c>
      <c r="D2780" s="47" t="s">
        <v>25</v>
      </c>
      <c r="E2780" s="48">
        <v>0.72916666666666674</v>
      </c>
      <c r="F2780" s="48">
        <v>0.89583333333333337</v>
      </c>
      <c r="G2780" s="49">
        <v>8.0000000000000036</v>
      </c>
      <c r="H2780" s="49">
        <v>3.9999999999999982</v>
      </c>
      <c r="I2780" s="49">
        <v>3.9999999999999982</v>
      </c>
      <c r="J2780" s="53" t="s">
        <v>30</v>
      </c>
      <c r="K2780" s="51" t="s">
        <v>916</v>
      </c>
      <c r="L2780" s="52">
        <v>1</v>
      </c>
      <c r="M2780" s="19" t="str">
        <f t="shared" si="66"/>
        <v>Jul_2019</v>
      </c>
    </row>
    <row r="2781" spans="1:13">
      <c r="A2781" s="45" t="s">
        <v>22</v>
      </c>
      <c r="B2781" s="52" t="s">
        <v>662</v>
      </c>
      <c r="C2781" s="46">
        <v>43650</v>
      </c>
      <c r="D2781" s="47" t="s">
        <v>25</v>
      </c>
      <c r="E2781" s="48">
        <v>0.35416666666666669</v>
      </c>
      <c r="F2781" s="48">
        <v>0.89583333333333337</v>
      </c>
      <c r="G2781" s="49">
        <v>0</v>
      </c>
      <c r="H2781" s="49">
        <v>12.000000000000002</v>
      </c>
      <c r="I2781" s="49">
        <v>12.000000000000002</v>
      </c>
      <c r="J2781" s="53" t="s">
        <v>30</v>
      </c>
      <c r="K2781" s="51" t="s">
        <v>916</v>
      </c>
      <c r="L2781" s="52" t="s">
        <v>281</v>
      </c>
      <c r="M2781" s="19" t="str">
        <f t="shared" si="66"/>
        <v>Jul_2019</v>
      </c>
    </row>
    <row r="2782" spans="1:13">
      <c r="A2782" s="45" t="s">
        <v>11</v>
      </c>
      <c r="B2782" s="52" t="s">
        <v>912</v>
      </c>
      <c r="C2782" s="46">
        <v>43651</v>
      </c>
      <c r="D2782" s="47" t="s">
        <v>17</v>
      </c>
      <c r="E2782" s="48">
        <v>0.72916666666666674</v>
      </c>
      <c r="F2782" s="48">
        <v>0.91666666666666663</v>
      </c>
      <c r="G2782" s="49">
        <v>8.0000000000000036</v>
      </c>
      <c r="H2782" s="49">
        <v>4.4999999999999964</v>
      </c>
      <c r="I2782" s="49">
        <v>4.4999999999999964</v>
      </c>
      <c r="J2782" s="53" t="s">
        <v>30</v>
      </c>
      <c r="K2782" s="51" t="s">
        <v>917</v>
      </c>
      <c r="L2782" s="52">
        <v>1</v>
      </c>
      <c r="M2782" s="19" t="str">
        <f t="shared" si="66"/>
        <v>Jul_2019</v>
      </c>
    </row>
    <row r="2783" spans="1:13">
      <c r="A2783" s="45" t="s">
        <v>11</v>
      </c>
      <c r="B2783" s="52" t="s">
        <v>19</v>
      </c>
      <c r="C2783" s="46">
        <v>43651</v>
      </c>
      <c r="D2783" s="47" t="s">
        <v>17</v>
      </c>
      <c r="E2783" s="48">
        <v>0.72916666666666674</v>
      </c>
      <c r="F2783" s="48">
        <v>0.91666666666666663</v>
      </c>
      <c r="G2783" s="49">
        <v>8.0000000000000036</v>
      </c>
      <c r="H2783" s="49">
        <v>4.4999999999999964</v>
      </c>
      <c r="I2783" s="49">
        <v>4.4999999999999964</v>
      </c>
      <c r="J2783" s="53" t="s">
        <v>30</v>
      </c>
      <c r="K2783" s="51" t="s">
        <v>917</v>
      </c>
      <c r="L2783" s="52">
        <v>1</v>
      </c>
      <c r="M2783" s="19" t="str">
        <f t="shared" si="66"/>
        <v>Jul_2019</v>
      </c>
    </row>
    <row r="2784" spans="1:13">
      <c r="A2784" s="45" t="s">
        <v>11</v>
      </c>
      <c r="B2784" s="52" t="s">
        <v>149</v>
      </c>
      <c r="C2784" s="46">
        <v>43651</v>
      </c>
      <c r="D2784" s="47" t="s">
        <v>17</v>
      </c>
      <c r="E2784" s="48">
        <v>0.72916666666666674</v>
      </c>
      <c r="F2784" s="48">
        <v>0.91666666666666663</v>
      </c>
      <c r="G2784" s="49">
        <v>8.0000000000000036</v>
      </c>
      <c r="H2784" s="49">
        <v>4.4999999999999964</v>
      </c>
      <c r="I2784" s="49">
        <v>4.4999999999999964</v>
      </c>
      <c r="J2784" s="53" t="s">
        <v>30</v>
      </c>
      <c r="K2784" s="51" t="s">
        <v>917</v>
      </c>
      <c r="L2784" s="52">
        <v>1</v>
      </c>
      <c r="M2784" s="19" t="str">
        <f t="shared" si="66"/>
        <v>Jul_2019</v>
      </c>
    </row>
    <row r="2785" spans="1:13">
      <c r="A2785" s="45" t="s">
        <v>11</v>
      </c>
      <c r="B2785" s="52" t="s">
        <v>161</v>
      </c>
      <c r="C2785" s="46">
        <v>43651</v>
      </c>
      <c r="D2785" s="47" t="s">
        <v>17</v>
      </c>
      <c r="E2785" s="48">
        <v>0.6875</v>
      </c>
      <c r="F2785" s="48">
        <v>0.85416666666666663</v>
      </c>
      <c r="G2785" s="49">
        <v>8.0000000000000036</v>
      </c>
      <c r="H2785" s="49">
        <v>3.9999999999999964</v>
      </c>
      <c r="I2785" s="49">
        <v>3.9999999999999964</v>
      </c>
      <c r="J2785" s="53" t="s">
        <v>30</v>
      </c>
      <c r="K2785" s="51" t="s">
        <v>917</v>
      </c>
      <c r="L2785" s="52">
        <v>1</v>
      </c>
      <c r="M2785" s="19" t="str">
        <f t="shared" si="66"/>
        <v>Jul_2019</v>
      </c>
    </row>
    <row r="2786" spans="1:13">
      <c r="A2786" s="45" t="s">
        <v>11</v>
      </c>
      <c r="B2786" s="52" t="s">
        <v>542</v>
      </c>
      <c r="C2786" s="46">
        <v>43651</v>
      </c>
      <c r="D2786" s="47" t="s">
        <v>17</v>
      </c>
      <c r="E2786" s="48">
        <v>0.72916666666666674</v>
      </c>
      <c r="F2786" s="48">
        <v>0.91666666666666663</v>
      </c>
      <c r="G2786" s="49">
        <v>8.0000000000000036</v>
      </c>
      <c r="H2786" s="49">
        <v>4.4999999999999964</v>
      </c>
      <c r="I2786" s="49">
        <v>4.4999999999999964</v>
      </c>
      <c r="J2786" s="53" t="s">
        <v>30</v>
      </c>
      <c r="K2786" s="51" t="s">
        <v>917</v>
      </c>
      <c r="L2786" s="52">
        <v>1</v>
      </c>
      <c r="M2786" s="19" t="str">
        <f t="shared" si="66"/>
        <v>Jul_2019</v>
      </c>
    </row>
    <row r="2787" spans="1:13">
      <c r="A2787" s="45" t="s">
        <v>11</v>
      </c>
      <c r="B2787" s="52" t="s">
        <v>547</v>
      </c>
      <c r="C2787" s="46">
        <v>43651</v>
      </c>
      <c r="D2787" s="47" t="s">
        <v>17</v>
      </c>
      <c r="E2787" s="48">
        <v>0.72916666666666674</v>
      </c>
      <c r="F2787" s="48">
        <v>0.89583333333333337</v>
      </c>
      <c r="G2787" s="49">
        <v>8.0000000000000036</v>
      </c>
      <c r="H2787" s="49">
        <v>3.9999999999999982</v>
      </c>
      <c r="I2787" s="49">
        <v>3.9999999999999982</v>
      </c>
      <c r="J2787" s="53" t="s">
        <v>30</v>
      </c>
      <c r="K2787" s="51" t="s">
        <v>917</v>
      </c>
      <c r="L2787" s="52">
        <v>1</v>
      </c>
      <c r="M2787" s="19" t="str">
        <f t="shared" si="66"/>
        <v>Jul_2019</v>
      </c>
    </row>
    <row r="2788" spans="1:13">
      <c r="A2788" s="45" t="s">
        <v>11</v>
      </c>
      <c r="B2788" s="52" t="s">
        <v>684</v>
      </c>
      <c r="C2788" s="46">
        <v>43651</v>
      </c>
      <c r="D2788" s="47" t="s">
        <v>17</v>
      </c>
      <c r="E2788" s="48">
        <v>0.72916666666666674</v>
      </c>
      <c r="F2788" s="48">
        <v>0.89583333333333337</v>
      </c>
      <c r="G2788" s="49">
        <v>8.0000000000000036</v>
      </c>
      <c r="H2788" s="49">
        <v>3.9999999999999982</v>
      </c>
      <c r="I2788" s="49">
        <v>3.9999999999999982</v>
      </c>
      <c r="J2788" s="53" t="s">
        <v>30</v>
      </c>
      <c r="K2788" s="51" t="s">
        <v>917</v>
      </c>
      <c r="L2788" s="52">
        <v>1</v>
      </c>
      <c r="M2788" s="19" t="str">
        <f t="shared" si="66"/>
        <v>Jul_2019</v>
      </c>
    </row>
    <row r="2789" spans="1:13">
      <c r="A2789" s="45" t="s">
        <v>11</v>
      </c>
      <c r="B2789" s="52" t="s">
        <v>779</v>
      </c>
      <c r="C2789" s="46">
        <v>43651</v>
      </c>
      <c r="D2789" s="47" t="s">
        <v>17</v>
      </c>
      <c r="E2789" s="48">
        <v>0.72916666666666674</v>
      </c>
      <c r="F2789" s="48">
        <v>0.91666666666666663</v>
      </c>
      <c r="G2789" s="49">
        <v>8.0000000000000036</v>
      </c>
      <c r="H2789" s="49">
        <v>4.4999999999999964</v>
      </c>
      <c r="I2789" s="49">
        <v>4.4999999999999964</v>
      </c>
      <c r="J2789" s="53" t="s">
        <v>30</v>
      </c>
      <c r="K2789" s="51" t="s">
        <v>917</v>
      </c>
      <c r="L2789" s="52">
        <v>1</v>
      </c>
      <c r="M2789" s="19" t="str">
        <f t="shared" si="66"/>
        <v>Jul_2019</v>
      </c>
    </row>
    <row r="2790" spans="1:13">
      <c r="A2790" s="45" t="s">
        <v>11</v>
      </c>
      <c r="B2790" s="52" t="s">
        <v>811</v>
      </c>
      <c r="C2790" s="46">
        <v>43651</v>
      </c>
      <c r="D2790" s="47" t="s">
        <v>17</v>
      </c>
      <c r="E2790" s="48">
        <v>0.72916666666666674</v>
      </c>
      <c r="F2790" s="48">
        <v>0.89583333333333337</v>
      </c>
      <c r="G2790" s="49">
        <v>8.0000000000000036</v>
      </c>
      <c r="H2790" s="49">
        <v>3.9999999999999982</v>
      </c>
      <c r="I2790" s="49">
        <v>3.9999999999999982</v>
      </c>
      <c r="J2790" s="53" t="s">
        <v>30</v>
      </c>
      <c r="K2790" s="51" t="s">
        <v>917</v>
      </c>
      <c r="L2790" s="52">
        <v>1</v>
      </c>
      <c r="M2790" s="19" t="str">
        <f t="shared" si="66"/>
        <v>Jul_2019</v>
      </c>
    </row>
    <row r="2791" spans="1:13">
      <c r="A2791" s="45" t="s">
        <v>22</v>
      </c>
      <c r="B2791" s="52" t="s">
        <v>662</v>
      </c>
      <c r="C2791" s="46">
        <v>43651</v>
      </c>
      <c r="D2791" s="47" t="s">
        <v>17</v>
      </c>
      <c r="E2791" s="48">
        <v>0.35416666666666669</v>
      </c>
      <c r="F2791" s="48">
        <v>0.89583333333333337</v>
      </c>
      <c r="G2791" s="49">
        <v>0</v>
      </c>
      <c r="H2791" s="49">
        <v>12.000000000000002</v>
      </c>
      <c r="I2791" s="49">
        <v>12.000000000000002</v>
      </c>
      <c r="J2791" s="53" t="s">
        <v>30</v>
      </c>
      <c r="K2791" s="51" t="s">
        <v>917</v>
      </c>
      <c r="L2791" s="52" t="s">
        <v>281</v>
      </c>
      <c r="M2791" s="19" t="str">
        <f t="shared" si="66"/>
        <v>Jul_2019</v>
      </c>
    </row>
    <row r="2792" spans="1:13">
      <c r="A2792" s="45" t="s">
        <v>22</v>
      </c>
      <c r="B2792" s="52" t="s">
        <v>26</v>
      </c>
      <c r="C2792" s="46">
        <v>43651</v>
      </c>
      <c r="D2792" s="47" t="s">
        <v>17</v>
      </c>
      <c r="E2792" s="48">
        <v>0.35416666666666669</v>
      </c>
      <c r="F2792" s="48">
        <v>0.91666666666666663</v>
      </c>
      <c r="G2792" s="49">
        <v>0</v>
      </c>
      <c r="H2792" s="49">
        <v>12.5</v>
      </c>
      <c r="I2792" s="49">
        <v>12.5</v>
      </c>
      <c r="J2792" s="53" t="s">
        <v>30</v>
      </c>
      <c r="K2792" s="51" t="s">
        <v>917</v>
      </c>
      <c r="L2792" s="52" t="s">
        <v>281</v>
      </c>
      <c r="M2792" s="19" t="str">
        <f t="shared" si="66"/>
        <v>Jul_2019</v>
      </c>
    </row>
    <row r="2793" spans="1:13">
      <c r="A2793" s="45" t="s">
        <v>22</v>
      </c>
      <c r="B2793" s="52" t="s">
        <v>897</v>
      </c>
      <c r="C2793" s="46">
        <v>43651</v>
      </c>
      <c r="D2793" s="47" t="s">
        <v>17</v>
      </c>
      <c r="E2793" s="48">
        <v>0.58333333333333337</v>
      </c>
      <c r="F2793" s="48">
        <v>0.89583333333333337</v>
      </c>
      <c r="G2793" s="49">
        <v>0</v>
      </c>
      <c r="H2793" s="49">
        <v>6.5</v>
      </c>
      <c r="I2793" s="49">
        <v>6.5</v>
      </c>
      <c r="J2793" s="53" t="s">
        <v>30</v>
      </c>
      <c r="K2793" s="51" t="s">
        <v>917</v>
      </c>
      <c r="L2793" s="52" t="s">
        <v>281</v>
      </c>
      <c r="M2793" s="19" t="str">
        <f t="shared" si="66"/>
        <v>Jul_2019</v>
      </c>
    </row>
    <row r="2794" spans="1:13">
      <c r="A2794" s="45" t="s">
        <v>22</v>
      </c>
      <c r="B2794" s="52" t="s">
        <v>679</v>
      </c>
      <c r="C2794" s="46">
        <v>43651</v>
      </c>
      <c r="D2794" s="47" t="s">
        <v>17</v>
      </c>
      <c r="E2794" s="48">
        <v>0.5</v>
      </c>
      <c r="F2794" s="48">
        <v>0.89583333333333337</v>
      </c>
      <c r="G2794" s="49">
        <v>0</v>
      </c>
      <c r="H2794" s="49">
        <v>8.5</v>
      </c>
      <c r="I2794" s="49">
        <v>8.5</v>
      </c>
      <c r="J2794" s="53" t="s">
        <v>30</v>
      </c>
      <c r="K2794" s="51" t="s">
        <v>917</v>
      </c>
      <c r="L2794" s="52" t="s">
        <v>281</v>
      </c>
      <c r="M2794" s="19" t="str">
        <f t="shared" si="66"/>
        <v>Jul_2019</v>
      </c>
    </row>
    <row r="2795" spans="1:13">
      <c r="A2795" s="45" t="s">
        <v>22</v>
      </c>
      <c r="B2795" s="52" t="s">
        <v>662</v>
      </c>
      <c r="C2795" s="46">
        <v>43654</v>
      </c>
      <c r="D2795" s="47" t="s">
        <v>16</v>
      </c>
      <c r="E2795" s="48">
        <v>0.35416666666666669</v>
      </c>
      <c r="F2795" s="48">
        <v>0.72916666666666663</v>
      </c>
      <c r="G2795" s="49">
        <v>0</v>
      </c>
      <c r="H2795" s="49">
        <v>7.9999999999999982</v>
      </c>
      <c r="I2795" s="49">
        <v>7.9999999999999982</v>
      </c>
      <c r="J2795" s="53" t="s">
        <v>30</v>
      </c>
      <c r="K2795" s="51" t="s">
        <v>918</v>
      </c>
      <c r="L2795" s="52" t="s">
        <v>281</v>
      </c>
      <c r="M2795" s="19" t="str">
        <f t="shared" si="66"/>
        <v>Jul_2019</v>
      </c>
    </row>
    <row r="2796" spans="1:13">
      <c r="A2796" s="45" t="s">
        <v>22</v>
      </c>
      <c r="B2796" s="52" t="s">
        <v>662</v>
      </c>
      <c r="C2796" s="46">
        <v>43655</v>
      </c>
      <c r="D2796" s="47" t="s">
        <v>14</v>
      </c>
      <c r="E2796" s="48">
        <v>0.35416666666666669</v>
      </c>
      <c r="F2796" s="48">
        <v>0.72916666666666663</v>
      </c>
      <c r="G2796" s="49">
        <v>0</v>
      </c>
      <c r="H2796" s="49">
        <v>7.9999999999999982</v>
      </c>
      <c r="I2796" s="49">
        <v>7.9999999999999982</v>
      </c>
      <c r="J2796" s="53" t="s">
        <v>30</v>
      </c>
      <c r="K2796" s="51" t="s">
        <v>866</v>
      </c>
      <c r="L2796" s="52" t="s">
        <v>281</v>
      </c>
      <c r="M2796" s="19" t="str">
        <f t="shared" si="66"/>
        <v>Jul_2019</v>
      </c>
    </row>
    <row r="2797" spans="1:13">
      <c r="A2797" s="45" t="s">
        <v>22</v>
      </c>
      <c r="B2797" s="52" t="s">
        <v>662</v>
      </c>
      <c r="C2797" s="46">
        <v>43656</v>
      </c>
      <c r="D2797" s="47" t="s">
        <v>15</v>
      </c>
      <c r="E2797" s="48">
        <v>0.35416666666666669</v>
      </c>
      <c r="F2797" s="48">
        <v>0.72916666666666663</v>
      </c>
      <c r="G2797" s="49">
        <v>0</v>
      </c>
      <c r="H2797" s="49">
        <v>7.9999999999999982</v>
      </c>
      <c r="I2797" s="49">
        <v>7.9999999999999982</v>
      </c>
      <c r="J2797" s="53" t="s">
        <v>30</v>
      </c>
      <c r="K2797" s="51" t="s">
        <v>919</v>
      </c>
      <c r="L2797" s="52" t="s">
        <v>281</v>
      </c>
      <c r="M2797" s="19" t="str">
        <f t="shared" si="66"/>
        <v>Jul_2019</v>
      </c>
    </row>
    <row r="2798" spans="1:13">
      <c r="A2798" s="45" t="s">
        <v>22</v>
      </c>
      <c r="B2798" s="52" t="s">
        <v>662</v>
      </c>
      <c r="C2798" s="46">
        <v>43657</v>
      </c>
      <c r="D2798" s="47" t="s">
        <v>25</v>
      </c>
      <c r="E2798" s="48">
        <v>0.35416666666666669</v>
      </c>
      <c r="F2798" s="48">
        <v>0.72916666666666663</v>
      </c>
      <c r="G2798" s="49">
        <v>0</v>
      </c>
      <c r="H2798" s="49">
        <v>7.9999999999999982</v>
      </c>
      <c r="I2798" s="49">
        <v>7.9999999999999982</v>
      </c>
      <c r="J2798" s="53" t="s">
        <v>30</v>
      </c>
      <c r="K2798" s="51" t="s">
        <v>920</v>
      </c>
      <c r="L2798" s="52" t="s">
        <v>281</v>
      </c>
      <c r="M2798" s="19" t="str">
        <f t="shared" si="66"/>
        <v>Jul_2019</v>
      </c>
    </row>
    <row r="2799" spans="1:13">
      <c r="A2799" s="45" t="s">
        <v>22</v>
      </c>
      <c r="B2799" s="52" t="s">
        <v>662</v>
      </c>
      <c r="C2799" s="46">
        <v>43658</v>
      </c>
      <c r="D2799" s="47" t="s">
        <v>17</v>
      </c>
      <c r="E2799" s="48">
        <v>0.35416666666666669</v>
      </c>
      <c r="F2799" s="48">
        <v>0.72916666666666663</v>
      </c>
      <c r="G2799" s="49">
        <v>0</v>
      </c>
      <c r="H2799" s="49">
        <v>7.9999999999999982</v>
      </c>
      <c r="I2799" s="49">
        <v>7.9999999999999982</v>
      </c>
      <c r="J2799" s="53" t="s">
        <v>30</v>
      </c>
      <c r="K2799" s="51" t="s">
        <v>921</v>
      </c>
      <c r="L2799" s="52" t="s">
        <v>281</v>
      </c>
      <c r="M2799" s="19" t="str">
        <f t="shared" si="66"/>
        <v>Jul_2019</v>
      </c>
    </row>
    <row r="2800" spans="1:13">
      <c r="A2800" s="45" t="s">
        <v>22</v>
      </c>
      <c r="B2800" s="52" t="s">
        <v>662</v>
      </c>
      <c r="C2800" s="46">
        <v>43661</v>
      </c>
      <c r="D2800" s="47" t="s">
        <v>16</v>
      </c>
      <c r="E2800" s="48">
        <v>0.35416666666666669</v>
      </c>
      <c r="F2800" s="48">
        <v>0.72916666666666663</v>
      </c>
      <c r="G2800" s="49">
        <v>0</v>
      </c>
      <c r="H2800" s="49">
        <v>7.9999999999999982</v>
      </c>
      <c r="I2800" s="49">
        <v>7.9999999999999982</v>
      </c>
      <c r="J2800" s="53" t="s">
        <v>30</v>
      </c>
      <c r="K2800" s="51" t="s">
        <v>864</v>
      </c>
      <c r="L2800" s="52" t="s">
        <v>281</v>
      </c>
      <c r="M2800" s="19" t="str">
        <f t="shared" si="66"/>
        <v>Jul_2019</v>
      </c>
    </row>
    <row r="2801" spans="1:13">
      <c r="A2801" s="45" t="s">
        <v>22</v>
      </c>
      <c r="B2801" s="52" t="s">
        <v>26</v>
      </c>
      <c r="C2801" s="46">
        <v>43661</v>
      </c>
      <c r="D2801" s="47" t="s">
        <v>16</v>
      </c>
      <c r="E2801" s="48">
        <v>0.35416666666666669</v>
      </c>
      <c r="F2801" s="48">
        <v>0.72916666666666663</v>
      </c>
      <c r="G2801" s="49">
        <v>0</v>
      </c>
      <c r="H2801" s="49">
        <v>7.9999999999999982</v>
      </c>
      <c r="I2801" s="49">
        <v>7.9999999999999982</v>
      </c>
      <c r="J2801" s="53" t="s">
        <v>30</v>
      </c>
      <c r="K2801" s="51" t="s">
        <v>922</v>
      </c>
      <c r="L2801" s="52" t="s">
        <v>281</v>
      </c>
      <c r="M2801" s="19" t="str">
        <f t="shared" si="66"/>
        <v>Jul_2019</v>
      </c>
    </row>
    <row r="2802" spans="1:13">
      <c r="A2802" s="45" t="s">
        <v>22</v>
      </c>
      <c r="B2802" s="52" t="s">
        <v>662</v>
      </c>
      <c r="C2802" s="46">
        <v>43662</v>
      </c>
      <c r="D2802" s="47" t="s">
        <v>14</v>
      </c>
      <c r="E2802" s="48">
        <v>0.35416666666666669</v>
      </c>
      <c r="F2802" s="48">
        <v>0.72916666666666663</v>
      </c>
      <c r="G2802" s="49">
        <v>0</v>
      </c>
      <c r="H2802" s="49">
        <v>7.9999999999999982</v>
      </c>
      <c r="I2802" s="49">
        <v>7.9999999999999982</v>
      </c>
      <c r="J2802" s="53" t="s">
        <v>30</v>
      </c>
      <c r="K2802" s="51" t="s">
        <v>923</v>
      </c>
      <c r="L2802" s="52" t="s">
        <v>281</v>
      </c>
      <c r="M2802" s="19" t="str">
        <f t="shared" si="66"/>
        <v>Jul_2019</v>
      </c>
    </row>
    <row r="2803" spans="1:13">
      <c r="A2803" s="45" t="s">
        <v>22</v>
      </c>
      <c r="B2803" s="52" t="s">
        <v>26</v>
      </c>
      <c r="C2803" s="46">
        <v>43662</v>
      </c>
      <c r="D2803" s="47" t="s">
        <v>14</v>
      </c>
      <c r="E2803" s="48">
        <v>0.35416666666666669</v>
      </c>
      <c r="F2803" s="48">
        <v>0.72916666666666663</v>
      </c>
      <c r="G2803" s="49">
        <v>0</v>
      </c>
      <c r="H2803" s="49">
        <v>7.9999999999999982</v>
      </c>
      <c r="I2803" s="49">
        <v>7.9999999999999982</v>
      </c>
      <c r="J2803" s="53" t="s">
        <v>30</v>
      </c>
      <c r="K2803" s="51" t="s">
        <v>924</v>
      </c>
      <c r="L2803" s="52" t="s">
        <v>281</v>
      </c>
      <c r="M2803" s="19" t="str">
        <f t="shared" ref="M2803:M2841" si="67">IF($C2803="","",TEXT(DATE(YEAR($C2803),MONTH($C2803),DAY($C2803)),"MMM")&amp;"_"&amp;YEAR($C2803))</f>
        <v>Jul_2019</v>
      </c>
    </row>
    <row r="2804" spans="1:13">
      <c r="A2804" s="45" t="s">
        <v>22</v>
      </c>
      <c r="B2804" s="52" t="s">
        <v>26</v>
      </c>
      <c r="C2804" s="46">
        <v>43663</v>
      </c>
      <c r="D2804" s="47" t="s">
        <v>15</v>
      </c>
      <c r="E2804" s="48">
        <v>0.35416666666666669</v>
      </c>
      <c r="F2804" s="48">
        <v>0.72916666666666663</v>
      </c>
      <c r="G2804" s="49">
        <v>0</v>
      </c>
      <c r="H2804" s="49">
        <v>7.9999999999999982</v>
      </c>
      <c r="I2804" s="49">
        <v>7.9999999999999982</v>
      </c>
      <c r="J2804" s="53" t="s">
        <v>30</v>
      </c>
      <c r="K2804" s="51" t="s">
        <v>925</v>
      </c>
      <c r="L2804" s="52" t="s">
        <v>281</v>
      </c>
      <c r="M2804" s="19" t="str">
        <f t="shared" si="67"/>
        <v>Jul_2019</v>
      </c>
    </row>
    <row r="2805" spans="1:13">
      <c r="A2805" s="45" t="s">
        <v>22</v>
      </c>
      <c r="B2805" s="52" t="s">
        <v>78</v>
      </c>
      <c r="C2805" s="46">
        <v>43663</v>
      </c>
      <c r="D2805" s="47" t="s">
        <v>15</v>
      </c>
      <c r="E2805" s="48">
        <v>0.5</v>
      </c>
      <c r="F2805" s="48">
        <v>0.72916666666666663</v>
      </c>
      <c r="G2805" s="49">
        <v>0</v>
      </c>
      <c r="H2805" s="49">
        <v>4.4999999999999991</v>
      </c>
      <c r="I2805" s="49">
        <v>4.4999999999999991</v>
      </c>
      <c r="J2805" s="53" t="s">
        <v>30</v>
      </c>
      <c r="K2805" s="51" t="s">
        <v>925</v>
      </c>
      <c r="L2805" s="52" t="s">
        <v>281</v>
      </c>
      <c r="M2805" s="19" t="str">
        <f t="shared" si="67"/>
        <v>Jul_2019</v>
      </c>
    </row>
    <row r="2806" spans="1:13">
      <c r="A2806" s="45" t="s">
        <v>22</v>
      </c>
      <c r="B2806" s="52" t="s">
        <v>662</v>
      </c>
      <c r="C2806" s="46">
        <v>43665</v>
      </c>
      <c r="D2806" s="47" t="s">
        <v>17</v>
      </c>
      <c r="E2806" s="48">
        <v>0.35416666666666669</v>
      </c>
      <c r="F2806" s="48">
        <v>0.72916666666666663</v>
      </c>
      <c r="G2806" s="49">
        <v>0</v>
      </c>
      <c r="H2806" s="49">
        <v>7.9999999999999982</v>
      </c>
      <c r="I2806" s="49">
        <v>7.9999999999999982</v>
      </c>
      <c r="J2806" s="53" t="s">
        <v>30</v>
      </c>
      <c r="K2806" s="51" t="s">
        <v>926</v>
      </c>
      <c r="L2806" s="52" t="s">
        <v>281</v>
      </c>
      <c r="M2806" s="19" t="str">
        <f t="shared" si="67"/>
        <v>Jul_2019</v>
      </c>
    </row>
    <row r="2807" spans="1:13">
      <c r="A2807" s="45" t="s">
        <v>22</v>
      </c>
      <c r="B2807" s="52" t="s">
        <v>662</v>
      </c>
      <c r="C2807" s="46">
        <v>43668</v>
      </c>
      <c r="D2807" s="47" t="s">
        <v>16</v>
      </c>
      <c r="E2807" s="48">
        <v>0.35416666666666669</v>
      </c>
      <c r="F2807" s="48">
        <v>0.72916666666666663</v>
      </c>
      <c r="G2807" s="49">
        <v>0</v>
      </c>
      <c r="H2807" s="49">
        <v>7.9999999999999982</v>
      </c>
      <c r="I2807" s="49">
        <v>7.9999999999999982</v>
      </c>
      <c r="J2807" s="53" t="s">
        <v>30</v>
      </c>
      <c r="K2807" s="51" t="s">
        <v>927</v>
      </c>
      <c r="L2807" s="52" t="s">
        <v>281</v>
      </c>
      <c r="M2807" s="19" t="str">
        <f t="shared" si="67"/>
        <v>Jul_2019</v>
      </c>
    </row>
    <row r="2808" spans="1:13">
      <c r="A2808" s="45" t="s">
        <v>22</v>
      </c>
      <c r="B2808" s="52" t="s">
        <v>662</v>
      </c>
      <c r="C2808" s="46">
        <v>43669</v>
      </c>
      <c r="D2808" s="47" t="s">
        <v>14</v>
      </c>
      <c r="E2808" s="48">
        <v>0.35416666666666669</v>
      </c>
      <c r="F2808" s="48">
        <v>0.72916666666666663</v>
      </c>
      <c r="G2808" s="49">
        <v>0</v>
      </c>
      <c r="H2808" s="49">
        <v>7.9999999999999982</v>
      </c>
      <c r="I2808" s="49">
        <v>7.9999999999999982</v>
      </c>
      <c r="J2808" s="53" t="s">
        <v>30</v>
      </c>
      <c r="K2808" s="51" t="s">
        <v>928</v>
      </c>
      <c r="L2808" s="52" t="s">
        <v>281</v>
      </c>
      <c r="M2808" s="19" t="str">
        <f t="shared" si="67"/>
        <v>Jul_2019</v>
      </c>
    </row>
    <row r="2809" spans="1:13">
      <c r="A2809" s="45" t="s">
        <v>22</v>
      </c>
      <c r="B2809" s="52" t="s">
        <v>662</v>
      </c>
      <c r="C2809" s="46">
        <v>43670</v>
      </c>
      <c r="D2809" s="47" t="s">
        <v>15</v>
      </c>
      <c r="E2809" s="48">
        <v>0.35416666666666669</v>
      </c>
      <c r="F2809" s="48">
        <v>0.72916666666666663</v>
      </c>
      <c r="G2809" s="49">
        <v>0</v>
      </c>
      <c r="H2809" s="49">
        <v>7.9999999999999982</v>
      </c>
      <c r="I2809" s="49">
        <v>7.9999999999999982</v>
      </c>
      <c r="J2809" s="53" t="s">
        <v>30</v>
      </c>
      <c r="K2809" s="51" t="s">
        <v>770</v>
      </c>
      <c r="L2809" s="52" t="s">
        <v>281</v>
      </c>
      <c r="M2809" s="19" t="str">
        <f t="shared" si="67"/>
        <v>Jul_2019</v>
      </c>
    </row>
    <row r="2810" spans="1:13">
      <c r="A2810" s="45" t="s">
        <v>22</v>
      </c>
      <c r="B2810" s="52" t="s">
        <v>662</v>
      </c>
      <c r="C2810" s="46">
        <v>43671</v>
      </c>
      <c r="D2810" s="47" t="s">
        <v>25</v>
      </c>
      <c r="E2810" s="48">
        <v>0.35416666666666669</v>
      </c>
      <c r="F2810" s="48">
        <v>0.72916666666666663</v>
      </c>
      <c r="G2810" s="49">
        <v>0</v>
      </c>
      <c r="H2810" s="49">
        <v>7.9999999999999982</v>
      </c>
      <c r="I2810" s="49">
        <v>7.9999999999999982</v>
      </c>
      <c r="J2810" s="53" t="s">
        <v>30</v>
      </c>
      <c r="K2810" s="51" t="s">
        <v>929</v>
      </c>
      <c r="L2810" s="52" t="s">
        <v>281</v>
      </c>
      <c r="M2810" s="19" t="str">
        <f t="shared" si="67"/>
        <v>Jul_2019</v>
      </c>
    </row>
    <row r="2811" spans="1:13">
      <c r="A2811" s="45" t="s">
        <v>22</v>
      </c>
      <c r="B2811" s="52" t="s">
        <v>662</v>
      </c>
      <c r="C2811" s="46">
        <v>43672</v>
      </c>
      <c r="D2811" s="47" t="s">
        <v>17</v>
      </c>
      <c r="E2811" s="48">
        <v>0.35416666666666669</v>
      </c>
      <c r="F2811" s="48">
        <v>0.72916666666666663</v>
      </c>
      <c r="G2811" s="49">
        <v>0</v>
      </c>
      <c r="H2811" s="49">
        <v>7.9999999999999982</v>
      </c>
      <c r="I2811" s="49">
        <v>7.9999999999999982</v>
      </c>
      <c r="J2811" s="53" t="s">
        <v>30</v>
      </c>
      <c r="K2811" s="51" t="s">
        <v>930</v>
      </c>
      <c r="L2811" s="52" t="s">
        <v>281</v>
      </c>
      <c r="M2811" s="19" t="str">
        <f t="shared" si="67"/>
        <v>Jul_2019</v>
      </c>
    </row>
    <row r="2812" spans="1:13">
      <c r="A2812" s="45" t="s">
        <v>11</v>
      </c>
      <c r="B2812" s="52" t="s">
        <v>912</v>
      </c>
      <c r="C2812" s="46">
        <v>43675</v>
      </c>
      <c r="D2812" s="47" t="s">
        <v>16</v>
      </c>
      <c r="E2812" s="48">
        <v>0.72916666666666674</v>
      </c>
      <c r="F2812" s="48">
        <v>0.89583333333333337</v>
      </c>
      <c r="G2812" s="49">
        <v>8.0000000000000036</v>
      </c>
      <c r="H2812" s="49">
        <v>3.9999999999999982</v>
      </c>
      <c r="I2812" s="49">
        <v>3.9999999999999982</v>
      </c>
      <c r="J2812" s="53" t="s">
        <v>30</v>
      </c>
      <c r="K2812" s="51" t="s">
        <v>931</v>
      </c>
      <c r="L2812" s="52">
        <v>1</v>
      </c>
      <c r="M2812" s="19" t="str">
        <f t="shared" si="67"/>
        <v>Jul_2019</v>
      </c>
    </row>
    <row r="2813" spans="1:13">
      <c r="A2813" s="45" t="s">
        <v>11</v>
      </c>
      <c r="B2813" s="52" t="s">
        <v>19</v>
      </c>
      <c r="C2813" s="46">
        <v>43675</v>
      </c>
      <c r="D2813" s="47" t="s">
        <v>16</v>
      </c>
      <c r="E2813" s="48">
        <v>0.72916666666666674</v>
      </c>
      <c r="F2813" s="48">
        <v>0.89583333333333337</v>
      </c>
      <c r="G2813" s="49">
        <v>8.0000000000000036</v>
      </c>
      <c r="H2813" s="49">
        <v>3.9999999999999982</v>
      </c>
      <c r="I2813" s="49">
        <v>3.9999999999999982</v>
      </c>
      <c r="J2813" s="53" t="s">
        <v>30</v>
      </c>
      <c r="K2813" s="51" t="s">
        <v>931</v>
      </c>
      <c r="L2813" s="52">
        <v>1</v>
      </c>
      <c r="M2813" s="19" t="str">
        <f t="shared" si="67"/>
        <v>Jul_2019</v>
      </c>
    </row>
    <row r="2814" spans="1:13">
      <c r="A2814" s="45" t="s">
        <v>11</v>
      </c>
      <c r="B2814" s="52" t="s">
        <v>149</v>
      </c>
      <c r="C2814" s="46">
        <v>43675</v>
      </c>
      <c r="D2814" s="47" t="s">
        <v>16</v>
      </c>
      <c r="E2814" s="48">
        <v>0.72916666666666674</v>
      </c>
      <c r="F2814" s="48">
        <v>0.89583333333333337</v>
      </c>
      <c r="G2814" s="49">
        <v>8.0000000000000036</v>
      </c>
      <c r="H2814" s="49">
        <v>3.9999999999999982</v>
      </c>
      <c r="I2814" s="49">
        <v>3.9999999999999982</v>
      </c>
      <c r="J2814" s="53" t="s">
        <v>30</v>
      </c>
      <c r="K2814" s="51" t="s">
        <v>931</v>
      </c>
      <c r="L2814" s="52">
        <v>1</v>
      </c>
      <c r="M2814" s="19" t="str">
        <f t="shared" si="67"/>
        <v>Jul_2019</v>
      </c>
    </row>
    <row r="2815" spans="1:13">
      <c r="A2815" s="45" t="s">
        <v>11</v>
      </c>
      <c r="B2815" s="52" t="s">
        <v>161</v>
      </c>
      <c r="C2815" s="46">
        <v>43675</v>
      </c>
      <c r="D2815" s="47" t="s">
        <v>16</v>
      </c>
      <c r="E2815" s="48">
        <v>0.6875</v>
      </c>
      <c r="F2815" s="48">
        <v>0.85416666666666663</v>
      </c>
      <c r="G2815" s="49">
        <v>8.0000000000000036</v>
      </c>
      <c r="H2815" s="49">
        <v>3.9999999999999964</v>
      </c>
      <c r="I2815" s="49">
        <v>3.9999999999999964</v>
      </c>
      <c r="J2815" s="53" t="s">
        <v>30</v>
      </c>
      <c r="K2815" s="51" t="s">
        <v>931</v>
      </c>
      <c r="L2815" s="52">
        <v>1</v>
      </c>
      <c r="M2815" s="19" t="str">
        <f t="shared" si="67"/>
        <v>Jul_2019</v>
      </c>
    </row>
    <row r="2816" spans="1:13">
      <c r="A2816" s="45" t="s">
        <v>11</v>
      </c>
      <c r="B2816" s="52" t="s">
        <v>542</v>
      </c>
      <c r="C2816" s="46">
        <v>43675</v>
      </c>
      <c r="D2816" s="47" t="s">
        <v>16</v>
      </c>
      <c r="E2816" s="48">
        <v>0.72916666666666674</v>
      </c>
      <c r="F2816" s="48">
        <v>0.89583333333333337</v>
      </c>
      <c r="G2816" s="49">
        <v>8.0000000000000036</v>
      </c>
      <c r="H2816" s="49">
        <v>3.9999999999999982</v>
      </c>
      <c r="I2816" s="49">
        <v>3.9999999999999982</v>
      </c>
      <c r="J2816" s="53" t="s">
        <v>30</v>
      </c>
      <c r="K2816" s="51" t="s">
        <v>931</v>
      </c>
      <c r="L2816" s="52">
        <v>1</v>
      </c>
      <c r="M2816" s="19" t="str">
        <f t="shared" si="67"/>
        <v>Jul_2019</v>
      </c>
    </row>
    <row r="2817" spans="1:13">
      <c r="A2817" s="45" t="s">
        <v>11</v>
      </c>
      <c r="B2817" s="52" t="s">
        <v>684</v>
      </c>
      <c r="C2817" s="46">
        <v>43675</v>
      </c>
      <c r="D2817" s="47" t="s">
        <v>16</v>
      </c>
      <c r="E2817" s="48">
        <v>0.72916666666666674</v>
      </c>
      <c r="F2817" s="48">
        <v>0.89583333333333337</v>
      </c>
      <c r="G2817" s="49">
        <v>8.0000000000000036</v>
      </c>
      <c r="H2817" s="49">
        <v>3.9999999999999982</v>
      </c>
      <c r="I2817" s="49">
        <v>3.9999999999999982</v>
      </c>
      <c r="J2817" s="53" t="s">
        <v>30</v>
      </c>
      <c r="K2817" s="51" t="s">
        <v>931</v>
      </c>
      <c r="L2817" s="52">
        <v>1</v>
      </c>
      <c r="M2817" s="19" t="str">
        <f t="shared" si="67"/>
        <v>Jul_2019</v>
      </c>
    </row>
    <row r="2818" spans="1:13">
      <c r="A2818" s="45" t="s">
        <v>11</v>
      </c>
      <c r="B2818" s="52" t="s">
        <v>779</v>
      </c>
      <c r="C2818" s="46">
        <v>43675</v>
      </c>
      <c r="D2818" s="47" t="s">
        <v>16</v>
      </c>
      <c r="E2818" s="48">
        <v>0.72916666666666674</v>
      </c>
      <c r="F2818" s="48">
        <v>0.89583333333333337</v>
      </c>
      <c r="G2818" s="49">
        <v>8.0000000000000036</v>
      </c>
      <c r="H2818" s="49">
        <v>3.9999999999999982</v>
      </c>
      <c r="I2818" s="49">
        <v>3.9999999999999982</v>
      </c>
      <c r="J2818" s="53" t="s">
        <v>30</v>
      </c>
      <c r="K2818" s="51" t="s">
        <v>931</v>
      </c>
      <c r="L2818" s="52">
        <v>1</v>
      </c>
      <c r="M2818" s="19" t="str">
        <f t="shared" si="67"/>
        <v>Jul_2019</v>
      </c>
    </row>
    <row r="2819" spans="1:13">
      <c r="A2819" s="45" t="s">
        <v>11</v>
      </c>
      <c r="B2819" s="52" t="s">
        <v>811</v>
      </c>
      <c r="C2819" s="46">
        <v>43675</v>
      </c>
      <c r="D2819" s="47" t="s">
        <v>16</v>
      </c>
      <c r="E2819" s="48">
        <v>0.72916666666666674</v>
      </c>
      <c r="F2819" s="48">
        <v>0.89583333333333337</v>
      </c>
      <c r="G2819" s="49">
        <v>8.0000000000000036</v>
      </c>
      <c r="H2819" s="49">
        <v>3.9999999999999982</v>
      </c>
      <c r="I2819" s="49">
        <v>3.9999999999999982</v>
      </c>
      <c r="J2819" s="53" t="s">
        <v>30</v>
      </c>
      <c r="K2819" s="51" t="s">
        <v>931</v>
      </c>
      <c r="L2819" s="52">
        <v>1</v>
      </c>
      <c r="M2819" s="19" t="str">
        <f t="shared" si="67"/>
        <v>Jul_2019</v>
      </c>
    </row>
    <row r="2820" spans="1:13">
      <c r="A2820" s="45" t="s">
        <v>11</v>
      </c>
      <c r="B2820" s="52" t="s">
        <v>910</v>
      </c>
      <c r="C2820" s="46">
        <v>43675</v>
      </c>
      <c r="D2820" s="47" t="s">
        <v>16</v>
      </c>
      <c r="E2820" s="48">
        <v>0.72916666666666674</v>
      </c>
      <c r="F2820" s="48">
        <v>0.89583333333333337</v>
      </c>
      <c r="G2820" s="49">
        <v>8.0000000000000036</v>
      </c>
      <c r="H2820" s="49">
        <v>3.9999999999999982</v>
      </c>
      <c r="I2820" s="49">
        <v>3.9999999999999982</v>
      </c>
      <c r="J2820" s="53" t="s">
        <v>30</v>
      </c>
      <c r="K2820" s="51" t="s">
        <v>931</v>
      </c>
      <c r="L2820" s="52">
        <v>1</v>
      </c>
      <c r="M2820" s="19" t="str">
        <f t="shared" si="67"/>
        <v>Jul_2019</v>
      </c>
    </row>
    <row r="2821" spans="1:13">
      <c r="A2821" s="45" t="s">
        <v>22</v>
      </c>
      <c r="B2821" s="52" t="s">
        <v>662</v>
      </c>
      <c r="C2821" s="46">
        <v>43675</v>
      </c>
      <c r="D2821" s="47" t="s">
        <v>16</v>
      </c>
      <c r="E2821" s="48">
        <v>0.35416666666666669</v>
      </c>
      <c r="F2821" s="48">
        <v>0.89583333333333337</v>
      </c>
      <c r="G2821" s="49">
        <v>0</v>
      </c>
      <c r="H2821" s="49">
        <v>12.000000000000002</v>
      </c>
      <c r="I2821" s="49">
        <v>12.000000000000002</v>
      </c>
      <c r="J2821" s="53" t="s">
        <v>30</v>
      </c>
      <c r="K2821" s="51" t="s">
        <v>931</v>
      </c>
      <c r="L2821" s="52" t="s">
        <v>281</v>
      </c>
      <c r="M2821" s="19" t="str">
        <f t="shared" si="67"/>
        <v>Jul_2019</v>
      </c>
    </row>
    <row r="2822" spans="1:13">
      <c r="A2822" s="45" t="s">
        <v>11</v>
      </c>
      <c r="B2822" s="52" t="s">
        <v>912</v>
      </c>
      <c r="C2822" s="46">
        <v>43676</v>
      </c>
      <c r="D2822" s="47" t="s">
        <v>14</v>
      </c>
      <c r="E2822" s="48">
        <v>0.72916666666666674</v>
      </c>
      <c r="F2822" s="48">
        <v>0.89583333333333337</v>
      </c>
      <c r="G2822" s="49">
        <v>8.0000000000000036</v>
      </c>
      <c r="H2822" s="49">
        <v>3.9999999999999982</v>
      </c>
      <c r="I2822" s="49">
        <v>3.9999999999999982</v>
      </c>
      <c r="J2822" s="53" t="s">
        <v>30</v>
      </c>
      <c r="K2822" s="51" t="s">
        <v>932</v>
      </c>
      <c r="L2822" s="52">
        <v>1</v>
      </c>
      <c r="M2822" s="19" t="str">
        <f t="shared" si="67"/>
        <v>Jul_2019</v>
      </c>
    </row>
    <row r="2823" spans="1:13">
      <c r="A2823" s="45" t="s">
        <v>11</v>
      </c>
      <c r="B2823" s="52" t="s">
        <v>19</v>
      </c>
      <c r="C2823" s="46">
        <v>43676</v>
      </c>
      <c r="D2823" s="47" t="s">
        <v>14</v>
      </c>
      <c r="E2823" s="48">
        <v>0.6875</v>
      </c>
      <c r="F2823" s="48">
        <v>0.85416666666666663</v>
      </c>
      <c r="G2823" s="49">
        <v>8.0000000000000036</v>
      </c>
      <c r="H2823" s="49">
        <v>3.9999999999999964</v>
      </c>
      <c r="I2823" s="49">
        <v>3.9999999999999964</v>
      </c>
      <c r="J2823" s="53" t="s">
        <v>30</v>
      </c>
      <c r="K2823" s="51" t="s">
        <v>932</v>
      </c>
      <c r="L2823" s="52">
        <v>1</v>
      </c>
      <c r="M2823" s="19" t="str">
        <f t="shared" si="67"/>
        <v>Jul_2019</v>
      </c>
    </row>
    <row r="2824" spans="1:13">
      <c r="A2824" s="45" t="s">
        <v>11</v>
      </c>
      <c r="B2824" s="52" t="s">
        <v>149</v>
      </c>
      <c r="C2824" s="46">
        <v>43676</v>
      </c>
      <c r="D2824" s="47" t="s">
        <v>14</v>
      </c>
      <c r="E2824" s="48">
        <v>0.72916666666666674</v>
      </c>
      <c r="F2824" s="48">
        <v>0.89583333333333337</v>
      </c>
      <c r="G2824" s="49">
        <v>8.0000000000000036</v>
      </c>
      <c r="H2824" s="49">
        <v>3.9999999999999982</v>
      </c>
      <c r="I2824" s="49">
        <v>3.9999999999999982</v>
      </c>
      <c r="J2824" s="53" t="s">
        <v>30</v>
      </c>
      <c r="K2824" s="51" t="s">
        <v>932</v>
      </c>
      <c r="L2824" s="52">
        <v>1</v>
      </c>
      <c r="M2824" s="19" t="str">
        <f t="shared" si="67"/>
        <v>Jul_2019</v>
      </c>
    </row>
    <row r="2825" spans="1:13">
      <c r="A2825" s="45" t="s">
        <v>11</v>
      </c>
      <c r="B2825" s="52" t="s">
        <v>161</v>
      </c>
      <c r="C2825" s="46">
        <v>43676</v>
      </c>
      <c r="D2825" s="47" t="s">
        <v>14</v>
      </c>
      <c r="E2825" s="48">
        <v>0.72916666666666674</v>
      </c>
      <c r="F2825" s="48">
        <v>0.89583333333333337</v>
      </c>
      <c r="G2825" s="49">
        <v>8.0000000000000036</v>
      </c>
      <c r="H2825" s="49">
        <v>3.9999999999999982</v>
      </c>
      <c r="I2825" s="49">
        <v>3.9999999999999982</v>
      </c>
      <c r="J2825" s="53" t="s">
        <v>30</v>
      </c>
      <c r="K2825" s="51" t="s">
        <v>932</v>
      </c>
      <c r="L2825" s="52">
        <v>1</v>
      </c>
      <c r="M2825" s="19" t="str">
        <f t="shared" si="67"/>
        <v>Jul_2019</v>
      </c>
    </row>
    <row r="2826" spans="1:13">
      <c r="A2826" s="45" t="s">
        <v>11</v>
      </c>
      <c r="B2826" s="52" t="s">
        <v>542</v>
      </c>
      <c r="C2826" s="46">
        <v>43676</v>
      </c>
      <c r="D2826" s="47" t="s">
        <v>14</v>
      </c>
      <c r="E2826" s="48">
        <v>0.72916666666666674</v>
      </c>
      <c r="F2826" s="48">
        <v>0.89583333333333337</v>
      </c>
      <c r="G2826" s="49">
        <v>8.0000000000000036</v>
      </c>
      <c r="H2826" s="49">
        <v>3.9999999999999982</v>
      </c>
      <c r="I2826" s="49">
        <v>3.9999999999999982</v>
      </c>
      <c r="J2826" s="53" t="s">
        <v>30</v>
      </c>
      <c r="K2826" s="51" t="s">
        <v>932</v>
      </c>
      <c r="L2826" s="52">
        <v>1</v>
      </c>
      <c r="M2826" s="19" t="str">
        <f t="shared" si="67"/>
        <v>Jul_2019</v>
      </c>
    </row>
    <row r="2827" spans="1:13">
      <c r="A2827" s="45" t="s">
        <v>11</v>
      </c>
      <c r="B2827" s="52" t="s">
        <v>684</v>
      </c>
      <c r="C2827" s="46">
        <v>43676</v>
      </c>
      <c r="D2827" s="47" t="s">
        <v>14</v>
      </c>
      <c r="E2827" s="48">
        <v>0.72916666666666674</v>
      </c>
      <c r="F2827" s="48">
        <v>0.89583333333333337</v>
      </c>
      <c r="G2827" s="49">
        <v>8.0000000000000036</v>
      </c>
      <c r="H2827" s="49">
        <v>3.9999999999999982</v>
      </c>
      <c r="I2827" s="49">
        <v>3.9999999999999982</v>
      </c>
      <c r="J2827" s="53" t="s">
        <v>30</v>
      </c>
      <c r="K2827" s="51" t="s">
        <v>932</v>
      </c>
      <c r="L2827" s="52">
        <v>1</v>
      </c>
      <c r="M2827" s="19" t="str">
        <f t="shared" si="67"/>
        <v>Jul_2019</v>
      </c>
    </row>
    <row r="2828" spans="1:13">
      <c r="A2828" s="45" t="s">
        <v>11</v>
      </c>
      <c r="B2828" s="52" t="s">
        <v>779</v>
      </c>
      <c r="C2828" s="46">
        <v>43676</v>
      </c>
      <c r="D2828" s="47" t="s">
        <v>14</v>
      </c>
      <c r="E2828" s="48">
        <v>0.72916666666666674</v>
      </c>
      <c r="F2828" s="48">
        <v>0.89583333333333337</v>
      </c>
      <c r="G2828" s="49">
        <v>8.0000000000000036</v>
      </c>
      <c r="H2828" s="49">
        <v>3.9999999999999982</v>
      </c>
      <c r="I2828" s="49">
        <v>3.9999999999999982</v>
      </c>
      <c r="J2828" s="53" t="s">
        <v>30</v>
      </c>
      <c r="K2828" s="51" t="s">
        <v>932</v>
      </c>
      <c r="L2828" s="52">
        <v>1</v>
      </c>
      <c r="M2828" s="19" t="str">
        <f t="shared" si="67"/>
        <v>Jul_2019</v>
      </c>
    </row>
    <row r="2829" spans="1:13">
      <c r="A2829" s="45" t="s">
        <v>11</v>
      </c>
      <c r="B2829" s="52" t="s">
        <v>811</v>
      </c>
      <c r="C2829" s="46">
        <v>43676</v>
      </c>
      <c r="D2829" s="47" t="s">
        <v>14</v>
      </c>
      <c r="E2829" s="48">
        <v>0.72916666666666674</v>
      </c>
      <c r="F2829" s="48">
        <v>0.89583333333333337</v>
      </c>
      <c r="G2829" s="49">
        <v>8.0000000000000036</v>
      </c>
      <c r="H2829" s="49">
        <v>3.9999999999999982</v>
      </c>
      <c r="I2829" s="49">
        <v>3.9999999999999982</v>
      </c>
      <c r="J2829" s="53" t="s">
        <v>30</v>
      </c>
      <c r="K2829" s="51" t="s">
        <v>932</v>
      </c>
      <c r="L2829" s="52">
        <v>1</v>
      </c>
      <c r="M2829" s="19" t="str">
        <f t="shared" si="67"/>
        <v>Jul_2019</v>
      </c>
    </row>
    <row r="2830" spans="1:13">
      <c r="A2830" s="45" t="s">
        <v>11</v>
      </c>
      <c r="B2830" s="52" t="s">
        <v>910</v>
      </c>
      <c r="C2830" s="46">
        <v>43676</v>
      </c>
      <c r="D2830" s="47" t="s">
        <v>14</v>
      </c>
      <c r="E2830" s="48">
        <v>0.72916666666666674</v>
      </c>
      <c r="F2830" s="48">
        <v>0.89583333333333337</v>
      </c>
      <c r="G2830" s="49">
        <v>8.0000000000000036</v>
      </c>
      <c r="H2830" s="49">
        <v>3.9999999999999982</v>
      </c>
      <c r="I2830" s="49">
        <v>3.9999999999999982</v>
      </c>
      <c r="J2830" s="53" t="s">
        <v>30</v>
      </c>
      <c r="K2830" s="51" t="s">
        <v>932</v>
      </c>
      <c r="L2830" s="52">
        <v>1</v>
      </c>
      <c r="M2830" s="19" t="str">
        <f t="shared" si="67"/>
        <v>Jul_2019</v>
      </c>
    </row>
    <row r="2831" spans="1:13">
      <c r="A2831" s="45" t="s">
        <v>22</v>
      </c>
      <c r="B2831" s="52" t="s">
        <v>662</v>
      </c>
      <c r="C2831" s="46">
        <v>43676</v>
      </c>
      <c r="D2831" s="47" t="s">
        <v>14</v>
      </c>
      <c r="E2831" s="48">
        <v>0.35416666666666669</v>
      </c>
      <c r="F2831" s="48">
        <v>0.89583333333333337</v>
      </c>
      <c r="G2831" s="49">
        <v>0</v>
      </c>
      <c r="H2831" s="49">
        <v>12.000000000000002</v>
      </c>
      <c r="I2831" s="49">
        <v>12.000000000000002</v>
      </c>
      <c r="J2831" s="53" t="s">
        <v>30</v>
      </c>
      <c r="K2831" s="51" t="s">
        <v>932</v>
      </c>
      <c r="L2831" s="52" t="s">
        <v>281</v>
      </c>
      <c r="M2831" s="19" t="str">
        <f t="shared" si="67"/>
        <v>Jul_2019</v>
      </c>
    </row>
    <row r="2832" spans="1:13">
      <c r="A2832" s="45" t="s">
        <v>11</v>
      </c>
      <c r="B2832" s="52" t="s">
        <v>912</v>
      </c>
      <c r="C2832" s="46">
        <v>43677</v>
      </c>
      <c r="D2832" s="47" t="s">
        <v>15</v>
      </c>
      <c r="E2832" s="48">
        <v>0.72916666666666674</v>
      </c>
      <c r="F2832" s="48">
        <v>0.89583333333333337</v>
      </c>
      <c r="G2832" s="49">
        <v>8.0000000000000036</v>
      </c>
      <c r="H2832" s="49">
        <v>3.9999999999999982</v>
      </c>
      <c r="I2832" s="49">
        <v>3.9999999999999982</v>
      </c>
      <c r="J2832" s="53" t="s">
        <v>30</v>
      </c>
      <c r="K2832" s="51" t="s">
        <v>933</v>
      </c>
      <c r="L2832" s="52">
        <v>1</v>
      </c>
      <c r="M2832" s="19" t="str">
        <f t="shared" si="67"/>
        <v>Jul_2019</v>
      </c>
    </row>
    <row r="2833" spans="1:13">
      <c r="A2833" s="45" t="s">
        <v>11</v>
      </c>
      <c r="B2833" s="52" t="s">
        <v>19</v>
      </c>
      <c r="C2833" s="46">
        <v>43677</v>
      </c>
      <c r="D2833" s="47" t="s">
        <v>15</v>
      </c>
      <c r="E2833" s="48">
        <v>0.72916666666666674</v>
      </c>
      <c r="F2833" s="48">
        <v>0.89583333333333337</v>
      </c>
      <c r="G2833" s="49">
        <v>8.0000000000000036</v>
      </c>
      <c r="H2833" s="49">
        <v>3.9999999999999982</v>
      </c>
      <c r="I2833" s="49">
        <v>3.9999999999999982</v>
      </c>
      <c r="J2833" s="53" t="s">
        <v>30</v>
      </c>
      <c r="K2833" s="51" t="s">
        <v>933</v>
      </c>
      <c r="L2833" s="52">
        <v>1</v>
      </c>
      <c r="M2833" s="19" t="str">
        <f t="shared" si="67"/>
        <v>Jul_2019</v>
      </c>
    </row>
    <row r="2834" spans="1:13">
      <c r="A2834" s="45" t="s">
        <v>11</v>
      </c>
      <c r="B2834" s="52" t="s">
        <v>149</v>
      </c>
      <c r="C2834" s="46">
        <v>43677</v>
      </c>
      <c r="D2834" s="47" t="s">
        <v>15</v>
      </c>
      <c r="E2834" s="48">
        <v>0.72916666666666674</v>
      </c>
      <c r="F2834" s="48">
        <v>0.89583333333333337</v>
      </c>
      <c r="G2834" s="49">
        <v>8.0000000000000036</v>
      </c>
      <c r="H2834" s="49">
        <v>3.9999999999999982</v>
      </c>
      <c r="I2834" s="49">
        <v>3.9999999999999982</v>
      </c>
      <c r="J2834" s="53" t="s">
        <v>30</v>
      </c>
      <c r="K2834" s="51" t="s">
        <v>933</v>
      </c>
      <c r="L2834" s="52">
        <v>1</v>
      </c>
      <c r="M2834" s="19" t="str">
        <f t="shared" si="67"/>
        <v>Jul_2019</v>
      </c>
    </row>
    <row r="2835" spans="1:13">
      <c r="A2835" s="45" t="s">
        <v>11</v>
      </c>
      <c r="B2835" s="52" t="s">
        <v>161</v>
      </c>
      <c r="C2835" s="46">
        <v>43677</v>
      </c>
      <c r="D2835" s="47" t="s">
        <v>15</v>
      </c>
      <c r="E2835" s="48">
        <v>0.72916666666666674</v>
      </c>
      <c r="F2835" s="48">
        <v>0.89583333333333337</v>
      </c>
      <c r="G2835" s="49">
        <v>8.0000000000000036</v>
      </c>
      <c r="H2835" s="49">
        <v>3.9999999999999982</v>
      </c>
      <c r="I2835" s="49">
        <v>3.9999999999999982</v>
      </c>
      <c r="J2835" s="53" t="s">
        <v>30</v>
      </c>
      <c r="K2835" s="51" t="s">
        <v>933</v>
      </c>
      <c r="L2835" s="52">
        <v>1</v>
      </c>
      <c r="M2835" s="19" t="str">
        <f t="shared" si="67"/>
        <v>Jul_2019</v>
      </c>
    </row>
    <row r="2836" spans="1:13">
      <c r="A2836" s="45" t="s">
        <v>11</v>
      </c>
      <c r="B2836" s="52" t="s">
        <v>542</v>
      </c>
      <c r="C2836" s="46">
        <v>43677</v>
      </c>
      <c r="D2836" s="47" t="s">
        <v>15</v>
      </c>
      <c r="E2836" s="48">
        <v>0.72916666666666674</v>
      </c>
      <c r="F2836" s="48">
        <v>0.89583333333333337</v>
      </c>
      <c r="G2836" s="49">
        <v>8.0000000000000036</v>
      </c>
      <c r="H2836" s="49">
        <v>3.9999999999999982</v>
      </c>
      <c r="I2836" s="49">
        <v>3.9999999999999982</v>
      </c>
      <c r="J2836" s="53" t="s">
        <v>30</v>
      </c>
      <c r="K2836" s="51" t="s">
        <v>933</v>
      </c>
      <c r="L2836" s="52">
        <v>1</v>
      </c>
      <c r="M2836" s="19" t="str">
        <f t="shared" si="67"/>
        <v>Jul_2019</v>
      </c>
    </row>
    <row r="2837" spans="1:13">
      <c r="A2837" s="45" t="s">
        <v>11</v>
      </c>
      <c r="B2837" s="52" t="s">
        <v>684</v>
      </c>
      <c r="C2837" s="46">
        <v>43677</v>
      </c>
      <c r="D2837" s="47" t="s">
        <v>15</v>
      </c>
      <c r="E2837" s="48">
        <v>0.6875</v>
      </c>
      <c r="F2837" s="48">
        <v>0.85416666666666663</v>
      </c>
      <c r="G2837" s="49">
        <v>8.0000000000000036</v>
      </c>
      <c r="H2837" s="49">
        <v>3.9999999999999964</v>
      </c>
      <c r="I2837" s="49">
        <v>3.9999999999999964</v>
      </c>
      <c r="J2837" s="53" t="s">
        <v>30</v>
      </c>
      <c r="K2837" s="51" t="s">
        <v>933</v>
      </c>
      <c r="L2837" s="52">
        <v>1</v>
      </c>
      <c r="M2837" s="19" t="str">
        <f t="shared" si="67"/>
        <v>Jul_2019</v>
      </c>
    </row>
    <row r="2838" spans="1:13">
      <c r="A2838" s="45" t="s">
        <v>11</v>
      </c>
      <c r="B2838" s="52" t="s">
        <v>779</v>
      </c>
      <c r="C2838" s="46">
        <v>43677</v>
      </c>
      <c r="D2838" s="47" t="s">
        <v>15</v>
      </c>
      <c r="E2838" s="48">
        <v>0.72916666666666674</v>
      </c>
      <c r="F2838" s="48">
        <v>0.89583333333333337</v>
      </c>
      <c r="G2838" s="49">
        <v>8.0000000000000036</v>
      </c>
      <c r="H2838" s="49">
        <v>3.9999999999999982</v>
      </c>
      <c r="I2838" s="49">
        <v>3.9999999999999982</v>
      </c>
      <c r="J2838" s="53" t="s">
        <v>30</v>
      </c>
      <c r="K2838" s="51" t="s">
        <v>933</v>
      </c>
      <c r="L2838" s="52">
        <v>1</v>
      </c>
      <c r="M2838" s="19" t="str">
        <f t="shared" si="67"/>
        <v>Jul_2019</v>
      </c>
    </row>
    <row r="2839" spans="1:13">
      <c r="A2839" s="45" t="s">
        <v>11</v>
      </c>
      <c r="B2839" s="52" t="s">
        <v>811</v>
      </c>
      <c r="C2839" s="46">
        <v>43677</v>
      </c>
      <c r="D2839" s="47" t="s">
        <v>15</v>
      </c>
      <c r="E2839" s="48">
        <v>0.72916666666666674</v>
      </c>
      <c r="F2839" s="48">
        <v>0.89583333333333337</v>
      </c>
      <c r="G2839" s="49">
        <v>8.0000000000000036</v>
      </c>
      <c r="H2839" s="49">
        <v>3.9999999999999982</v>
      </c>
      <c r="I2839" s="49">
        <v>3.9999999999999982</v>
      </c>
      <c r="J2839" s="53" t="s">
        <v>30</v>
      </c>
      <c r="K2839" s="51" t="s">
        <v>933</v>
      </c>
      <c r="L2839" s="52">
        <v>1</v>
      </c>
      <c r="M2839" s="19" t="str">
        <f t="shared" si="67"/>
        <v>Jul_2019</v>
      </c>
    </row>
    <row r="2840" spans="1:13">
      <c r="A2840" s="45" t="s">
        <v>11</v>
      </c>
      <c r="B2840" s="52" t="s">
        <v>910</v>
      </c>
      <c r="C2840" s="46">
        <v>43677</v>
      </c>
      <c r="D2840" s="47" t="s">
        <v>15</v>
      </c>
      <c r="E2840" s="48">
        <v>0.72916666666666674</v>
      </c>
      <c r="F2840" s="48">
        <v>0.89583333333333337</v>
      </c>
      <c r="G2840" s="49">
        <v>8.0000000000000036</v>
      </c>
      <c r="H2840" s="49">
        <v>3.9999999999999982</v>
      </c>
      <c r="I2840" s="49">
        <v>3.9999999999999982</v>
      </c>
      <c r="J2840" s="53" t="s">
        <v>30</v>
      </c>
      <c r="K2840" s="51" t="s">
        <v>933</v>
      </c>
      <c r="L2840" s="52">
        <v>1</v>
      </c>
      <c r="M2840" s="19" t="str">
        <f t="shared" si="67"/>
        <v>Jul_2019</v>
      </c>
    </row>
    <row r="2841" spans="1:13">
      <c r="A2841" s="45" t="s">
        <v>22</v>
      </c>
      <c r="B2841" s="52" t="s">
        <v>662</v>
      </c>
      <c r="C2841" s="46">
        <v>43677</v>
      </c>
      <c r="D2841" s="47" t="s">
        <v>15</v>
      </c>
      <c r="E2841" s="48">
        <v>0.35416666666666669</v>
      </c>
      <c r="F2841" s="48">
        <v>0.89583333333333337</v>
      </c>
      <c r="G2841" s="49">
        <v>0</v>
      </c>
      <c r="H2841" s="49">
        <v>12.000000000000002</v>
      </c>
      <c r="I2841" s="49">
        <v>12.000000000000002</v>
      </c>
      <c r="J2841" s="53" t="s">
        <v>30</v>
      </c>
      <c r="K2841" s="51" t="s">
        <v>933</v>
      </c>
      <c r="L2841" s="52" t="s">
        <v>281</v>
      </c>
      <c r="M2841" s="19" t="str">
        <f t="shared" si="67"/>
        <v>Jul_2019</v>
      </c>
    </row>
  </sheetData>
  <conditionalFormatting sqref="D2:D4 D9:D16 D19:D21 D28:D40 D54:D57 D64:D81">
    <cfRule type="containsText" dxfId="4847" priority="35230" operator="containsText" text="Fri">
      <formula>NOT(ISERROR(SEARCH("Fri",D2)))</formula>
    </cfRule>
    <cfRule type="containsText" dxfId="4846" priority="35231" operator="containsText" text="Thu">
      <formula>NOT(ISERROR(SEARCH("Thu",D2)))</formula>
    </cfRule>
    <cfRule type="containsText" dxfId="4845" priority="35232" operator="containsText" text="Wed">
      <formula>NOT(ISERROR(SEARCH("Wed",D2)))</formula>
    </cfRule>
    <cfRule type="containsText" dxfId="4844" priority="35233" operator="containsText" text="Tue">
      <formula>NOT(ISERROR(SEARCH("Tue",D2)))</formula>
    </cfRule>
    <cfRule type="containsText" dxfId="4843" priority="35234" operator="containsText" text="Mon">
      <formula>NOT(ISERROR(SEARCH("Mon",D2)))</formula>
    </cfRule>
  </conditionalFormatting>
  <conditionalFormatting sqref="F80:F81 F151:F154 H151:H154 F156:F170 E171:F302 H156:H302">
    <cfRule type="cellIs" dxfId="4842" priority="35229" operator="equal">
      <formula>0</formula>
    </cfRule>
  </conditionalFormatting>
  <conditionalFormatting sqref="E80:E81">
    <cfRule type="cellIs" dxfId="4841" priority="35228" operator="equal">
      <formula>0</formula>
    </cfRule>
  </conditionalFormatting>
  <conditionalFormatting sqref="E80:E81">
    <cfRule type="cellIs" dxfId="4840" priority="35227" operator="equal">
      <formula>0</formula>
    </cfRule>
  </conditionalFormatting>
  <conditionalFormatting sqref="D5:D8">
    <cfRule type="containsText" dxfId="4839" priority="35222" operator="containsText" text="Fri">
      <formula>NOT(ISERROR(SEARCH("Fri",D5)))</formula>
    </cfRule>
    <cfRule type="containsText" dxfId="4838" priority="35223" operator="containsText" text="Thu">
      <formula>NOT(ISERROR(SEARCH("Thu",D5)))</formula>
    </cfRule>
    <cfRule type="containsText" dxfId="4837" priority="35224" operator="containsText" text="Wed">
      <formula>NOT(ISERROR(SEARCH("Wed",D5)))</formula>
    </cfRule>
    <cfRule type="containsText" dxfId="4836" priority="35225" operator="containsText" text="Tue">
      <formula>NOT(ISERROR(SEARCH("Tue",D5)))</formula>
    </cfRule>
    <cfRule type="containsText" dxfId="4835" priority="35226" operator="containsText" text="Mon">
      <formula>NOT(ISERROR(SEARCH("Mon",D5)))</formula>
    </cfRule>
  </conditionalFormatting>
  <conditionalFormatting sqref="D17:D18">
    <cfRule type="containsText" dxfId="4834" priority="35217" operator="containsText" text="Fri">
      <formula>NOT(ISERROR(SEARCH("Fri",D17)))</formula>
    </cfRule>
    <cfRule type="containsText" dxfId="4833" priority="35218" operator="containsText" text="Thu">
      <formula>NOT(ISERROR(SEARCH("Thu",D17)))</formula>
    </cfRule>
    <cfRule type="containsText" dxfId="4832" priority="35219" operator="containsText" text="Wed">
      <formula>NOT(ISERROR(SEARCH("Wed",D17)))</formula>
    </cfRule>
    <cfRule type="containsText" dxfId="4831" priority="35220" operator="containsText" text="Tue">
      <formula>NOT(ISERROR(SEARCH("Tue",D17)))</formula>
    </cfRule>
    <cfRule type="containsText" dxfId="4830" priority="35221" operator="containsText" text="Mon">
      <formula>NOT(ISERROR(SEARCH("Mon",D17)))</formula>
    </cfRule>
  </conditionalFormatting>
  <conditionalFormatting sqref="D26:D27">
    <cfRule type="containsText" dxfId="4829" priority="35212" operator="containsText" text="Fri">
      <formula>NOT(ISERROR(SEARCH("Fri",D26)))</formula>
    </cfRule>
    <cfRule type="containsText" dxfId="4828" priority="35213" operator="containsText" text="Thu">
      <formula>NOT(ISERROR(SEARCH("Thu",D26)))</formula>
    </cfRule>
    <cfRule type="containsText" dxfId="4827" priority="35214" operator="containsText" text="Wed">
      <formula>NOT(ISERROR(SEARCH("Wed",D26)))</formula>
    </cfRule>
    <cfRule type="containsText" dxfId="4826" priority="35215" operator="containsText" text="Tue">
      <formula>NOT(ISERROR(SEARCH("Tue",D26)))</formula>
    </cfRule>
    <cfRule type="containsText" dxfId="4825" priority="35216" operator="containsText" text="Mon">
      <formula>NOT(ISERROR(SEARCH("Mon",D26)))</formula>
    </cfRule>
  </conditionalFormatting>
  <conditionalFormatting sqref="D24:D25">
    <cfRule type="containsText" dxfId="4824" priority="35207" operator="containsText" text="Fri">
      <formula>NOT(ISERROR(SEARCH("Fri",D24)))</formula>
    </cfRule>
    <cfRule type="containsText" dxfId="4823" priority="35208" operator="containsText" text="Thu">
      <formula>NOT(ISERROR(SEARCH("Thu",D24)))</formula>
    </cfRule>
    <cfRule type="containsText" dxfId="4822" priority="35209" operator="containsText" text="Wed">
      <formula>NOT(ISERROR(SEARCH("Wed",D24)))</formula>
    </cfRule>
    <cfRule type="containsText" dxfId="4821" priority="35210" operator="containsText" text="Tue">
      <formula>NOT(ISERROR(SEARCH("Tue",D24)))</formula>
    </cfRule>
    <cfRule type="containsText" dxfId="4820" priority="35211" operator="containsText" text="Mon">
      <formula>NOT(ISERROR(SEARCH("Mon",D24)))</formula>
    </cfRule>
  </conditionalFormatting>
  <conditionalFormatting sqref="D22:D23">
    <cfRule type="containsText" dxfId="4819" priority="35202" operator="containsText" text="Fri">
      <formula>NOT(ISERROR(SEARCH("Fri",D22)))</formula>
    </cfRule>
    <cfRule type="containsText" dxfId="4818" priority="35203" operator="containsText" text="Thu">
      <formula>NOT(ISERROR(SEARCH("Thu",D22)))</formula>
    </cfRule>
    <cfRule type="containsText" dxfId="4817" priority="35204" operator="containsText" text="Wed">
      <formula>NOT(ISERROR(SEARCH("Wed",D22)))</formula>
    </cfRule>
    <cfRule type="containsText" dxfId="4816" priority="35205" operator="containsText" text="Tue">
      <formula>NOT(ISERROR(SEARCH("Tue",D22)))</formula>
    </cfRule>
    <cfRule type="containsText" dxfId="4815" priority="35206" operator="containsText" text="Mon">
      <formula>NOT(ISERROR(SEARCH("Mon",D22)))</formula>
    </cfRule>
  </conditionalFormatting>
  <conditionalFormatting sqref="D51:D53">
    <cfRule type="containsText" dxfId="4814" priority="35197" operator="containsText" text="Fri">
      <formula>NOT(ISERROR(SEARCH("Fri",D51)))</formula>
    </cfRule>
    <cfRule type="containsText" dxfId="4813" priority="35198" operator="containsText" text="Thu">
      <formula>NOT(ISERROR(SEARCH("Thu",D51)))</formula>
    </cfRule>
    <cfRule type="containsText" dxfId="4812" priority="35199" operator="containsText" text="Wed">
      <formula>NOT(ISERROR(SEARCH("Wed",D51)))</formula>
    </cfRule>
    <cfRule type="containsText" dxfId="4811" priority="35200" operator="containsText" text="Tue">
      <formula>NOT(ISERROR(SEARCH("Tue",D51)))</formula>
    </cfRule>
    <cfRule type="containsText" dxfId="4810" priority="35201" operator="containsText" text="Mon">
      <formula>NOT(ISERROR(SEARCH("Mon",D51)))</formula>
    </cfRule>
  </conditionalFormatting>
  <conditionalFormatting sqref="D48:D50">
    <cfRule type="containsText" dxfId="4809" priority="35192" operator="containsText" text="Fri">
      <formula>NOT(ISERROR(SEARCH("Fri",D48)))</formula>
    </cfRule>
    <cfRule type="containsText" dxfId="4808" priority="35193" operator="containsText" text="Thu">
      <formula>NOT(ISERROR(SEARCH("Thu",D48)))</formula>
    </cfRule>
    <cfRule type="containsText" dxfId="4807" priority="35194" operator="containsText" text="Wed">
      <formula>NOT(ISERROR(SEARCH("Wed",D48)))</formula>
    </cfRule>
    <cfRule type="containsText" dxfId="4806" priority="35195" operator="containsText" text="Tue">
      <formula>NOT(ISERROR(SEARCH("Tue",D48)))</formula>
    </cfRule>
    <cfRule type="containsText" dxfId="4805" priority="35196" operator="containsText" text="Mon">
      <formula>NOT(ISERROR(SEARCH("Mon",D48)))</formula>
    </cfRule>
  </conditionalFormatting>
  <conditionalFormatting sqref="D45:D47">
    <cfRule type="containsText" dxfId="4804" priority="35187" operator="containsText" text="Fri">
      <formula>NOT(ISERROR(SEARCH("Fri",D45)))</formula>
    </cfRule>
    <cfRule type="containsText" dxfId="4803" priority="35188" operator="containsText" text="Thu">
      <formula>NOT(ISERROR(SEARCH("Thu",D45)))</formula>
    </cfRule>
    <cfRule type="containsText" dxfId="4802" priority="35189" operator="containsText" text="Wed">
      <formula>NOT(ISERROR(SEARCH("Wed",D45)))</formula>
    </cfRule>
    <cfRule type="containsText" dxfId="4801" priority="35190" operator="containsText" text="Tue">
      <formula>NOT(ISERROR(SEARCH("Tue",D45)))</formula>
    </cfRule>
    <cfRule type="containsText" dxfId="4800" priority="35191" operator="containsText" text="Mon">
      <formula>NOT(ISERROR(SEARCH("Mon",D45)))</formula>
    </cfRule>
  </conditionalFormatting>
  <conditionalFormatting sqref="D44">
    <cfRule type="containsText" dxfId="4799" priority="35182" operator="containsText" text="Fri">
      <formula>NOT(ISERROR(SEARCH("Fri",D44)))</formula>
    </cfRule>
    <cfRule type="containsText" dxfId="4798" priority="35183" operator="containsText" text="Thu">
      <formula>NOT(ISERROR(SEARCH("Thu",D44)))</formula>
    </cfRule>
    <cfRule type="containsText" dxfId="4797" priority="35184" operator="containsText" text="Wed">
      <formula>NOT(ISERROR(SEARCH("Wed",D44)))</formula>
    </cfRule>
    <cfRule type="containsText" dxfId="4796" priority="35185" operator="containsText" text="Tue">
      <formula>NOT(ISERROR(SEARCH("Tue",D44)))</formula>
    </cfRule>
    <cfRule type="containsText" dxfId="4795" priority="35186" operator="containsText" text="Mon">
      <formula>NOT(ISERROR(SEARCH("Mon",D44)))</formula>
    </cfRule>
  </conditionalFormatting>
  <conditionalFormatting sqref="D41:D43">
    <cfRule type="containsText" dxfId="4794" priority="35177" operator="containsText" text="Fri">
      <formula>NOT(ISERROR(SEARCH("Fri",D41)))</formula>
    </cfRule>
    <cfRule type="containsText" dxfId="4793" priority="35178" operator="containsText" text="Thu">
      <formula>NOT(ISERROR(SEARCH("Thu",D41)))</formula>
    </cfRule>
    <cfRule type="containsText" dxfId="4792" priority="35179" operator="containsText" text="Wed">
      <formula>NOT(ISERROR(SEARCH("Wed",D41)))</formula>
    </cfRule>
    <cfRule type="containsText" dxfId="4791" priority="35180" operator="containsText" text="Tue">
      <formula>NOT(ISERROR(SEARCH("Tue",D41)))</formula>
    </cfRule>
    <cfRule type="containsText" dxfId="4790" priority="35181" operator="containsText" text="Mon">
      <formula>NOT(ISERROR(SEARCH("Mon",D41)))</formula>
    </cfRule>
  </conditionalFormatting>
  <conditionalFormatting sqref="D62:D63">
    <cfRule type="containsText" dxfId="4789" priority="35172" operator="containsText" text="Fri">
      <formula>NOT(ISERROR(SEARCH("Fri",D62)))</formula>
    </cfRule>
    <cfRule type="containsText" dxfId="4788" priority="35173" operator="containsText" text="Thu">
      <formula>NOT(ISERROR(SEARCH("Thu",D62)))</formula>
    </cfRule>
    <cfRule type="containsText" dxfId="4787" priority="35174" operator="containsText" text="Wed">
      <formula>NOT(ISERROR(SEARCH("Wed",D62)))</formula>
    </cfRule>
    <cfRule type="containsText" dxfId="4786" priority="35175" operator="containsText" text="Tue">
      <formula>NOT(ISERROR(SEARCH("Tue",D62)))</formula>
    </cfRule>
    <cfRule type="containsText" dxfId="4785" priority="35176" operator="containsText" text="Mon">
      <formula>NOT(ISERROR(SEARCH("Mon",D62)))</formula>
    </cfRule>
  </conditionalFormatting>
  <conditionalFormatting sqref="D60:D61">
    <cfRule type="containsText" dxfId="4784" priority="35167" operator="containsText" text="Fri">
      <formula>NOT(ISERROR(SEARCH("Fri",D60)))</formula>
    </cfRule>
    <cfRule type="containsText" dxfId="4783" priority="35168" operator="containsText" text="Thu">
      <formula>NOT(ISERROR(SEARCH("Thu",D60)))</formula>
    </cfRule>
    <cfRule type="containsText" dxfId="4782" priority="35169" operator="containsText" text="Wed">
      <formula>NOT(ISERROR(SEARCH("Wed",D60)))</formula>
    </cfRule>
    <cfRule type="containsText" dxfId="4781" priority="35170" operator="containsText" text="Tue">
      <formula>NOT(ISERROR(SEARCH("Tue",D60)))</formula>
    </cfRule>
    <cfRule type="containsText" dxfId="4780" priority="35171" operator="containsText" text="Mon">
      <formula>NOT(ISERROR(SEARCH("Mon",D60)))</formula>
    </cfRule>
  </conditionalFormatting>
  <conditionalFormatting sqref="D58:D59">
    <cfRule type="containsText" dxfId="4779" priority="35162" operator="containsText" text="Fri">
      <formula>NOT(ISERROR(SEARCH("Fri",D58)))</formula>
    </cfRule>
    <cfRule type="containsText" dxfId="4778" priority="35163" operator="containsText" text="Thu">
      <formula>NOT(ISERROR(SEARCH("Thu",D58)))</formula>
    </cfRule>
    <cfRule type="containsText" dxfId="4777" priority="35164" operator="containsText" text="Wed">
      <formula>NOT(ISERROR(SEARCH("Wed",D58)))</formula>
    </cfRule>
    <cfRule type="containsText" dxfId="4776" priority="35165" operator="containsText" text="Tue">
      <formula>NOT(ISERROR(SEARCH("Tue",D58)))</formula>
    </cfRule>
    <cfRule type="containsText" dxfId="4775" priority="35166" operator="containsText" text="Mon">
      <formula>NOT(ISERROR(SEARCH("Mon",D58)))</formula>
    </cfRule>
  </conditionalFormatting>
  <conditionalFormatting sqref="F155">
    <cfRule type="cellIs" dxfId="4774" priority="34943" operator="equal">
      <formula>0</formula>
    </cfRule>
  </conditionalFormatting>
  <conditionalFormatting sqref="H80:H81">
    <cfRule type="cellIs" dxfId="4773" priority="35160" operator="equal">
      <formula>0</formula>
    </cfRule>
  </conditionalFormatting>
  <conditionalFormatting sqref="K80:K81">
    <cfRule type="cellIs" dxfId="4772" priority="35158" operator="equal">
      <formula>0</formula>
    </cfRule>
  </conditionalFormatting>
  <conditionalFormatting sqref="K80:K81">
    <cfRule type="cellIs" dxfId="4771" priority="35157" operator="equal">
      <formula>"0 Policies"</formula>
    </cfRule>
  </conditionalFormatting>
  <conditionalFormatting sqref="K171:K172">
    <cfRule type="cellIs" dxfId="4770" priority="35156" operator="equal">
      <formula>0</formula>
    </cfRule>
  </conditionalFormatting>
  <conditionalFormatting sqref="D82:D84 D93:D100 D118:D122 D141:D146 D150:D153 D156:D160 D171:D172 D107:D114 D124:D127">
    <cfRule type="containsText" dxfId="4769" priority="35151" operator="containsText" text="Fri">
      <formula>NOT(ISERROR(SEARCH("Fri",D82)))</formula>
    </cfRule>
    <cfRule type="containsText" dxfId="4768" priority="35152" operator="containsText" text="Thu">
      <formula>NOT(ISERROR(SEARCH("Thu",D82)))</formula>
    </cfRule>
    <cfRule type="containsText" dxfId="4767" priority="35153" operator="containsText" text="Wed">
      <formula>NOT(ISERROR(SEARCH("Wed",D82)))</formula>
    </cfRule>
    <cfRule type="containsText" dxfId="4766" priority="35154" operator="containsText" text="Tue">
      <formula>NOT(ISERROR(SEARCH("Tue",D82)))</formula>
    </cfRule>
    <cfRule type="containsText" dxfId="4765" priority="35155" operator="containsText" text="Mon">
      <formula>NOT(ISERROR(SEARCH("Mon",D82)))</formula>
    </cfRule>
  </conditionalFormatting>
  <conditionalFormatting sqref="K151:K153 K156:K160">
    <cfRule type="cellIs" dxfId="4764" priority="35150" operator="equal">
      <formula>0</formula>
    </cfRule>
  </conditionalFormatting>
  <conditionalFormatting sqref="K151:K153 K156:K160 K171:K172">
    <cfRule type="cellIs" dxfId="4763" priority="35148" operator="equal">
      <formula>"0 Policies"</formula>
    </cfRule>
  </conditionalFormatting>
  <conditionalFormatting sqref="E151:E153 E156:E160">
    <cfRule type="cellIs" dxfId="4762" priority="35147" operator="equal">
      <formula>0</formula>
    </cfRule>
  </conditionalFormatting>
  <conditionalFormatting sqref="E151:E153 E156:E160">
    <cfRule type="cellIs" dxfId="4761" priority="35146" operator="equal">
      <formula>0</formula>
    </cfRule>
  </conditionalFormatting>
  <conditionalFormatting sqref="D92">
    <cfRule type="containsText" dxfId="4760" priority="35141" operator="containsText" text="Fri">
      <formula>NOT(ISERROR(SEARCH("Fri",D92)))</formula>
    </cfRule>
    <cfRule type="containsText" dxfId="4759" priority="35142" operator="containsText" text="Thu">
      <formula>NOT(ISERROR(SEARCH("Thu",D92)))</formula>
    </cfRule>
    <cfRule type="containsText" dxfId="4758" priority="35143" operator="containsText" text="Wed">
      <formula>NOT(ISERROR(SEARCH("Wed",D92)))</formula>
    </cfRule>
    <cfRule type="containsText" dxfId="4757" priority="35144" operator="containsText" text="Tue">
      <formula>NOT(ISERROR(SEARCH("Tue",D92)))</formula>
    </cfRule>
    <cfRule type="containsText" dxfId="4756" priority="35145" operator="containsText" text="Mon">
      <formula>NOT(ISERROR(SEARCH("Mon",D92)))</formula>
    </cfRule>
  </conditionalFormatting>
  <conditionalFormatting sqref="D91">
    <cfRule type="containsText" dxfId="4755" priority="35136" operator="containsText" text="Fri">
      <formula>NOT(ISERROR(SEARCH("Fri",D91)))</formula>
    </cfRule>
    <cfRule type="containsText" dxfId="4754" priority="35137" operator="containsText" text="Thu">
      <formula>NOT(ISERROR(SEARCH("Thu",D91)))</formula>
    </cfRule>
    <cfRule type="containsText" dxfId="4753" priority="35138" operator="containsText" text="Wed">
      <formula>NOT(ISERROR(SEARCH("Wed",D91)))</formula>
    </cfRule>
    <cfRule type="containsText" dxfId="4752" priority="35139" operator="containsText" text="Tue">
      <formula>NOT(ISERROR(SEARCH("Tue",D91)))</formula>
    </cfRule>
    <cfRule type="containsText" dxfId="4751" priority="35140" operator="containsText" text="Mon">
      <formula>NOT(ISERROR(SEARCH("Mon",D91)))</formula>
    </cfRule>
  </conditionalFormatting>
  <conditionalFormatting sqref="D90">
    <cfRule type="containsText" dxfId="4750" priority="35131" operator="containsText" text="Fri">
      <formula>NOT(ISERROR(SEARCH("Fri",D90)))</formula>
    </cfRule>
    <cfRule type="containsText" dxfId="4749" priority="35132" operator="containsText" text="Thu">
      <formula>NOT(ISERROR(SEARCH("Thu",D90)))</formula>
    </cfRule>
    <cfRule type="containsText" dxfId="4748" priority="35133" operator="containsText" text="Wed">
      <formula>NOT(ISERROR(SEARCH("Wed",D90)))</formula>
    </cfRule>
    <cfRule type="containsText" dxfId="4747" priority="35134" operator="containsText" text="Tue">
      <formula>NOT(ISERROR(SEARCH("Tue",D90)))</formula>
    </cfRule>
    <cfRule type="containsText" dxfId="4746" priority="35135" operator="containsText" text="Mon">
      <formula>NOT(ISERROR(SEARCH("Mon",D90)))</formula>
    </cfRule>
  </conditionalFormatting>
  <conditionalFormatting sqref="D89">
    <cfRule type="containsText" dxfId="4745" priority="35126" operator="containsText" text="Fri">
      <formula>NOT(ISERROR(SEARCH("Fri",D89)))</formula>
    </cfRule>
    <cfRule type="containsText" dxfId="4744" priority="35127" operator="containsText" text="Thu">
      <formula>NOT(ISERROR(SEARCH("Thu",D89)))</formula>
    </cfRule>
    <cfRule type="containsText" dxfId="4743" priority="35128" operator="containsText" text="Wed">
      <formula>NOT(ISERROR(SEARCH("Wed",D89)))</formula>
    </cfRule>
    <cfRule type="containsText" dxfId="4742" priority="35129" operator="containsText" text="Tue">
      <formula>NOT(ISERROR(SEARCH("Tue",D89)))</formula>
    </cfRule>
    <cfRule type="containsText" dxfId="4741" priority="35130" operator="containsText" text="Mon">
      <formula>NOT(ISERROR(SEARCH("Mon",D89)))</formula>
    </cfRule>
  </conditionalFormatting>
  <conditionalFormatting sqref="D87:D88">
    <cfRule type="containsText" dxfId="4740" priority="35121" operator="containsText" text="Fri">
      <formula>NOT(ISERROR(SEARCH("Fri",D87)))</formula>
    </cfRule>
    <cfRule type="containsText" dxfId="4739" priority="35122" operator="containsText" text="Thu">
      <formula>NOT(ISERROR(SEARCH("Thu",D87)))</formula>
    </cfRule>
    <cfRule type="containsText" dxfId="4738" priority="35123" operator="containsText" text="Wed">
      <formula>NOT(ISERROR(SEARCH("Wed",D87)))</formula>
    </cfRule>
    <cfRule type="containsText" dxfId="4737" priority="35124" operator="containsText" text="Tue">
      <formula>NOT(ISERROR(SEARCH("Tue",D87)))</formula>
    </cfRule>
    <cfRule type="containsText" dxfId="4736" priority="35125" operator="containsText" text="Mon">
      <formula>NOT(ISERROR(SEARCH("Mon",D87)))</formula>
    </cfRule>
  </conditionalFormatting>
  <conditionalFormatting sqref="D86">
    <cfRule type="containsText" dxfId="4735" priority="35116" operator="containsText" text="Fri">
      <formula>NOT(ISERROR(SEARCH("Fri",D86)))</formula>
    </cfRule>
    <cfRule type="containsText" dxfId="4734" priority="35117" operator="containsText" text="Thu">
      <formula>NOT(ISERROR(SEARCH("Thu",D86)))</formula>
    </cfRule>
    <cfRule type="containsText" dxfId="4733" priority="35118" operator="containsText" text="Wed">
      <formula>NOT(ISERROR(SEARCH("Wed",D86)))</formula>
    </cfRule>
    <cfRule type="containsText" dxfId="4732" priority="35119" operator="containsText" text="Tue">
      <formula>NOT(ISERROR(SEARCH("Tue",D86)))</formula>
    </cfRule>
    <cfRule type="containsText" dxfId="4731" priority="35120" operator="containsText" text="Mon">
      <formula>NOT(ISERROR(SEARCH("Mon",D86)))</formula>
    </cfRule>
  </conditionalFormatting>
  <conditionalFormatting sqref="D85">
    <cfRule type="containsText" dxfId="4730" priority="35111" operator="containsText" text="Fri">
      <formula>NOT(ISERROR(SEARCH("Fri",D85)))</formula>
    </cfRule>
    <cfRule type="containsText" dxfId="4729" priority="35112" operator="containsText" text="Thu">
      <formula>NOT(ISERROR(SEARCH("Thu",D85)))</formula>
    </cfRule>
    <cfRule type="containsText" dxfId="4728" priority="35113" operator="containsText" text="Wed">
      <formula>NOT(ISERROR(SEARCH("Wed",D85)))</formula>
    </cfRule>
    <cfRule type="containsText" dxfId="4727" priority="35114" operator="containsText" text="Tue">
      <formula>NOT(ISERROR(SEARCH("Tue",D85)))</formula>
    </cfRule>
    <cfRule type="containsText" dxfId="4726" priority="35115" operator="containsText" text="Mon">
      <formula>NOT(ISERROR(SEARCH("Mon",D85)))</formula>
    </cfRule>
  </conditionalFormatting>
  <conditionalFormatting sqref="D104:D106">
    <cfRule type="containsText" dxfId="4725" priority="35106" operator="containsText" text="Fri">
      <formula>NOT(ISERROR(SEARCH("Fri",D104)))</formula>
    </cfRule>
    <cfRule type="containsText" dxfId="4724" priority="35107" operator="containsText" text="Thu">
      <formula>NOT(ISERROR(SEARCH("Thu",D104)))</formula>
    </cfRule>
    <cfRule type="containsText" dxfId="4723" priority="35108" operator="containsText" text="Wed">
      <formula>NOT(ISERROR(SEARCH("Wed",D104)))</formula>
    </cfRule>
    <cfRule type="containsText" dxfId="4722" priority="35109" operator="containsText" text="Tue">
      <formula>NOT(ISERROR(SEARCH("Tue",D104)))</formula>
    </cfRule>
    <cfRule type="containsText" dxfId="4721" priority="35110" operator="containsText" text="Mon">
      <formula>NOT(ISERROR(SEARCH("Mon",D104)))</formula>
    </cfRule>
  </conditionalFormatting>
  <conditionalFormatting sqref="D101:D103">
    <cfRule type="containsText" dxfId="4720" priority="35101" operator="containsText" text="Fri">
      <formula>NOT(ISERROR(SEARCH("Fri",D101)))</formula>
    </cfRule>
    <cfRule type="containsText" dxfId="4719" priority="35102" operator="containsText" text="Thu">
      <formula>NOT(ISERROR(SEARCH("Thu",D101)))</formula>
    </cfRule>
    <cfRule type="containsText" dxfId="4718" priority="35103" operator="containsText" text="Wed">
      <formula>NOT(ISERROR(SEARCH("Wed",D101)))</formula>
    </cfRule>
    <cfRule type="containsText" dxfId="4717" priority="35104" operator="containsText" text="Tue">
      <formula>NOT(ISERROR(SEARCH("Tue",D101)))</formula>
    </cfRule>
    <cfRule type="containsText" dxfId="4716" priority="35105" operator="containsText" text="Mon">
      <formula>NOT(ISERROR(SEARCH("Mon",D101)))</formula>
    </cfRule>
  </conditionalFormatting>
  <conditionalFormatting sqref="D117">
    <cfRule type="containsText" dxfId="4715" priority="35096" operator="containsText" text="Fri">
      <formula>NOT(ISERROR(SEARCH("Fri",D117)))</formula>
    </cfRule>
    <cfRule type="containsText" dxfId="4714" priority="35097" operator="containsText" text="Thu">
      <formula>NOT(ISERROR(SEARCH("Thu",D117)))</formula>
    </cfRule>
    <cfRule type="containsText" dxfId="4713" priority="35098" operator="containsText" text="Wed">
      <formula>NOT(ISERROR(SEARCH("Wed",D117)))</formula>
    </cfRule>
    <cfRule type="containsText" dxfId="4712" priority="35099" operator="containsText" text="Tue">
      <formula>NOT(ISERROR(SEARCH("Tue",D117)))</formula>
    </cfRule>
    <cfRule type="containsText" dxfId="4711" priority="35100" operator="containsText" text="Mon">
      <formula>NOT(ISERROR(SEARCH("Mon",D117)))</formula>
    </cfRule>
  </conditionalFormatting>
  <conditionalFormatting sqref="D116">
    <cfRule type="containsText" dxfId="4710" priority="35091" operator="containsText" text="Fri">
      <formula>NOT(ISERROR(SEARCH("Fri",D116)))</formula>
    </cfRule>
    <cfRule type="containsText" dxfId="4709" priority="35092" operator="containsText" text="Thu">
      <formula>NOT(ISERROR(SEARCH("Thu",D116)))</formula>
    </cfRule>
    <cfRule type="containsText" dxfId="4708" priority="35093" operator="containsText" text="Wed">
      <formula>NOT(ISERROR(SEARCH("Wed",D116)))</formula>
    </cfRule>
    <cfRule type="containsText" dxfId="4707" priority="35094" operator="containsText" text="Tue">
      <formula>NOT(ISERROR(SEARCH("Tue",D116)))</formula>
    </cfRule>
    <cfRule type="containsText" dxfId="4706" priority="35095" operator="containsText" text="Mon">
      <formula>NOT(ISERROR(SEARCH("Mon",D116)))</formula>
    </cfRule>
  </conditionalFormatting>
  <conditionalFormatting sqref="D115">
    <cfRule type="containsText" dxfId="4705" priority="35086" operator="containsText" text="Fri">
      <formula>NOT(ISERROR(SEARCH("Fri",D115)))</formula>
    </cfRule>
    <cfRule type="containsText" dxfId="4704" priority="35087" operator="containsText" text="Thu">
      <formula>NOT(ISERROR(SEARCH("Thu",D115)))</formula>
    </cfRule>
    <cfRule type="containsText" dxfId="4703" priority="35088" operator="containsText" text="Wed">
      <formula>NOT(ISERROR(SEARCH("Wed",D115)))</formula>
    </cfRule>
    <cfRule type="containsText" dxfId="4702" priority="35089" operator="containsText" text="Tue">
      <formula>NOT(ISERROR(SEARCH("Tue",D115)))</formula>
    </cfRule>
    <cfRule type="containsText" dxfId="4701" priority="35090" operator="containsText" text="Mon">
      <formula>NOT(ISERROR(SEARCH("Mon",D115)))</formula>
    </cfRule>
  </conditionalFormatting>
  <conditionalFormatting sqref="D139:D140">
    <cfRule type="containsText" dxfId="4700" priority="35081" operator="containsText" text="Fri">
      <formula>NOT(ISERROR(SEARCH("Fri",D139)))</formula>
    </cfRule>
    <cfRule type="containsText" dxfId="4699" priority="35082" operator="containsText" text="Thu">
      <formula>NOT(ISERROR(SEARCH("Thu",D139)))</formula>
    </cfRule>
    <cfRule type="containsText" dxfId="4698" priority="35083" operator="containsText" text="Wed">
      <formula>NOT(ISERROR(SEARCH("Wed",D139)))</formula>
    </cfRule>
    <cfRule type="containsText" dxfId="4697" priority="35084" operator="containsText" text="Tue">
      <formula>NOT(ISERROR(SEARCH("Tue",D139)))</formula>
    </cfRule>
    <cfRule type="containsText" dxfId="4696" priority="35085" operator="containsText" text="Mon">
      <formula>NOT(ISERROR(SEARCH("Mon",D139)))</formula>
    </cfRule>
  </conditionalFormatting>
  <conditionalFormatting sqref="D138">
    <cfRule type="containsText" dxfId="4695" priority="35076" operator="containsText" text="Fri">
      <formula>NOT(ISERROR(SEARCH("Fri",D138)))</formula>
    </cfRule>
    <cfRule type="containsText" dxfId="4694" priority="35077" operator="containsText" text="Thu">
      <formula>NOT(ISERROR(SEARCH("Thu",D138)))</formula>
    </cfRule>
    <cfRule type="containsText" dxfId="4693" priority="35078" operator="containsText" text="Wed">
      <formula>NOT(ISERROR(SEARCH("Wed",D138)))</formula>
    </cfRule>
    <cfRule type="containsText" dxfId="4692" priority="35079" operator="containsText" text="Tue">
      <formula>NOT(ISERROR(SEARCH("Tue",D138)))</formula>
    </cfRule>
    <cfRule type="containsText" dxfId="4691" priority="35080" operator="containsText" text="Mon">
      <formula>NOT(ISERROR(SEARCH("Mon",D138)))</formula>
    </cfRule>
  </conditionalFormatting>
  <conditionalFormatting sqref="D137">
    <cfRule type="containsText" dxfId="4690" priority="35071" operator="containsText" text="Fri">
      <formula>NOT(ISERROR(SEARCH("Fri",D137)))</formula>
    </cfRule>
    <cfRule type="containsText" dxfId="4689" priority="35072" operator="containsText" text="Thu">
      <formula>NOT(ISERROR(SEARCH("Thu",D137)))</formula>
    </cfRule>
    <cfRule type="containsText" dxfId="4688" priority="35073" operator="containsText" text="Wed">
      <formula>NOT(ISERROR(SEARCH("Wed",D137)))</formula>
    </cfRule>
    <cfRule type="containsText" dxfId="4687" priority="35074" operator="containsText" text="Tue">
      <formula>NOT(ISERROR(SEARCH("Tue",D137)))</formula>
    </cfRule>
    <cfRule type="containsText" dxfId="4686" priority="35075" operator="containsText" text="Mon">
      <formula>NOT(ISERROR(SEARCH("Mon",D137)))</formula>
    </cfRule>
  </conditionalFormatting>
  <conditionalFormatting sqref="D136">
    <cfRule type="containsText" dxfId="4685" priority="35066" operator="containsText" text="Fri">
      <formula>NOT(ISERROR(SEARCH("Fri",D136)))</formula>
    </cfRule>
    <cfRule type="containsText" dxfId="4684" priority="35067" operator="containsText" text="Thu">
      <formula>NOT(ISERROR(SEARCH("Thu",D136)))</formula>
    </cfRule>
    <cfRule type="containsText" dxfId="4683" priority="35068" operator="containsText" text="Wed">
      <formula>NOT(ISERROR(SEARCH("Wed",D136)))</formula>
    </cfRule>
    <cfRule type="containsText" dxfId="4682" priority="35069" operator="containsText" text="Tue">
      <formula>NOT(ISERROR(SEARCH("Tue",D136)))</formula>
    </cfRule>
    <cfRule type="containsText" dxfId="4681" priority="35070" operator="containsText" text="Mon">
      <formula>NOT(ISERROR(SEARCH("Mon",D136)))</formula>
    </cfRule>
  </conditionalFormatting>
  <conditionalFormatting sqref="D135">
    <cfRule type="containsText" dxfId="4680" priority="35061" operator="containsText" text="Fri">
      <formula>NOT(ISERROR(SEARCH("Fri",D135)))</formula>
    </cfRule>
    <cfRule type="containsText" dxfId="4679" priority="35062" operator="containsText" text="Thu">
      <formula>NOT(ISERROR(SEARCH("Thu",D135)))</formula>
    </cfRule>
    <cfRule type="containsText" dxfId="4678" priority="35063" operator="containsText" text="Wed">
      <formula>NOT(ISERROR(SEARCH("Wed",D135)))</formula>
    </cfRule>
    <cfRule type="containsText" dxfId="4677" priority="35064" operator="containsText" text="Tue">
      <formula>NOT(ISERROR(SEARCH("Tue",D135)))</formula>
    </cfRule>
    <cfRule type="containsText" dxfId="4676" priority="35065" operator="containsText" text="Mon">
      <formula>NOT(ISERROR(SEARCH("Mon",D135)))</formula>
    </cfRule>
  </conditionalFormatting>
  <conditionalFormatting sqref="D134">
    <cfRule type="containsText" dxfId="4675" priority="35056" operator="containsText" text="Fri">
      <formula>NOT(ISERROR(SEARCH("Fri",D134)))</formula>
    </cfRule>
    <cfRule type="containsText" dxfId="4674" priority="35057" operator="containsText" text="Thu">
      <formula>NOT(ISERROR(SEARCH("Thu",D134)))</formula>
    </cfRule>
    <cfRule type="containsText" dxfId="4673" priority="35058" operator="containsText" text="Wed">
      <formula>NOT(ISERROR(SEARCH("Wed",D134)))</formula>
    </cfRule>
    <cfRule type="containsText" dxfId="4672" priority="35059" operator="containsText" text="Tue">
      <formula>NOT(ISERROR(SEARCH("Tue",D134)))</formula>
    </cfRule>
    <cfRule type="containsText" dxfId="4671" priority="35060" operator="containsText" text="Mon">
      <formula>NOT(ISERROR(SEARCH("Mon",D134)))</formula>
    </cfRule>
  </conditionalFormatting>
  <conditionalFormatting sqref="D133">
    <cfRule type="containsText" dxfId="4670" priority="35051" operator="containsText" text="Fri">
      <formula>NOT(ISERROR(SEARCH("Fri",D133)))</formula>
    </cfRule>
    <cfRule type="containsText" dxfId="4669" priority="35052" operator="containsText" text="Thu">
      <formula>NOT(ISERROR(SEARCH("Thu",D133)))</formula>
    </cfRule>
    <cfRule type="containsText" dxfId="4668" priority="35053" operator="containsText" text="Wed">
      <formula>NOT(ISERROR(SEARCH("Wed",D133)))</formula>
    </cfRule>
    <cfRule type="containsText" dxfId="4667" priority="35054" operator="containsText" text="Tue">
      <formula>NOT(ISERROR(SEARCH("Tue",D133)))</formula>
    </cfRule>
    <cfRule type="containsText" dxfId="4666" priority="35055" operator="containsText" text="Mon">
      <formula>NOT(ISERROR(SEARCH("Mon",D133)))</formula>
    </cfRule>
  </conditionalFormatting>
  <conditionalFormatting sqref="D132">
    <cfRule type="containsText" dxfId="4665" priority="35046" operator="containsText" text="Fri">
      <formula>NOT(ISERROR(SEARCH("Fri",D132)))</formula>
    </cfRule>
    <cfRule type="containsText" dxfId="4664" priority="35047" operator="containsText" text="Thu">
      <formula>NOT(ISERROR(SEARCH("Thu",D132)))</formula>
    </cfRule>
    <cfRule type="containsText" dxfId="4663" priority="35048" operator="containsText" text="Wed">
      <formula>NOT(ISERROR(SEARCH("Wed",D132)))</formula>
    </cfRule>
    <cfRule type="containsText" dxfId="4662" priority="35049" operator="containsText" text="Tue">
      <formula>NOT(ISERROR(SEARCH("Tue",D132)))</formula>
    </cfRule>
    <cfRule type="containsText" dxfId="4661" priority="35050" operator="containsText" text="Mon">
      <formula>NOT(ISERROR(SEARCH("Mon",D132)))</formula>
    </cfRule>
  </conditionalFormatting>
  <conditionalFormatting sqref="D131">
    <cfRule type="containsText" dxfId="4660" priority="35041" operator="containsText" text="Fri">
      <formula>NOT(ISERROR(SEARCH("Fri",D131)))</formula>
    </cfRule>
    <cfRule type="containsText" dxfId="4659" priority="35042" operator="containsText" text="Thu">
      <formula>NOT(ISERROR(SEARCH("Thu",D131)))</formula>
    </cfRule>
    <cfRule type="containsText" dxfId="4658" priority="35043" operator="containsText" text="Wed">
      <formula>NOT(ISERROR(SEARCH("Wed",D131)))</formula>
    </cfRule>
    <cfRule type="containsText" dxfId="4657" priority="35044" operator="containsText" text="Tue">
      <formula>NOT(ISERROR(SEARCH("Tue",D131)))</formula>
    </cfRule>
    <cfRule type="containsText" dxfId="4656" priority="35045" operator="containsText" text="Mon">
      <formula>NOT(ISERROR(SEARCH("Mon",D131)))</formula>
    </cfRule>
  </conditionalFormatting>
  <conditionalFormatting sqref="D130">
    <cfRule type="containsText" dxfId="4655" priority="35036" operator="containsText" text="Fri">
      <formula>NOT(ISERROR(SEARCH("Fri",D130)))</formula>
    </cfRule>
    <cfRule type="containsText" dxfId="4654" priority="35037" operator="containsText" text="Thu">
      <formula>NOT(ISERROR(SEARCH("Thu",D130)))</formula>
    </cfRule>
    <cfRule type="containsText" dxfId="4653" priority="35038" operator="containsText" text="Wed">
      <formula>NOT(ISERROR(SEARCH("Wed",D130)))</formula>
    </cfRule>
    <cfRule type="containsText" dxfId="4652" priority="35039" operator="containsText" text="Tue">
      <formula>NOT(ISERROR(SEARCH("Tue",D130)))</formula>
    </cfRule>
    <cfRule type="containsText" dxfId="4651" priority="35040" operator="containsText" text="Mon">
      <formula>NOT(ISERROR(SEARCH("Mon",D130)))</formula>
    </cfRule>
  </conditionalFormatting>
  <conditionalFormatting sqref="D128:D129">
    <cfRule type="containsText" dxfId="4650" priority="35031" operator="containsText" text="Fri">
      <formula>NOT(ISERROR(SEARCH("Fri",D128)))</formula>
    </cfRule>
    <cfRule type="containsText" dxfId="4649" priority="35032" operator="containsText" text="Thu">
      <formula>NOT(ISERROR(SEARCH("Thu",D128)))</formula>
    </cfRule>
    <cfRule type="containsText" dxfId="4648" priority="35033" operator="containsText" text="Wed">
      <formula>NOT(ISERROR(SEARCH("Wed",D128)))</formula>
    </cfRule>
    <cfRule type="containsText" dxfId="4647" priority="35034" operator="containsText" text="Tue">
      <formula>NOT(ISERROR(SEARCH("Tue",D128)))</formula>
    </cfRule>
    <cfRule type="containsText" dxfId="4646" priority="35035" operator="containsText" text="Mon">
      <formula>NOT(ISERROR(SEARCH("Mon",D128)))</formula>
    </cfRule>
  </conditionalFormatting>
  <conditionalFormatting sqref="D149">
    <cfRule type="containsText" dxfId="4645" priority="35026" operator="containsText" text="Fri">
      <formula>NOT(ISERROR(SEARCH("Fri",D149)))</formula>
    </cfRule>
    <cfRule type="containsText" dxfId="4644" priority="35027" operator="containsText" text="Thu">
      <formula>NOT(ISERROR(SEARCH("Thu",D149)))</formula>
    </cfRule>
    <cfRule type="containsText" dxfId="4643" priority="35028" operator="containsText" text="Wed">
      <formula>NOT(ISERROR(SEARCH("Wed",D149)))</formula>
    </cfRule>
    <cfRule type="containsText" dxfId="4642" priority="35029" operator="containsText" text="Tue">
      <formula>NOT(ISERROR(SEARCH("Tue",D149)))</formula>
    </cfRule>
    <cfRule type="containsText" dxfId="4641" priority="35030" operator="containsText" text="Mon">
      <formula>NOT(ISERROR(SEARCH("Mon",D149)))</formula>
    </cfRule>
  </conditionalFormatting>
  <conditionalFormatting sqref="D148">
    <cfRule type="containsText" dxfId="4640" priority="35021" operator="containsText" text="Fri">
      <formula>NOT(ISERROR(SEARCH("Fri",D148)))</formula>
    </cfRule>
    <cfRule type="containsText" dxfId="4639" priority="35022" operator="containsText" text="Thu">
      <formula>NOT(ISERROR(SEARCH("Thu",D148)))</formula>
    </cfRule>
    <cfRule type="containsText" dxfId="4638" priority="35023" operator="containsText" text="Wed">
      <formula>NOT(ISERROR(SEARCH("Wed",D148)))</formula>
    </cfRule>
    <cfRule type="containsText" dxfId="4637" priority="35024" operator="containsText" text="Tue">
      <formula>NOT(ISERROR(SEARCH("Tue",D148)))</formula>
    </cfRule>
    <cfRule type="containsText" dxfId="4636" priority="35025" operator="containsText" text="Mon">
      <formula>NOT(ISERROR(SEARCH("Mon",D148)))</formula>
    </cfRule>
  </conditionalFormatting>
  <conditionalFormatting sqref="D147">
    <cfRule type="containsText" dxfId="4635" priority="35016" operator="containsText" text="Fri">
      <formula>NOT(ISERROR(SEARCH("Fri",D147)))</formula>
    </cfRule>
    <cfRule type="containsText" dxfId="4634" priority="35017" operator="containsText" text="Thu">
      <formula>NOT(ISERROR(SEARCH("Thu",D147)))</formula>
    </cfRule>
    <cfRule type="containsText" dxfId="4633" priority="35018" operator="containsText" text="Wed">
      <formula>NOT(ISERROR(SEARCH("Wed",D147)))</formula>
    </cfRule>
    <cfRule type="containsText" dxfId="4632" priority="35019" operator="containsText" text="Tue">
      <formula>NOT(ISERROR(SEARCH("Tue",D147)))</formula>
    </cfRule>
    <cfRule type="containsText" dxfId="4631" priority="35020" operator="containsText" text="Mon">
      <formula>NOT(ISERROR(SEARCH("Mon",D147)))</formula>
    </cfRule>
  </conditionalFormatting>
  <conditionalFormatting sqref="D154:D155">
    <cfRule type="containsText" dxfId="4630" priority="35011" operator="containsText" text="Fri">
      <formula>NOT(ISERROR(SEARCH("Fri",D154)))</formula>
    </cfRule>
    <cfRule type="containsText" dxfId="4629" priority="35012" operator="containsText" text="Thu">
      <formula>NOT(ISERROR(SEARCH("Thu",D154)))</formula>
    </cfRule>
    <cfRule type="containsText" dxfId="4628" priority="35013" operator="containsText" text="Wed">
      <formula>NOT(ISERROR(SEARCH("Wed",D154)))</formula>
    </cfRule>
    <cfRule type="containsText" dxfId="4627" priority="35014" operator="containsText" text="Tue">
      <formula>NOT(ISERROR(SEARCH("Tue",D154)))</formula>
    </cfRule>
    <cfRule type="containsText" dxfId="4626" priority="35015" operator="containsText" text="Mon">
      <formula>NOT(ISERROR(SEARCH("Mon",D154)))</formula>
    </cfRule>
  </conditionalFormatting>
  <conditionalFormatting sqref="K154:K155">
    <cfRule type="cellIs" dxfId="4625" priority="35010" operator="equal">
      <formula>0</formula>
    </cfRule>
  </conditionalFormatting>
  <conditionalFormatting sqref="H155">
    <cfRule type="cellIs" dxfId="4624" priority="35009" operator="equal">
      <formula>0</formula>
    </cfRule>
  </conditionalFormatting>
  <conditionalFormatting sqref="K154:K155">
    <cfRule type="cellIs" dxfId="4623" priority="35008" operator="equal">
      <formula>"0 Policies"</formula>
    </cfRule>
  </conditionalFormatting>
  <conditionalFormatting sqref="E154">
    <cfRule type="cellIs" dxfId="4622" priority="35007" operator="equal">
      <formula>0</formula>
    </cfRule>
  </conditionalFormatting>
  <conditionalFormatting sqref="E154">
    <cfRule type="cellIs" dxfId="4621" priority="35006" operator="equal">
      <formula>0</formula>
    </cfRule>
  </conditionalFormatting>
  <conditionalFormatting sqref="D169:D170">
    <cfRule type="containsText" dxfId="4620" priority="35001" operator="containsText" text="Fri">
      <formula>NOT(ISERROR(SEARCH("Fri",D169)))</formula>
    </cfRule>
    <cfRule type="containsText" dxfId="4619" priority="35002" operator="containsText" text="Thu">
      <formula>NOT(ISERROR(SEARCH("Thu",D169)))</formula>
    </cfRule>
    <cfRule type="containsText" dxfId="4618" priority="35003" operator="containsText" text="Wed">
      <formula>NOT(ISERROR(SEARCH("Wed",D169)))</formula>
    </cfRule>
    <cfRule type="containsText" dxfId="4617" priority="35004" operator="containsText" text="Tue">
      <formula>NOT(ISERROR(SEARCH("Tue",D169)))</formula>
    </cfRule>
    <cfRule type="containsText" dxfId="4616" priority="35005" operator="containsText" text="Mon">
      <formula>NOT(ISERROR(SEARCH("Mon",D169)))</formula>
    </cfRule>
  </conditionalFormatting>
  <conditionalFormatting sqref="K169">
    <cfRule type="cellIs" dxfId="4615" priority="35000" operator="equal">
      <formula>0</formula>
    </cfRule>
  </conditionalFormatting>
  <conditionalFormatting sqref="K169">
    <cfRule type="cellIs" dxfId="4614" priority="34998" operator="equal">
      <formula>"0 Policies"</formula>
    </cfRule>
  </conditionalFormatting>
  <conditionalFormatting sqref="E169:E170">
    <cfRule type="cellIs" dxfId="4613" priority="34997" operator="equal">
      <formula>0</formula>
    </cfRule>
  </conditionalFormatting>
  <conditionalFormatting sqref="E169:E170">
    <cfRule type="cellIs" dxfId="4612" priority="34996" operator="equal">
      <formula>0</formula>
    </cfRule>
  </conditionalFormatting>
  <conditionalFormatting sqref="D167:D168">
    <cfRule type="containsText" dxfId="4611" priority="34991" operator="containsText" text="Fri">
      <formula>NOT(ISERROR(SEARCH("Fri",D167)))</formula>
    </cfRule>
    <cfRule type="containsText" dxfId="4610" priority="34992" operator="containsText" text="Thu">
      <formula>NOT(ISERROR(SEARCH("Thu",D167)))</formula>
    </cfRule>
    <cfRule type="containsText" dxfId="4609" priority="34993" operator="containsText" text="Wed">
      <formula>NOT(ISERROR(SEARCH("Wed",D167)))</formula>
    </cfRule>
    <cfRule type="containsText" dxfId="4608" priority="34994" operator="containsText" text="Tue">
      <formula>NOT(ISERROR(SEARCH("Tue",D167)))</formula>
    </cfRule>
    <cfRule type="containsText" dxfId="4607" priority="34995" operator="containsText" text="Mon">
      <formula>NOT(ISERROR(SEARCH("Mon",D167)))</formula>
    </cfRule>
  </conditionalFormatting>
  <conditionalFormatting sqref="K167:K168">
    <cfRule type="cellIs" dxfId="4606" priority="34990" operator="equal">
      <formula>0</formula>
    </cfRule>
  </conditionalFormatting>
  <conditionalFormatting sqref="K167:K168">
    <cfRule type="cellIs" dxfId="4605" priority="34988" operator="equal">
      <formula>"0 Policies"</formula>
    </cfRule>
  </conditionalFormatting>
  <conditionalFormatting sqref="E167:E168">
    <cfRule type="cellIs" dxfId="4604" priority="34987" operator="equal">
      <formula>0</formula>
    </cfRule>
  </conditionalFormatting>
  <conditionalFormatting sqref="E167:E168">
    <cfRule type="cellIs" dxfId="4603" priority="34986" operator="equal">
      <formula>0</formula>
    </cfRule>
  </conditionalFormatting>
  <conditionalFormatting sqref="D165:D166">
    <cfRule type="containsText" dxfId="4602" priority="34981" operator="containsText" text="Fri">
      <formula>NOT(ISERROR(SEARCH("Fri",D165)))</formula>
    </cfRule>
    <cfRule type="containsText" dxfId="4601" priority="34982" operator="containsText" text="Thu">
      <formula>NOT(ISERROR(SEARCH("Thu",D165)))</formula>
    </cfRule>
    <cfRule type="containsText" dxfId="4600" priority="34983" operator="containsText" text="Wed">
      <formula>NOT(ISERROR(SEARCH("Wed",D165)))</formula>
    </cfRule>
    <cfRule type="containsText" dxfId="4599" priority="34984" operator="containsText" text="Tue">
      <formula>NOT(ISERROR(SEARCH("Tue",D165)))</formula>
    </cfRule>
    <cfRule type="containsText" dxfId="4598" priority="34985" operator="containsText" text="Mon">
      <formula>NOT(ISERROR(SEARCH("Mon",D165)))</formula>
    </cfRule>
  </conditionalFormatting>
  <conditionalFormatting sqref="K165:K166">
    <cfRule type="cellIs" dxfId="4597" priority="34980" operator="equal">
      <formula>0</formula>
    </cfRule>
  </conditionalFormatting>
  <conditionalFormatting sqref="K165:K166">
    <cfRule type="cellIs" dxfId="4596" priority="34978" operator="equal">
      <formula>"0 Policies"</formula>
    </cfRule>
  </conditionalFormatting>
  <conditionalFormatting sqref="E165:E166">
    <cfRule type="cellIs" dxfId="4595" priority="34977" operator="equal">
      <formula>0</formula>
    </cfRule>
  </conditionalFormatting>
  <conditionalFormatting sqref="E165:E166">
    <cfRule type="cellIs" dxfId="4594" priority="34976" operator="equal">
      <formula>0</formula>
    </cfRule>
  </conditionalFormatting>
  <conditionalFormatting sqref="D163:D164">
    <cfRule type="containsText" dxfId="4593" priority="34971" operator="containsText" text="Fri">
      <formula>NOT(ISERROR(SEARCH("Fri",D163)))</formula>
    </cfRule>
    <cfRule type="containsText" dxfId="4592" priority="34972" operator="containsText" text="Thu">
      <formula>NOT(ISERROR(SEARCH("Thu",D163)))</formula>
    </cfRule>
    <cfRule type="containsText" dxfId="4591" priority="34973" operator="containsText" text="Wed">
      <formula>NOT(ISERROR(SEARCH("Wed",D163)))</formula>
    </cfRule>
    <cfRule type="containsText" dxfId="4590" priority="34974" operator="containsText" text="Tue">
      <formula>NOT(ISERROR(SEARCH("Tue",D163)))</formula>
    </cfRule>
    <cfRule type="containsText" dxfId="4589" priority="34975" operator="containsText" text="Mon">
      <formula>NOT(ISERROR(SEARCH("Mon",D163)))</formula>
    </cfRule>
  </conditionalFormatting>
  <conditionalFormatting sqref="K163:K164">
    <cfRule type="cellIs" dxfId="4588" priority="34970" operator="equal">
      <formula>0</formula>
    </cfRule>
  </conditionalFormatting>
  <conditionalFormatting sqref="K163:K164">
    <cfRule type="cellIs" dxfId="4587" priority="34968" operator="equal">
      <formula>"0 Policies"</formula>
    </cfRule>
  </conditionalFormatting>
  <conditionalFormatting sqref="E163:E164">
    <cfRule type="cellIs" dxfId="4586" priority="34967" operator="equal">
      <formula>0</formula>
    </cfRule>
  </conditionalFormatting>
  <conditionalFormatting sqref="E163:E164">
    <cfRule type="cellIs" dxfId="4585" priority="34966" operator="equal">
      <formula>0</formula>
    </cfRule>
  </conditionalFormatting>
  <conditionalFormatting sqref="D161:D162">
    <cfRule type="containsText" dxfId="4584" priority="34961" operator="containsText" text="Fri">
      <formula>NOT(ISERROR(SEARCH("Fri",D161)))</formula>
    </cfRule>
    <cfRule type="containsText" dxfId="4583" priority="34962" operator="containsText" text="Thu">
      <formula>NOT(ISERROR(SEARCH("Thu",D161)))</formula>
    </cfRule>
    <cfRule type="containsText" dxfId="4582" priority="34963" operator="containsText" text="Wed">
      <formula>NOT(ISERROR(SEARCH("Wed",D161)))</formula>
    </cfRule>
    <cfRule type="containsText" dxfId="4581" priority="34964" operator="containsText" text="Tue">
      <formula>NOT(ISERROR(SEARCH("Tue",D161)))</formula>
    </cfRule>
    <cfRule type="containsText" dxfId="4580" priority="34965" operator="containsText" text="Mon">
      <formula>NOT(ISERROR(SEARCH("Mon",D161)))</formula>
    </cfRule>
  </conditionalFormatting>
  <conditionalFormatting sqref="K161:K162">
    <cfRule type="cellIs" dxfId="4579" priority="34960" operator="equal">
      <formula>0</formula>
    </cfRule>
  </conditionalFormatting>
  <conditionalFormatting sqref="K161:K162">
    <cfRule type="cellIs" dxfId="4578" priority="34958" operator="equal">
      <formula>"0 Policies"</formula>
    </cfRule>
  </conditionalFormatting>
  <conditionalFormatting sqref="E161:E162">
    <cfRule type="cellIs" dxfId="4577" priority="34957" operator="equal">
      <formula>0</formula>
    </cfRule>
  </conditionalFormatting>
  <conditionalFormatting sqref="E161:E162">
    <cfRule type="cellIs" dxfId="4576" priority="34956" operator="equal">
      <formula>0</formula>
    </cfRule>
  </conditionalFormatting>
  <conditionalFormatting sqref="K173:K174">
    <cfRule type="cellIs" dxfId="4575" priority="34955" operator="equal">
      <formula>0</formula>
    </cfRule>
  </conditionalFormatting>
  <conditionalFormatting sqref="D173:D174">
    <cfRule type="containsText" dxfId="4574" priority="34950" operator="containsText" text="Fri">
      <formula>NOT(ISERROR(SEARCH("Fri",D173)))</formula>
    </cfRule>
    <cfRule type="containsText" dxfId="4573" priority="34951" operator="containsText" text="Thu">
      <formula>NOT(ISERROR(SEARCH("Thu",D173)))</formula>
    </cfRule>
    <cfRule type="containsText" dxfId="4572" priority="34952" operator="containsText" text="Wed">
      <formula>NOT(ISERROR(SEARCH("Wed",D173)))</formula>
    </cfRule>
    <cfRule type="containsText" dxfId="4571" priority="34953" operator="containsText" text="Tue">
      <formula>NOT(ISERROR(SEARCH("Tue",D173)))</formula>
    </cfRule>
    <cfRule type="containsText" dxfId="4570" priority="34954" operator="containsText" text="Mon">
      <formula>NOT(ISERROR(SEARCH("Mon",D173)))</formula>
    </cfRule>
  </conditionalFormatting>
  <conditionalFormatting sqref="K173:K174">
    <cfRule type="cellIs" dxfId="4569" priority="34949" operator="equal">
      <formula>"0 Policies"</formula>
    </cfRule>
  </conditionalFormatting>
  <conditionalFormatting sqref="D123">
    <cfRule type="containsText" dxfId="4568" priority="34944" operator="containsText" text="Fri">
      <formula>NOT(ISERROR(SEARCH("Fri",D123)))</formula>
    </cfRule>
    <cfRule type="containsText" dxfId="4567" priority="34945" operator="containsText" text="Thu">
      <formula>NOT(ISERROR(SEARCH("Thu",D123)))</formula>
    </cfRule>
    <cfRule type="containsText" dxfId="4566" priority="34946" operator="containsText" text="Wed">
      <formula>NOT(ISERROR(SEARCH("Wed",D123)))</formula>
    </cfRule>
    <cfRule type="containsText" dxfId="4565" priority="34947" operator="containsText" text="Tue">
      <formula>NOT(ISERROR(SEARCH("Tue",D123)))</formula>
    </cfRule>
    <cfRule type="containsText" dxfId="4564" priority="34948" operator="containsText" text="Mon">
      <formula>NOT(ISERROR(SEARCH("Mon",D123)))</formula>
    </cfRule>
  </conditionalFormatting>
  <conditionalFormatting sqref="E155">
    <cfRule type="cellIs" dxfId="4563" priority="34942" operator="equal">
      <formula>0</formula>
    </cfRule>
  </conditionalFormatting>
  <conditionalFormatting sqref="E155">
    <cfRule type="cellIs" dxfId="4562" priority="34941" operator="equal">
      <formula>0</formula>
    </cfRule>
  </conditionalFormatting>
  <conditionalFormatting sqref="K170">
    <cfRule type="cellIs" dxfId="4561" priority="34940" operator="equal">
      <formula>0</formula>
    </cfRule>
  </conditionalFormatting>
  <conditionalFormatting sqref="K170">
    <cfRule type="cellIs" dxfId="4560" priority="34939" operator="equal">
      <formula>"0 Policies"</formula>
    </cfRule>
  </conditionalFormatting>
  <conditionalFormatting sqref="K274:K275">
    <cfRule type="cellIs" dxfId="4559" priority="34852" operator="equal">
      <formula>0</formula>
    </cfRule>
  </conditionalFormatting>
  <conditionalFormatting sqref="D276:D278">
    <cfRule type="containsText" dxfId="4558" priority="34847" operator="containsText" text="Fri">
      <formula>NOT(ISERROR(SEARCH("Fri",D276)))</formula>
    </cfRule>
    <cfRule type="containsText" dxfId="4557" priority="34848" operator="containsText" text="Thu">
      <formula>NOT(ISERROR(SEARCH("Thu",D276)))</formula>
    </cfRule>
    <cfRule type="containsText" dxfId="4556" priority="34849" operator="containsText" text="Wed">
      <formula>NOT(ISERROR(SEARCH("Wed",D276)))</formula>
    </cfRule>
    <cfRule type="containsText" dxfId="4555" priority="34850" operator="containsText" text="Tue">
      <formula>NOT(ISERROR(SEARCH("Tue",D276)))</formula>
    </cfRule>
    <cfRule type="containsText" dxfId="4554" priority="34851" operator="containsText" text="Mon">
      <formula>NOT(ISERROR(SEARCH("Mon",D276)))</formula>
    </cfRule>
  </conditionalFormatting>
  <conditionalFormatting sqref="K310">
    <cfRule type="cellIs" dxfId="4553" priority="34805" operator="equal">
      <formula>0</formula>
    </cfRule>
  </conditionalFormatting>
  <conditionalFormatting sqref="D181:D272">
    <cfRule type="containsText" dxfId="4552" priority="34881" operator="containsText" text="Fri">
      <formula>NOT(ISERROR(SEARCH("Fri",D181)))</formula>
    </cfRule>
    <cfRule type="containsText" dxfId="4551" priority="34882" operator="containsText" text="Thu">
      <formula>NOT(ISERROR(SEARCH("Thu",D181)))</formula>
    </cfRule>
    <cfRule type="containsText" dxfId="4550" priority="34883" operator="containsText" text="Wed">
      <formula>NOT(ISERROR(SEARCH("Wed",D181)))</formula>
    </cfRule>
    <cfRule type="containsText" dxfId="4549" priority="34884" operator="containsText" text="Tue">
      <formula>NOT(ISERROR(SEARCH("Tue",D181)))</formula>
    </cfRule>
    <cfRule type="containsText" dxfId="4548" priority="34885" operator="containsText" text="Mon">
      <formula>NOT(ISERROR(SEARCH("Mon",D181)))</formula>
    </cfRule>
  </conditionalFormatting>
  <conditionalFormatting sqref="K232:K254">
    <cfRule type="cellIs" dxfId="4547" priority="34880" operator="equal">
      <formula>0</formula>
    </cfRule>
  </conditionalFormatting>
  <conditionalFormatting sqref="K181:K278">
    <cfRule type="cellIs" dxfId="4546" priority="34879" operator="equal">
      <formula>"0 Policies"</formula>
    </cfRule>
  </conditionalFormatting>
  <conditionalFormatting sqref="D175:D179">
    <cfRule type="containsText" dxfId="4545" priority="34874" operator="containsText" text="Fri">
      <formula>NOT(ISERROR(SEARCH("Fri",D175)))</formula>
    </cfRule>
    <cfRule type="containsText" dxfId="4544" priority="34875" operator="containsText" text="Thu">
      <formula>NOT(ISERROR(SEARCH("Thu",D175)))</formula>
    </cfRule>
    <cfRule type="containsText" dxfId="4543" priority="34876" operator="containsText" text="Wed">
      <formula>NOT(ISERROR(SEARCH("Wed",D175)))</formula>
    </cfRule>
    <cfRule type="containsText" dxfId="4542" priority="34877" operator="containsText" text="Tue">
      <formula>NOT(ISERROR(SEARCH("Tue",D175)))</formula>
    </cfRule>
    <cfRule type="containsText" dxfId="4541" priority="34878" operator="containsText" text="Mon">
      <formula>NOT(ISERROR(SEARCH("Mon",D175)))</formula>
    </cfRule>
  </conditionalFormatting>
  <conditionalFormatting sqref="K255 K181:K188 K175:K179">
    <cfRule type="cellIs" dxfId="4540" priority="34873" operator="equal">
      <formula>0</formula>
    </cfRule>
  </conditionalFormatting>
  <conditionalFormatting sqref="K175:K179">
    <cfRule type="cellIs" dxfId="4539" priority="34872" operator="equal">
      <formula>"0 Policies"</formula>
    </cfRule>
  </conditionalFormatting>
  <conditionalFormatting sqref="D180">
    <cfRule type="containsText" dxfId="4538" priority="34867" operator="containsText" text="Fri">
      <formula>NOT(ISERROR(SEARCH("Fri",D180)))</formula>
    </cfRule>
    <cfRule type="containsText" dxfId="4537" priority="34868" operator="containsText" text="Thu">
      <formula>NOT(ISERROR(SEARCH("Thu",D180)))</formula>
    </cfRule>
    <cfRule type="containsText" dxfId="4536" priority="34869" operator="containsText" text="Wed">
      <formula>NOT(ISERROR(SEARCH("Wed",D180)))</formula>
    </cfRule>
    <cfRule type="containsText" dxfId="4535" priority="34870" operator="containsText" text="Tue">
      <formula>NOT(ISERROR(SEARCH("Tue",D180)))</formula>
    </cfRule>
    <cfRule type="containsText" dxfId="4534" priority="34871" operator="containsText" text="Mon">
      <formula>NOT(ISERROR(SEARCH("Mon",D180)))</formula>
    </cfRule>
  </conditionalFormatting>
  <conditionalFormatting sqref="K180">
    <cfRule type="cellIs" dxfId="4533" priority="34866" operator="equal">
      <formula>0</formula>
    </cfRule>
  </conditionalFormatting>
  <conditionalFormatting sqref="K180">
    <cfRule type="cellIs" dxfId="4532" priority="34865" operator="equal">
      <formula>"0 Policies"</formula>
    </cfRule>
  </conditionalFormatting>
  <conditionalFormatting sqref="K189:K204">
    <cfRule type="cellIs" dxfId="4531" priority="34864" operator="equal">
      <formula>0</formula>
    </cfRule>
  </conditionalFormatting>
  <conditionalFormatting sqref="K205:K216">
    <cfRule type="cellIs" dxfId="4530" priority="34863" operator="equal">
      <formula>0</formula>
    </cfRule>
  </conditionalFormatting>
  <conditionalFormatting sqref="K217:K231">
    <cfRule type="cellIs" dxfId="4529" priority="34862" operator="equal">
      <formula>0</formula>
    </cfRule>
  </conditionalFormatting>
  <conditionalFormatting sqref="K256:K266">
    <cfRule type="cellIs" dxfId="4528" priority="34861" operator="equal">
      <formula>0</formula>
    </cfRule>
  </conditionalFormatting>
  <conditionalFormatting sqref="K267">
    <cfRule type="cellIs" dxfId="4527" priority="34860" operator="equal">
      <formula>0</formula>
    </cfRule>
  </conditionalFormatting>
  <conditionalFormatting sqref="K268:K272">
    <cfRule type="cellIs" dxfId="4526" priority="34859" operator="equal">
      <formula>0</formula>
    </cfRule>
  </conditionalFormatting>
  <conditionalFormatting sqref="D273:D275">
    <cfRule type="containsText" dxfId="4525" priority="34854" operator="containsText" text="Fri">
      <formula>NOT(ISERROR(SEARCH("Fri",D273)))</formula>
    </cfRule>
    <cfRule type="containsText" dxfId="4524" priority="34855" operator="containsText" text="Thu">
      <formula>NOT(ISERROR(SEARCH("Thu",D273)))</formula>
    </cfRule>
    <cfRule type="containsText" dxfId="4523" priority="34856" operator="containsText" text="Wed">
      <formula>NOT(ISERROR(SEARCH("Wed",D273)))</formula>
    </cfRule>
    <cfRule type="containsText" dxfId="4522" priority="34857" operator="containsText" text="Tue">
      <formula>NOT(ISERROR(SEARCH("Tue",D273)))</formula>
    </cfRule>
    <cfRule type="containsText" dxfId="4521" priority="34858" operator="containsText" text="Mon">
      <formula>NOT(ISERROR(SEARCH("Mon",D273)))</formula>
    </cfRule>
  </conditionalFormatting>
  <conditionalFormatting sqref="K273">
    <cfRule type="cellIs" dxfId="4520" priority="34853" operator="equal">
      <formula>0</formula>
    </cfRule>
  </conditionalFormatting>
  <conditionalFormatting sqref="K276:K277">
    <cfRule type="cellIs" dxfId="4519" priority="34846" operator="equal">
      <formula>0</formula>
    </cfRule>
  </conditionalFormatting>
  <conditionalFormatting sqref="K278">
    <cfRule type="cellIs" dxfId="4518" priority="34845" operator="equal">
      <formula>0</formula>
    </cfRule>
  </conditionalFormatting>
  <conditionalFormatting sqref="D279:D283">
    <cfRule type="containsText" dxfId="4517" priority="34840" operator="containsText" text="Fri">
      <formula>NOT(ISERROR(SEARCH("Fri",D279)))</formula>
    </cfRule>
    <cfRule type="containsText" dxfId="4516" priority="34841" operator="containsText" text="Thu">
      <formula>NOT(ISERROR(SEARCH("Thu",D279)))</formula>
    </cfRule>
    <cfRule type="containsText" dxfId="4515" priority="34842" operator="containsText" text="Wed">
      <formula>NOT(ISERROR(SEARCH("Wed",D279)))</formula>
    </cfRule>
    <cfRule type="containsText" dxfId="4514" priority="34843" operator="containsText" text="Tue">
      <formula>NOT(ISERROR(SEARCH("Tue",D279)))</formula>
    </cfRule>
    <cfRule type="containsText" dxfId="4513" priority="34844" operator="containsText" text="Mon">
      <formula>NOT(ISERROR(SEARCH("Mon",D279)))</formula>
    </cfRule>
  </conditionalFormatting>
  <conditionalFormatting sqref="K279:K283">
    <cfRule type="cellIs" dxfId="4512" priority="34839" operator="equal">
      <formula>0</formula>
    </cfRule>
  </conditionalFormatting>
  <conditionalFormatting sqref="K279:K283">
    <cfRule type="cellIs" dxfId="4511" priority="34838" operator="equal">
      <formula>"0 Policies"</formula>
    </cfRule>
  </conditionalFormatting>
  <conditionalFormatting sqref="D284:D294">
    <cfRule type="containsText" dxfId="4510" priority="34833" operator="containsText" text="Fri">
      <formula>NOT(ISERROR(SEARCH("Fri",D284)))</formula>
    </cfRule>
    <cfRule type="containsText" dxfId="4509" priority="34834" operator="containsText" text="Thu">
      <formula>NOT(ISERROR(SEARCH("Thu",D284)))</formula>
    </cfRule>
    <cfRule type="containsText" dxfId="4508" priority="34835" operator="containsText" text="Wed">
      <formula>NOT(ISERROR(SEARCH("Wed",D284)))</formula>
    </cfRule>
    <cfRule type="containsText" dxfId="4507" priority="34836" operator="containsText" text="Tue">
      <formula>NOT(ISERROR(SEARCH("Tue",D284)))</formula>
    </cfRule>
    <cfRule type="containsText" dxfId="4506" priority="34837" operator="containsText" text="Mon">
      <formula>NOT(ISERROR(SEARCH("Mon",D284)))</formula>
    </cfRule>
  </conditionalFormatting>
  <conditionalFormatting sqref="K284:K293">
    <cfRule type="cellIs" dxfId="4505" priority="34832" operator="equal">
      <formula>0</formula>
    </cfRule>
  </conditionalFormatting>
  <conditionalFormatting sqref="K284:K294">
    <cfRule type="cellIs" dxfId="4504" priority="34831" operator="equal">
      <formula>"0 Policies"</formula>
    </cfRule>
  </conditionalFormatting>
  <conditionalFormatting sqref="K294">
    <cfRule type="cellIs" dxfId="4503" priority="34830" operator="equal">
      <formula>0</formula>
    </cfRule>
  </conditionalFormatting>
  <conditionalFormatting sqref="D295:D298">
    <cfRule type="containsText" dxfId="4502" priority="34825" operator="containsText" text="Fri">
      <formula>NOT(ISERROR(SEARCH("Fri",D295)))</formula>
    </cfRule>
    <cfRule type="containsText" dxfId="4501" priority="34826" operator="containsText" text="Thu">
      <formula>NOT(ISERROR(SEARCH("Thu",D295)))</formula>
    </cfRule>
    <cfRule type="containsText" dxfId="4500" priority="34827" operator="containsText" text="Wed">
      <formula>NOT(ISERROR(SEARCH("Wed",D295)))</formula>
    </cfRule>
    <cfRule type="containsText" dxfId="4499" priority="34828" operator="containsText" text="Tue">
      <formula>NOT(ISERROR(SEARCH("Tue",D295)))</formula>
    </cfRule>
    <cfRule type="containsText" dxfId="4498" priority="34829" operator="containsText" text="Mon">
      <formula>NOT(ISERROR(SEARCH("Mon",D295)))</formula>
    </cfRule>
  </conditionalFormatting>
  <conditionalFormatting sqref="K295:K298">
    <cfRule type="cellIs" dxfId="4497" priority="34824" operator="equal">
      <formula>0</formula>
    </cfRule>
  </conditionalFormatting>
  <conditionalFormatting sqref="K295:K298">
    <cfRule type="cellIs" dxfId="4496" priority="34823" operator="equal">
      <formula>"0 Policies"</formula>
    </cfRule>
  </conditionalFormatting>
  <conditionalFormatting sqref="D299:D302">
    <cfRule type="containsText" dxfId="4495" priority="34818" operator="containsText" text="Fri">
      <formula>NOT(ISERROR(SEARCH("Fri",D299)))</formula>
    </cfRule>
    <cfRule type="containsText" dxfId="4494" priority="34819" operator="containsText" text="Thu">
      <formula>NOT(ISERROR(SEARCH("Thu",D299)))</formula>
    </cfRule>
    <cfRule type="containsText" dxfId="4493" priority="34820" operator="containsText" text="Wed">
      <formula>NOT(ISERROR(SEARCH("Wed",D299)))</formula>
    </cfRule>
    <cfRule type="containsText" dxfId="4492" priority="34821" operator="containsText" text="Tue">
      <formula>NOT(ISERROR(SEARCH("Tue",D299)))</formula>
    </cfRule>
    <cfRule type="containsText" dxfId="4491" priority="34822" operator="containsText" text="Mon">
      <formula>NOT(ISERROR(SEARCH("Mon",D299)))</formula>
    </cfRule>
  </conditionalFormatting>
  <conditionalFormatting sqref="K299:K302">
    <cfRule type="cellIs" dxfId="4490" priority="34817" operator="equal">
      <formula>0</formula>
    </cfRule>
  </conditionalFormatting>
  <conditionalFormatting sqref="K299:K302">
    <cfRule type="cellIs" dxfId="4489" priority="34816" operator="equal">
      <formula>"0 Policies"</formula>
    </cfRule>
  </conditionalFormatting>
  <conditionalFormatting sqref="D303:D310">
    <cfRule type="containsText" dxfId="4488" priority="34811" operator="containsText" text="Fri">
      <formula>NOT(ISERROR(SEARCH("Fri",D303)))</formula>
    </cfRule>
    <cfRule type="containsText" dxfId="4487" priority="34812" operator="containsText" text="Thu">
      <formula>NOT(ISERROR(SEARCH("Thu",D303)))</formula>
    </cfRule>
    <cfRule type="containsText" dxfId="4486" priority="34813" operator="containsText" text="Wed">
      <formula>NOT(ISERROR(SEARCH("Wed",D303)))</formula>
    </cfRule>
    <cfRule type="containsText" dxfId="4485" priority="34814" operator="containsText" text="Tue">
      <formula>NOT(ISERROR(SEARCH("Tue",D303)))</formula>
    </cfRule>
    <cfRule type="containsText" dxfId="4484" priority="34815" operator="containsText" text="Mon">
      <formula>NOT(ISERROR(SEARCH("Mon",D303)))</formula>
    </cfRule>
  </conditionalFormatting>
  <conditionalFormatting sqref="F303:F310">
    <cfRule type="cellIs" dxfId="4483" priority="34810" operator="equal">
      <formula>0</formula>
    </cfRule>
  </conditionalFormatting>
  <conditionalFormatting sqref="E303:E310">
    <cfRule type="cellIs" dxfId="4482" priority="34809" operator="equal">
      <formula>0</formula>
    </cfRule>
  </conditionalFormatting>
  <conditionalFormatting sqref="H303:H310">
    <cfRule type="cellIs" dxfId="4481" priority="34808" operator="equal">
      <formula>0</formula>
    </cfRule>
  </conditionalFormatting>
  <conditionalFormatting sqref="K303:K309">
    <cfRule type="cellIs" dxfId="4480" priority="34807" operator="equal">
      <formula>0</formula>
    </cfRule>
  </conditionalFormatting>
  <conditionalFormatting sqref="K303:K310">
    <cfRule type="cellIs" dxfId="4479" priority="34806" operator="equal">
      <formula>"0 Policies"</formula>
    </cfRule>
  </conditionalFormatting>
  <conditionalFormatting sqref="E311:H411">
    <cfRule type="cellIs" dxfId="4478" priority="34804" operator="equal">
      <formula>0</formula>
    </cfRule>
  </conditionalFormatting>
  <conditionalFormatting sqref="J317:J411">
    <cfRule type="cellIs" dxfId="4477" priority="34803" operator="equal">
      <formula>"0 Policies"</formula>
    </cfRule>
  </conditionalFormatting>
  <conditionalFormatting sqref="D317:D409 D311:D315">
    <cfRule type="containsText" dxfId="4476" priority="34798" operator="containsText" text="Fri">
      <formula>NOT(ISERROR(SEARCH("Fri",D311)))</formula>
    </cfRule>
    <cfRule type="containsText" dxfId="4475" priority="34799" operator="containsText" text="Thu">
      <formula>NOT(ISERROR(SEARCH("Thu",D311)))</formula>
    </cfRule>
    <cfRule type="containsText" dxfId="4474" priority="34800" operator="containsText" text="Wed">
      <formula>NOT(ISERROR(SEARCH("Wed",D311)))</formula>
    </cfRule>
    <cfRule type="containsText" dxfId="4473" priority="34801" operator="containsText" text="Tue">
      <formula>NOT(ISERROR(SEARCH("Tue",D311)))</formula>
    </cfRule>
    <cfRule type="containsText" dxfId="4472" priority="34802" operator="containsText" text="Mon">
      <formula>NOT(ISERROR(SEARCH("Mon",D311)))</formula>
    </cfRule>
  </conditionalFormatting>
  <conditionalFormatting sqref="J392 J317:J324 J311:J315">
    <cfRule type="cellIs" dxfId="4471" priority="34797" operator="equal">
      <formula>0</formula>
    </cfRule>
  </conditionalFormatting>
  <conditionalFormatting sqref="K392 K317:K324 K311:K315">
    <cfRule type="cellIs" dxfId="4470" priority="34796" operator="equal">
      <formula>0</formula>
    </cfRule>
  </conditionalFormatting>
  <conditionalFormatting sqref="J311:J315">
    <cfRule type="cellIs" dxfId="4469" priority="34795" operator="equal">
      <formula>"0 Policies"</formula>
    </cfRule>
  </conditionalFormatting>
  <conditionalFormatting sqref="D316">
    <cfRule type="containsText" dxfId="4468" priority="34790" operator="containsText" text="Fri">
      <formula>NOT(ISERROR(SEARCH("Fri",D316)))</formula>
    </cfRule>
    <cfRule type="containsText" dxfId="4467" priority="34791" operator="containsText" text="Thu">
      <formula>NOT(ISERROR(SEARCH("Thu",D316)))</formula>
    </cfRule>
    <cfRule type="containsText" dxfId="4466" priority="34792" operator="containsText" text="Wed">
      <formula>NOT(ISERROR(SEARCH("Wed",D316)))</formula>
    </cfRule>
    <cfRule type="containsText" dxfId="4465" priority="34793" operator="containsText" text="Tue">
      <formula>NOT(ISERROR(SEARCH("Tue",D316)))</formula>
    </cfRule>
    <cfRule type="containsText" dxfId="4464" priority="34794" operator="containsText" text="Mon">
      <formula>NOT(ISERROR(SEARCH("Mon",D316)))</formula>
    </cfRule>
  </conditionalFormatting>
  <conditionalFormatting sqref="J316">
    <cfRule type="cellIs" dxfId="4463" priority="34789" operator="equal">
      <formula>0</formula>
    </cfRule>
  </conditionalFormatting>
  <conditionalFormatting sqref="K316">
    <cfRule type="cellIs" dxfId="4462" priority="34788" operator="equal">
      <formula>0</formula>
    </cfRule>
  </conditionalFormatting>
  <conditionalFormatting sqref="J316">
    <cfRule type="cellIs" dxfId="4461" priority="34787" operator="equal">
      <formula>"0 Policies"</formula>
    </cfRule>
  </conditionalFormatting>
  <conditionalFormatting sqref="J325:J340">
    <cfRule type="cellIs" dxfId="4460" priority="34786" operator="equal">
      <formula>0</formula>
    </cfRule>
  </conditionalFormatting>
  <conditionalFormatting sqref="K325:K340">
    <cfRule type="cellIs" dxfId="4459" priority="34785" operator="equal">
      <formula>0</formula>
    </cfRule>
  </conditionalFormatting>
  <conditionalFormatting sqref="J341:J352">
    <cfRule type="cellIs" dxfId="4458" priority="34784" operator="equal">
      <formula>0</formula>
    </cfRule>
  </conditionalFormatting>
  <conditionalFormatting sqref="K341:K352">
    <cfRule type="cellIs" dxfId="4457" priority="34783" operator="equal">
      <formula>0</formula>
    </cfRule>
  </conditionalFormatting>
  <conditionalFormatting sqref="J353:J367">
    <cfRule type="cellIs" dxfId="4456" priority="34782" operator="equal">
      <formula>0</formula>
    </cfRule>
  </conditionalFormatting>
  <conditionalFormatting sqref="K353:K367">
    <cfRule type="cellIs" dxfId="4455" priority="34781" operator="equal">
      <formula>0</formula>
    </cfRule>
  </conditionalFormatting>
  <conditionalFormatting sqref="J368:J391">
    <cfRule type="cellIs" dxfId="4454" priority="34780" operator="equal">
      <formula>0</formula>
    </cfRule>
  </conditionalFormatting>
  <conditionalFormatting sqref="K368:K391">
    <cfRule type="cellIs" dxfId="4453" priority="34779" operator="equal">
      <formula>0</formula>
    </cfRule>
  </conditionalFormatting>
  <conditionalFormatting sqref="J393:J403">
    <cfRule type="cellIs" dxfId="4452" priority="34778" operator="equal">
      <formula>0</formula>
    </cfRule>
  </conditionalFormatting>
  <conditionalFormatting sqref="K393:K403">
    <cfRule type="cellIs" dxfId="4451" priority="34777" operator="equal">
      <formula>0</formula>
    </cfRule>
  </conditionalFormatting>
  <conditionalFormatting sqref="J404">
    <cfRule type="cellIs" dxfId="4450" priority="34776" operator="equal">
      <formula>0</formula>
    </cfRule>
  </conditionalFormatting>
  <conditionalFormatting sqref="K404">
    <cfRule type="cellIs" dxfId="4449" priority="34775" operator="equal">
      <formula>0</formula>
    </cfRule>
  </conditionalFormatting>
  <conditionalFormatting sqref="J405:J409">
    <cfRule type="cellIs" dxfId="4448" priority="34774" operator="equal">
      <formula>0</formula>
    </cfRule>
  </conditionalFormatting>
  <conditionalFormatting sqref="K405:K409">
    <cfRule type="cellIs" dxfId="4447" priority="34773" operator="equal">
      <formula>0</formula>
    </cfRule>
  </conditionalFormatting>
  <conditionalFormatting sqref="D410:D411">
    <cfRule type="containsText" dxfId="4446" priority="34768" operator="containsText" text="Fri">
      <formula>NOT(ISERROR(SEARCH("Fri",D410)))</formula>
    </cfRule>
    <cfRule type="containsText" dxfId="4445" priority="34769" operator="containsText" text="Thu">
      <formula>NOT(ISERROR(SEARCH("Thu",D410)))</formula>
    </cfRule>
    <cfRule type="containsText" dxfId="4444" priority="34770" operator="containsText" text="Wed">
      <formula>NOT(ISERROR(SEARCH("Wed",D410)))</formula>
    </cfRule>
    <cfRule type="containsText" dxfId="4443" priority="34771" operator="containsText" text="Tue">
      <formula>NOT(ISERROR(SEARCH("Tue",D410)))</formula>
    </cfRule>
    <cfRule type="containsText" dxfId="4442" priority="34772" operator="containsText" text="Mon">
      <formula>NOT(ISERROR(SEARCH("Mon",D410)))</formula>
    </cfRule>
  </conditionalFormatting>
  <conditionalFormatting sqref="J410">
    <cfRule type="cellIs" dxfId="4441" priority="34767" operator="equal">
      <formula>0</formula>
    </cfRule>
  </conditionalFormatting>
  <conditionalFormatting sqref="K410">
    <cfRule type="cellIs" dxfId="4440" priority="34766" operator="equal">
      <formula>0</formula>
    </cfRule>
  </conditionalFormatting>
  <conditionalFormatting sqref="J411">
    <cfRule type="cellIs" dxfId="4439" priority="34765" operator="equal">
      <formula>0</formula>
    </cfRule>
  </conditionalFormatting>
  <conditionalFormatting sqref="K411">
    <cfRule type="cellIs" dxfId="4438" priority="34764" operator="equal">
      <formula>0</formula>
    </cfRule>
  </conditionalFormatting>
  <conditionalFormatting sqref="D418:D471">
    <cfRule type="containsText" dxfId="4437" priority="34759" operator="containsText" text="Fri">
      <formula>NOT(ISERROR(SEARCH("Fri",D418)))</formula>
    </cfRule>
    <cfRule type="containsText" dxfId="4436" priority="34760" operator="containsText" text="Thu">
      <formula>NOT(ISERROR(SEARCH("Thu",D418)))</formula>
    </cfRule>
    <cfRule type="containsText" dxfId="4435" priority="34761" operator="containsText" text="Wed">
      <formula>NOT(ISERROR(SEARCH("Wed",D418)))</formula>
    </cfRule>
    <cfRule type="containsText" dxfId="4434" priority="34762" operator="containsText" text="Tue">
      <formula>NOT(ISERROR(SEARCH("Tue",D418)))</formula>
    </cfRule>
    <cfRule type="containsText" dxfId="4433" priority="34763" operator="containsText" text="Mon">
      <formula>NOT(ISERROR(SEARCH("Mon",D418)))</formula>
    </cfRule>
  </conditionalFormatting>
  <conditionalFormatting sqref="J418:K424 E412:H471">
    <cfRule type="cellIs" dxfId="4432" priority="34758" operator="equal">
      <formula>0</formula>
    </cfRule>
  </conditionalFormatting>
  <conditionalFormatting sqref="J418:J471">
    <cfRule type="cellIs" dxfId="4431" priority="34757" operator="equal">
      <formula>"0 Policies"</formula>
    </cfRule>
  </conditionalFormatting>
  <conditionalFormatting sqref="D412:D416">
    <cfRule type="containsText" dxfId="4430" priority="34752" operator="containsText" text="Fri">
      <formula>NOT(ISERROR(SEARCH("Fri",D412)))</formula>
    </cfRule>
    <cfRule type="containsText" dxfId="4429" priority="34753" operator="containsText" text="Thu">
      <formula>NOT(ISERROR(SEARCH("Thu",D412)))</formula>
    </cfRule>
    <cfRule type="containsText" dxfId="4428" priority="34754" operator="containsText" text="Wed">
      <formula>NOT(ISERROR(SEARCH("Wed",D412)))</formula>
    </cfRule>
    <cfRule type="containsText" dxfId="4427" priority="34755" operator="containsText" text="Tue">
      <formula>NOT(ISERROR(SEARCH("Tue",D412)))</formula>
    </cfRule>
    <cfRule type="containsText" dxfId="4426" priority="34756" operator="containsText" text="Mon">
      <formula>NOT(ISERROR(SEARCH("Mon",D412)))</formula>
    </cfRule>
  </conditionalFormatting>
  <conditionalFormatting sqref="J412:J416">
    <cfRule type="cellIs" dxfId="4425" priority="34751" operator="equal">
      <formula>0</formula>
    </cfRule>
  </conditionalFormatting>
  <conditionalFormatting sqref="K412:K416">
    <cfRule type="cellIs" dxfId="4424" priority="34750" operator="equal">
      <formula>0</formula>
    </cfRule>
  </conditionalFormatting>
  <conditionalFormatting sqref="J412:J416">
    <cfRule type="cellIs" dxfId="4423" priority="34749" operator="equal">
      <formula>"0 Policies"</formula>
    </cfRule>
  </conditionalFormatting>
  <conditionalFormatting sqref="D417">
    <cfRule type="containsText" dxfId="4422" priority="34744" operator="containsText" text="Fri">
      <formula>NOT(ISERROR(SEARCH("Fri",D417)))</formula>
    </cfRule>
    <cfRule type="containsText" dxfId="4421" priority="34745" operator="containsText" text="Thu">
      <formula>NOT(ISERROR(SEARCH("Thu",D417)))</formula>
    </cfRule>
    <cfRule type="containsText" dxfId="4420" priority="34746" operator="containsText" text="Wed">
      <formula>NOT(ISERROR(SEARCH("Wed",D417)))</formula>
    </cfRule>
    <cfRule type="containsText" dxfId="4419" priority="34747" operator="containsText" text="Tue">
      <formula>NOT(ISERROR(SEARCH("Tue",D417)))</formula>
    </cfRule>
    <cfRule type="containsText" dxfId="4418" priority="34748" operator="containsText" text="Mon">
      <formula>NOT(ISERROR(SEARCH("Mon",D417)))</formula>
    </cfRule>
  </conditionalFormatting>
  <conditionalFormatting sqref="J417">
    <cfRule type="cellIs" dxfId="4417" priority="34743" operator="equal">
      <formula>0</formula>
    </cfRule>
  </conditionalFormatting>
  <conditionalFormatting sqref="K417">
    <cfRule type="cellIs" dxfId="4416" priority="34742" operator="equal">
      <formula>0</formula>
    </cfRule>
  </conditionalFormatting>
  <conditionalFormatting sqref="J417">
    <cfRule type="cellIs" dxfId="4415" priority="34741" operator="equal">
      <formula>"0 Policies"</formula>
    </cfRule>
  </conditionalFormatting>
  <conditionalFormatting sqref="J425:J440">
    <cfRule type="cellIs" dxfId="4414" priority="34740" operator="equal">
      <formula>0</formula>
    </cfRule>
  </conditionalFormatting>
  <conditionalFormatting sqref="K425:K440">
    <cfRule type="cellIs" dxfId="4413" priority="34739" operator="equal">
      <formula>0</formula>
    </cfRule>
  </conditionalFormatting>
  <conditionalFormatting sqref="J441:J452">
    <cfRule type="cellIs" dxfId="4412" priority="34738" operator="equal">
      <formula>0</formula>
    </cfRule>
  </conditionalFormatting>
  <conditionalFormatting sqref="K441:K452">
    <cfRule type="cellIs" dxfId="4411" priority="34737" operator="equal">
      <formula>0</formula>
    </cfRule>
  </conditionalFormatting>
  <conditionalFormatting sqref="J453:J467">
    <cfRule type="cellIs" dxfId="4410" priority="34736" operator="equal">
      <formula>0</formula>
    </cfRule>
  </conditionalFormatting>
  <conditionalFormatting sqref="K453:K467">
    <cfRule type="cellIs" dxfId="4409" priority="34735" operator="equal">
      <formula>0</formula>
    </cfRule>
  </conditionalFormatting>
  <conditionalFormatting sqref="J468:J471">
    <cfRule type="cellIs" dxfId="4408" priority="34734" operator="equal">
      <formula>0</formula>
    </cfRule>
  </conditionalFormatting>
  <conditionalFormatting sqref="K469:K471">
    <cfRule type="cellIs" dxfId="4407" priority="34733" operator="equal">
      <formula>0</formula>
    </cfRule>
  </conditionalFormatting>
  <conditionalFormatting sqref="K468">
    <cfRule type="cellIs" dxfId="4406" priority="34732" operator="equal">
      <formula>"0 Policies"</formula>
    </cfRule>
  </conditionalFormatting>
  <conditionalFormatting sqref="K468">
    <cfRule type="cellIs" dxfId="4405" priority="34731" operator="equal">
      <formula>0</formula>
    </cfRule>
  </conditionalFormatting>
  <conditionalFormatting sqref="J468">
    <cfRule type="cellIs" dxfId="4404" priority="34730" operator="equal">
      <formula>0</formula>
    </cfRule>
  </conditionalFormatting>
  <conditionalFormatting sqref="D472:D487">
    <cfRule type="containsText" dxfId="4403" priority="34725" operator="containsText" text="Fri">
      <formula>NOT(ISERROR(SEARCH("Fri",D472)))</formula>
    </cfRule>
    <cfRule type="containsText" dxfId="4402" priority="34726" operator="containsText" text="Thu">
      <formula>NOT(ISERROR(SEARCH("Thu",D472)))</formula>
    </cfRule>
    <cfRule type="containsText" dxfId="4401" priority="34727" operator="containsText" text="Wed">
      <formula>NOT(ISERROR(SEARCH("Wed",D472)))</formula>
    </cfRule>
    <cfRule type="containsText" dxfId="4400" priority="34728" operator="containsText" text="Tue">
      <formula>NOT(ISERROR(SEARCH("Tue",D472)))</formula>
    </cfRule>
    <cfRule type="containsText" dxfId="4399" priority="34729" operator="containsText" text="Mon">
      <formula>NOT(ISERROR(SEARCH("Mon",D472)))</formula>
    </cfRule>
  </conditionalFormatting>
  <conditionalFormatting sqref="E472:K551">
    <cfRule type="cellIs" dxfId="4398" priority="34724" operator="equal">
      <formula>0</formula>
    </cfRule>
  </conditionalFormatting>
  <conditionalFormatting sqref="A472:B551">
    <cfRule type="cellIs" dxfId="4397" priority="34723" operator="equal">
      <formula>0</formula>
    </cfRule>
  </conditionalFormatting>
  <conditionalFormatting sqref="D488:D494">
    <cfRule type="containsText" dxfId="4396" priority="34718" operator="containsText" text="Fri">
      <formula>NOT(ISERROR(SEARCH("Fri",D488)))</formula>
    </cfRule>
    <cfRule type="containsText" dxfId="4395" priority="34719" operator="containsText" text="Thu">
      <formula>NOT(ISERROR(SEARCH("Thu",D488)))</formula>
    </cfRule>
    <cfRule type="containsText" dxfId="4394" priority="34720" operator="containsText" text="Wed">
      <formula>NOT(ISERROR(SEARCH("Wed",D488)))</formula>
    </cfRule>
    <cfRule type="containsText" dxfId="4393" priority="34721" operator="containsText" text="Tue">
      <formula>NOT(ISERROR(SEARCH("Tue",D488)))</formula>
    </cfRule>
    <cfRule type="containsText" dxfId="4392" priority="34722" operator="containsText" text="Mon">
      <formula>NOT(ISERROR(SEARCH("Mon",D488)))</formula>
    </cfRule>
  </conditionalFormatting>
  <conditionalFormatting sqref="D495">
    <cfRule type="containsText" dxfId="4391" priority="34713" operator="containsText" text="Fri">
      <formula>NOT(ISERROR(SEARCH("Fri",D495)))</formula>
    </cfRule>
    <cfRule type="containsText" dxfId="4390" priority="34714" operator="containsText" text="Thu">
      <formula>NOT(ISERROR(SEARCH("Thu",D495)))</formula>
    </cfRule>
    <cfRule type="containsText" dxfId="4389" priority="34715" operator="containsText" text="Wed">
      <formula>NOT(ISERROR(SEARCH("Wed",D495)))</formula>
    </cfRule>
    <cfRule type="containsText" dxfId="4388" priority="34716" operator="containsText" text="Tue">
      <formula>NOT(ISERROR(SEARCH("Tue",D495)))</formula>
    </cfRule>
    <cfRule type="containsText" dxfId="4387" priority="34717" operator="containsText" text="Mon">
      <formula>NOT(ISERROR(SEARCH("Mon",D495)))</formula>
    </cfRule>
  </conditionalFormatting>
  <conditionalFormatting sqref="D496">
    <cfRule type="containsText" dxfId="4386" priority="34708" operator="containsText" text="Fri">
      <formula>NOT(ISERROR(SEARCH("Fri",D496)))</formula>
    </cfRule>
    <cfRule type="containsText" dxfId="4385" priority="34709" operator="containsText" text="Thu">
      <formula>NOT(ISERROR(SEARCH("Thu",D496)))</formula>
    </cfRule>
    <cfRule type="containsText" dxfId="4384" priority="34710" operator="containsText" text="Wed">
      <formula>NOT(ISERROR(SEARCH("Wed",D496)))</formula>
    </cfRule>
    <cfRule type="containsText" dxfId="4383" priority="34711" operator="containsText" text="Tue">
      <formula>NOT(ISERROR(SEARCH("Tue",D496)))</formula>
    </cfRule>
    <cfRule type="containsText" dxfId="4382" priority="34712" operator="containsText" text="Mon">
      <formula>NOT(ISERROR(SEARCH("Mon",D496)))</formula>
    </cfRule>
  </conditionalFormatting>
  <conditionalFormatting sqref="D497">
    <cfRule type="containsText" dxfId="4381" priority="34703" operator="containsText" text="Fri">
      <formula>NOT(ISERROR(SEARCH("Fri",D497)))</formula>
    </cfRule>
    <cfRule type="containsText" dxfId="4380" priority="34704" operator="containsText" text="Thu">
      <formula>NOT(ISERROR(SEARCH("Thu",D497)))</formula>
    </cfRule>
    <cfRule type="containsText" dxfId="4379" priority="34705" operator="containsText" text="Wed">
      <formula>NOT(ISERROR(SEARCH("Wed",D497)))</formula>
    </cfRule>
    <cfRule type="containsText" dxfId="4378" priority="34706" operator="containsText" text="Tue">
      <formula>NOT(ISERROR(SEARCH("Tue",D497)))</formula>
    </cfRule>
    <cfRule type="containsText" dxfId="4377" priority="34707" operator="containsText" text="Mon">
      <formula>NOT(ISERROR(SEARCH("Mon",D497)))</formula>
    </cfRule>
  </conditionalFormatting>
  <conditionalFormatting sqref="D498">
    <cfRule type="containsText" dxfId="4376" priority="34698" operator="containsText" text="Fri">
      <formula>NOT(ISERROR(SEARCH("Fri",D498)))</formula>
    </cfRule>
    <cfRule type="containsText" dxfId="4375" priority="34699" operator="containsText" text="Thu">
      <formula>NOT(ISERROR(SEARCH("Thu",D498)))</formula>
    </cfRule>
    <cfRule type="containsText" dxfId="4374" priority="34700" operator="containsText" text="Wed">
      <formula>NOT(ISERROR(SEARCH("Wed",D498)))</formula>
    </cfRule>
    <cfRule type="containsText" dxfId="4373" priority="34701" operator="containsText" text="Tue">
      <formula>NOT(ISERROR(SEARCH("Tue",D498)))</formula>
    </cfRule>
    <cfRule type="containsText" dxfId="4372" priority="34702" operator="containsText" text="Mon">
      <formula>NOT(ISERROR(SEARCH("Mon",D498)))</formula>
    </cfRule>
  </conditionalFormatting>
  <conditionalFormatting sqref="D499">
    <cfRule type="containsText" dxfId="4371" priority="34693" operator="containsText" text="Fri">
      <formula>NOT(ISERROR(SEARCH("Fri",D499)))</formula>
    </cfRule>
    <cfRule type="containsText" dxfId="4370" priority="34694" operator="containsText" text="Thu">
      <formula>NOT(ISERROR(SEARCH("Thu",D499)))</formula>
    </cfRule>
    <cfRule type="containsText" dxfId="4369" priority="34695" operator="containsText" text="Wed">
      <formula>NOT(ISERROR(SEARCH("Wed",D499)))</formula>
    </cfRule>
    <cfRule type="containsText" dxfId="4368" priority="34696" operator="containsText" text="Tue">
      <formula>NOT(ISERROR(SEARCH("Tue",D499)))</formula>
    </cfRule>
    <cfRule type="containsText" dxfId="4367" priority="34697" operator="containsText" text="Mon">
      <formula>NOT(ISERROR(SEARCH("Mon",D499)))</formula>
    </cfRule>
  </conditionalFormatting>
  <conditionalFormatting sqref="D500">
    <cfRule type="containsText" dxfId="4366" priority="34688" operator="containsText" text="Fri">
      <formula>NOT(ISERROR(SEARCH("Fri",D500)))</formula>
    </cfRule>
    <cfRule type="containsText" dxfId="4365" priority="34689" operator="containsText" text="Thu">
      <formula>NOT(ISERROR(SEARCH("Thu",D500)))</formula>
    </cfRule>
    <cfRule type="containsText" dxfId="4364" priority="34690" operator="containsText" text="Wed">
      <formula>NOT(ISERROR(SEARCH("Wed",D500)))</formula>
    </cfRule>
    <cfRule type="containsText" dxfId="4363" priority="34691" operator="containsText" text="Tue">
      <formula>NOT(ISERROR(SEARCH("Tue",D500)))</formula>
    </cfRule>
    <cfRule type="containsText" dxfId="4362" priority="34692" operator="containsText" text="Mon">
      <formula>NOT(ISERROR(SEARCH("Mon",D500)))</formula>
    </cfRule>
  </conditionalFormatting>
  <conditionalFormatting sqref="D501">
    <cfRule type="containsText" dxfId="4361" priority="34683" operator="containsText" text="Fri">
      <formula>NOT(ISERROR(SEARCH("Fri",D501)))</formula>
    </cfRule>
    <cfRule type="containsText" dxfId="4360" priority="34684" operator="containsText" text="Thu">
      <formula>NOT(ISERROR(SEARCH("Thu",D501)))</formula>
    </cfRule>
    <cfRule type="containsText" dxfId="4359" priority="34685" operator="containsText" text="Wed">
      <formula>NOT(ISERROR(SEARCH("Wed",D501)))</formula>
    </cfRule>
    <cfRule type="containsText" dxfId="4358" priority="34686" operator="containsText" text="Tue">
      <formula>NOT(ISERROR(SEARCH("Tue",D501)))</formula>
    </cfRule>
    <cfRule type="containsText" dxfId="4357" priority="34687" operator="containsText" text="Mon">
      <formula>NOT(ISERROR(SEARCH("Mon",D501)))</formula>
    </cfRule>
  </conditionalFormatting>
  <conditionalFormatting sqref="D502">
    <cfRule type="containsText" dxfId="4356" priority="34678" operator="containsText" text="Fri">
      <formula>NOT(ISERROR(SEARCH("Fri",D502)))</formula>
    </cfRule>
    <cfRule type="containsText" dxfId="4355" priority="34679" operator="containsText" text="Thu">
      <formula>NOT(ISERROR(SEARCH("Thu",D502)))</formula>
    </cfRule>
    <cfRule type="containsText" dxfId="4354" priority="34680" operator="containsText" text="Wed">
      <formula>NOT(ISERROR(SEARCH("Wed",D502)))</formula>
    </cfRule>
    <cfRule type="containsText" dxfId="4353" priority="34681" operator="containsText" text="Tue">
      <formula>NOT(ISERROR(SEARCH("Tue",D502)))</formula>
    </cfRule>
    <cfRule type="containsText" dxfId="4352" priority="34682" operator="containsText" text="Mon">
      <formula>NOT(ISERROR(SEARCH("Mon",D502)))</formula>
    </cfRule>
  </conditionalFormatting>
  <conditionalFormatting sqref="D503:D509">
    <cfRule type="containsText" dxfId="4351" priority="34673" operator="containsText" text="Fri">
      <formula>NOT(ISERROR(SEARCH("Fri",D503)))</formula>
    </cfRule>
    <cfRule type="containsText" dxfId="4350" priority="34674" operator="containsText" text="Thu">
      <formula>NOT(ISERROR(SEARCH("Thu",D503)))</formula>
    </cfRule>
    <cfRule type="containsText" dxfId="4349" priority="34675" operator="containsText" text="Wed">
      <formula>NOT(ISERROR(SEARCH("Wed",D503)))</formula>
    </cfRule>
    <cfRule type="containsText" dxfId="4348" priority="34676" operator="containsText" text="Tue">
      <formula>NOT(ISERROR(SEARCH("Tue",D503)))</formula>
    </cfRule>
    <cfRule type="containsText" dxfId="4347" priority="34677" operator="containsText" text="Mon">
      <formula>NOT(ISERROR(SEARCH("Mon",D503)))</formula>
    </cfRule>
  </conditionalFormatting>
  <conditionalFormatting sqref="D510">
    <cfRule type="containsText" dxfId="4346" priority="34668" operator="containsText" text="Fri">
      <formula>NOT(ISERROR(SEARCH("Fri",D510)))</formula>
    </cfRule>
    <cfRule type="containsText" dxfId="4345" priority="34669" operator="containsText" text="Thu">
      <formula>NOT(ISERROR(SEARCH("Thu",D510)))</formula>
    </cfRule>
    <cfRule type="containsText" dxfId="4344" priority="34670" operator="containsText" text="Wed">
      <formula>NOT(ISERROR(SEARCH("Wed",D510)))</formula>
    </cfRule>
    <cfRule type="containsText" dxfId="4343" priority="34671" operator="containsText" text="Tue">
      <formula>NOT(ISERROR(SEARCH("Tue",D510)))</formula>
    </cfRule>
    <cfRule type="containsText" dxfId="4342" priority="34672" operator="containsText" text="Mon">
      <formula>NOT(ISERROR(SEARCH("Mon",D510)))</formula>
    </cfRule>
  </conditionalFormatting>
  <conditionalFormatting sqref="D511">
    <cfRule type="containsText" dxfId="4341" priority="34663" operator="containsText" text="Fri">
      <formula>NOT(ISERROR(SEARCH("Fri",D511)))</formula>
    </cfRule>
    <cfRule type="containsText" dxfId="4340" priority="34664" operator="containsText" text="Thu">
      <formula>NOT(ISERROR(SEARCH("Thu",D511)))</formula>
    </cfRule>
    <cfRule type="containsText" dxfId="4339" priority="34665" operator="containsText" text="Wed">
      <formula>NOT(ISERROR(SEARCH("Wed",D511)))</formula>
    </cfRule>
    <cfRule type="containsText" dxfId="4338" priority="34666" operator="containsText" text="Tue">
      <formula>NOT(ISERROR(SEARCH("Tue",D511)))</formula>
    </cfRule>
    <cfRule type="containsText" dxfId="4337" priority="34667" operator="containsText" text="Mon">
      <formula>NOT(ISERROR(SEARCH("Mon",D511)))</formula>
    </cfRule>
  </conditionalFormatting>
  <conditionalFormatting sqref="D512">
    <cfRule type="containsText" dxfId="4336" priority="34658" operator="containsText" text="Fri">
      <formula>NOT(ISERROR(SEARCH("Fri",D512)))</formula>
    </cfRule>
    <cfRule type="containsText" dxfId="4335" priority="34659" operator="containsText" text="Thu">
      <formula>NOT(ISERROR(SEARCH("Thu",D512)))</formula>
    </cfRule>
    <cfRule type="containsText" dxfId="4334" priority="34660" operator="containsText" text="Wed">
      <formula>NOT(ISERROR(SEARCH("Wed",D512)))</formula>
    </cfRule>
    <cfRule type="containsText" dxfId="4333" priority="34661" operator="containsText" text="Tue">
      <formula>NOT(ISERROR(SEARCH("Tue",D512)))</formula>
    </cfRule>
    <cfRule type="containsText" dxfId="4332" priority="34662" operator="containsText" text="Mon">
      <formula>NOT(ISERROR(SEARCH("Mon",D512)))</formula>
    </cfRule>
  </conditionalFormatting>
  <conditionalFormatting sqref="D513">
    <cfRule type="containsText" dxfId="4331" priority="34653" operator="containsText" text="Fri">
      <formula>NOT(ISERROR(SEARCH("Fri",D513)))</formula>
    </cfRule>
    <cfRule type="containsText" dxfId="4330" priority="34654" operator="containsText" text="Thu">
      <formula>NOT(ISERROR(SEARCH("Thu",D513)))</formula>
    </cfRule>
    <cfRule type="containsText" dxfId="4329" priority="34655" operator="containsText" text="Wed">
      <formula>NOT(ISERROR(SEARCH("Wed",D513)))</formula>
    </cfRule>
    <cfRule type="containsText" dxfId="4328" priority="34656" operator="containsText" text="Tue">
      <formula>NOT(ISERROR(SEARCH("Tue",D513)))</formula>
    </cfRule>
    <cfRule type="containsText" dxfId="4327" priority="34657" operator="containsText" text="Mon">
      <formula>NOT(ISERROR(SEARCH("Mon",D513)))</formula>
    </cfRule>
  </conditionalFormatting>
  <conditionalFormatting sqref="D514">
    <cfRule type="containsText" dxfId="4326" priority="34648" operator="containsText" text="Fri">
      <formula>NOT(ISERROR(SEARCH("Fri",D514)))</formula>
    </cfRule>
    <cfRule type="containsText" dxfId="4325" priority="34649" operator="containsText" text="Thu">
      <formula>NOT(ISERROR(SEARCH("Thu",D514)))</formula>
    </cfRule>
    <cfRule type="containsText" dxfId="4324" priority="34650" operator="containsText" text="Wed">
      <formula>NOT(ISERROR(SEARCH("Wed",D514)))</formula>
    </cfRule>
    <cfRule type="containsText" dxfId="4323" priority="34651" operator="containsText" text="Tue">
      <formula>NOT(ISERROR(SEARCH("Tue",D514)))</formula>
    </cfRule>
    <cfRule type="containsText" dxfId="4322" priority="34652" operator="containsText" text="Mon">
      <formula>NOT(ISERROR(SEARCH("Mon",D514)))</formula>
    </cfRule>
  </conditionalFormatting>
  <conditionalFormatting sqref="D515:D519">
    <cfRule type="containsText" dxfId="4321" priority="34643" operator="containsText" text="Fri">
      <formula>NOT(ISERROR(SEARCH("Fri",D515)))</formula>
    </cfRule>
    <cfRule type="containsText" dxfId="4320" priority="34644" operator="containsText" text="Thu">
      <formula>NOT(ISERROR(SEARCH("Thu",D515)))</formula>
    </cfRule>
    <cfRule type="containsText" dxfId="4319" priority="34645" operator="containsText" text="Wed">
      <formula>NOT(ISERROR(SEARCH("Wed",D515)))</formula>
    </cfRule>
    <cfRule type="containsText" dxfId="4318" priority="34646" operator="containsText" text="Tue">
      <formula>NOT(ISERROR(SEARCH("Tue",D515)))</formula>
    </cfRule>
    <cfRule type="containsText" dxfId="4317" priority="34647" operator="containsText" text="Mon">
      <formula>NOT(ISERROR(SEARCH("Mon",D515)))</formula>
    </cfRule>
  </conditionalFormatting>
  <conditionalFormatting sqref="D520">
    <cfRule type="containsText" dxfId="4316" priority="34638" operator="containsText" text="Fri">
      <formula>NOT(ISERROR(SEARCH("Fri",D520)))</formula>
    </cfRule>
    <cfRule type="containsText" dxfId="4315" priority="34639" operator="containsText" text="Thu">
      <formula>NOT(ISERROR(SEARCH("Thu",D520)))</formula>
    </cfRule>
    <cfRule type="containsText" dxfId="4314" priority="34640" operator="containsText" text="Wed">
      <formula>NOT(ISERROR(SEARCH("Wed",D520)))</formula>
    </cfRule>
    <cfRule type="containsText" dxfId="4313" priority="34641" operator="containsText" text="Tue">
      <formula>NOT(ISERROR(SEARCH("Tue",D520)))</formula>
    </cfRule>
    <cfRule type="containsText" dxfId="4312" priority="34642" operator="containsText" text="Mon">
      <formula>NOT(ISERROR(SEARCH("Mon",D520)))</formula>
    </cfRule>
  </conditionalFormatting>
  <conditionalFormatting sqref="D521:D526">
    <cfRule type="containsText" dxfId="4311" priority="34633" operator="containsText" text="Fri">
      <formula>NOT(ISERROR(SEARCH("Fri",D521)))</formula>
    </cfRule>
    <cfRule type="containsText" dxfId="4310" priority="34634" operator="containsText" text="Thu">
      <formula>NOT(ISERROR(SEARCH("Thu",D521)))</formula>
    </cfRule>
    <cfRule type="containsText" dxfId="4309" priority="34635" operator="containsText" text="Wed">
      <formula>NOT(ISERROR(SEARCH("Wed",D521)))</formula>
    </cfRule>
    <cfRule type="containsText" dxfId="4308" priority="34636" operator="containsText" text="Tue">
      <formula>NOT(ISERROR(SEARCH("Tue",D521)))</formula>
    </cfRule>
    <cfRule type="containsText" dxfId="4307" priority="34637" operator="containsText" text="Mon">
      <formula>NOT(ISERROR(SEARCH("Mon",D521)))</formula>
    </cfRule>
  </conditionalFormatting>
  <conditionalFormatting sqref="D527:D534">
    <cfRule type="containsText" dxfId="4306" priority="34628" operator="containsText" text="Fri">
      <formula>NOT(ISERROR(SEARCH("Fri",D527)))</formula>
    </cfRule>
    <cfRule type="containsText" dxfId="4305" priority="34629" operator="containsText" text="Thu">
      <formula>NOT(ISERROR(SEARCH("Thu",D527)))</formula>
    </cfRule>
    <cfRule type="containsText" dxfId="4304" priority="34630" operator="containsText" text="Wed">
      <formula>NOT(ISERROR(SEARCH("Wed",D527)))</formula>
    </cfRule>
    <cfRule type="containsText" dxfId="4303" priority="34631" operator="containsText" text="Tue">
      <formula>NOT(ISERROR(SEARCH("Tue",D527)))</formula>
    </cfRule>
    <cfRule type="containsText" dxfId="4302" priority="34632" operator="containsText" text="Mon">
      <formula>NOT(ISERROR(SEARCH("Mon",D527)))</formula>
    </cfRule>
  </conditionalFormatting>
  <conditionalFormatting sqref="D535:D543">
    <cfRule type="containsText" dxfId="4301" priority="34623" operator="containsText" text="Fri">
      <formula>NOT(ISERROR(SEARCH("Fri",D535)))</formula>
    </cfRule>
    <cfRule type="containsText" dxfId="4300" priority="34624" operator="containsText" text="Thu">
      <formula>NOT(ISERROR(SEARCH("Thu",D535)))</formula>
    </cfRule>
    <cfRule type="containsText" dxfId="4299" priority="34625" operator="containsText" text="Wed">
      <formula>NOT(ISERROR(SEARCH("Wed",D535)))</formula>
    </cfRule>
    <cfRule type="containsText" dxfId="4298" priority="34626" operator="containsText" text="Tue">
      <formula>NOT(ISERROR(SEARCH("Tue",D535)))</formula>
    </cfRule>
    <cfRule type="containsText" dxfId="4297" priority="34627" operator="containsText" text="Mon">
      <formula>NOT(ISERROR(SEARCH("Mon",D535)))</formula>
    </cfRule>
  </conditionalFormatting>
  <conditionalFormatting sqref="D544:D551">
    <cfRule type="containsText" dxfId="4296" priority="34618" operator="containsText" text="Fri">
      <formula>NOT(ISERROR(SEARCH("Fri",D544)))</formula>
    </cfRule>
    <cfRule type="containsText" dxfId="4295" priority="34619" operator="containsText" text="Thu">
      <formula>NOT(ISERROR(SEARCH("Thu",D544)))</formula>
    </cfRule>
    <cfRule type="containsText" dxfId="4294" priority="34620" operator="containsText" text="Wed">
      <formula>NOT(ISERROR(SEARCH("Wed",D544)))</formula>
    </cfRule>
    <cfRule type="containsText" dxfId="4293" priority="34621" operator="containsText" text="Tue">
      <formula>NOT(ISERROR(SEARCH("Tue",D544)))</formula>
    </cfRule>
    <cfRule type="containsText" dxfId="4292" priority="34622" operator="containsText" text="Mon">
      <formula>NOT(ISERROR(SEARCH("Mon",D544)))</formula>
    </cfRule>
  </conditionalFormatting>
  <conditionalFormatting sqref="D552:D567">
    <cfRule type="containsText" dxfId="4291" priority="34613" operator="containsText" text="Fri">
      <formula>NOT(ISERROR(SEARCH("Fri",D552)))</formula>
    </cfRule>
    <cfRule type="containsText" dxfId="4290" priority="34614" operator="containsText" text="Thu">
      <formula>NOT(ISERROR(SEARCH("Thu",D552)))</formula>
    </cfRule>
    <cfRule type="containsText" dxfId="4289" priority="34615" operator="containsText" text="Wed">
      <formula>NOT(ISERROR(SEARCH("Wed",D552)))</formula>
    </cfRule>
    <cfRule type="containsText" dxfId="4288" priority="34616" operator="containsText" text="Tue">
      <formula>NOT(ISERROR(SEARCH("Tue",D552)))</formula>
    </cfRule>
    <cfRule type="containsText" dxfId="4287" priority="34617" operator="containsText" text="Mon">
      <formula>NOT(ISERROR(SEARCH("Mon",D552)))</formula>
    </cfRule>
  </conditionalFormatting>
  <conditionalFormatting sqref="E552:K662">
    <cfRule type="cellIs" dxfId="4286" priority="34612" operator="equal">
      <formula>0</formula>
    </cfRule>
  </conditionalFormatting>
  <conditionalFormatting sqref="A552:B662">
    <cfRule type="cellIs" dxfId="4285" priority="34611" operator="equal">
      <formula>0</formula>
    </cfRule>
  </conditionalFormatting>
  <conditionalFormatting sqref="D568:D574">
    <cfRule type="containsText" dxfId="4284" priority="34606" operator="containsText" text="Fri">
      <formula>NOT(ISERROR(SEARCH("Fri",D568)))</formula>
    </cfRule>
    <cfRule type="containsText" dxfId="4283" priority="34607" operator="containsText" text="Thu">
      <formula>NOT(ISERROR(SEARCH("Thu",D568)))</formula>
    </cfRule>
    <cfRule type="containsText" dxfId="4282" priority="34608" operator="containsText" text="Wed">
      <formula>NOT(ISERROR(SEARCH("Wed",D568)))</formula>
    </cfRule>
    <cfRule type="containsText" dxfId="4281" priority="34609" operator="containsText" text="Tue">
      <formula>NOT(ISERROR(SEARCH("Tue",D568)))</formula>
    </cfRule>
    <cfRule type="containsText" dxfId="4280" priority="34610" operator="containsText" text="Mon">
      <formula>NOT(ISERROR(SEARCH("Mon",D568)))</formula>
    </cfRule>
  </conditionalFormatting>
  <conditionalFormatting sqref="D575:D583">
    <cfRule type="containsText" dxfId="4279" priority="34601" operator="containsText" text="Fri">
      <formula>NOT(ISERROR(SEARCH("Fri",D575)))</formula>
    </cfRule>
    <cfRule type="containsText" dxfId="4278" priority="34602" operator="containsText" text="Thu">
      <formula>NOT(ISERROR(SEARCH("Thu",D575)))</formula>
    </cfRule>
    <cfRule type="containsText" dxfId="4277" priority="34603" operator="containsText" text="Wed">
      <formula>NOT(ISERROR(SEARCH("Wed",D575)))</formula>
    </cfRule>
    <cfRule type="containsText" dxfId="4276" priority="34604" operator="containsText" text="Tue">
      <formula>NOT(ISERROR(SEARCH("Tue",D575)))</formula>
    </cfRule>
    <cfRule type="containsText" dxfId="4275" priority="34605" operator="containsText" text="Mon">
      <formula>NOT(ISERROR(SEARCH("Mon",D575)))</formula>
    </cfRule>
  </conditionalFormatting>
  <conditionalFormatting sqref="D584:D591">
    <cfRule type="containsText" dxfId="4274" priority="34596" operator="containsText" text="Fri">
      <formula>NOT(ISERROR(SEARCH("Fri",D584)))</formula>
    </cfRule>
    <cfRule type="containsText" dxfId="4273" priority="34597" operator="containsText" text="Thu">
      <formula>NOT(ISERROR(SEARCH("Thu",D584)))</formula>
    </cfRule>
    <cfRule type="containsText" dxfId="4272" priority="34598" operator="containsText" text="Wed">
      <formula>NOT(ISERROR(SEARCH("Wed",D584)))</formula>
    </cfRule>
    <cfRule type="containsText" dxfId="4271" priority="34599" operator="containsText" text="Tue">
      <formula>NOT(ISERROR(SEARCH("Tue",D584)))</formula>
    </cfRule>
    <cfRule type="containsText" dxfId="4270" priority="34600" operator="containsText" text="Mon">
      <formula>NOT(ISERROR(SEARCH("Mon",D584)))</formula>
    </cfRule>
  </conditionalFormatting>
  <conditionalFormatting sqref="D592">
    <cfRule type="containsText" dxfId="4269" priority="34591" operator="containsText" text="Fri">
      <formula>NOT(ISERROR(SEARCH("Fri",D592)))</formula>
    </cfRule>
    <cfRule type="containsText" dxfId="4268" priority="34592" operator="containsText" text="Thu">
      <formula>NOT(ISERROR(SEARCH("Thu",D592)))</formula>
    </cfRule>
    <cfRule type="containsText" dxfId="4267" priority="34593" operator="containsText" text="Wed">
      <formula>NOT(ISERROR(SEARCH("Wed",D592)))</formula>
    </cfRule>
    <cfRule type="containsText" dxfId="4266" priority="34594" operator="containsText" text="Tue">
      <formula>NOT(ISERROR(SEARCH("Tue",D592)))</formula>
    </cfRule>
    <cfRule type="containsText" dxfId="4265" priority="34595" operator="containsText" text="Mon">
      <formula>NOT(ISERROR(SEARCH("Mon",D592)))</formula>
    </cfRule>
  </conditionalFormatting>
  <conditionalFormatting sqref="D593:D594">
    <cfRule type="containsText" dxfId="4264" priority="34586" operator="containsText" text="Fri">
      <formula>NOT(ISERROR(SEARCH("Fri",D593)))</formula>
    </cfRule>
    <cfRule type="containsText" dxfId="4263" priority="34587" operator="containsText" text="Thu">
      <formula>NOT(ISERROR(SEARCH("Thu",D593)))</formula>
    </cfRule>
    <cfRule type="containsText" dxfId="4262" priority="34588" operator="containsText" text="Wed">
      <formula>NOT(ISERROR(SEARCH("Wed",D593)))</formula>
    </cfRule>
    <cfRule type="containsText" dxfId="4261" priority="34589" operator="containsText" text="Tue">
      <formula>NOT(ISERROR(SEARCH("Tue",D593)))</formula>
    </cfRule>
    <cfRule type="containsText" dxfId="4260" priority="34590" operator="containsText" text="Mon">
      <formula>NOT(ISERROR(SEARCH("Mon",D593)))</formula>
    </cfRule>
  </conditionalFormatting>
  <conditionalFormatting sqref="D595">
    <cfRule type="containsText" dxfId="4259" priority="34581" operator="containsText" text="Fri">
      <formula>NOT(ISERROR(SEARCH("Fri",D595)))</formula>
    </cfRule>
    <cfRule type="containsText" dxfId="4258" priority="34582" operator="containsText" text="Thu">
      <formula>NOT(ISERROR(SEARCH("Thu",D595)))</formula>
    </cfRule>
    <cfRule type="containsText" dxfId="4257" priority="34583" operator="containsText" text="Wed">
      <formula>NOT(ISERROR(SEARCH("Wed",D595)))</formula>
    </cfRule>
    <cfRule type="containsText" dxfId="4256" priority="34584" operator="containsText" text="Tue">
      <formula>NOT(ISERROR(SEARCH("Tue",D595)))</formula>
    </cfRule>
    <cfRule type="containsText" dxfId="4255" priority="34585" operator="containsText" text="Mon">
      <formula>NOT(ISERROR(SEARCH("Mon",D595)))</formula>
    </cfRule>
  </conditionalFormatting>
  <conditionalFormatting sqref="D596">
    <cfRule type="containsText" dxfId="4254" priority="34576" operator="containsText" text="Fri">
      <formula>NOT(ISERROR(SEARCH("Fri",D596)))</formula>
    </cfRule>
    <cfRule type="containsText" dxfId="4253" priority="34577" operator="containsText" text="Thu">
      <formula>NOT(ISERROR(SEARCH("Thu",D596)))</formula>
    </cfRule>
    <cfRule type="containsText" dxfId="4252" priority="34578" operator="containsText" text="Wed">
      <formula>NOT(ISERROR(SEARCH("Wed",D596)))</formula>
    </cfRule>
    <cfRule type="containsText" dxfId="4251" priority="34579" operator="containsText" text="Tue">
      <formula>NOT(ISERROR(SEARCH("Tue",D596)))</formula>
    </cfRule>
    <cfRule type="containsText" dxfId="4250" priority="34580" operator="containsText" text="Mon">
      <formula>NOT(ISERROR(SEARCH("Mon",D596)))</formula>
    </cfRule>
  </conditionalFormatting>
  <conditionalFormatting sqref="D597">
    <cfRule type="containsText" dxfId="4249" priority="34571" operator="containsText" text="Fri">
      <formula>NOT(ISERROR(SEARCH("Fri",D597)))</formula>
    </cfRule>
    <cfRule type="containsText" dxfId="4248" priority="34572" operator="containsText" text="Thu">
      <formula>NOT(ISERROR(SEARCH("Thu",D597)))</formula>
    </cfRule>
    <cfRule type="containsText" dxfId="4247" priority="34573" operator="containsText" text="Wed">
      <formula>NOT(ISERROR(SEARCH("Wed",D597)))</formula>
    </cfRule>
    <cfRule type="containsText" dxfId="4246" priority="34574" operator="containsText" text="Tue">
      <formula>NOT(ISERROR(SEARCH("Tue",D597)))</formula>
    </cfRule>
    <cfRule type="containsText" dxfId="4245" priority="34575" operator="containsText" text="Mon">
      <formula>NOT(ISERROR(SEARCH("Mon",D597)))</formula>
    </cfRule>
  </conditionalFormatting>
  <conditionalFormatting sqref="D598">
    <cfRule type="containsText" dxfId="4244" priority="34566" operator="containsText" text="Fri">
      <formula>NOT(ISERROR(SEARCH("Fri",D598)))</formula>
    </cfRule>
    <cfRule type="containsText" dxfId="4243" priority="34567" operator="containsText" text="Thu">
      <formula>NOT(ISERROR(SEARCH("Thu",D598)))</formula>
    </cfRule>
    <cfRule type="containsText" dxfId="4242" priority="34568" operator="containsText" text="Wed">
      <formula>NOT(ISERROR(SEARCH("Wed",D598)))</formula>
    </cfRule>
    <cfRule type="containsText" dxfId="4241" priority="34569" operator="containsText" text="Tue">
      <formula>NOT(ISERROR(SEARCH("Tue",D598)))</formula>
    </cfRule>
    <cfRule type="containsText" dxfId="4240" priority="34570" operator="containsText" text="Mon">
      <formula>NOT(ISERROR(SEARCH("Mon",D598)))</formula>
    </cfRule>
  </conditionalFormatting>
  <conditionalFormatting sqref="D599">
    <cfRule type="containsText" dxfId="4239" priority="34561" operator="containsText" text="Fri">
      <formula>NOT(ISERROR(SEARCH("Fri",D599)))</formula>
    </cfRule>
    <cfRule type="containsText" dxfId="4238" priority="34562" operator="containsText" text="Thu">
      <formula>NOT(ISERROR(SEARCH("Thu",D599)))</formula>
    </cfRule>
    <cfRule type="containsText" dxfId="4237" priority="34563" operator="containsText" text="Wed">
      <formula>NOT(ISERROR(SEARCH("Wed",D599)))</formula>
    </cfRule>
    <cfRule type="containsText" dxfId="4236" priority="34564" operator="containsText" text="Tue">
      <formula>NOT(ISERROR(SEARCH("Tue",D599)))</formula>
    </cfRule>
    <cfRule type="containsText" dxfId="4235" priority="34565" operator="containsText" text="Mon">
      <formula>NOT(ISERROR(SEARCH("Mon",D599)))</formula>
    </cfRule>
  </conditionalFormatting>
  <conditionalFormatting sqref="D600:D605">
    <cfRule type="containsText" dxfId="4234" priority="34556" operator="containsText" text="Fri">
      <formula>NOT(ISERROR(SEARCH("Fri",D600)))</formula>
    </cfRule>
    <cfRule type="containsText" dxfId="4233" priority="34557" operator="containsText" text="Thu">
      <formula>NOT(ISERROR(SEARCH("Thu",D600)))</formula>
    </cfRule>
    <cfRule type="containsText" dxfId="4232" priority="34558" operator="containsText" text="Wed">
      <formula>NOT(ISERROR(SEARCH("Wed",D600)))</formula>
    </cfRule>
    <cfRule type="containsText" dxfId="4231" priority="34559" operator="containsText" text="Tue">
      <formula>NOT(ISERROR(SEARCH("Tue",D600)))</formula>
    </cfRule>
    <cfRule type="containsText" dxfId="4230" priority="34560" operator="containsText" text="Mon">
      <formula>NOT(ISERROR(SEARCH("Mon",D600)))</formula>
    </cfRule>
  </conditionalFormatting>
  <conditionalFormatting sqref="D606">
    <cfRule type="containsText" dxfId="4229" priority="34551" operator="containsText" text="Fri">
      <formula>NOT(ISERROR(SEARCH("Fri",D606)))</formula>
    </cfRule>
    <cfRule type="containsText" dxfId="4228" priority="34552" operator="containsText" text="Thu">
      <formula>NOT(ISERROR(SEARCH("Thu",D606)))</formula>
    </cfRule>
    <cfRule type="containsText" dxfId="4227" priority="34553" operator="containsText" text="Wed">
      <formula>NOT(ISERROR(SEARCH("Wed",D606)))</formula>
    </cfRule>
    <cfRule type="containsText" dxfId="4226" priority="34554" operator="containsText" text="Tue">
      <formula>NOT(ISERROR(SEARCH("Tue",D606)))</formula>
    </cfRule>
    <cfRule type="containsText" dxfId="4225" priority="34555" operator="containsText" text="Mon">
      <formula>NOT(ISERROR(SEARCH("Mon",D606)))</formula>
    </cfRule>
  </conditionalFormatting>
  <conditionalFormatting sqref="D607">
    <cfRule type="containsText" dxfId="4224" priority="34546" operator="containsText" text="Fri">
      <formula>NOT(ISERROR(SEARCH("Fri",D607)))</formula>
    </cfRule>
    <cfRule type="containsText" dxfId="4223" priority="34547" operator="containsText" text="Thu">
      <formula>NOT(ISERROR(SEARCH("Thu",D607)))</formula>
    </cfRule>
    <cfRule type="containsText" dxfId="4222" priority="34548" operator="containsText" text="Wed">
      <formula>NOT(ISERROR(SEARCH("Wed",D607)))</formula>
    </cfRule>
    <cfRule type="containsText" dxfId="4221" priority="34549" operator="containsText" text="Tue">
      <formula>NOT(ISERROR(SEARCH("Tue",D607)))</formula>
    </cfRule>
    <cfRule type="containsText" dxfId="4220" priority="34550" operator="containsText" text="Mon">
      <formula>NOT(ISERROR(SEARCH("Mon",D607)))</formula>
    </cfRule>
  </conditionalFormatting>
  <conditionalFormatting sqref="D608">
    <cfRule type="containsText" dxfId="4219" priority="34541" operator="containsText" text="Fri">
      <formula>NOT(ISERROR(SEARCH("Fri",D608)))</formula>
    </cfRule>
    <cfRule type="containsText" dxfId="4218" priority="34542" operator="containsText" text="Thu">
      <formula>NOT(ISERROR(SEARCH("Thu",D608)))</formula>
    </cfRule>
    <cfRule type="containsText" dxfId="4217" priority="34543" operator="containsText" text="Wed">
      <formula>NOT(ISERROR(SEARCH("Wed",D608)))</formula>
    </cfRule>
    <cfRule type="containsText" dxfId="4216" priority="34544" operator="containsText" text="Tue">
      <formula>NOT(ISERROR(SEARCH("Tue",D608)))</formula>
    </cfRule>
    <cfRule type="containsText" dxfId="4215" priority="34545" operator="containsText" text="Mon">
      <formula>NOT(ISERROR(SEARCH("Mon",D608)))</formula>
    </cfRule>
  </conditionalFormatting>
  <conditionalFormatting sqref="D609">
    <cfRule type="containsText" dxfId="4214" priority="34536" operator="containsText" text="Fri">
      <formula>NOT(ISERROR(SEARCH("Fri",D609)))</formula>
    </cfRule>
    <cfRule type="containsText" dxfId="4213" priority="34537" operator="containsText" text="Thu">
      <formula>NOT(ISERROR(SEARCH("Thu",D609)))</formula>
    </cfRule>
    <cfRule type="containsText" dxfId="4212" priority="34538" operator="containsText" text="Wed">
      <formula>NOT(ISERROR(SEARCH("Wed",D609)))</formula>
    </cfRule>
    <cfRule type="containsText" dxfId="4211" priority="34539" operator="containsText" text="Tue">
      <formula>NOT(ISERROR(SEARCH("Tue",D609)))</formula>
    </cfRule>
    <cfRule type="containsText" dxfId="4210" priority="34540" operator="containsText" text="Mon">
      <formula>NOT(ISERROR(SEARCH("Mon",D609)))</formula>
    </cfRule>
  </conditionalFormatting>
  <conditionalFormatting sqref="D610">
    <cfRule type="containsText" dxfId="4209" priority="34531" operator="containsText" text="Fri">
      <formula>NOT(ISERROR(SEARCH("Fri",D610)))</formula>
    </cfRule>
    <cfRule type="containsText" dxfId="4208" priority="34532" operator="containsText" text="Thu">
      <formula>NOT(ISERROR(SEARCH("Thu",D610)))</formula>
    </cfRule>
    <cfRule type="containsText" dxfId="4207" priority="34533" operator="containsText" text="Wed">
      <formula>NOT(ISERROR(SEARCH("Wed",D610)))</formula>
    </cfRule>
    <cfRule type="containsText" dxfId="4206" priority="34534" operator="containsText" text="Tue">
      <formula>NOT(ISERROR(SEARCH("Tue",D610)))</formula>
    </cfRule>
    <cfRule type="containsText" dxfId="4205" priority="34535" operator="containsText" text="Mon">
      <formula>NOT(ISERROR(SEARCH("Mon",D610)))</formula>
    </cfRule>
  </conditionalFormatting>
  <conditionalFormatting sqref="D611:D618">
    <cfRule type="containsText" dxfId="4204" priority="34526" operator="containsText" text="Fri">
      <formula>NOT(ISERROR(SEARCH("Fri",D611)))</formula>
    </cfRule>
    <cfRule type="containsText" dxfId="4203" priority="34527" operator="containsText" text="Thu">
      <formula>NOT(ISERROR(SEARCH("Thu",D611)))</formula>
    </cfRule>
    <cfRule type="containsText" dxfId="4202" priority="34528" operator="containsText" text="Wed">
      <formula>NOT(ISERROR(SEARCH("Wed",D611)))</formula>
    </cfRule>
    <cfRule type="containsText" dxfId="4201" priority="34529" operator="containsText" text="Tue">
      <formula>NOT(ISERROR(SEARCH("Tue",D611)))</formula>
    </cfRule>
    <cfRule type="containsText" dxfId="4200" priority="34530" operator="containsText" text="Mon">
      <formula>NOT(ISERROR(SEARCH("Mon",D611)))</formula>
    </cfRule>
  </conditionalFormatting>
  <conditionalFormatting sqref="D619:D626">
    <cfRule type="containsText" dxfId="4199" priority="34521" operator="containsText" text="Fri">
      <formula>NOT(ISERROR(SEARCH("Fri",D619)))</formula>
    </cfRule>
    <cfRule type="containsText" dxfId="4198" priority="34522" operator="containsText" text="Thu">
      <formula>NOT(ISERROR(SEARCH("Thu",D619)))</formula>
    </cfRule>
    <cfRule type="containsText" dxfId="4197" priority="34523" operator="containsText" text="Wed">
      <formula>NOT(ISERROR(SEARCH("Wed",D619)))</formula>
    </cfRule>
    <cfRule type="containsText" dxfId="4196" priority="34524" operator="containsText" text="Tue">
      <formula>NOT(ISERROR(SEARCH("Tue",D619)))</formula>
    </cfRule>
    <cfRule type="containsText" dxfId="4195" priority="34525" operator="containsText" text="Mon">
      <formula>NOT(ISERROR(SEARCH("Mon",D619)))</formula>
    </cfRule>
  </conditionalFormatting>
  <conditionalFormatting sqref="D627:D635">
    <cfRule type="containsText" dxfId="4194" priority="34516" operator="containsText" text="Fri">
      <formula>NOT(ISERROR(SEARCH("Fri",D627)))</formula>
    </cfRule>
    <cfRule type="containsText" dxfId="4193" priority="34517" operator="containsText" text="Thu">
      <formula>NOT(ISERROR(SEARCH("Thu",D627)))</formula>
    </cfRule>
    <cfRule type="containsText" dxfId="4192" priority="34518" operator="containsText" text="Wed">
      <formula>NOT(ISERROR(SEARCH("Wed",D627)))</formula>
    </cfRule>
    <cfRule type="containsText" dxfId="4191" priority="34519" operator="containsText" text="Tue">
      <formula>NOT(ISERROR(SEARCH("Tue",D627)))</formula>
    </cfRule>
    <cfRule type="containsText" dxfId="4190" priority="34520" operator="containsText" text="Mon">
      <formula>NOT(ISERROR(SEARCH("Mon",D627)))</formula>
    </cfRule>
  </conditionalFormatting>
  <conditionalFormatting sqref="D636:D643">
    <cfRule type="containsText" dxfId="4189" priority="34511" operator="containsText" text="Fri">
      <formula>NOT(ISERROR(SEARCH("Fri",D636)))</formula>
    </cfRule>
    <cfRule type="containsText" dxfId="4188" priority="34512" operator="containsText" text="Thu">
      <formula>NOT(ISERROR(SEARCH("Thu",D636)))</formula>
    </cfRule>
    <cfRule type="containsText" dxfId="4187" priority="34513" operator="containsText" text="Wed">
      <formula>NOT(ISERROR(SEARCH("Wed",D636)))</formula>
    </cfRule>
    <cfRule type="containsText" dxfId="4186" priority="34514" operator="containsText" text="Tue">
      <formula>NOT(ISERROR(SEARCH("Tue",D636)))</formula>
    </cfRule>
    <cfRule type="containsText" dxfId="4185" priority="34515" operator="containsText" text="Mon">
      <formula>NOT(ISERROR(SEARCH("Mon",D636)))</formula>
    </cfRule>
  </conditionalFormatting>
  <conditionalFormatting sqref="D644:D646">
    <cfRule type="containsText" dxfId="4184" priority="34506" operator="containsText" text="Fri">
      <formula>NOT(ISERROR(SEARCH("Fri",D644)))</formula>
    </cfRule>
    <cfRule type="containsText" dxfId="4183" priority="34507" operator="containsText" text="Thu">
      <formula>NOT(ISERROR(SEARCH("Thu",D644)))</formula>
    </cfRule>
    <cfRule type="containsText" dxfId="4182" priority="34508" operator="containsText" text="Wed">
      <formula>NOT(ISERROR(SEARCH("Wed",D644)))</formula>
    </cfRule>
    <cfRule type="containsText" dxfId="4181" priority="34509" operator="containsText" text="Tue">
      <formula>NOT(ISERROR(SEARCH("Tue",D644)))</formula>
    </cfRule>
    <cfRule type="containsText" dxfId="4180" priority="34510" operator="containsText" text="Mon">
      <formula>NOT(ISERROR(SEARCH("Mon",D644)))</formula>
    </cfRule>
  </conditionalFormatting>
  <conditionalFormatting sqref="D647:D654">
    <cfRule type="containsText" dxfId="4179" priority="34501" operator="containsText" text="Fri">
      <formula>NOT(ISERROR(SEARCH("Fri",D647)))</formula>
    </cfRule>
    <cfRule type="containsText" dxfId="4178" priority="34502" operator="containsText" text="Thu">
      <formula>NOT(ISERROR(SEARCH("Thu",D647)))</formula>
    </cfRule>
    <cfRule type="containsText" dxfId="4177" priority="34503" operator="containsText" text="Wed">
      <formula>NOT(ISERROR(SEARCH("Wed",D647)))</formula>
    </cfRule>
    <cfRule type="containsText" dxfId="4176" priority="34504" operator="containsText" text="Tue">
      <formula>NOT(ISERROR(SEARCH("Tue",D647)))</formula>
    </cfRule>
    <cfRule type="containsText" dxfId="4175" priority="34505" operator="containsText" text="Mon">
      <formula>NOT(ISERROR(SEARCH("Mon",D647)))</formula>
    </cfRule>
  </conditionalFormatting>
  <conditionalFormatting sqref="D655:D662">
    <cfRule type="containsText" dxfId="4174" priority="34496" operator="containsText" text="Fri">
      <formula>NOT(ISERROR(SEARCH("Fri",D655)))</formula>
    </cfRule>
    <cfRule type="containsText" dxfId="4173" priority="34497" operator="containsText" text="Thu">
      <formula>NOT(ISERROR(SEARCH("Thu",D655)))</formula>
    </cfRule>
    <cfRule type="containsText" dxfId="4172" priority="34498" operator="containsText" text="Wed">
      <formula>NOT(ISERROR(SEARCH("Wed",D655)))</formula>
    </cfRule>
    <cfRule type="containsText" dxfId="4171" priority="34499" operator="containsText" text="Tue">
      <formula>NOT(ISERROR(SEARCH("Tue",D655)))</formula>
    </cfRule>
    <cfRule type="containsText" dxfId="4170" priority="34500" operator="containsText" text="Mon">
      <formula>NOT(ISERROR(SEARCH("Mon",D655)))</formula>
    </cfRule>
  </conditionalFormatting>
  <conditionalFormatting sqref="D663:D675">
    <cfRule type="containsText" dxfId="4169" priority="29167" operator="containsText" text="Fri">
      <formula>NOT(ISERROR(SEARCH("Fri",D663)))</formula>
    </cfRule>
    <cfRule type="containsText" dxfId="4168" priority="29168" operator="containsText" text="Thu">
      <formula>NOT(ISERROR(SEARCH("Thu",D663)))</formula>
    </cfRule>
    <cfRule type="containsText" dxfId="4167" priority="29169" operator="containsText" text="Wed">
      <formula>NOT(ISERROR(SEARCH("Wed",D663)))</formula>
    </cfRule>
    <cfRule type="containsText" dxfId="4166" priority="29170" operator="containsText" text="Tue">
      <formula>NOT(ISERROR(SEARCH("Tue",D663)))</formula>
    </cfRule>
    <cfRule type="containsText" dxfId="4165" priority="29171" operator="containsText" text="Mon">
      <formula>NOT(ISERROR(SEARCH("Mon",D663)))</formula>
    </cfRule>
  </conditionalFormatting>
  <conditionalFormatting sqref="E663:K683 E720:K736 E741:K774 E685:K686 E688:K718">
    <cfRule type="cellIs" dxfId="4164" priority="29166" operator="equal">
      <formula>0</formula>
    </cfRule>
  </conditionalFormatting>
  <conditionalFormatting sqref="A663:B683 A720:B736 A741:B774 A688:B718 A685:B686">
    <cfRule type="cellIs" dxfId="4163" priority="29165" operator="equal">
      <formula>0</formula>
    </cfRule>
  </conditionalFormatting>
  <conditionalFormatting sqref="D676:D682">
    <cfRule type="containsText" dxfId="4162" priority="29160" operator="containsText" text="Fri">
      <formula>NOT(ISERROR(SEARCH("Fri",D676)))</formula>
    </cfRule>
    <cfRule type="containsText" dxfId="4161" priority="29161" operator="containsText" text="Thu">
      <formula>NOT(ISERROR(SEARCH("Thu",D676)))</formula>
    </cfRule>
    <cfRule type="containsText" dxfId="4160" priority="29162" operator="containsText" text="Wed">
      <formula>NOT(ISERROR(SEARCH("Wed",D676)))</formula>
    </cfRule>
    <cfRule type="containsText" dxfId="4159" priority="29163" operator="containsText" text="Tue">
      <formula>NOT(ISERROR(SEARCH("Tue",D676)))</formula>
    </cfRule>
    <cfRule type="containsText" dxfId="4158" priority="29164" operator="containsText" text="Mon">
      <formula>NOT(ISERROR(SEARCH("Mon",D676)))</formula>
    </cfRule>
  </conditionalFormatting>
  <conditionalFormatting sqref="D683">
    <cfRule type="containsText" dxfId="4157" priority="29155" operator="containsText" text="Fri">
      <formula>NOT(ISERROR(SEARCH("Fri",D683)))</formula>
    </cfRule>
    <cfRule type="containsText" dxfId="4156" priority="29156" operator="containsText" text="Thu">
      <formula>NOT(ISERROR(SEARCH("Thu",D683)))</formula>
    </cfRule>
    <cfRule type="containsText" dxfId="4155" priority="29157" operator="containsText" text="Wed">
      <formula>NOT(ISERROR(SEARCH("Wed",D683)))</formula>
    </cfRule>
    <cfRule type="containsText" dxfId="4154" priority="29158" operator="containsText" text="Tue">
      <formula>NOT(ISERROR(SEARCH("Tue",D683)))</formula>
    </cfRule>
    <cfRule type="containsText" dxfId="4153" priority="29159" operator="containsText" text="Mon">
      <formula>NOT(ISERROR(SEARCH("Mon",D683)))</formula>
    </cfRule>
  </conditionalFormatting>
  <conditionalFormatting sqref="D685">
    <cfRule type="containsText" dxfId="4152" priority="29150" operator="containsText" text="Fri">
      <formula>NOT(ISERROR(SEARCH("Fri",D685)))</formula>
    </cfRule>
    <cfRule type="containsText" dxfId="4151" priority="29151" operator="containsText" text="Thu">
      <formula>NOT(ISERROR(SEARCH("Thu",D685)))</formula>
    </cfRule>
    <cfRule type="containsText" dxfId="4150" priority="29152" operator="containsText" text="Wed">
      <formula>NOT(ISERROR(SEARCH("Wed",D685)))</formula>
    </cfRule>
    <cfRule type="containsText" dxfId="4149" priority="29153" operator="containsText" text="Tue">
      <formula>NOT(ISERROR(SEARCH("Tue",D685)))</formula>
    </cfRule>
    <cfRule type="containsText" dxfId="4148" priority="29154" operator="containsText" text="Mon">
      <formula>NOT(ISERROR(SEARCH("Mon",D685)))</formula>
    </cfRule>
  </conditionalFormatting>
  <conditionalFormatting sqref="D686">
    <cfRule type="containsText" dxfId="4147" priority="29145" operator="containsText" text="Fri">
      <formula>NOT(ISERROR(SEARCH("Fri",D686)))</formula>
    </cfRule>
    <cfRule type="containsText" dxfId="4146" priority="29146" operator="containsText" text="Thu">
      <formula>NOT(ISERROR(SEARCH("Thu",D686)))</formula>
    </cfRule>
    <cfRule type="containsText" dxfId="4145" priority="29147" operator="containsText" text="Wed">
      <formula>NOT(ISERROR(SEARCH("Wed",D686)))</formula>
    </cfRule>
    <cfRule type="containsText" dxfId="4144" priority="29148" operator="containsText" text="Tue">
      <formula>NOT(ISERROR(SEARCH("Tue",D686)))</formula>
    </cfRule>
    <cfRule type="containsText" dxfId="4143" priority="29149" operator="containsText" text="Mon">
      <formula>NOT(ISERROR(SEARCH("Mon",D686)))</formula>
    </cfRule>
  </conditionalFormatting>
  <conditionalFormatting sqref="D688">
    <cfRule type="containsText" dxfId="4142" priority="29140" operator="containsText" text="Fri">
      <formula>NOT(ISERROR(SEARCH("Fri",D688)))</formula>
    </cfRule>
    <cfRule type="containsText" dxfId="4141" priority="29141" operator="containsText" text="Thu">
      <formula>NOT(ISERROR(SEARCH("Thu",D688)))</formula>
    </cfRule>
    <cfRule type="containsText" dxfId="4140" priority="29142" operator="containsText" text="Wed">
      <formula>NOT(ISERROR(SEARCH("Wed",D688)))</formula>
    </cfRule>
    <cfRule type="containsText" dxfId="4139" priority="29143" operator="containsText" text="Tue">
      <formula>NOT(ISERROR(SEARCH("Tue",D688)))</formula>
    </cfRule>
    <cfRule type="containsText" dxfId="4138" priority="29144" operator="containsText" text="Mon">
      <formula>NOT(ISERROR(SEARCH("Mon",D688)))</formula>
    </cfRule>
  </conditionalFormatting>
  <conditionalFormatting sqref="D689">
    <cfRule type="containsText" dxfId="4137" priority="29135" operator="containsText" text="Fri">
      <formula>NOT(ISERROR(SEARCH("Fri",D689)))</formula>
    </cfRule>
    <cfRule type="containsText" dxfId="4136" priority="29136" operator="containsText" text="Thu">
      <formula>NOT(ISERROR(SEARCH("Thu",D689)))</formula>
    </cfRule>
    <cfRule type="containsText" dxfId="4135" priority="29137" operator="containsText" text="Wed">
      <formula>NOT(ISERROR(SEARCH("Wed",D689)))</formula>
    </cfRule>
    <cfRule type="containsText" dxfId="4134" priority="29138" operator="containsText" text="Tue">
      <formula>NOT(ISERROR(SEARCH("Tue",D689)))</formula>
    </cfRule>
    <cfRule type="containsText" dxfId="4133" priority="29139" operator="containsText" text="Mon">
      <formula>NOT(ISERROR(SEARCH("Mon",D689)))</formula>
    </cfRule>
  </conditionalFormatting>
  <conditionalFormatting sqref="D690">
    <cfRule type="containsText" dxfId="4132" priority="29130" operator="containsText" text="Fri">
      <formula>NOT(ISERROR(SEARCH("Fri",D690)))</formula>
    </cfRule>
    <cfRule type="containsText" dxfId="4131" priority="29131" operator="containsText" text="Thu">
      <formula>NOT(ISERROR(SEARCH("Thu",D690)))</formula>
    </cfRule>
    <cfRule type="containsText" dxfId="4130" priority="29132" operator="containsText" text="Wed">
      <formula>NOT(ISERROR(SEARCH("Wed",D690)))</formula>
    </cfRule>
    <cfRule type="containsText" dxfId="4129" priority="29133" operator="containsText" text="Tue">
      <formula>NOT(ISERROR(SEARCH("Tue",D690)))</formula>
    </cfRule>
    <cfRule type="containsText" dxfId="4128" priority="29134" operator="containsText" text="Mon">
      <formula>NOT(ISERROR(SEARCH("Mon",D690)))</formula>
    </cfRule>
  </conditionalFormatting>
  <conditionalFormatting sqref="D691:D692">
    <cfRule type="containsText" dxfId="4127" priority="29125" operator="containsText" text="Fri">
      <formula>NOT(ISERROR(SEARCH("Fri",D691)))</formula>
    </cfRule>
    <cfRule type="containsText" dxfId="4126" priority="29126" operator="containsText" text="Thu">
      <formula>NOT(ISERROR(SEARCH("Thu",D691)))</formula>
    </cfRule>
    <cfRule type="containsText" dxfId="4125" priority="29127" operator="containsText" text="Wed">
      <formula>NOT(ISERROR(SEARCH("Wed",D691)))</formula>
    </cfRule>
    <cfRule type="containsText" dxfId="4124" priority="29128" operator="containsText" text="Tue">
      <formula>NOT(ISERROR(SEARCH("Tue",D691)))</formula>
    </cfRule>
    <cfRule type="containsText" dxfId="4123" priority="29129" operator="containsText" text="Mon">
      <formula>NOT(ISERROR(SEARCH("Mon",D691)))</formula>
    </cfRule>
  </conditionalFormatting>
  <conditionalFormatting sqref="D693:D696">
    <cfRule type="containsText" dxfId="4122" priority="29120" operator="containsText" text="Fri">
      <formula>NOT(ISERROR(SEARCH("Fri",D693)))</formula>
    </cfRule>
    <cfRule type="containsText" dxfId="4121" priority="29121" operator="containsText" text="Thu">
      <formula>NOT(ISERROR(SEARCH("Thu",D693)))</formula>
    </cfRule>
    <cfRule type="containsText" dxfId="4120" priority="29122" operator="containsText" text="Wed">
      <formula>NOT(ISERROR(SEARCH("Wed",D693)))</formula>
    </cfRule>
    <cfRule type="containsText" dxfId="4119" priority="29123" operator="containsText" text="Tue">
      <formula>NOT(ISERROR(SEARCH("Tue",D693)))</formula>
    </cfRule>
    <cfRule type="containsText" dxfId="4118" priority="29124" operator="containsText" text="Mon">
      <formula>NOT(ISERROR(SEARCH("Mon",D693)))</formula>
    </cfRule>
  </conditionalFormatting>
  <conditionalFormatting sqref="D697:D704">
    <cfRule type="containsText" dxfId="4117" priority="29115" operator="containsText" text="Fri">
      <formula>NOT(ISERROR(SEARCH("Fri",D697)))</formula>
    </cfRule>
    <cfRule type="containsText" dxfId="4116" priority="29116" operator="containsText" text="Thu">
      <formula>NOT(ISERROR(SEARCH("Thu",D697)))</formula>
    </cfRule>
    <cfRule type="containsText" dxfId="4115" priority="29117" operator="containsText" text="Wed">
      <formula>NOT(ISERROR(SEARCH("Wed",D697)))</formula>
    </cfRule>
    <cfRule type="containsText" dxfId="4114" priority="29118" operator="containsText" text="Tue">
      <formula>NOT(ISERROR(SEARCH("Tue",D697)))</formula>
    </cfRule>
    <cfRule type="containsText" dxfId="4113" priority="29119" operator="containsText" text="Mon">
      <formula>NOT(ISERROR(SEARCH("Mon",D697)))</formula>
    </cfRule>
  </conditionalFormatting>
  <conditionalFormatting sqref="D705:D707">
    <cfRule type="containsText" dxfId="4112" priority="29110" operator="containsText" text="Fri">
      <formula>NOT(ISERROR(SEARCH("Fri",D705)))</formula>
    </cfRule>
    <cfRule type="containsText" dxfId="4111" priority="29111" operator="containsText" text="Thu">
      <formula>NOT(ISERROR(SEARCH("Thu",D705)))</formula>
    </cfRule>
    <cfRule type="containsText" dxfId="4110" priority="29112" operator="containsText" text="Wed">
      <formula>NOT(ISERROR(SEARCH("Wed",D705)))</formula>
    </cfRule>
    <cfRule type="containsText" dxfId="4109" priority="29113" operator="containsText" text="Tue">
      <formula>NOT(ISERROR(SEARCH("Tue",D705)))</formula>
    </cfRule>
    <cfRule type="containsText" dxfId="4108" priority="29114" operator="containsText" text="Mon">
      <formula>NOT(ISERROR(SEARCH("Mon",D705)))</formula>
    </cfRule>
  </conditionalFormatting>
  <conditionalFormatting sqref="D708:D710">
    <cfRule type="containsText" dxfId="4107" priority="29105" operator="containsText" text="Fri">
      <formula>NOT(ISERROR(SEARCH("Fri",D708)))</formula>
    </cfRule>
    <cfRule type="containsText" dxfId="4106" priority="29106" operator="containsText" text="Thu">
      <formula>NOT(ISERROR(SEARCH("Thu",D708)))</formula>
    </cfRule>
    <cfRule type="containsText" dxfId="4105" priority="29107" operator="containsText" text="Wed">
      <formula>NOT(ISERROR(SEARCH("Wed",D708)))</formula>
    </cfRule>
    <cfRule type="containsText" dxfId="4104" priority="29108" operator="containsText" text="Tue">
      <formula>NOT(ISERROR(SEARCH("Tue",D708)))</formula>
    </cfRule>
    <cfRule type="containsText" dxfId="4103" priority="29109" operator="containsText" text="Mon">
      <formula>NOT(ISERROR(SEARCH("Mon",D708)))</formula>
    </cfRule>
  </conditionalFormatting>
  <conditionalFormatting sqref="D711">
    <cfRule type="containsText" dxfId="4102" priority="29100" operator="containsText" text="Fri">
      <formula>NOT(ISERROR(SEARCH("Fri",D711)))</formula>
    </cfRule>
    <cfRule type="containsText" dxfId="4101" priority="29101" operator="containsText" text="Thu">
      <formula>NOT(ISERROR(SEARCH("Thu",D711)))</formula>
    </cfRule>
    <cfRule type="containsText" dxfId="4100" priority="29102" operator="containsText" text="Wed">
      <formula>NOT(ISERROR(SEARCH("Wed",D711)))</formula>
    </cfRule>
    <cfRule type="containsText" dxfId="4099" priority="29103" operator="containsText" text="Tue">
      <formula>NOT(ISERROR(SEARCH("Tue",D711)))</formula>
    </cfRule>
    <cfRule type="containsText" dxfId="4098" priority="29104" operator="containsText" text="Mon">
      <formula>NOT(ISERROR(SEARCH("Mon",D711)))</formula>
    </cfRule>
  </conditionalFormatting>
  <conditionalFormatting sqref="D712:D718">
    <cfRule type="containsText" dxfId="4097" priority="29095" operator="containsText" text="Fri">
      <formula>NOT(ISERROR(SEARCH("Fri",D712)))</formula>
    </cfRule>
    <cfRule type="containsText" dxfId="4096" priority="29096" operator="containsText" text="Thu">
      <formula>NOT(ISERROR(SEARCH("Thu",D712)))</formula>
    </cfRule>
    <cfRule type="containsText" dxfId="4095" priority="29097" operator="containsText" text="Wed">
      <formula>NOT(ISERROR(SEARCH("Wed",D712)))</formula>
    </cfRule>
    <cfRule type="containsText" dxfId="4094" priority="29098" operator="containsText" text="Tue">
      <formula>NOT(ISERROR(SEARCH("Tue",D712)))</formula>
    </cfRule>
    <cfRule type="containsText" dxfId="4093" priority="29099" operator="containsText" text="Mon">
      <formula>NOT(ISERROR(SEARCH("Mon",D712)))</formula>
    </cfRule>
  </conditionalFormatting>
  <conditionalFormatting sqref="D720:D728">
    <cfRule type="containsText" dxfId="4092" priority="29090" operator="containsText" text="Fri">
      <formula>NOT(ISERROR(SEARCH("Fri",D720)))</formula>
    </cfRule>
    <cfRule type="containsText" dxfId="4091" priority="29091" operator="containsText" text="Thu">
      <formula>NOT(ISERROR(SEARCH("Thu",D720)))</formula>
    </cfRule>
    <cfRule type="containsText" dxfId="4090" priority="29092" operator="containsText" text="Wed">
      <formula>NOT(ISERROR(SEARCH("Wed",D720)))</formula>
    </cfRule>
    <cfRule type="containsText" dxfId="4089" priority="29093" operator="containsText" text="Tue">
      <formula>NOT(ISERROR(SEARCH("Tue",D720)))</formula>
    </cfRule>
    <cfRule type="containsText" dxfId="4088" priority="29094" operator="containsText" text="Mon">
      <formula>NOT(ISERROR(SEARCH("Mon",D720)))</formula>
    </cfRule>
  </conditionalFormatting>
  <conditionalFormatting sqref="D729:D736">
    <cfRule type="containsText" dxfId="4087" priority="29085" operator="containsText" text="Fri">
      <formula>NOT(ISERROR(SEARCH("Fri",D729)))</formula>
    </cfRule>
    <cfRule type="containsText" dxfId="4086" priority="29086" operator="containsText" text="Thu">
      <formula>NOT(ISERROR(SEARCH("Thu",D729)))</formula>
    </cfRule>
    <cfRule type="containsText" dxfId="4085" priority="29087" operator="containsText" text="Wed">
      <formula>NOT(ISERROR(SEARCH("Wed",D729)))</formula>
    </cfRule>
    <cfRule type="containsText" dxfId="4084" priority="29088" operator="containsText" text="Tue">
      <formula>NOT(ISERROR(SEARCH("Tue",D729)))</formula>
    </cfRule>
    <cfRule type="containsText" dxfId="4083" priority="29089" operator="containsText" text="Mon">
      <formula>NOT(ISERROR(SEARCH("Mon",D729)))</formula>
    </cfRule>
  </conditionalFormatting>
  <conditionalFormatting sqref="D741:D743">
    <cfRule type="containsText" dxfId="4082" priority="29080" operator="containsText" text="Fri">
      <formula>NOT(ISERROR(SEARCH("Fri",D741)))</formula>
    </cfRule>
    <cfRule type="containsText" dxfId="4081" priority="29081" operator="containsText" text="Thu">
      <formula>NOT(ISERROR(SEARCH("Thu",D741)))</formula>
    </cfRule>
    <cfRule type="containsText" dxfId="4080" priority="29082" operator="containsText" text="Wed">
      <formula>NOT(ISERROR(SEARCH("Wed",D741)))</formula>
    </cfRule>
    <cfRule type="containsText" dxfId="4079" priority="29083" operator="containsText" text="Tue">
      <formula>NOT(ISERROR(SEARCH("Tue",D741)))</formula>
    </cfRule>
    <cfRule type="containsText" dxfId="4078" priority="29084" operator="containsText" text="Mon">
      <formula>NOT(ISERROR(SEARCH("Mon",D741)))</formula>
    </cfRule>
  </conditionalFormatting>
  <conditionalFormatting sqref="D744:D750">
    <cfRule type="containsText" dxfId="4077" priority="29075" operator="containsText" text="Fri">
      <formula>NOT(ISERROR(SEARCH("Fri",D744)))</formula>
    </cfRule>
    <cfRule type="containsText" dxfId="4076" priority="29076" operator="containsText" text="Thu">
      <formula>NOT(ISERROR(SEARCH("Thu",D744)))</formula>
    </cfRule>
    <cfRule type="containsText" dxfId="4075" priority="29077" operator="containsText" text="Wed">
      <formula>NOT(ISERROR(SEARCH("Wed",D744)))</formula>
    </cfRule>
    <cfRule type="containsText" dxfId="4074" priority="29078" operator="containsText" text="Tue">
      <formula>NOT(ISERROR(SEARCH("Tue",D744)))</formula>
    </cfRule>
    <cfRule type="containsText" dxfId="4073" priority="29079" operator="containsText" text="Mon">
      <formula>NOT(ISERROR(SEARCH("Mon",D744)))</formula>
    </cfRule>
  </conditionalFormatting>
  <conditionalFormatting sqref="D751:D758">
    <cfRule type="containsText" dxfId="4072" priority="29070" operator="containsText" text="Fri">
      <formula>NOT(ISERROR(SEARCH("Fri",D751)))</formula>
    </cfRule>
    <cfRule type="containsText" dxfId="4071" priority="29071" operator="containsText" text="Thu">
      <formula>NOT(ISERROR(SEARCH("Thu",D751)))</formula>
    </cfRule>
    <cfRule type="containsText" dxfId="4070" priority="29072" operator="containsText" text="Wed">
      <formula>NOT(ISERROR(SEARCH("Wed",D751)))</formula>
    </cfRule>
    <cfRule type="containsText" dxfId="4069" priority="29073" operator="containsText" text="Tue">
      <formula>NOT(ISERROR(SEARCH("Tue",D751)))</formula>
    </cfRule>
    <cfRule type="containsText" dxfId="4068" priority="29074" operator="containsText" text="Mon">
      <formula>NOT(ISERROR(SEARCH("Mon",D751)))</formula>
    </cfRule>
  </conditionalFormatting>
  <conditionalFormatting sqref="D759:D766">
    <cfRule type="containsText" dxfId="4067" priority="29065" operator="containsText" text="Fri">
      <formula>NOT(ISERROR(SEARCH("Fri",D759)))</formula>
    </cfRule>
    <cfRule type="containsText" dxfId="4066" priority="29066" operator="containsText" text="Thu">
      <formula>NOT(ISERROR(SEARCH("Thu",D759)))</formula>
    </cfRule>
    <cfRule type="containsText" dxfId="4065" priority="29067" operator="containsText" text="Wed">
      <formula>NOT(ISERROR(SEARCH("Wed",D759)))</formula>
    </cfRule>
    <cfRule type="containsText" dxfId="4064" priority="29068" operator="containsText" text="Tue">
      <formula>NOT(ISERROR(SEARCH("Tue",D759)))</formula>
    </cfRule>
    <cfRule type="containsText" dxfId="4063" priority="29069" operator="containsText" text="Mon">
      <formula>NOT(ISERROR(SEARCH("Mon",D759)))</formula>
    </cfRule>
  </conditionalFormatting>
  <conditionalFormatting sqref="D767:D774">
    <cfRule type="containsText" dxfId="4062" priority="29060" operator="containsText" text="Fri">
      <formula>NOT(ISERROR(SEARCH("Fri",D767)))</formula>
    </cfRule>
    <cfRule type="containsText" dxfId="4061" priority="29061" operator="containsText" text="Thu">
      <formula>NOT(ISERROR(SEARCH("Thu",D767)))</formula>
    </cfRule>
    <cfRule type="containsText" dxfId="4060" priority="29062" operator="containsText" text="Wed">
      <formula>NOT(ISERROR(SEARCH("Wed",D767)))</formula>
    </cfRule>
    <cfRule type="containsText" dxfId="4059" priority="29063" operator="containsText" text="Tue">
      <formula>NOT(ISERROR(SEARCH("Tue",D767)))</formula>
    </cfRule>
    <cfRule type="containsText" dxfId="4058" priority="29064" operator="containsText" text="Mon">
      <formula>NOT(ISERROR(SEARCH("Mon",D767)))</formula>
    </cfRule>
  </conditionalFormatting>
  <conditionalFormatting sqref="G2:G683 G720:G736 G741:G774 G688:G718 G685:G686">
    <cfRule type="cellIs" dxfId="4057" priority="28889" operator="equal">
      <formula>0</formula>
    </cfRule>
  </conditionalFormatting>
  <conditionalFormatting sqref="G412:G471">
    <cfRule type="cellIs" dxfId="4056" priority="28888" operator="equal">
      <formula>0</formula>
    </cfRule>
  </conditionalFormatting>
  <conditionalFormatting sqref="E719:K719">
    <cfRule type="cellIs" dxfId="4055" priority="28883" operator="equal">
      <formula>0</formula>
    </cfRule>
  </conditionalFormatting>
  <conditionalFormatting sqref="A719:B719">
    <cfRule type="cellIs" dxfId="4054" priority="28882" operator="equal">
      <formula>0</formula>
    </cfRule>
  </conditionalFormatting>
  <conditionalFormatting sqref="G719">
    <cfRule type="cellIs" dxfId="4053" priority="28876" operator="equal">
      <formula>0</formula>
    </cfRule>
  </conditionalFormatting>
  <conditionalFormatting sqref="E737:K737">
    <cfRule type="cellIs" dxfId="4052" priority="28875" operator="equal">
      <formula>0</formula>
    </cfRule>
  </conditionalFormatting>
  <conditionalFormatting sqref="A737:B737">
    <cfRule type="cellIs" dxfId="4051" priority="28874" operator="equal">
      <formula>0</formula>
    </cfRule>
  </conditionalFormatting>
  <conditionalFormatting sqref="G737">
    <cfRule type="cellIs" dxfId="4050" priority="28868" operator="equal">
      <formula>0</formula>
    </cfRule>
  </conditionalFormatting>
  <conditionalFormatting sqref="D737">
    <cfRule type="containsText" dxfId="4049" priority="28863" operator="containsText" text="Fri">
      <formula>NOT(ISERROR(SEARCH("Fri",D737)))</formula>
    </cfRule>
    <cfRule type="containsText" dxfId="4048" priority="28864" operator="containsText" text="Thu">
      <formula>NOT(ISERROR(SEARCH("Thu",D737)))</formula>
    </cfRule>
    <cfRule type="containsText" dxfId="4047" priority="28865" operator="containsText" text="Wed">
      <formula>NOT(ISERROR(SEARCH("Wed",D737)))</formula>
    </cfRule>
    <cfRule type="containsText" dxfId="4046" priority="28866" operator="containsText" text="Tue">
      <formula>NOT(ISERROR(SEARCH("Tue",D737)))</formula>
    </cfRule>
    <cfRule type="containsText" dxfId="4045" priority="28867" operator="containsText" text="Mon">
      <formula>NOT(ISERROR(SEARCH("Mon",D737)))</formula>
    </cfRule>
  </conditionalFormatting>
  <conditionalFormatting sqref="D719">
    <cfRule type="containsText" dxfId="4044" priority="28858" operator="containsText" text="Fri">
      <formula>NOT(ISERROR(SEARCH("Fri",D719)))</formula>
    </cfRule>
    <cfRule type="containsText" dxfId="4043" priority="28859" operator="containsText" text="Thu">
      <formula>NOT(ISERROR(SEARCH("Thu",D719)))</formula>
    </cfRule>
    <cfRule type="containsText" dxfId="4042" priority="28860" operator="containsText" text="Wed">
      <formula>NOT(ISERROR(SEARCH("Wed",D719)))</formula>
    </cfRule>
    <cfRule type="containsText" dxfId="4041" priority="28861" operator="containsText" text="Tue">
      <formula>NOT(ISERROR(SEARCH("Tue",D719)))</formula>
    </cfRule>
    <cfRule type="containsText" dxfId="4040" priority="28862" operator="containsText" text="Mon">
      <formula>NOT(ISERROR(SEARCH("Mon",D719)))</formula>
    </cfRule>
  </conditionalFormatting>
  <conditionalFormatting sqref="E687:K687">
    <cfRule type="cellIs" dxfId="4039" priority="28857" operator="equal">
      <formula>0</formula>
    </cfRule>
  </conditionalFormatting>
  <conditionalFormatting sqref="A687:B687">
    <cfRule type="cellIs" dxfId="4038" priority="28856" operator="equal">
      <formula>0</formula>
    </cfRule>
  </conditionalFormatting>
  <conditionalFormatting sqref="G687">
    <cfRule type="cellIs" dxfId="4037" priority="28855" operator="equal">
      <formula>0</formula>
    </cfRule>
  </conditionalFormatting>
  <conditionalFormatting sqref="D687">
    <cfRule type="containsText" dxfId="4036" priority="28850" operator="containsText" text="Fri">
      <formula>NOT(ISERROR(SEARCH("Fri",D687)))</formula>
    </cfRule>
    <cfRule type="containsText" dxfId="4035" priority="28851" operator="containsText" text="Thu">
      <formula>NOT(ISERROR(SEARCH("Thu",D687)))</formula>
    </cfRule>
    <cfRule type="containsText" dxfId="4034" priority="28852" operator="containsText" text="Wed">
      <formula>NOT(ISERROR(SEARCH("Wed",D687)))</formula>
    </cfRule>
    <cfRule type="containsText" dxfId="4033" priority="28853" operator="containsText" text="Tue">
      <formula>NOT(ISERROR(SEARCH("Tue",D687)))</formula>
    </cfRule>
    <cfRule type="containsText" dxfId="4032" priority="28854" operator="containsText" text="Mon">
      <formula>NOT(ISERROR(SEARCH("Mon",D687)))</formula>
    </cfRule>
  </conditionalFormatting>
  <conditionalFormatting sqref="E684:K684">
    <cfRule type="cellIs" dxfId="4031" priority="28849" operator="equal">
      <formula>0</formula>
    </cfRule>
  </conditionalFormatting>
  <conditionalFormatting sqref="A684:B684">
    <cfRule type="cellIs" dxfId="4030" priority="28848" operator="equal">
      <formula>0</formula>
    </cfRule>
  </conditionalFormatting>
  <conditionalFormatting sqref="G684">
    <cfRule type="cellIs" dxfId="4029" priority="28847" operator="equal">
      <formula>0</formula>
    </cfRule>
  </conditionalFormatting>
  <conditionalFormatting sqref="D684">
    <cfRule type="containsText" dxfId="4028" priority="28837" operator="containsText" text="Fri">
      <formula>NOT(ISERROR(SEARCH("Fri",D684)))</formula>
    </cfRule>
    <cfRule type="containsText" dxfId="4027" priority="28838" operator="containsText" text="Thu">
      <formula>NOT(ISERROR(SEARCH("Thu",D684)))</formula>
    </cfRule>
    <cfRule type="containsText" dxfId="4026" priority="28839" operator="containsText" text="Wed">
      <formula>NOT(ISERROR(SEARCH("Wed",D684)))</formula>
    </cfRule>
    <cfRule type="containsText" dxfId="4025" priority="28840" operator="containsText" text="Tue">
      <formula>NOT(ISERROR(SEARCH("Tue",D684)))</formula>
    </cfRule>
    <cfRule type="containsText" dxfId="4024" priority="28841" operator="containsText" text="Mon">
      <formula>NOT(ISERROR(SEARCH("Mon",D684)))</formula>
    </cfRule>
  </conditionalFormatting>
  <conditionalFormatting sqref="E738:K738">
    <cfRule type="cellIs" dxfId="4023" priority="28836" operator="equal">
      <formula>0</formula>
    </cfRule>
  </conditionalFormatting>
  <conditionalFormatting sqref="B738:B740">
    <cfRule type="cellIs" dxfId="4022" priority="28835" operator="equal">
      <formula>0</formula>
    </cfRule>
  </conditionalFormatting>
  <conditionalFormatting sqref="D738">
    <cfRule type="containsText" dxfId="4021" priority="28830" operator="containsText" text="Fri">
      <formula>NOT(ISERROR(SEARCH("Fri",D738)))</formula>
    </cfRule>
    <cfRule type="containsText" dxfId="4020" priority="28831" operator="containsText" text="Thu">
      <formula>NOT(ISERROR(SEARCH("Thu",D738)))</formula>
    </cfRule>
    <cfRule type="containsText" dxfId="4019" priority="28832" operator="containsText" text="Wed">
      <formula>NOT(ISERROR(SEARCH("Wed",D738)))</formula>
    </cfRule>
    <cfRule type="containsText" dxfId="4018" priority="28833" operator="containsText" text="Tue">
      <formula>NOT(ISERROR(SEARCH("Tue",D738)))</formula>
    </cfRule>
    <cfRule type="containsText" dxfId="4017" priority="28834" operator="containsText" text="Mon">
      <formula>NOT(ISERROR(SEARCH("Mon",D738)))</formula>
    </cfRule>
  </conditionalFormatting>
  <conditionalFormatting sqref="G738">
    <cfRule type="cellIs" dxfId="4016" priority="28829" operator="equal">
      <formula>0</formula>
    </cfRule>
  </conditionalFormatting>
  <conditionalFormatting sqref="A738">
    <cfRule type="cellIs" dxfId="4015" priority="28828" operator="equal">
      <formula>0</formula>
    </cfRule>
  </conditionalFormatting>
  <conditionalFormatting sqref="A739">
    <cfRule type="cellIs" dxfId="4014" priority="28827" operator="equal">
      <formula>0</formula>
    </cfRule>
  </conditionalFormatting>
  <conditionalFormatting sqref="A740">
    <cfRule type="cellIs" dxfId="4013" priority="28826" operator="equal">
      <formula>0</formula>
    </cfRule>
  </conditionalFormatting>
  <conditionalFormatting sqref="E739:K739">
    <cfRule type="cellIs" dxfId="4012" priority="28825" operator="equal">
      <formula>0</formula>
    </cfRule>
  </conditionalFormatting>
  <conditionalFormatting sqref="D739">
    <cfRule type="containsText" dxfId="4011" priority="28820" operator="containsText" text="Fri">
      <formula>NOT(ISERROR(SEARCH("Fri",D739)))</formula>
    </cfRule>
    <cfRule type="containsText" dxfId="4010" priority="28821" operator="containsText" text="Thu">
      <formula>NOT(ISERROR(SEARCH("Thu",D739)))</formula>
    </cfRule>
    <cfRule type="containsText" dxfId="4009" priority="28822" operator="containsText" text="Wed">
      <formula>NOT(ISERROR(SEARCH("Wed",D739)))</formula>
    </cfRule>
    <cfRule type="containsText" dxfId="4008" priority="28823" operator="containsText" text="Tue">
      <formula>NOT(ISERROR(SEARCH("Tue",D739)))</formula>
    </cfRule>
    <cfRule type="containsText" dxfId="4007" priority="28824" operator="containsText" text="Mon">
      <formula>NOT(ISERROR(SEARCH("Mon",D739)))</formula>
    </cfRule>
  </conditionalFormatting>
  <conditionalFormatting sqref="G739">
    <cfRule type="cellIs" dxfId="4006" priority="28819" operator="equal">
      <formula>0</formula>
    </cfRule>
  </conditionalFormatting>
  <conditionalFormatting sqref="E740:K740">
    <cfRule type="cellIs" dxfId="4005" priority="28818" operator="equal">
      <formula>0</formula>
    </cfRule>
  </conditionalFormatting>
  <conditionalFormatting sqref="D740">
    <cfRule type="containsText" dxfId="4004" priority="28813" operator="containsText" text="Fri">
      <formula>NOT(ISERROR(SEARCH("Fri",D740)))</formula>
    </cfRule>
    <cfRule type="containsText" dxfId="4003" priority="28814" operator="containsText" text="Thu">
      <formula>NOT(ISERROR(SEARCH("Thu",D740)))</formula>
    </cfRule>
    <cfRule type="containsText" dxfId="4002" priority="28815" operator="containsText" text="Wed">
      <formula>NOT(ISERROR(SEARCH("Wed",D740)))</formula>
    </cfRule>
    <cfRule type="containsText" dxfId="4001" priority="28816" operator="containsText" text="Tue">
      <formula>NOT(ISERROR(SEARCH("Tue",D740)))</formula>
    </cfRule>
    <cfRule type="containsText" dxfId="4000" priority="28817" operator="containsText" text="Mon">
      <formula>NOT(ISERROR(SEARCH("Mon",D740)))</formula>
    </cfRule>
  </conditionalFormatting>
  <conditionalFormatting sqref="G740">
    <cfRule type="cellIs" dxfId="3999" priority="28812" operator="equal">
      <formula>0</formula>
    </cfRule>
  </conditionalFormatting>
  <conditionalFormatting sqref="D775:D783">
    <cfRule type="containsText" dxfId="3998" priority="27840" operator="containsText" text="Fri">
      <formula>NOT(ISERROR(SEARCH("Fri",D775)))</formula>
    </cfRule>
    <cfRule type="containsText" dxfId="3997" priority="27841" operator="containsText" text="Thu">
      <formula>NOT(ISERROR(SEARCH("Thu",D775)))</formula>
    </cfRule>
    <cfRule type="containsText" dxfId="3996" priority="27842" operator="containsText" text="Wed">
      <formula>NOT(ISERROR(SEARCH("Wed",D775)))</formula>
    </cfRule>
    <cfRule type="containsText" dxfId="3995" priority="27843" operator="containsText" text="Tue">
      <formula>NOT(ISERROR(SEARCH("Tue",D775)))</formula>
    </cfRule>
    <cfRule type="containsText" dxfId="3994" priority="27844" operator="containsText" text="Mon">
      <formula>NOT(ISERROR(SEARCH("Mon",D775)))</formula>
    </cfRule>
  </conditionalFormatting>
  <conditionalFormatting sqref="E775:K872">
    <cfRule type="cellIs" dxfId="3993" priority="27839" operator="equal">
      <formula>0</formula>
    </cfRule>
  </conditionalFormatting>
  <conditionalFormatting sqref="A775:B872">
    <cfRule type="cellIs" dxfId="3992" priority="27838" operator="equal">
      <formula>0</formula>
    </cfRule>
  </conditionalFormatting>
  <conditionalFormatting sqref="D784:D791">
    <cfRule type="containsText" dxfId="3991" priority="27833" operator="containsText" text="Fri">
      <formula>NOT(ISERROR(SEARCH("Fri",D784)))</formula>
    </cfRule>
    <cfRule type="containsText" dxfId="3990" priority="27834" operator="containsText" text="Thu">
      <formula>NOT(ISERROR(SEARCH("Thu",D784)))</formula>
    </cfRule>
    <cfRule type="containsText" dxfId="3989" priority="27835" operator="containsText" text="Wed">
      <formula>NOT(ISERROR(SEARCH("Wed",D784)))</formula>
    </cfRule>
    <cfRule type="containsText" dxfId="3988" priority="27836" operator="containsText" text="Tue">
      <formula>NOT(ISERROR(SEARCH("Tue",D784)))</formula>
    </cfRule>
    <cfRule type="containsText" dxfId="3987" priority="27837" operator="containsText" text="Mon">
      <formula>NOT(ISERROR(SEARCH("Mon",D784)))</formula>
    </cfRule>
  </conditionalFormatting>
  <conditionalFormatting sqref="D792:D799">
    <cfRule type="containsText" dxfId="3986" priority="27828" operator="containsText" text="Fri">
      <formula>NOT(ISERROR(SEARCH("Fri",D792)))</formula>
    </cfRule>
    <cfRule type="containsText" dxfId="3985" priority="27829" operator="containsText" text="Thu">
      <formula>NOT(ISERROR(SEARCH("Thu",D792)))</formula>
    </cfRule>
    <cfRule type="containsText" dxfId="3984" priority="27830" operator="containsText" text="Wed">
      <formula>NOT(ISERROR(SEARCH("Wed",D792)))</formula>
    </cfRule>
    <cfRule type="containsText" dxfId="3983" priority="27831" operator="containsText" text="Tue">
      <formula>NOT(ISERROR(SEARCH("Tue",D792)))</formula>
    </cfRule>
    <cfRule type="containsText" dxfId="3982" priority="27832" operator="containsText" text="Mon">
      <formula>NOT(ISERROR(SEARCH("Mon",D792)))</formula>
    </cfRule>
  </conditionalFormatting>
  <conditionalFormatting sqref="D800">
    <cfRule type="containsText" dxfId="3981" priority="27823" operator="containsText" text="Fri">
      <formula>NOT(ISERROR(SEARCH("Fri",D800)))</formula>
    </cfRule>
    <cfRule type="containsText" dxfId="3980" priority="27824" operator="containsText" text="Thu">
      <formula>NOT(ISERROR(SEARCH("Thu",D800)))</formula>
    </cfRule>
    <cfRule type="containsText" dxfId="3979" priority="27825" operator="containsText" text="Wed">
      <formula>NOT(ISERROR(SEARCH("Wed",D800)))</formula>
    </cfRule>
    <cfRule type="containsText" dxfId="3978" priority="27826" operator="containsText" text="Tue">
      <formula>NOT(ISERROR(SEARCH("Tue",D800)))</formula>
    </cfRule>
    <cfRule type="containsText" dxfId="3977" priority="27827" operator="containsText" text="Mon">
      <formula>NOT(ISERROR(SEARCH("Mon",D800)))</formula>
    </cfRule>
  </conditionalFormatting>
  <conditionalFormatting sqref="D801">
    <cfRule type="containsText" dxfId="3976" priority="27818" operator="containsText" text="Fri">
      <formula>NOT(ISERROR(SEARCH("Fri",D801)))</formula>
    </cfRule>
    <cfRule type="containsText" dxfId="3975" priority="27819" operator="containsText" text="Thu">
      <formula>NOT(ISERROR(SEARCH("Thu",D801)))</formula>
    </cfRule>
    <cfRule type="containsText" dxfId="3974" priority="27820" operator="containsText" text="Wed">
      <formula>NOT(ISERROR(SEARCH("Wed",D801)))</formula>
    </cfRule>
    <cfRule type="containsText" dxfId="3973" priority="27821" operator="containsText" text="Tue">
      <formula>NOT(ISERROR(SEARCH("Tue",D801)))</formula>
    </cfRule>
    <cfRule type="containsText" dxfId="3972" priority="27822" operator="containsText" text="Mon">
      <formula>NOT(ISERROR(SEARCH("Mon",D801)))</formula>
    </cfRule>
  </conditionalFormatting>
  <conditionalFormatting sqref="D802">
    <cfRule type="containsText" dxfId="3971" priority="27813" operator="containsText" text="Fri">
      <formula>NOT(ISERROR(SEARCH("Fri",D802)))</formula>
    </cfRule>
    <cfRule type="containsText" dxfId="3970" priority="27814" operator="containsText" text="Thu">
      <formula>NOT(ISERROR(SEARCH("Thu",D802)))</formula>
    </cfRule>
    <cfRule type="containsText" dxfId="3969" priority="27815" operator="containsText" text="Wed">
      <formula>NOT(ISERROR(SEARCH("Wed",D802)))</formula>
    </cfRule>
    <cfRule type="containsText" dxfId="3968" priority="27816" operator="containsText" text="Tue">
      <formula>NOT(ISERROR(SEARCH("Tue",D802)))</formula>
    </cfRule>
    <cfRule type="containsText" dxfId="3967" priority="27817" operator="containsText" text="Mon">
      <formula>NOT(ISERROR(SEARCH("Mon",D802)))</formula>
    </cfRule>
  </conditionalFormatting>
  <conditionalFormatting sqref="D803">
    <cfRule type="containsText" dxfId="3966" priority="27808" operator="containsText" text="Fri">
      <formula>NOT(ISERROR(SEARCH("Fri",D803)))</formula>
    </cfRule>
    <cfRule type="containsText" dxfId="3965" priority="27809" operator="containsText" text="Thu">
      <formula>NOT(ISERROR(SEARCH("Thu",D803)))</formula>
    </cfRule>
    <cfRule type="containsText" dxfId="3964" priority="27810" operator="containsText" text="Wed">
      <formula>NOT(ISERROR(SEARCH("Wed",D803)))</formula>
    </cfRule>
    <cfRule type="containsText" dxfId="3963" priority="27811" operator="containsText" text="Tue">
      <formula>NOT(ISERROR(SEARCH("Tue",D803)))</formula>
    </cfRule>
    <cfRule type="containsText" dxfId="3962" priority="27812" operator="containsText" text="Mon">
      <formula>NOT(ISERROR(SEARCH("Mon",D803)))</formula>
    </cfRule>
  </conditionalFormatting>
  <conditionalFormatting sqref="D804">
    <cfRule type="containsText" dxfId="3961" priority="27803" operator="containsText" text="Fri">
      <formula>NOT(ISERROR(SEARCH("Fri",D804)))</formula>
    </cfRule>
    <cfRule type="containsText" dxfId="3960" priority="27804" operator="containsText" text="Thu">
      <formula>NOT(ISERROR(SEARCH("Thu",D804)))</formula>
    </cfRule>
    <cfRule type="containsText" dxfId="3959" priority="27805" operator="containsText" text="Wed">
      <formula>NOT(ISERROR(SEARCH("Wed",D804)))</formula>
    </cfRule>
    <cfRule type="containsText" dxfId="3958" priority="27806" operator="containsText" text="Tue">
      <formula>NOT(ISERROR(SEARCH("Tue",D804)))</formula>
    </cfRule>
    <cfRule type="containsText" dxfId="3957" priority="27807" operator="containsText" text="Mon">
      <formula>NOT(ISERROR(SEARCH("Mon",D804)))</formula>
    </cfRule>
  </conditionalFormatting>
  <conditionalFormatting sqref="D805">
    <cfRule type="containsText" dxfId="3956" priority="27798" operator="containsText" text="Fri">
      <formula>NOT(ISERROR(SEARCH("Fri",D805)))</formula>
    </cfRule>
    <cfRule type="containsText" dxfId="3955" priority="27799" operator="containsText" text="Thu">
      <formula>NOT(ISERROR(SEARCH("Thu",D805)))</formula>
    </cfRule>
    <cfRule type="containsText" dxfId="3954" priority="27800" operator="containsText" text="Wed">
      <formula>NOT(ISERROR(SEARCH("Wed",D805)))</formula>
    </cfRule>
    <cfRule type="containsText" dxfId="3953" priority="27801" operator="containsText" text="Tue">
      <formula>NOT(ISERROR(SEARCH("Tue",D805)))</formula>
    </cfRule>
    <cfRule type="containsText" dxfId="3952" priority="27802" operator="containsText" text="Mon">
      <formula>NOT(ISERROR(SEARCH("Mon",D805)))</formula>
    </cfRule>
  </conditionalFormatting>
  <conditionalFormatting sqref="D806">
    <cfRule type="containsText" dxfId="3951" priority="27793" operator="containsText" text="Fri">
      <formula>NOT(ISERROR(SEARCH("Fri",D806)))</formula>
    </cfRule>
    <cfRule type="containsText" dxfId="3950" priority="27794" operator="containsText" text="Thu">
      <formula>NOT(ISERROR(SEARCH("Thu",D806)))</formula>
    </cfRule>
    <cfRule type="containsText" dxfId="3949" priority="27795" operator="containsText" text="Wed">
      <formula>NOT(ISERROR(SEARCH("Wed",D806)))</formula>
    </cfRule>
    <cfRule type="containsText" dxfId="3948" priority="27796" operator="containsText" text="Tue">
      <formula>NOT(ISERROR(SEARCH("Tue",D806)))</formula>
    </cfRule>
    <cfRule type="containsText" dxfId="3947" priority="27797" operator="containsText" text="Mon">
      <formula>NOT(ISERROR(SEARCH("Mon",D806)))</formula>
    </cfRule>
  </conditionalFormatting>
  <conditionalFormatting sqref="D807:D811">
    <cfRule type="containsText" dxfId="3946" priority="27788" operator="containsText" text="Fri">
      <formula>NOT(ISERROR(SEARCH("Fri",D807)))</formula>
    </cfRule>
    <cfRule type="containsText" dxfId="3945" priority="27789" operator="containsText" text="Thu">
      <formula>NOT(ISERROR(SEARCH("Thu",D807)))</formula>
    </cfRule>
    <cfRule type="containsText" dxfId="3944" priority="27790" operator="containsText" text="Wed">
      <formula>NOT(ISERROR(SEARCH("Wed",D807)))</formula>
    </cfRule>
    <cfRule type="containsText" dxfId="3943" priority="27791" operator="containsText" text="Tue">
      <formula>NOT(ISERROR(SEARCH("Tue",D807)))</formula>
    </cfRule>
    <cfRule type="containsText" dxfId="3942" priority="27792" operator="containsText" text="Mon">
      <formula>NOT(ISERROR(SEARCH("Mon",D807)))</formula>
    </cfRule>
  </conditionalFormatting>
  <conditionalFormatting sqref="D812:D817">
    <cfRule type="containsText" dxfId="3941" priority="27783" operator="containsText" text="Fri">
      <formula>NOT(ISERROR(SEARCH("Fri",D812)))</formula>
    </cfRule>
    <cfRule type="containsText" dxfId="3940" priority="27784" operator="containsText" text="Thu">
      <formula>NOT(ISERROR(SEARCH("Thu",D812)))</formula>
    </cfRule>
    <cfRule type="containsText" dxfId="3939" priority="27785" operator="containsText" text="Wed">
      <formula>NOT(ISERROR(SEARCH("Wed",D812)))</formula>
    </cfRule>
    <cfRule type="containsText" dxfId="3938" priority="27786" operator="containsText" text="Tue">
      <formula>NOT(ISERROR(SEARCH("Tue",D812)))</formula>
    </cfRule>
    <cfRule type="containsText" dxfId="3937" priority="27787" operator="containsText" text="Mon">
      <formula>NOT(ISERROR(SEARCH("Mon",D812)))</formula>
    </cfRule>
  </conditionalFormatting>
  <conditionalFormatting sqref="D818:D823">
    <cfRule type="containsText" dxfId="3936" priority="27778" operator="containsText" text="Fri">
      <formula>NOT(ISERROR(SEARCH("Fri",D818)))</formula>
    </cfRule>
    <cfRule type="containsText" dxfId="3935" priority="27779" operator="containsText" text="Thu">
      <formula>NOT(ISERROR(SEARCH("Thu",D818)))</formula>
    </cfRule>
    <cfRule type="containsText" dxfId="3934" priority="27780" operator="containsText" text="Wed">
      <formula>NOT(ISERROR(SEARCH("Wed",D818)))</formula>
    </cfRule>
    <cfRule type="containsText" dxfId="3933" priority="27781" operator="containsText" text="Tue">
      <formula>NOT(ISERROR(SEARCH("Tue",D818)))</formula>
    </cfRule>
    <cfRule type="containsText" dxfId="3932" priority="27782" operator="containsText" text="Mon">
      <formula>NOT(ISERROR(SEARCH("Mon",D818)))</formula>
    </cfRule>
  </conditionalFormatting>
  <conditionalFormatting sqref="D824">
    <cfRule type="containsText" dxfId="3931" priority="27773" operator="containsText" text="Fri">
      <formula>NOT(ISERROR(SEARCH("Fri",D824)))</formula>
    </cfRule>
    <cfRule type="containsText" dxfId="3930" priority="27774" operator="containsText" text="Thu">
      <formula>NOT(ISERROR(SEARCH("Thu",D824)))</formula>
    </cfRule>
    <cfRule type="containsText" dxfId="3929" priority="27775" operator="containsText" text="Wed">
      <formula>NOT(ISERROR(SEARCH("Wed",D824)))</formula>
    </cfRule>
    <cfRule type="containsText" dxfId="3928" priority="27776" operator="containsText" text="Tue">
      <formula>NOT(ISERROR(SEARCH("Tue",D824)))</formula>
    </cfRule>
    <cfRule type="containsText" dxfId="3927" priority="27777" operator="containsText" text="Mon">
      <formula>NOT(ISERROR(SEARCH("Mon",D824)))</formula>
    </cfRule>
  </conditionalFormatting>
  <conditionalFormatting sqref="D825">
    <cfRule type="containsText" dxfId="3926" priority="27768" operator="containsText" text="Fri">
      <formula>NOT(ISERROR(SEARCH("Fri",D825)))</formula>
    </cfRule>
    <cfRule type="containsText" dxfId="3925" priority="27769" operator="containsText" text="Thu">
      <formula>NOT(ISERROR(SEARCH("Thu",D825)))</formula>
    </cfRule>
    <cfRule type="containsText" dxfId="3924" priority="27770" operator="containsText" text="Wed">
      <formula>NOT(ISERROR(SEARCH("Wed",D825)))</formula>
    </cfRule>
    <cfRule type="containsText" dxfId="3923" priority="27771" operator="containsText" text="Tue">
      <formula>NOT(ISERROR(SEARCH("Tue",D825)))</formula>
    </cfRule>
    <cfRule type="containsText" dxfId="3922" priority="27772" operator="containsText" text="Mon">
      <formula>NOT(ISERROR(SEARCH("Mon",D825)))</formula>
    </cfRule>
  </conditionalFormatting>
  <conditionalFormatting sqref="D826:D831">
    <cfRule type="containsText" dxfId="3921" priority="27763" operator="containsText" text="Fri">
      <formula>NOT(ISERROR(SEARCH("Fri",D826)))</formula>
    </cfRule>
    <cfRule type="containsText" dxfId="3920" priority="27764" operator="containsText" text="Thu">
      <formula>NOT(ISERROR(SEARCH("Thu",D826)))</formula>
    </cfRule>
    <cfRule type="containsText" dxfId="3919" priority="27765" operator="containsText" text="Wed">
      <formula>NOT(ISERROR(SEARCH("Wed",D826)))</formula>
    </cfRule>
    <cfRule type="containsText" dxfId="3918" priority="27766" operator="containsText" text="Tue">
      <formula>NOT(ISERROR(SEARCH("Tue",D826)))</formula>
    </cfRule>
    <cfRule type="containsText" dxfId="3917" priority="27767" operator="containsText" text="Mon">
      <formula>NOT(ISERROR(SEARCH("Mon",D826)))</formula>
    </cfRule>
  </conditionalFormatting>
  <conditionalFormatting sqref="D832">
    <cfRule type="containsText" dxfId="3916" priority="27758" operator="containsText" text="Fri">
      <formula>NOT(ISERROR(SEARCH("Fri",D832)))</formula>
    </cfRule>
    <cfRule type="containsText" dxfId="3915" priority="27759" operator="containsText" text="Thu">
      <formula>NOT(ISERROR(SEARCH("Thu",D832)))</formula>
    </cfRule>
    <cfRule type="containsText" dxfId="3914" priority="27760" operator="containsText" text="Wed">
      <formula>NOT(ISERROR(SEARCH("Wed",D832)))</formula>
    </cfRule>
    <cfRule type="containsText" dxfId="3913" priority="27761" operator="containsText" text="Tue">
      <formula>NOT(ISERROR(SEARCH("Tue",D832)))</formula>
    </cfRule>
    <cfRule type="containsText" dxfId="3912" priority="27762" operator="containsText" text="Mon">
      <formula>NOT(ISERROR(SEARCH("Mon",D832)))</formula>
    </cfRule>
  </conditionalFormatting>
  <conditionalFormatting sqref="D833:D839">
    <cfRule type="containsText" dxfId="3911" priority="27753" operator="containsText" text="Fri">
      <formula>NOT(ISERROR(SEARCH("Fri",D833)))</formula>
    </cfRule>
    <cfRule type="containsText" dxfId="3910" priority="27754" operator="containsText" text="Thu">
      <formula>NOT(ISERROR(SEARCH("Thu",D833)))</formula>
    </cfRule>
    <cfRule type="containsText" dxfId="3909" priority="27755" operator="containsText" text="Wed">
      <formula>NOT(ISERROR(SEARCH("Wed",D833)))</formula>
    </cfRule>
    <cfRule type="containsText" dxfId="3908" priority="27756" operator="containsText" text="Tue">
      <formula>NOT(ISERROR(SEARCH("Tue",D833)))</formula>
    </cfRule>
    <cfRule type="containsText" dxfId="3907" priority="27757" operator="containsText" text="Mon">
      <formula>NOT(ISERROR(SEARCH("Mon",D833)))</formula>
    </cfRule>
  </conditionalFormatting>
  <conditionalFormatting sqref="D840:D847">
    <cfRule type="containsText" dxfId="3906" priority="27748" operator="containsText" text="Fri">
      <formula>NOT(ISERROR(SEARCH("Fri",D840)))</formula>
    </cfRule>
    <cfRule type="containsText" dxfId="3905" priority="27749" operator="containsText" text="Thu">
      <formula>NOT(ISERROR(SEARCH("Thu",D840)))</formula>
    </cfRule>
    <cfRule type="containsText" dxfId="3904" priority="27750" operator="containsText" text="Wed">
      <formula>NOT(ISERROR(SEARCH("Wed",D840)))</formula>
    </cfRule>
    <cfRule type="containsText" dxfId="3903" priority="27751" operator="containsText" text="Tue">
      <formula>NOT(ISERROR(SEARCH("Tue",D840)))</formula>
    </cfRule>
    <cfRule type="containsText" dxfId="3902" priority="27752" operator="containsText" text="Mon">
      <formula>NOT(ISERROR(SEARCH("Mon",D840)))</formula>
    </cfRule>
  </conditionalFormatting>
  <conditionalFormatting sqref="D848:D856">
    <cfRule type="containsText" dxfId="3901" priority="27743" operator="containsText" text="Fri">
      <formula>NOT(ISERROR(SEARCH("Fri",D848)))</formula>
    </cfRule>
    <cfRule type="containsText" dxfId="3900" priority="27744" operator="containsText" text="Thu">
      <formula>NOT(ISERROR(SEARCH("Thu",D848)))</formula>
    </cfRule>
    <cfRule type="containsText" dxfId="3899" priority="27745" operator="containsText" text="Wed">
      <formula>NOT(ISERROR(SEARCH("Wed",D848)))</formula>
    </cfRule>
    <cfRule type="containsText" dxfId="3898" priority="27746" operator="containsText" text="Tue">
      <formula>NOT(ISERROR(SEARCH("Tue",D848)))</formula>
    </cfRule>
    <cfRule type="containsText" dxfId="3897" priority="27747" operator="containsText" text="Mon">
      <formula>NOT(ISERROR(SEARCH("Mon",D848)))</formula>
    </cfRule>
  </conditionalFormatting>
  <conditionalFormatting sqref="D857:D861">
    <cfRule type="containsText" dxfId="3896" priority="27738" operator="containsText" text="Fri">
      <formula>NOT(ISERROR(SEARCH("Fri",D857)))</formula>
    </cfRule>
    <cfRule type="containsText" dxfId="3895" priority="27739" operator="containsText" text="Thu">
      <formula>NOT(ISERROR(SEARCH("Thu",D857)))</formula>
    </cfRule>
    <cfRule type="containsText" dxfId="3894" priority="27740" operator="containsText" text="Wed">
      <formula>NOT(ISERROR(SEARCH("Wed",D857)))</formula>
    </cfRule>
    <cfRule type="containsText" dxfId="3893" priority="27741" operator="containsText" text="Tue">
      <formula>NOT(ISERROR(SEARCH("Tue",D857)))</formula>
    </cfRule>
    <cfRule type="containsText" dxfId="3892" priority="27742" operator="containsText" text="Mon">
      <formula>NOT(ISERROR(SEARCH("Mon",D857)))</formula>
    </cfRule>
  </conditionalFormatting>
  <conditionalFormatting sqref="D862:D872">
    <cfRule type="containsText" dxfId="3891" priority="27733" operator="containsText" text="Fri">
      <formula>NOT(ISERROR(SEARCH("Fri",D862)))</formula>
    </cfRule>
    <cfRule type="containsText" dxfId="3890" priority="27734" operator="containsText" text="Thu">
      <formula>NOT(ISERROR(SEARCH("Thu",D862)))</formula>
    </cfRule>
    <cfRule type="containsText" dxfId="3889" priority="27735" operator="containsText" text="Wed">
      <formula>NOT(ISERROR(SEARCH("Wed",D862)))</formula>
    </cfRule>
    <cfRule type="containsText" dxfId="3888" priority="27736" operator="containsText" text="Tue">
      <formula>NOT(ISERROR(SEARCH("Tue",D862)))</formula>
    </cfRule>
    <cfRule type="containsText" dxfId="3887" priority="27737" operator="containsText" text="Mon">
      <formula>NOT(ISERROR(SEARCH("Mon",D862)))</formula>
    </cfRule>
  </conditionalFormatting>
  <conditionalFormatting sqref="D873:D889">
    <cfRule type="containsText" dxfId="3886" priority="27157" operator="containsText" text="Fri">
      <formula>NOT(ISERROR(SEARCH("Fri",D873)))</formula>
    </cfRule>
    <cfRule type="containsText" dxfId="3885" priority="27158" operator="containsText" text="Thu">
      <formula>NOT(ISERROR(SEARCH("Thu",D873)))</formula>
    </cfRule>
    <cfRule type="containsText" dxfId="3884" priority="27159" operator="containsText" text="Wed">
      <formula>NOT(ISERROR(SEARCH("Wed",D873)))</formula>
    </cfRule>
    <cfRule type="containsText" dxfId="3883" priority="27160" operator="containsText" text="Tue">
      <formula>NOT(ISERROR(SEARCH("Tue",D873)))</formula>
    </cfRule>
    <cfRule type="containsText" dxfId="3882" priority="27161" operator="containsText" text="Mon">
      <formula>NOT(ISERROR(SEARCH("Mon",D873)))</formula>
    </cfRule>
  </conditionalFormatting>
  <conditionalFormatting sqref="E873:K979">
    <cfRule type="cellIs" dxfId="3881" priority="27156" operator="equal">
      <formula>0</formula>
    </cfRule>
  </conditionalFormatting>
  <conditionalFormatting sqref="A873:B979">
    <cfRule type="cellIs" dxfId="3880" priority="27155" operator="equal">
      <formula>0</formula>
    </cfRule>
  </conditionalFormatting>
  <conditionalFormatting sqref="D890:D898">
    <cfRule type="containsText" dxfId="3879" priority="27150" operator="containsText" text="Fri">
      <formula>NOT(ISERROR(SEARCH("Fri",D890)))</formula>
    </cfRule>
    <cfRule type="containsText" dxfId="3878" priority="27151" operator="containsText" text="Thu">
      <formula>NOT(ISERROR(SEARCH("Thu",D890)))</formula>
    </cfRule>
    <cfRule type="containsText" dxfId="3877" priority="27152" operator="containsText" text="Wed">
      <formula>NOT(ISERROR(SEARCH("Wed",D890)))</formula>
    </cfRule>
    <cfRule type="containsText" dxfId="3876" priority="27153" operator="containsText" text="Tue">
      <formula>NOT(ISERROR(SEARCH("Tue",D890)))</formula>
    </cfRule>
    <cfRule type="containsText" dxfId="3875" priority="27154" operator="containsText" text="Mon">
      <formula>NOT(ISERROR(SEARCH("Mon",D890)))</formula>
    </cfRule>
  </conditionalFormatting>
  <conditionalFormatting sqref="D899:D900">
    <cfRule type="containsText" dxfId="3874" priority="27145" operator="containsText" text="Fri">
      <formula>NOT(ISERROR(SEARCH("Fri",D899)))</formula>
    </cfRule>
    <cfRule type="containsText" dxfId="3873" priority="27146" operator="containsText" text="Thu">
      <formula>NOT(ISERROR(SEARCH("Thu",D899)))</formula>
    </cfRule>
    <cfRule type="containsText" dxfId="3872" priority="27147" operator="containsText" text="Wed">
      <formula>NOT(ISERROR(SEARCH("Wed",D899)))</formula>
    </cfRule>
    <cfRule type="containsText" dxfId="3871" priority="27148" operator="containsText" text="Tue">
      <formula>NOT(ISERROR(SEARCH("Tue",D899)))</formula>
    </cfRule>
    <cfRule type="containsText" dxfId="3870" priority="27149" operator="containsText" text="Mon">
      <formula>NOT(ISERROR(SEARCH("Mon",D899)))</formula>
    </cfRule>
  </conditionalFormatting>
  <conditionalFormatting sqref="D901">
    <cfRule type="containsText" dxfId="3869" priority="27140" operator="containsText" text="Fri">
      <formula>NOT(ISERROR(SEARCH("Fri",D901)))</formula>
    </cfRule>
    <cfRule type="containsText" dxfId="3868" priority="27141" operator="containsText" text="Thu">
      <formula>NOT(ISERROR(SEARCH("Thu",D901)))</formula>
    </cfRule>
    <cfRule type="containsText" dxfId="3867" priority="27142" operator="containsText" text="Wed">
      <formula>NOT(ISERROR(SEARCH("Wed",D901)))</formula>
    </cfRule>
    <cfRule type="containsText" dxfId="3866" priority="27143" operator="containsText" text="Tue">
      <formula>NOT(ISERROR(SEARCH("Tue",D901)))</formula>
    </cfRule>
    <cfRule type="containsText" dxfId="3865" priority="27144" operator="containsText" text="Mon">
      <formula>NOT(ISERROR(SEARCH("Mon",D901)))</formula>
    </cfRule>
  </conditionalFormatting>
  <conditionalFormatting sqref="D902">
    <cfRule type="containsText" dxfId="3864" priority="27135" operator="containsText" text="Fri">
      <formula>NOT(ISERROR(SEARCH("Fri",D902)))</formula>
    </cfRule>
    <cfRule type="containsText" dxfId="3863" priority="27136" operator="containsText" text="Thu">
      <formula>NOT(ISERROR(SEARCH("Thu",D902)))</formula>
    </cfRule>
    <cfRule type="containsText" dxfId="3862" priority="27137" operator="containsText" text="Wed">
      <formula>NOT(ISERROR(SEARCH("Wed",D902)))</formula>
    </cfRule>
    <cfRule type="containsText" dxfId="3861" priority="27138" operator="containsText" text="Tue">
      <formula>NOT(ISERROR(SEARCH("Tue",D902)))</formula>
    </cfRule>
    <cfRule type="containsText" dxfId="3860" priority="27139" operator="containsText" text="Mon">
      <formula>NOT(ISERROR(SEARCH("Mon",D902)))</formula>
    </cfRule>
  </conditionalFormatting>
  <conditionalFormatting sqref="D903">
    <cfRule type="containsText" dxfId="3859" priority="27130" operator="containsText" text="Fri">
      <formula>NOT(ISERROR(SEARCH("Fri",D903)))</formula>
    </cfRule>
    <cfRule type="containsText" dxfId="3858" priority="27131" operator="containsText" text="Thu">
      <formula>NOT(ISERROR(SEARCH("Thu",D903)))</formula>
    </cfRule>
    <cfRule type="containsText" dxfId="3857" priority="27132" operator="containsText" text="Wed">
      <formula>NOT(ISERROR(SEARCH("Wed",D903)))</formula>
    </cfRule>
    <cfRule type="containsText" dxfId="3856" priority="27133" operator="containsText" text="Tue">
      <formula>NOT(ISERROR(SEARCH("Tue",D903)))</formula>
    </cfRule>
    <cfRule type="containsText" dxfId="3855" priority="27134" operator="containsText" text="Mon">
      <formula>NOT(ISERROR(SEARCH("Mon",D903)))</formula>
    </cfRule>
  </conditionalFormatting>
  <conditionalFormatting sqref="D904">
    <cfRule type="containsText" dxfId="3854" priority="27125" operator="containsText" text="Fri">
      <formula>NOT(ISERROR(SEARCH("Fri",D904)))</formula>
    </cfRule>
    <cfRule type="containsText" dxfId="3853" priority="27126" operator="containsText" text="Thu">
      <formula>NOT(ISERROR(SEARCH("Thu",D904)))</formula>
    </cfRule>
    <cfRule type="containsText" dxfId="3852" priority="27127" operator="containsText" text="Wed">
      <formula>NOT(ISERROR(SEARCH("Wed",D904)))</formula>
    </cfRule>
    <cfRule type="containsText" dxfId="3851" priority="27128" operator="containsText" text="Tue">
      <formula>NOT(ISERROR(SEARCH("Tue",D904)))</formula>
    </cfRule>
    <cfRule type="containsText" dxfId="3850" priority="27129" operator="containsText" text="Mon">
      <formula>NOT(ISERROR(SEARCH("Mon",D904)))</formula>
    </cfRule>
  </conditionalFormatting>
  <conditionalFormatting sqref="D905">
    <cfRule type="containsText" dxfId="3849" priority="27120" operator="containsText" text="Fri">
      <formula>NOT(ISERROR(SEARCH("Fri",D905)))</formula>
    </cfRule>
    <cfRule type="containsText" dxfId="3848" priority="27121" operator="containsText" text="Thu">
      <formula>NOT(ISERROR(SEARCH("Thu",D905)))</formula>
    </cfRule>
    <cfRule type="containsText" dxfId="3847" priority="27122" operator="containsText" text="Wed">
      <formula>NOT(ISERROR(SEARCH("Wed",D905)))</formula>
    </cfRule>
    <cfRule type="containsText" dxfId="3846" priority="27123" operator="containsText" text="Tue">
      <formula>NOT(ISERROR(SEARCH("Tue",D905)))</formula>
    </cfRule>
    <cfRule type="containsText" dxfId="3845" priority="27124" operator="containsText" text="Mon">
      <formula>NOT(ISERROR(SEARCH("Mon",D905)))</formula>
    </cfRule>
  </conditionalFormatting>
  <conditionalFormatting sqref="D906">
    <cfRule type="containsText" dxfId="3844" priority="27115" operator="containsText" text="Fri">
      <formula>NOT(ISERROR(SEARCH("Fri",D906)))</formula>
    </cfRule>
    <cfRule type="containsText" dxfId="3843" priority="27116" operator="containsText" text="Thu">
      <formula>NOT(ISERROR(SEARCH("Thu",D906)))</formula>
    </cfRule>
    <cfRule type="containsText" dxfId="3842" priority="27117" operator="containsText" text="Wed">
      <formula>NOT(ISERROR(SEARCH("Wed",D906)))</formula>
    </cfRule>
    <cfRule type="containsText" dxfId="3841" priority="27118" operator="containsText" text="Tue">
      <formula>NOT(ISERROR(SEARCH("Tue",D906)))</formula>
    </cfRule>
    <cfRule type="containsText" dxfId="3840" priority="27119" operator="containsText" text="Mon">
      <formula>NOT(ISERROR(SEARCH("Mon",D906)))</formula>
    </cfRule>
  </conditionalFormatting>
  <conditionalFormatting sqref="D907">
    <cfRule type="containsText" dxfId="3839" priority="27110" operator="containsText" text="Fri">
      <formula>NOT(ISERROR(SEARCH("Fri",D907)))</formula>
    </cfRule>
    <cfRule type="containsText" dxfId="3838" priority="27111" operator="containsText" text="Thu">
      <formula>NOT(ISERROR(SEARCH("Thu",D907)))</formula>
    </cfRule>
    <cfRule type="containsText" dxfId="3837" priority="27112" operator="containsText" text="Wed">
      <formula>NOT(ISERROR(SEARCH("Wed",D907)))</formula>
    </cfRule>
    <cfRule type="containsText" dxfId="3836" priority="27113" operator="containsText" text="Tue">
      <formula>NOT(ISERROR(SEARCH("Tue",D907)))</formula>
    </cfRule>
    <cfRule type="containsText" dxfId="3835" priority="27114" operator="containsText" text="Mon">
      <formula>NOT(ISERROR(SEARCH("Mon",D907)))</formula>
    </cfRule>
  </conditionalFormatting>
  <conditionalFormatting sqref="D908">
    <cfRule type="containsText" dxfId="3834" priority="27105" operator="containsText" text="Fri">
      <formula>NOT(ISERROR(SEARCH("Fri",D908)))</formula>
    </cfRule>
    <cfRule type="containsText" dxfId="3833" priority="27106" operator="containsText" text="Thu">
      <formula>NOT(ISERROR(SEARCH("Thu",D908)))</formula>
    </cfRule>
    <cfRule type="containsText" dxfId="3832" priority="27107" operator="containsText" text="Wed">
      <formula>NOT(ISERROR(SEARCH("Wed",D908)))</formula>
    </cfRule>
    <cfRule type="containsText" dxfId="3831" priority="27108" operator="containsText" text="Tue">
      <formula>NOT(ISERROR(SEARCH("Tue",D908)))</formula>
    </cfRule>
    <cfRule type="containsText" dxfId="3830" priority="27109" operator="containsText" text="Mon">
      <formula>NOT(ISERROR(SEARCH("Mon",D908)))</formula>
    </cfRule>
  </conditionalFormatting>
  <conditionalFormatting sqref="D909:D913">
    <cfRule type="containsText" dxfId="3829" priority="27100" operator="containsText" text="Fri">
      <formula>NOT(ISERROR(SEARCH("Fri",D909)))</formula>
    </cfRule>
    <cfRule type="containsText" dxfId="3828" priority="27101" operator="containsText" text="Thu">
      <formula>NOT(ISERROR(SEARCH("Thu",D909)))</formula>
    </cfRule>
    <cfRule type="containsText" dxfId="3827" priority="27102" operator="containsText" text="Wed">
      <formula>NOT(ISERROR(SEARCH("Wed",D909)))</formula>
    </cfRule>
    <cfRule type="containsText" dxfId="3826" priority="27103" operator="containsText" text="Tue">
      <formula>NOT(ISERROR(SEARCH("Tue",D909)))</formula>
    </cfRule>
    <cfRule type="containsText" dxfId="3825" priority="27104" operator="containsText" text="Mon">
      <formula>NOT(ISERROR(SEARCH("Mon",D909)))</formula>
    </cfRule>
  </conditionalFormatting>
  <conditionalFormatting sqref="D914:D919">
    <cfRule type="containsText" dxfId="3824" priority="27095" operator="containsText" text="Fri">
      <formula>NOT(ISERROR(SEARCH("Fri",D914)))</formula>
    </cfRule>
    <cfRule type="containsText" dxfId="3823" priority="27096" operator="containsText" text="Thu">
      <formula>NOT(ISERROR(SEARCH("Thu",D914)))</formula>
    </cfRule>
    <cfRule type="containsText" dxfId="3822" priority="27097" operator="containsText" text="Wed">
      <formula>NOT(ISERROR(SEARCH("Wed",D914)))</formula>
    </cfRule>
    <cfRule type="containsText" dxfId="3821" priority="27098" operator="containsText" text="Tue">
      <formula>NOT(ISERROR(SEARCH("Tue",D914)))</formula>
    </cfRule>
    <cfRule type="containsText" dxfId="3820" priority="27099" operator="containsText" text="Mon">
      <formula>NOT(ISERROR(SEARCH("Mon",D914)))</formula>
    </cfRule>
  </conditionalFormatting>
  <conditionalFormatting sqref="D920">
    <cfRule type="containsText" dxfId="3819" priority="27090" operator="containsText" text="Fri">
      <formula>NOT(ISERROR(SEARCH("Fri",D920)))</formula>
    </cfRule>
    <cfRule type="containsText" dxfId="3818" priority="27091" operator="containsText" text="Thu">
      <formula>NOT(ISERROR(SEARCH("Thu",D920)))</formula>
    </cfRule>
    <cfRule type="containsText" dxfId="3817" priority="27092" operator="containsText" text="Wed">
      <formula>NOT(ISERROR(SEARCH("Wed",D920)))</formula>
    </cfRule>
    <cfRule type="containsText" dxfId="3816" priority="27093" operator="containsText" text="Tue">
      <formula>NOT(ISERROR(SEARCH("Tue",D920)))</formula>
    </cfRule>
    <cfRule type="containsText" dxfId="3815" priority="27094" operator="containsText" text="Mon">
      <formula>NOT(ISERROR(SEARCH("Mon",D920)))</formula>
    </cfRule>
  </conditionalFormatting>
  <conditionalFormatting sqref="D921">
    <cfRule type="containsText" dxfId="3814" priority="27085" operator="containsText" text="Fri">
      <formula>NOT(ISERROR(SEARCH("Fri",D921)))</formula>
    </cfRule>
    <cfRule type="containsText" dxfId="3813" priority="27086" operator="containsText" text="Thu">
      <formula>NOT(ISERROR(SEARCH("Thu",D921)))</formula>
    </cfRule>
    <cfRule type="containsText" dxfId="3812" priority="27087" operator="containsText" text="Wed">
      <formula>NOT(ISERROR(SEARCH("Wed",D921)))</formula>
    </cfRule>
    <cfRule type="containsText" dxfId="3811" priority="27088" operator="containsText" text="Tue">
      <formula>NOT(ISERROR(SEARCH("Tue",D921)))</formula>
    </cfRule>
    <cfRule type="containsText" dxfId="3810" priority="27089" operator="containsText" text="Mon">
      <formula>NOT(ISERROR(SEARCH("Mon",D921)))</formula>
    </cfRule>
  </conditionalFormatting>
  <conditionalFormatting sqref="D922:D927">
    <cfRule type="containsText" dxfId="3809" priority="27080" operator="containsText" text="Fri">
      <formula>NOT(ISERROR(SEARCH("Fri",D922)))</formula>
    </cfRule>
    <cfRule type="containsText" dxfId="3808" priority="27081" operator="containsText" text="Thu">
      <formula>NOT(ISERROR(SEARCH("Thu",D922)))</formula>
    </cfRule>
    <cfRule type="containsText" dxfId="3807" priority="27082" operator="containsText" text="Wed">
      <formula>NOT(ISERROR(SEARCH("Wed",D922)))</formula>
    </cfRule>
    <cfRule type="containsText" dxfId="3806" priority="27083" operator="containsText" text="Tue">
      <formula>NOT(ISERROR(SEARCH("Tue",D922)))</formula>
    </cfRule>
    <cfRule type="containsText" dxfId="3805" priority="27084" operator="containsText" text="Mon">
      <formula>NOT(ISERROR(SEARCH("Mon",D922)))</formula>
    </cfRule>
  </conditionalFormatting>
  <conditionalFormatting sqref="D928:D933">
    <cfRule type="containsText" dxfId="3804" priority="27075" operator="containsText" text="Fri">
      <formula>NOT(ISERROR(SEARCH("Fri",D928)))</formula>
    </cfRule>
    <cfRule type="containsText" dxfId="3803" priority="27076" operator="containsText" text="Thu">
      <formula>NOT(ISERROR(SEARCH("Thu",D928)))</formula>
    </cfRule>
    <cfRule type="containsText" dxfId="3802" priority="27077" operator="containsText" text="Wed">
      <formula>NOT(ISERROR(SEARCH("Wed",D928)))</formula>
    </cfRule>
    <cfRule type="containsText" dxfId="3801" priority="27078" operator="containsText" text="Tue">
      <formula>NOT(ISERROR(SEARCH("Tue",D928)))</formula>
    </cfRule>
    <cfRule type="containsText" dxfId="3800" priority="27079" operator="containsText" text="Mon">
      <formula>NOT(ISERROR(SEARCH("Mon",D928)))</formula>
    </cfRule>
  </conditionalFormatting>
  <conditionalFormatting sqref="D934:D940">
    <cfRule type="containsText" dxfId="3799" priority="27070" operator="containsText" text="Fri">
      <formula>NOT(ISERROR(SEARCH("Fri",D934)))</formula>
    </cfRule>
    <cfRule type="containsText" dxfId="3798" priority="27071" operator="containsText" text="Thu">
      <formula>NOT(ISERROR(SEARCH("Thu",D934)))</formula>
    </cfRule>
    <cfRule type="containsText" dxfId="3797" priority="27072" operator="containsText" text="Wed">
      <formula>NOT(ISERROR(SEARCH("Wed",D934)))</formula>
    </cfRule>
    <cfRule type="containsText" dxfId="3796" priority="27073" operator="containsText" text="Tue">
      <formula>NOT(ISERROR(SEARCH("Tue",D934)))</formula>
    </cfRule>
    <cfRule type="containsText" dxfId="3795" priority="27074" operator="containsText" text="Mon">
      <formula>NOT(ISERROR(SEARCH("Mon",D934)))</formula>
    </cfRule>
  </conditionalFormatting>
  <conditionalFormatting sqref="D941:D948">
    <cfRule type="containsText" dxfId="3794" priority="27065" operator="containsText" text="Fri">
      <formula>NOT(ISERROR(SEARCH("Fri",D941)))</formula>
    </cfRule>
    <cfRule type="containsText" dxfId="3793" priority="27066" operator="containsText" text="Thu">
      <formula>NOT(ISERROR(SEARCH("Thu",D941)))</formula>
    </cfRule>
    <cfRule type="containsText" dxfId="3792" priority="27067" operator="containsText" text="Wed">
      <formula>NOT(ISERROR(SEARCH("Wed",D941)))</formula>
    </cfRule>
    <cfRule type="containsText" dxfId="3791" priority="27068" operator="containsText" text="Tue">
      <formula>NOT(ISERROR(SEARCH("Tue",D941)))</formula>
    </cfRule>
    <cfRule type="containsText" dxfId="3790" priority="27069" operator="containsText" text="Mon">
      <formula>NOT(ISERROR(SEARCH("Mon",D941)))</formula>
    </cfRule>
  </conditionalFormatting>
  <conditionalFormatting sqref="D949:D955">
    <cfRule type="containsText" dxfId="3789" priority="27060" operator="containsText" text="Fri">
      <formula>NOT(ISERROR(SEARCH("Fri",D949)))</formula>
    </cfRule>
    <cfRule type="containsText" dxfId="3788" priority="27061" operator="containsText" text="Thu">
      <formula>NOT(ISERROR(SEARCH("Thu",D949)))</formula>
    </cfRule>
    <cfRule type="containsText" dxfId="3787" priority="27062" operator="containsText" text="Wed">
      <formula>NOT(ISERROR(SEARCH("Wed",D949)))</formula>
    </cfRule>
    <cfRule type="containsText" dxfId="3786" priority="27063" operator="containsText" text="Tue">
      <formula>NOT(ISERROR(SEARCH("Tue",D949)))</formula>
    </cfRule>
    <cfRule type="containsText" dxfId="3785" priority="27064" operator="containsText" text="Mon">
      <formula>NOT(ISERROR(SEARCH("Mon",D949)))</formula>
    </cfRule>
  </conditionalFormatting>
  <conditionalFormatting sqref="D956:D963">
    <cfRule type="containsText" dxfId="3784" priority="27055" operator="containsText" text="Fri">
      <formula>NOT(ISERROR(SEARCH("Fri",D956)))</formula>
    </cfRule>
    <cfRule type="containsText" dxfId="3783" priority="27056" operator="containsText" text="Thu">
      <formula>NOT(ISERROR(SEARCH("Thu",D956)))</formula>
    </cfRule>
    <cfRule type="containsText" dxfId="3782" priority="27057" operator="containsText" text="Wed">
      <formula>NOT(ISERROR(SEARCH("Wed",D956)))</formula>
    </cfRule>
    <cfRule type="containsText" dxfId="3781" priority="27058" operator="containsText" text="Tue">
      <formula>NOT(ISERROR(SEARCH("Tue",D956)))</formula>
    </cfRule>
    <cfRule type="containsText" dxfId="3780" priority="27059" operator="containsText" text="Mon">
      <formula>NOT(ISERROR(SEARCH("Mon",D956)))</formula>
    </cfRule>
  </conditionalFormatting>
  <conditionalFormatting sqref="D964:D971">
    <cfRule type="containsText" dxfId="3779" priority="27050" operator="containsText" text="Fri">
      <formula>NOT(ISERROR(SEARCH("Fri",D964)))</formula>
    </cfRule>
    <cfRule type="containsText" dxfId="3778" priority="27051" operator="containsText" text="Thu">
      <formula>NOT(ISERROR(SEARCH("Thu",D964)))</formula>
    </cfRule>
    <cfRule type="containsText" dxfId="3777" priority="27052" operator="containsText" text="Wed">
      <formula>NOT(ISERROR(SEARCH("Wed",D964)))</formula>
    </cfRule>
    <cfRule type="containsText" dxfId="3776" priority="27053" operator="containsText" text="Tue">
      <formula>NOT(ISERROR(SEARCH("Tue",D964)))</formula>
    </cfRule>
    <cfRule type="containsText" dxfId="3775" priority="27054" operator="containsText" text="Mon">
      <formula>NOT(ISERROR(SEARCH("Mon",D964)))</formula>
    </cfRule>
  </conditionalFormatting>
  <conditionalFormatting sqref="D972:D979">
    <cfRule type="containsText" dxfId="3774" priority="27045" operator="containsText" text="Fri">
      <formula>NOT(ISERROR(SEARCH("Fri",D972)))</formula>
    </cfRule>
    <cfRule type="containsText" dxfId="3773" priority="27046" operator="containsText" text="Thu">
      <formula>NOT(ISERROR(SEARCH("Thu",D972)))</formula>
    </cfRule>
    <cfRule type="containsText" dxfId="3772" priority="27047" operator="containsText" text="Wed">
      <formula>NOT(ISERROR(SEARCH("Wed",D972)))</formula>
    </cfRule>
    <cfRule type="containsText" dxfId="3771" priority="27048" operator="containsText" text="Tue">
      <formula>NOT(ISERROR(SEARCH("Tue",D972)))</formula>
    </cfRule>
    <cfRule type="containsText" dxfId="3770" priority="27049" operator="containsText" text="Mon">
      <formula>NOT(ISERROR(SEARCH("Mon",D972)))</formula>
    </cfRule>
  </conditionalFormatting>
  <conditionalFormatting sqref="D980:D996">
    <cfRule type="containsText" dxfId="3769" priority="26671" operator="containsText" text="Fri">
      <formula>NOT(ISERROR(SEARCH("Fri",D980)))</formula>
    </cfRule>
    <cfRule type="containsText" dxfId="3768" priority="26672" operator="containsText" text="Thu">
      <formula>NOT(ISERROR(SEARCH("Thu",D980)))</formula>
    </cfRule>
    <cfRule type="containsText" dxfId="3767" priority="26673" operator="containsText" text="Wed">
      <formula>NOT(ISERROR(SEARCH("Wed",D980)))</formula>
    </cfRule>
    <cfRule type="containsText" dxfId="3766" priority="26674" operator="containsText" text="Tue">
      <formula>NOT(ISERROR(SEARCH("Tue",D980)))</formula>
    </cfRule>
    <cfRule type="containsText" dxfId="3765" priority="26675" operator="containsText" text="Mon">
      <formula>NOT(ISERROR(SEARCH("Mon",D980)))</formula>
    </cfRule>
  </conditionalFormatting>
  <conditionalFormatting sqref="E980:K1076">
    <cfRule type="cellIs" dxfId="3764" priority="26670" operator="equal">
      <formula>0</formula>
    </cfRule>
  </conditionalFormatting>
  <conditionalFormatting sqref="A980:B1076">
    <cfRule type="cellIs" dxfId="3763" priority="26669" operator="equal">
      <formula>0</formula>
    </cfRule>
  </conditionalFormatting>
  <conditionalFormatting sqref="D997:D1004">
    <cfRule type="containsText" dxfId="3762" priority="26664" operator="containsText" text="Fri">
      <formula>NOT(ISERROR(SEARCH("Fri",D997)))</formula>
    </cfRule>
    <cfRule type="containsText" dxfId="3761" priority="26665" operator="containsText" text="Thu">
      <formula>NOT(ISERROR(SEARCH("Thu",D997)))</formula>
    </cfRule>
    <cfRule type="containsText" dxfId="3760" priority="26666" operator="containsText" text="Wed">
      <formula>NOT(ISERROR(SEARCH("Wed",D997)))</formula>
    </cfRule>
    <cfRule type="containsText" dxfId="3759" priority="26667" operator="containsText" text="Tue">
      <formula>NOT(ISERROR(SEARCH("Tue",D997)))</formula>
    </cfRule>
    <cfRule type="containsText" dxfId="3758" priority="26668" operator="containsText" text="Mon">
      <formula>NOT(ISERROR(SEARCH("Mon",D997)))</formula>
    </cfRule>
  </conditionalFormatting>
  <conditionalFormatting sqref="D1005">
    <cfRule type="containsText" dxfId="3757" priority="26659" operator="containsText" text="Fri">
      <formula>NOT(ISERROR(SEARCH("Fri",D1005)))</formula>
    </cfRule>
    <cfRule type="containsText" dxfId="3756" priority="26660" operator="containsText" text="Thu">
      <formula>NOT(ISERROR(SEARCH("Thu",D1005)))</formula>
    </cfRule>
    <cfRule type="containsText" dxfId="3755" priority="26661" operator="containsText" text="Wed">
      <formula>NOT(ISERROR(SEARCH("Wed",D1005)))</formula>
    </cfRule>
    <cfRule type="containsText" dxfId="3754" priority="26662" operator="containsText" text="Tue">
      <formula>NOT(ISERROR(SEARCH("Tue",D1005)))</formula>
    </cfRule>
    <cfRule type="containsText" dxfId="3753" priority="26663" operator="containsText" text="Mon">
      <formula>NOT(ISERROR(SEARCH("Mon",D1005)))</formula>
    </cfRule>
  </conditionalFormatting>
  <conditionalFormatting sqref="D1006:D1007">
    <cfRule type="containsText" dxfId="3752" priority="26654" operator="containsText" text="Fri">
      <formula>NOT(ISERROR(SEARCH("Fri",D1006)))</formula>
    </cfRule>
    <cfRule type="containsText" dxfId="3751" priority="26655" operator="containsText" text="Thu">
      <formula>NOT(ISERROR(SEARCH("Thu",D1006)))</formula>
    </cfRule>
    <cfRule type="containsText" dxfId="3750" priority="26656" operator="containsText" text="Wed">
      <formula>NOT(ISERROR(SEARCH("Wed",D1006)))</formula>
    </cfRule>
    <cfRule type="containsText" dxfId="3749" priority="26657" operator="containsText" text="Tue">
      <formula>NOT(ISERROR(SEARCH("Tue",D1006)))</formula>
    </cfRule>
    <cfRule type="containsText" dxfId="3748" priority="26658" operator="containsText" text="Mon">
      <formula>NOT(ISERROR(SEARCH("Mon",D1006)))</formula>
    </cfRule>
  </conditionalFormatting>
  <conditionalFormatting sqref="D1008:D1009">
    <cfRule type="containsText" dxfId="3747" priority="26649" operator="containsText" text="Fri">
      <formula>NOT(ISERROR(SEARCH("Fri",D1008)))</formula>
    </cfRule>
    <cfRule type="containsText" dxfId="3746" priority="26650" operator="containsText" text="Thu">
      <formula>NOT(ISERROR(SEARCH("Thu",D1008)))</formula>
    </cfRule>
    <cfRule type="containsText" dxfId="3745" priority="26651" operator="containsText" text="Wed">
      <formula>NOT(ISERROR(SEARCH("Wed",D1008)))</formula>
    </cfRule>
    <cfRule type="containsText" dxfId="3744" priority="26652" operator="containsText" text="Tue">
      <formula>NOT(ISERROR(SEARCH("Tue",D1008)))</formula>
    </cfRule>
    <cfRule type="containsText" dxfId="3743" priority="26653" operator="containsText" text="Mon">
      <formula>NOT(ISERROR(SEARCH("Mon",D1008)))</formula>
    </cfRule>
  </conditionalFormatting>
  <conditionalFormatting sqref="D1010">
    <cfRule type="containsText" dxfId="3742" priority="26644" operator="containsText" text="Fri">
      <formula>NOT(ISERROR(SEARCH("Fri",D1010)))</formula>
    </cfRule>
    <cfRule type="containsText" dxfId="3741" priority="26645" operator="containsText" text="Thu">
      <formula>NOT(ISERROR(SEARCH("Thu",D1010)))</formula>
    </cfRule>
    <cfRule type="containsText" dxfId="3740" priority="26646" operator="containsText" text="Wed">
      <formula>NOT(ISERROR(SEARCH("Wed",D1010)))</formula>
    </cfRule>
    <cfRule type="containsText" dxfId="3739" priority="26647" operator="containsText" text="Tue">
      <formula>NOT(ISERROR(SEARCH("Tue",D1010)))</formula>
    </cfRule>
    <cfRule type="containsText" dxfId="3738" priority="26648" operator="containsText" text="Mon">
      <formula>NOT(ISERROR(SEARCH("Mon",D1010)))</formula>
    </cfRule>
  </conditionalFormatting>
  <conditionalFormatting sqref="D1011">
    <cfRule type="containsText" dxfId="3737" priority="26639" operator="containsText" text="Fri">
      <formula>NOT(ISERROR(SEARCH("Fri",D1011)))</formula>
    </cfRule>
    <cfRule type="containsText" dxfId="3736" priority="26640" operator="containsText" text="Thu">
      <formula>NOT(ISERROR(SEARCH("Thu",D1011)))</formula>
    </cfRule>
    <cfRule type="containsText" dxfId="3735" priority="26641" operator="containsText" text="Wed">
      <formula>NOT(ISERROR(SEARCH("Wed",D1011)))</formula>
    </cfRule>
    <cfRule type="containsText" dxfId="3734" priority="26642" operator="containsText" text="Tue">
      <formula>NOT(ISERROR(SEARCH("Tue",D1011)))</formula>
    </cfRule>
    <cfRule type="containsText" dxfId="3733" priority="26643" operator="containsText" text="Mon">
      <formula>NOT(ISERROR(SEARCH("Mon",D1011)))</formula>
    </cfRule>
  </conditionalFormatting>
  <conditionalFormatting sqref="D1012:D1016">
    <cfRule type="containsText" dxfId="3732" priority="26634" operator="containsText" text="Fri">
      <formula>NOT(ISERROR(SEARCH("Fri",D1012)))</formula>
    </cfRule>
    <cfRule type="containsText" dxfId="3731" priority="26635" operator="containsText" text="Thu">
      <formula>NOT(ISERROR(SEARCH("Thu",D1012)))</formula>
    </cfRule>
    <cfRule type="containsText" dxfId="3730" priority="26636" operator="containsText" text="Wed">
      <formula>NOT(ISERROR(SEARCH("Wed",D1012)))</formula>
    </cfRule>
    <cfRule type="containsText" dxfId="3729" priority="26637" operator="containsText" text="Tue">
      <formula>NOT(ISERROR(SEARCH("Tue",D1012)))</formula>
    </cfRule>
    <cfRule type="containsText" dxfId="3728" priority="26638" operator="containsText" text="Mon">
      <formula>NOT(ISERROR(SEARCH("Mon",D1012)))</formula>
    </cfRule>
  </conditionalFormatting>
  <conditionalFormatting sqref="D1017:D1022">
    <cfRule type="containsText" dxfId="3727" priority="26629" operator="containsText" text="Fri">
      <formula>NOT(ISERROR(SEARCH("Fri",D1017)))</formula>
    </cfRule>
    <cfRule type="containsText" dxfId="3726" priority="26630" operator="containsText" text="Thu">
      <formula>NOT(ISERROR(SEARCH("Thu",D1017)))</formula>
    </cfRule>
    <cfRule type="containsText" dxfId="3725" priority="26631" operator="containsText" text="Wed">
      <formula>NOT(ISERROR(SEARCH("Wed",D1017)))</formula>
    </cfRule>
    <cfRule type="containsText" dxfId="3724" priority="26632" operator="containsText" text="Tue">
      <formula>NOT(ISERROR(SEARCH("Tue",D1017)))</formula>
    </cfRule>
    <cfRule type="containsText" dxfId="3723" priority="26633" operator="containsText" text="Mon">
      <formula>NOT(ISERROR(SEARCH("Mon",D1017)))</formula>
    </cfRule>
  </conditionalFormatting>
  <conditionalFormatting sqref="D1023:D1029">
    <cfRule type="containsText" dxfId="3722" priority="26624" operator="containsText" text="Fri">
      <formula>NOT(ISERROR(SEARCH("Fri",D1023)))</formula>
    </cfRule>
    <cfRule type="containsText" dxfId="3721" priority="26625" operator="containsText" text="Thu">
      <formula>NOT(ISERROR(SEARCH("Thu",D1023)))</formula>
    </cfRule>
    <cfRule type="containsText" dxfId="3720" priority="26626" operator="containsText" text="Wed">
      <formula>NOT(ISERROR(SEARCH("Wed",D1023)))</formula>
    </cfRule>
    <cfRule type="containsText" dxfId="3719" priority="26627" operator="containsText" text="Tue">
      <formula>NOT(ISERROR(SEARCH("Tue",D1023)))</formula>
    </cfRule>
    <cfRule type="containsText" dxfId="3718" priority="26628" operator="containsText" text="Mon">
      <formula>NOT(ISERROR(SEARCH("Mon",D1023)))</formula>
    </cfRule>
  </conditionalFormatting>
  <conditionalFormatting sqref="D1030">
    <cfRule type="containsText" dxfId="3717" priority="26619" operator="containsText" text="Fri">
      <formula>NOT(ISERROR(SEARCH("Fri",D1030)))</formula>
    </cfRule>
    <cfRule type="containsText" dxfId="3716" priority="26620" operator="containsText" text="Thu">
      <formula>NOT(ISERROR(SEARCH("Thu",D1030)))</formula>
    </cfRule>
    <cfRule type="containsText" dxfId="3715" priority="26621" operator="containsText" text="Wed">
      <formula>NOT(ISERROR(SEARCH("Wed",D1030)))</formula>
    </cfRule>
    <cfRule type="containsText" dxfId="3714" priority="26622" operator="containsText" text="Tue">
      <formula>NOT(ISERROR(SEARCH("Tue",D1030)))</formula>
    </cfRule>
    <cfRule type="containsText" dxfId="3713" priority="26623" operator="containsText" text="Mon">
      <formula>NOT(ISERROR(SEARCH("Mon",D1030)))</formula>
    </cfRule>
  </conditionalFormatting>
  <conditionalFormatting sqref="D1031:D1032">
    <cfRule type="containsText" dxfId="3712" priority="26614" operator="containsText" text="Fri">
      <formula>NOT(ISERROR(SEARCH("Fri",D1031)))</formula>
    </cfRule>
    <cfRule type="containsText" dxfId="3711" priority="26615" operator="containsText" text="Thu">
      <formula>NOT(ISERROR(SEARCH("Thu",D1031)))</formula>
    </cfRule>
    <cfRule type="containsText" dxfId="3710" priority="26616" operator="containsText" text="Wed">
      <formula>NOT(ISERROR(SEARCH("Wed",D1031)))</formula>
    </cfRule>
    <cfRule type="containsText" dxfId="3709" priority="26617" operator="containsText" text="Tue">
      <formula>NOT(ISERROR(SEARCH("Tue",D1031)))</formula>
    </cfRule>
    <cfRule type="containsText" dxfId="3708" priority="26618" operator="containsText" text="Mon">
      <formula>NOT(ISERROR(SEARCH("Mon",D1031)))</formula>
    </cfRule>
  </conditionalFormatting>
  <conditionalFormatting sqref="D1033:D1035">
    <cfRule type="containsText" dxfId="3707" priority="26609" operator="containsText" text="Fri">
      <formula>NOT(ISERROR(SEARCH("Fri",D1033)))</formula>
    </cfRule>
    <cfRule type="containsText" dxfId="3706" priority="26610" operator="containsText" text="Thu">
      <formula>NOT(ISERROR(SEARCH("Thu",D1033)))</formula>
    </cfRule>
    <cfRule type="containsText" dxfId="3705" priority="26611" operator="containsText" text="Wed">
      <formula>NOT(ISERROR(SEARCH("Wed",D1033)))</formula>
    </cfRule>
    <cfRule type="containsText" dxfId="3704" priority="26612" operator="containsText" text="Tue">
      <formula>NOT(ISERROR(SEARCH("Tue",D1033)))</formula>
    </cfRule>
    <cfRule type="containsText" dxfId="3703" priority="26613" operator="containsText" text="Mon">
      <formula>NOT(ISERROR(SEARCH("Mon",D1033)))</formula>
    </cfRule>
  </conditionalFormatting>
  <conditionalFormatting sqref="D1036:D1042">
    <cfRule type="containsText" dxfId="3702" priority="26604" operator="containsText" text="Fri">
      <formula>NOT(ISERROR(SEARCH("Fri",D1036)))</formula>
    </cfRule>
    <cfRule type="containsText" dxfId="3701" priority="26605" operator="containsText" text="Thu">
      <formula>NOT(ISERROR(SEARCH("Thu",D1036)))</formula>
    </cfRule>
    <cfRule type="containsText" dxfId="3700" priority="26606" operator="containsText" text="Wed">
      <formula>NOT(ISERROR(SEARCH("Wed",D1036)))</formula>
    </cfRule>
    <cfRule type="containsText" dxfId="3699" priority="26607" operator="containsText" text="Tue">
      <formula>NOT(ISERROR(SEARCH("Tue",D1036)))</formula>
    </cfRule>
    <cfRule type="containsText" dxfId="3698" priority="26608" operator="containsText" text="Mon">
      <formula>NOT(ISERROR(SEARCH("Mon",D1036)))</formula>
    </cfRule>
  </conditionalFormatting>
  <conditionalFormatting sqref="D1043:D1045">
    <cfRule type="containsText" dxfId="3697" priority="26599" operator="containsText" text="Fri">
      <formula>NOT(ISERROR(SEARCH("Fri",D1043)))</formula>
    </cfRule>
    <cfRule type="containsText" dxfId="3696" priority="26600" operator="containsText" text="Thu">
      <formula>NOT(ISERROR(SEARCH("Thu",D1043)))</formula>
    </cfRule>
    <cfRule type="containsText" dxfId="3695" priority="26601" operator="containsText" text="Wed">
      <formula>NOT(ISERROR(SEARCH("Wed",D1043)))</formula>
    </cfRule>
    <cfRule type="containsText" dxfId="3694" priority="26602" operator="containsText" text="Tue">
      <formula>NOT(ISERROR(SEARCH("Tue",D1043)))</formula>
    </cfRule>
    <cfRule type="containsText" dxfId="3693" priority="26603" operator="containsText" text="Mon">
      <formula>NOT(ISERROR(SEARCH("Mon",D1043)))</formula>
    </cfRule>
  </conditionalFormatting>
  <conditionalFormatting sqref="D1046:D1047">
    <cfRule type="containsText" dxfId="3692" priority="26594" operator="containsText" text="Fri">
      <formula>NOT(ISERROR(SEARCH("Fri",D1046)))</formula>
    </cfRule>
    <cfRule type="containsText" dxfId="3691" priority="26595" operator="containsText" text="Thu">
      <formula>NOT(ISERROR(SEARCH("Thu",D1046)))</formula>
    </cfRule>
    <cfRule type="containsText" dxfId="3690" priority="26596" operator="containsText" text="Wed">
      <formula>NOT(ISERROR(SEARCH("Wed",D1046)))</formula>
    </cfRule>
    <cfRule type="containsText" dxfId="3689" priority="26597" operator="containsText" text="Tue">
      <formula>NOT(ISERROR(SEARCH("Tue",D1046)))</formula>
    </cfRule>
    <cfRule type="containsText" dxfId="3688" priority="26598" operator="containsText" text="Mon">
      <formula>NOT(ISERROR(SEARCH("Mon",D1046)))</formula>
    </cfRule>
  </conditionalFormatting>
  <conditionalFormatting sqref="D1048:D1049">
    <cfRule type="containsText" dxfId="3687" priority="26589" operator="containsText" text="Fri">
      <formula>NOT(ISERROR(SEARCH("Fri",D1048)))</formula>
    </cfRule>
    <cfRule type="containsText" dxfId="3686" priority="26590" operator="containsText" text="Thu">
      <formula>NOT(ISERROR(SEARCH("Thu",D1048)))</formula>
    </cfRule>
    <cfRule type="containsText" dxfId="3685" priority="26591" operator="containsText" text="Wed">
      <formula>NOT(ISERROR(SEARCH("Wed",D1048)))</formula>
    </cfRule>
    <cfRule type="containsText" dxfId="3684" priority="26592" operator="containsText" text="Tue">
      <formula>NOT(ISERROR(SEARCH("Tue",D1048)))</formula>
    </cfRule>
    <cfRule type="containsText" dxfId="3683" priority="26593" operator="containsText" text="Mon">
      <formula>NOT(ISERROR(SEARCH("Mon",D1048)))</formula>
    </cfRule>
  </conditionalFormatting>
  <conditionalFormatting sqref="D1050:D1052">
    <cfRule type="containsText" dxfId="3682" priority="26584" operator="containsText" text="Fri">
      <formula>NOT(ISERROR(SEARCH("Fri",D1050)))</formula>
    </cfRule>
    <cfRule type="containsText" dxfId="3681" priority="26585" operator="containsText" text="Thu">
      <formula>NOT(ISERROR(SEARCH("Thu",D1050)))</formula>
    </cfRule>
    <cfRule type="containsText" dxfId="3680" priority="26586" operator="containsText" text="Wed">
      <formula>NOT(ISERROR(SEARCH("Wed",D1050)))</formula>
    </cfRule>
    <cfRule type="containsText" dxfId="3679" priority="26587" operator="containsText" text="Tue">
      <formula>NOT(ISERROR(SEARCH("Tue",D1050)))</formula>
    </cfRule>
    <cfRule type="containsText" dxfId="3678" priority="26588" operator="containsText" text="Mon">
      <formula>NOT(ISERROR(SEARCH("Mon",D1050)))</formula>
    </cfRule>
  </conditionalFormatting>
  <conditionalFormatting sqref="D1053:D1060">
    <cfRule type="containsText" dxfId="3677" priority="26579" operator="containsText" text="Fri">
      <formula>NOT(ISERROR(SEARCH("Fri",D1053)))</formula>
    </cfRule>
    <cfRule type="containsText" dxfId="3676" priority="26580" operator="containsText" text="Thu">
      <formula>NOT(ISERROR(SEARCH("Thu",D1053)))</formula>
    </cfRule>
    <cfRule type="containsText" dxfId="3675" priority="26581" operator="containsText" text="Wed">
      <formula>NOT(ISERROR(SEARCH("Wed",D1053)))</formula>
    </cfRule>
    <cfRule type="containsText" dxfId="3674" priority="26582" operator="containsText" text="Tue">
      <formula>NOT(ISERROR(SEARCH("Tue",D1053)))</formula>
    </cfRule>
    <cfRule type="containsText" dxfId="3673" priority="26583" operator="containsText" text="Mon">
      <formula>NOT(ISERROR(SEARCH("Mon",D1053)))</formula>
    </cfRule>
  </conditionalFormatting>
  <conditionalFormatting sqref="D1061:D1068">
    <cfRule type="containsText" dxfId="3672" priority="26574" operator="containsText" text="Fri">
      <formula>NOT(ISERROR(SEARCH("Fri",D1061)))</formula>
    </cfRule>
    <cfRule type="containsText" dxfId="3671" priority="26575" operator="containsText" text="Thu">
      <formula>NOT(ISERROR(SEARCH("Thu",D1061)))</formula>
    </cfRule>
    <cfRule type="containsText" dxfId="3670" priority="26576" operator="containsText" text="Wed">
      <formula>NOT(ISERROR(SEARCH("Wed",D1061)))</formula>
    </cfRule>
    <cfRule type="containsText" dxfId="3669" priority="26577" operator="containsText" text="Tue">
      <formula>NOT(ISERROR(SEARCH("Tue",D1061)))</formula>
    </cfRule>
    <cfRule type="containsText" dxfId="3668" priority="26578" operator="containsText" text="Mon">
      <formula>NOT(ISERROR(SEARCH("Mon",D1061)))</formula>
    </cfRule>
  </conditionalFormatting>
  <conditionalFormatting sqref="D1069:D1076">
    <cfRule type="containsText" dxfId="3667" priority="26569" operator="containsText" text="Fri">
      <formula>NOT(ISERROR(SEARCH("Fri",D1069)))</formula>
    </cfRule>
    <cfRule type="containsText" dxfId="3666" priority="26570" operator="containsText" text="Thu">
      <formula>NOT(ISERROR(SEARCH("Thu",D1069)))</formula>
    </cfRule>
    <cfRule type="containsText" dxfId="3665" priority="26571" operator="containsText" text="Wed">
      <formula>NOT(ISERROR(SEARCH("Wed",D1069)))</formula>
    </cfRule>
    <cfRule type="containsText" dxfId="3664" priority="26572" operator="containsText" text="Tue">
      <formula>NOT(ISERROR(SEARCH("Tue",D1069)))</formula>
    </cfRule>
    <cfRule type="containsText" dxfId="3663" priority="26573" operator="containsText" text="Mon">
      <formula>NOT(ISERROR(SEARCH("Mon",D1069)))</formula>
    </cfRule>
  </conditionalFormatting>
  <conditionalFormatting sqref="D1087:D1094 D1077:D1085">
    <cfRule type="containsText" dxfId="3662" priority="24524" operator="containsText" text="Fri">
      <formula>NOT(ISERROR(SEARCH("Fri",D1077)))</formula>
    </cfRule>
    <cfRule type="containsText" dxfId="3661" priority="24525" operator="containsText" text="Thu">
      <formula>NOT(ISERROR(SEARCH("Thu",D1077)))</formula>
    </cfRule>
    <cfRule type="containsText" dxfId="3660" priority="24526" operator="containsText" text="Wed">
      <formula>NOT(ISERROR(SEARCH("Wed",D1077)))</formula>
    </cfRule>
    <cfRule type="containsText" dxfId="3659" priority="24527" operator="containsText" text="Tue">
      <formula>NOT(ISERROR(SEARCH("Tue",D1077)))</formula>
    </cfRule>
    <cfRule type="containsText" dxfId="3658" priority="24528" operator="containsText" text="Mon">
      <formula>NOT(ISERROR(SEARCH("Mon",D1077)))</formula>
    </cfRule>
  </conditionalFormatting>
  <conditionalFormatting sqref="E1077:K1180">
    <cfRule type="cellIs" dxfId="3657" priority="24523" operator="equal">
      <formula>0</formula>
    </cfRule>
  </conditionalFormatting>
  <conditionalFormatting sqref="A1077:B1086">
    <cfRule type="cellIs" dxfId="3656" priority="24522" operator="equal">
      <formula>0</formula>
    </cfRule>
  </conditionalFormatting>
  <conditionalFormatting sqref="D1086">
    <cfRule type="containsText" dxfId="3655" priority="24517" operator="containsText" text="Fri">
      <formula>NOT(ISERROR(SEARCH("Fri",D1086)))</formula>
    </cfRule>
    <cfRule type="containsText" dxfId="3654" priority="24518" operator="containsText" text="Thu">
      <formula>NOT(ISERROR(SEARCH("Thu",D1086)))</formula>
    </cfRule>
    <cfRule type="containsText" dxfId="3653" priority="24519" operator="containsText" text="Wed">
      <formula>NOT(ISERROR(SEARCH("Wed",D1086)))</formula>
    </cfRule>
    <cfRule type="containsText" dxfId="3652" priority="24520" operator="containsText" text="Tue">
      <formula>NOT(ISERROR(SEARCH("Tue",D1086)))</formula>
    </cfRule>
    <cfRule type="containsText" dxfId="3651" priority="24521" operator="containsText" text="Mon">
      <formula>NOT(ISERROR(SEARCH("Mon",D1086)))</formula>
    </cfRule>
  </conditionalFormatting>
  <conditionalFormatting sqref="A1087:B1095">
    <cfRule type="cellIs" dxfId="3650" priority="24516" operator="equal">
      <formula>0</formula>
    </cfRule>
  </conditionalFormatting>
  <conditionalFormatting sqref="D1095">
    <cfRule type="containsText" dxfId="3649" priority="24511" operator="containsText" text="Fri">
      <formula>NOT(ISERROR(SEARCH("Fri",D1095)))</formula>
    </cfRule>
    <cfRule type="containsText" dxfId="3648" priority="24512" operator="containsText" text="Thu">
      <formula>NOT(ISERROR(SEARCH("Thu",D1095)))</formula>
    </cfRule>
    <cfRule type="containsText" dxfId="3647" priority="24513" operator="containsText" text="Wed">
      <formula>NOT(ISERROR(SEARCH("Wed",D1095)))</formula>
    </cfRule>
    <cfRule type="containsText" dxfId="3646" priority="24514" operator="containsText" text="Tue">
      <formula>NOT(ISERROR(SEARCH("Tue",D1095)))</formula>
    </cfRule>
    <cfRule type="containsText" dxfId="3645" priority="24515" operator="containsText" text="Mon">
      <formula>NOT(ISERROR(SEARCH("Mon",D1095)))</formula>
    </cfRule>
  </conditionalFormatting>
  <conditionalFormatting sqref="D1096">
    <cfRule type="containsText" dxfId="3644" priority="24506" operator="containsText" text="Fri">
      <formula>NOT(ISERROR(SEARCH("Fri",D1096)))</formula>
    </cfRule>
    <cfRule type="containsText" dxfId="3643" priority="24507" operator="containsText" text="Thu">
      <formula>NOT(ISERROR(SEARCH("Thu",D1096)))</formula>
    </cfRule>
    <cfRule type="containsText" dxfId="3642" priority="24508" operator="containsText" text="Wed">
      <formula>NOT(ISERROR(SEARCH("Wed",D1096)))</formula>
    </cfRule>
    <cfRule type="containsText" dxfId="3641" priority="24509" operator="containsText" text="Tue">
      <formula>NOT(ISERROR(SEARCH("Tue",D1096)))</formula>
    </cfRule>
    <cfRule type="containsText" dxfId="3640" priority="24510" operator="containsText" text="Mon">
      <formula>NOT(ISERROR(SEARCH("Mon",D1096)))</formula>
    </cfRule>
  </conditionalFormatting>
  <conditionalFormatting sqref="A1096:B1097">
    <cfRule type="cellIs" dxfId="3639" priority="24505" operator="equal">
      <formula>0</formula>
    </cfRule>
  </conditionalFormatting>
  <conditionalFormatting sqref="D1097">
    <cfRule type="containsText" dxfId="3638" priority="24500" operator="containsText" text="Fri">
      <formula>NOT(ISERROR(SEARCH("Fri",D1097)))</formula>
    </cfRule>
    <cfRule type="containsText" dxfId="3637" priority="24501" operator="containsText" text="Thu">
      <formula>NOT(ISERROR(SEARCH("Thu",D1097)))</formula>
    </cfRule>
    <cfRule type="containsText" dxfId="3636" priority="24502" operator="containsText" text="Wed">
      <formula>NOT(ISERROR(SEARCH("Wed",D1097)))</formula>
    </cfRule>
    <cfRule type="containsText" dxfId="3635" priority="24503" operator="containsText" text="Tue">
      <formula>NOT(ISERROR(SEARCH("Tue",D1097)))</formula>
    </cfRule>
    <cfRule type="containsText" dxfId="3634" priority="24504" operator="containsText" text="Mon">
      <formula>NOT(ISERROR(SEARCH("Mon",D1097)))</formula>
    </cfRule>
  </conditionalFormatting>
  <conditionalFormatting sqref="D1098:D1100">
    <cfRule type="containsText" dxfId="3633" priority="24495" operator="containsText" text="Fri">
      <formula>NOT(ISERROR(SEARCH("Fri",D1098)))</formula>
    </cfRule>
    <cfRule type="containsText" dxfId="3632" priority="24496" operator="containsText" text="Thu">
      <formula>NOT(ISERROR(SEARCH("Thu",D1098)))</formula>
    </cfRule>
    <cfRule type="containsText" dxfId="3631" priority="24497" operator="containsText" text="Wed">
      <formula>NOT(ISERROR(SEARCH("Wed",D1098)))</formula>
    </cfRule>
    <cfRule type="containsText" dxfId="3630" priority="24498" operator="containsText" text="Tue">
      <formula>NOT(ISERROR(SEARCH("Tue",D1098)))</formula>
    </cfRule>
    <cfRule type="containsText" dxfId="3629" priority="24499" operator="containsText" text="Mon">
      <formula>NOT(ISERROR(SEARCH("Mon",D1098)))</formula>
    </cfRule>
  </conditionalFormatting>
  <conditionalFormatting sqref="A1098:B1100">
    <cfRule type="cellIs" dxfId="3628" priority="24494" operator="equal">
      <formula>0</formula>
    </cfRule>
  </conditionalFormatting>
  <conditionalFormatting sqref="D1101">
    <cfRule type="containsText" dxfId="3627" priority="24489" operator="containsText" text="Fri">
      <formula>NOT(ISERROR(SEARCH("Fri",D1101)))</formula>
    </cfRule>
    <cfRule type="containsText" dxfId="3626" priority="24490" operator="containsText" text="Thu">
      <formula>NOT(ISERROR(SEARCH("Thu",D1101)))</formula>
    </cfRule>
    <cfRule type="containsText" dxfId="3625" priority="24491" operator="containsText" text="Wed">
      <formula>NOT(ISERROR(SEARCH("Wed",D1101)))</formula>
    </cfRule>
    <cfRule type="containsText" dxfId="3624" priority="24492" operator="containsText" text="Tue">
      <formula>NOT(ISERROR(SEARCH("Tue",D1101)))</formula>
    </cfRule>
    <cfRule type="containsText" dxfId="3623" priority="24493" operator="containsText" text="Mon">
      <formula>NOT(ISERROR(SEARCH("Mon",D1101)))</formula>
    </cfRule>
  </conditionalFormatting>
  <conditionalFormatting sqref="A1101:B1101">
    <cfRule type="cellIs" dxfId="3622" priority="24488" operator="equal">
      <formula>0</formula>
    </cfRule>
  </conditionalFormatting>
  <conditionalFormatting sqref="D1102">
    <cfRule type="containsText" dxfId="3621" priority="24483" operator="containsText" text="Fri">
      <formula>NOT(ISERROR(SEARCH("Fri",D1102)))</formula>
    </cfRule>
    <cfRule type="containsText" dxfId="3620" priority="24484" operator="containsText" text="Thu">
      <formula>NOT(ISERROR(SEARCH("Thu",D1102)))</formula>
    </cfRule>
    <cfRule type="containsText" dxfId="3619" priority="24485" operator="containsText" text="Wed">
      <formula>NOT(ISERROR(SEARCH("Wed",D1102)))</formula>
    </cfRule>
    <cfRule type="containsText" dxfId="3618" priority="24486" operator="containsText" text="Tue">
      <formula>NOT(ISERROR(SEARCH("Tue",D1102)))</formula>
    </cfRule>
    <cfRule type="containsText" dxfId="3617" priority="24487" operator="containsText" text="Mon">
      <formula>NOT(ISERROR(SEARCH("Mon",D1102)))</formula>
    </cfRule>
  </conditionalFormatting>
  <conditionalFormatting sqref="A1102:B1102">
    <cfRule type="cellIs" dxfId="3616" priority="24482" operator="equal">
      <formula>0</formula>
    </cfRule>
  </conditionalFormatting>
  <conditionalFormatting sqref="D1103">
    <cfRule type="containsText" dxfId="3615" priority="24477" operator="containsText" text="Fri">
      <formula>NOT(ISERROR(SEARCH("Fri",D1103)))</formula>
    </cfRule>
    <cfRule type="containsText" dxfId="3614" priority="24478" operator="containsText" text="Thu">
      <formula>NOT(ISERROR(SEARCH("Thu",D1103)))</formula>
    </cfRule>
    <cfRule type="containsText" dxfId="3613" priority="24479" operator="containsText" text="Wed">
      <formula>NOT(ISERROR(SEARCH("Wed",D1103)))</formula>
    </cfRule>
    <cfRule type="containsText" dxfId="3612" priority="24480" operator="containsText" text="Tue">
      <formula>NOT(ISERROR(SEARCH("Tue",D1103)))</formula>
    </cfRule>
    <cfRule type="containsText" dxfId="3611" priority="24481" operator="containsText" text="Mon">
      <formula>NOT(ISERROR(SEARCH("Mon",D1103)))</formula>
    </cfRule>
  </conditionalFormatting>
  <conditionalFormatting sqref="A1103:B1103">
    <cfRule type="cellIs" dxfId="3610" priority="24476" operator="equal">
      <formula>0</formula>
    </cfRule>
  </conditionalFormatting>
  <conditionalFormatting sqref="D1106 D1104">
    <cfRule type="containsText" dxfId="3609" priority="24471" operator="containsText" text="Fri">
      <formula>NOT(ISERROR(SEARCH("Fri",D1104)))</formula>
    </cfRule>
    <cfRule type="containsText" dxfId="3608" priority="24472" operator="containsText" text="Thu">
      <formula>NOT(ISERROR(SEARCH("Thu",D1104)))</formula>
    </cfRule>
    <cfRule type="containsText" dxfId="3607" priority="24473" operator="containsText" text="Wed">
      <formula>NOT(ISERROR(SEARCH("Wed",D1104)))</formula>
    </cfRule>
    <cfRule type="containsText" dxfId="3606" priority="24474" operator="containsText" text="Tue">
      <formula>NOT(ISERROR(SEARCH("Tue",D1104)))</formula>
    </cfRule>
    <cfRule type="containsText" dxfId="3605" priority="24475" operator="containsText" text="Mon">
      <formula>NOT(ISERROR(SEARCH("Mon",D1104)))</formula>
    </cfRule>
  </conditionalFormatting>
  <conditionalFormatting sqref="A1104:B1106">
    <cfRule type="cellIs" dxfId="3604" priority="24470" operator="equal">
      <formula>0</formula>
    </cfRule>
  </conditionalFormatting>
  <conditionalFormatting sqref="D1105">
    <cfRule type="containsText" dxfId="3603" priority="24465" operator="containsText" text="Fri">
      <formula>NOT(ISERROR(SEARCH("Fri",D1105)))</formula>
    </cfRule>
    <cfRule type="containsText" dxfId="3602" priority="24466" operator="containsText" text="Thu">
      <formula>NOT(ISERROR(SEARCH("Thu",D1105)))</formula>
    </cfRule>
    <cfRule type="containsText" dxfId="3601" priority="24467" operator="containsText" text="Wed">
      <formula>NOT(ISERROR(SEARCH("Wed",D1105)))</formula>
    </cfRule>
    <cfRule type="containsText" dxfId="3600" priority="24468" operator="containsText" text="Tue">
      <formula>NOT(ISERROR(SEARCH("Tue",D1105)))</formula>
    </cfRule>
    <cfRule type="containsText" dxfId="3599" priority="24469" operator="containsText" text="Mon">
      <formula>NOT(ISERROR(SEARCH("Mon",D1105)))</formula>
    </cfRule>
  </conditionalFormatting>
  <conditionalFormatting sqref="D1107">
    <cfRule type="containsText" dxfId="3598" priority="24460" operator="containsText" text="Fri">
      <formula>NOT(ISERROR(SEARCH("Fri",D1107)))</formula>
    </cfRule>
    <cfRule type="containsText" dxfId="3597" priority="24461" operator="containsText" text="Thu">
      <formula>NOT(ISERROR(SEARCH("Thu",D1107)))</formula>
    </cfRule>
    <cfRule type="containsText" dxfId="3596" priority="24462" operator="containsText" text="Wed">
      <formula>NOT(ISERROR(SEARCH("Wed",D1107)))</formula>
    </cfRule>
    <cfRule type="containsText" dxfId="3595" priority="24463" operator="containsText" text="Tue">
      <formula>NOT(ISERROR(SEARCH("Tue",D1107)))</formula>
    </cfRule>
    <cfRule type="containsText" dxfId="3594" priority="24464" operator="containsText" text="Mon">
      <formula>NOT(ISERROR(SEARCH("Mon",D1107)))</formula>
    </cfRule>
  </conditionalFormatting>
  <conditionalFormatting sqref="A1107:B1109">
    <cfRule type="cellIs" dxfId="3593" priority="24459" operator="equal">
      <formula>0</formula>
    </cfRule>
  </conditionalFormatting>
  <conditionalFormatting sqref="D1108:D1109">
    <cfRule type="containsText" dxfId="3592" priority="24454" operator="containsText" text="Fri">
      <formula>NOT(ISERROR(SEARCH("Fri",D1108)))</formula>
    </cfRule>
    <cfRule type="containsText" dxfId="3591" priority="24455" operator="containsText" text="Thu">
      <formula>NOT(ISERROR(SEARCH("Thu",D1108)))</formula>
    </cfRule>
    <cfRule type="containsText" dxfId="3590" priority="24456" operator="containsText" text="Wed">
      <formula>NOT(ISERROR(SEARCH("Wed",D1108)))</formula>
    </cfRule>
    <cfRule type="containsText" dxfId="3589" priority="24457" operator="containsText" text="Tue">
      <formula>NOT(ISERROR(SEARCH("Tue",D1108)))</formula>
    </cfRule>
    <cfRule type="containsText" dxfId="3588" priority="24458" operator="containsText" text="Mon">
      <formula>NOT(ISERROR(SEARCH("Mon",D1108)))</formula>
    </cfRule>
  </conditionalFormatting>
  <conditionalFormatting sqref="D1116 D1110:D1114">
    <cfRule type="containsText" dxfId="3587" priority="24449" operator="containsText" text="Fri">
      <formula>NOT(ISERROR(SEARCH("Fri",D1110)))</formula>
    </cfRule>
    <cfRule type="containsText" dxfId="3586" priority="24450" operator="containsText" text="Thu">
      <formula>NOT(ISERROR(SEARCH("Thu",D1110)))</formula>
    </cfRule>
    <cfRule type="containsText" dxfId="3585" priority="24451" operator="containsText" text="Wed">
      <formula>NOT(ISERROR(SEARCH("Wed",D1110)))</formula>
    </cfRule>
    <cfRule type="containsText" dxfId="3584" priority="24452" operator="containsText" text="Tue">
      <formula>NOT(ISERROR(SEARCH("Tue",D1110)))</formula>
    </cfRule>
    <cfRule type="containsText" dxfId="3583" priority="24453" operator="containsText" text="Mon">
      <formula>NOT(ISERROR(SEARCH("Mon",D1110)))</formula>
    </cfRule>
  </conditionalFormatting>
  <conditionalFormatting sqref="A1110:B1116">
    <cfRule type="cellIs" dxfId="3582" priority="24448" operator="equal">
      <formula>0</formula>
    </cfRule>
  </conditionalFormatting>
  <conditionalFormatting sqref="D1115">
    <cfRule type="containsText" dxfId="3581" priority="24443" operator="containsText" text="Fri">
      <formula>NOT(ISERROR(SEARCH("Fri",D1115)))</formula>
    </cfRule>
    <cfRule type="containsText" dxfId="3580" priority="24444" operator="containsText" text="Thu">
      <formula>NOT(ISERROR(SEARCH("Thu",D1115)))</formula>
    </cfRule>
    <cfRule type="containsText" dxfId="3579" priority="24445" operator="containsText" text="Wed">
      <formula>NOT(ISERROR(SEARCH("Wed",D1115)))</formula>
    </cfRule>
    <cfRule type="containsText" dxfId="3578" priority="24446" operator="containsText" text="Tue">
      <formula>NOT(ISERROR(SEARCH("Tue",D1115)))</formula>
    </cfRule>
    <cfRule type="containsText" dxfId="3577" priority="24447" operator="containsText" text="Mon">
      <formula>NOT(ISERROR(SEARCH("Mon",D1115)))</formula>
    </cfRule>
  </conditionalFormatting>
  <conditionalFormatting sqref="D1117">
    <cfRule type="containsText" dxfId="3576" priority="24438" operator="containsText" text="Fri">
      <formula>NOT(ISERROR(SEARCH("Fri",D1117)))</formula>
    </cfRule>
    <cfRule type="containsText" dxfId="3575" priority="24439" operator="containsText" text="Thu">
      <formula>NOT(ISERROR(SEARCH("Thu",D1117)))</formula>
    </cfRule>
    <cfRule type="containsText" dxfId="3574" priority="24440" operator="containsText" text="Wed">
      <formula>NOT(ISERROR(SEARCH("Wed",D1117)))</formula>
    </cfRule>
    <cfRule type="containsText" dxfId="3573" priority="24441" operator="containsText" text="Tue">
      <formula>NOT(ISERROR(SEARCH("Tue",D1117)))</formula>
    </cfRule>
    <cfRule type="containsText" dxfId="3572" priority="24442" operator="containsText" text="Mon">
      <formula>NOT(ISERROR(SEARCH("Mon",D1117)))</formula>
    </cfRule>
  </conditionalFormatting>
  <conditionalFormatting sqref="A1117:B1119">
    <cfRule type="cellIs" dxfId="3571" priority="24437" operator="equal">
      <formula>0</formula>
    </cfRule>
  </conditionalFormatting>
  <conditionalFormatting sqref="D1118:D1119">
    <cfRule type="containsText" dxfId="3570" priority="24432" operator="containsText" text="Fri">
      <formula>NOT(ISERROR(SEARCH("Fri",D1118)))</formula>
    </cfRule>
    <cfRule type="containsText" dxfId="3569" priority="24433" operator="containsText" text="Thu">
      <formula>NOT(ISERROR(SEARCH("Thu",D1118)))</formula>
    </cfRule>
    <cfRule type="containsText" dxfId="3568" priority="24434" operator="containsText" text="Wed">
      <formula>NOT(ISERROR(SEARCH("Wed",D1118)))</formula>
    </cfRule>
    <cfRule type="containsText" dxfId="3567" priority="24435" operator="containsText" text="Tue">
      <formula>NOT(ISERROR(SEARCH("Tue",D1118)))</formula>
    </cfRule>
    <cfRule type="containsText" dxfId="3566" priority="24436" operator="containsText" text="Mon">
      <formula>NOT(ISERROR(SEARCH("Mon",D1118)))</formula>
    </cfRule>
  </conditionalFormatting>
  <conditionalFormatting sqref="D1123 D1120:D1121">
    <cfRule type="containsText" dxfId="3565" priority="24427" operator="containsText" text="Fri">
      <formula>NOT(ISERROR(SEARCH("Fri",D1120)))</formula>
    </cfRule>
    <cfRule type="containsText" dxfId="3564" priority="24428" operator="containsText" text="Thu">
      <formula>NOT(ISERROR(SEARCH("Thu",D1120)))</formula>
    </cfRule>
    <cfRule type="containsText" dxfId="3563" priority="24429" operator="containsText" text="Wed">
      <formula>NOT(ISERROR(SEARCH("Wed",D1120)))</formula>
    </cfRule>
    <cfRule type="containsText" dxfId="3562" priority="24430" operator="containsText" text="Tue">
      <formula>NOT(ISERROR(SEARCH("Tue",D1120)))</formula>
    </cfRule>
    <cfRule type="containsText" dxfId="3561" priority="24431" operator="containsText" text="Mon">
      <formula>NOT(ISERROR(SEARCH("Mon",D1120)))</formula>
    </cfRule>
  </conditionalFormatting>
  <conditionalFormatting sqref="A1120:B1123">
    <cfRule type="cellIs" dxfId="3560" priority="24426" operator="equal">
      <formula>0</formula>
    </cfRule>
  </conditionalFormatting>
  <conditionalFormatting sqref="D1122">
    <cfRule type="containsText" dxfId="3559" priority="24421" operator="containsText" text="Fri">
      <formula>NOT(ISERROR(SEARCH("Fri",D1122)))</formula>
    </cfRule>
    <cfRule type="containsText" dxfId="3558" priority="24422" operator="containsText" text="Thu">
      <formula>NOT(ISERROR(SEARCH("Thu",D1122)))</formula>
    </cfRule>
    <cfRule type="containsText" dxfId="3557" priority="24423" operator="containsText" text="Wed">
      <formula>NOT(ISERROR(SEARCH("Wed",D1122)))</formula>
    </cfRule>
    <cfRule type="containsText" dxfId="3556" priority="24424" operator="containsText" text="Tue">
      <formula>NOT(ISERROR(SEARCH("Tue",D1122)))</formula>
    </cfRule>
    <cfRule type="containsText" dxfId="3555" priority="24425" operator="containsText" text="Mon">
      <formula>NOT(ISERROR(SEARCH("Mon",D1122)))</formula>
    </cfRule>
  </conditionalFormatting>
  <conditionalFormatting sqref="D1124">
    <cfRule type="containsText" dxfId="3554" priority="24416" operator="containsText" text="Fri">
      <formula>NOT(ISERROR(SEARCH("Fri",D1124)))</formula>
    </cfRule>
    <cfRule type="containsText" dxfId="3553" priority="24417" operator="containsText" text="Thu">
      <formula>NOT(ISERROR(SEARCH("Thu",D1124)))</formula>
    </cfRule>
    <cfRule type="containsText" dxfId="3552" priority="24418" operator="containsText" text="Wed">
      <formula>NOT(ISERROR(SEARCH("Wed",D1124)))</formula>
    </cfRule>
    <cfRule type="containsText" dxfId="3551" priority="24419" operator="containsText" text="Tue">
      <formula>NOT(ISERROR(SEARCH("Tue",D1124)))</formula>
    </cfRule>
    <cfRule type="containsText" dxfId="3550" priority="24420" operator="containsText" text="Mon">
      <formula>NOT(ISERROR(SEARCH("Mon",D1124)))</formula>
    </cfRule>
  </conditionalFormatting>
  <conditionalFormatting sqref="A1124:B1127">
    <cfRule type="cellIs" dxfId="3549" priority="24415" operator="equal">
      <formula>0</formula>
    </cfRule>
  </conditionalFormatting>
  <conditionalFormatting sqref="D1125:D1127">
    <cfRule type="containsText" dxfId="3548" priority="24410" operator="containsText" text="Fri">
      <formula>NOT(ISERROR(SEARCH("Fri",D1125)))</formula>
    </cfRule>
    <cfRule type="containsText" dxfId="3547" priority="24411" operator="containsText" text="Thu">
      <formula>NOT(ISERROR(SEARCH("Thu",D1125)))</formula>
    </cfRule>
    <cfRule type="containsText" dxfId="3546" priority="24412" operator="containsText" text="Wed">
      <formula>NOT(ISERROR(SEARCH("Wed",D1125)))</formula>
    </cfRule>
    <cfRule type="containsText" dxfId="3545" priority="24413" operator="containsText" text="Tue">
      <formula>NOT(ISERROR(SEARCH("Tue",D1125)))</formula>
    </cfRule>
    <cfRule type="containsText" dxfId="3544" priority="24414" operator="containsText" text="Mon">
      <formula>NOT(ISERROR(SEARCH("Mon",D1125)))</formula>
    </cfRule>
  </conditionalFormatting>
  <conditionalFormatting sqref="D1128:D1134">
    <cfRule type="containsText" dxfId="3543" priority="24405" operator="containsText" text="Fri">
      <formula>NOT(ISERROR(SEARCH("Fri",D1128)))</formula>
    </cfRule>
    <cfRule type="containsText" dxfId="3542" priority="24406" operator="containsText" text="Thu">
      <formula>NOT(ISERROR(SEARCH("Thu",D1128)))</formula>
    </cfRule>
    <cfRule type="containsText" dxfId="3541" priority="24407" operator="containsText" text="Wed">
      <formula>NOT(ISERROR(SEARCH("Wed",D1128)))</formula>
    </cfRule>
    <cfRule type="containsText" dxfId="3540" priority="24408" operator="containsText" text="Tue">
      <formula>NOT(ISERROR(SEARCH("Tue",D1128)))</formula>
    </cfRule>
    <cfRule type="containsText" dxfId="3539" priority="24409" operator="containsText" text="Mon">
      <formula>NOT(ISERROR(SEARCH("Mon",D1128)))</formula>
    </cfRule>
  </conditionalFormatting>
  <conditionalFormatting sqref="A1128:B1134">
    <cfRule type="cellIs" dxfId="3538" priority="24404" operator="equal">
      <formula>0</formula>
    </cfRule>
  </conditionalFormatting>
  <conditionalFormatting sqref="D1135:D1140">
    <cfRule type="containsText" dxfId="3537" priority="24399" operator="containsText" text="Fri">
      <formula>NOT(ISERROR(SEARCH("Fri",D1135)))</formula>
    </cfRule>
    <cfRule type="containsText" dxfId="3536" priority="24400" operator="containsText" text="Thu">
      <formula>NOT(ISERROR(SEARCH("Thu",D1135)))</formula>
    </cfRule>
    <cfRule type="containsText" dxfId="3535" priority="24401" operator="containsText" text="Wed">
      <formula>NOT(ISERROR(SEARCH("Wed",D1135)))</formula>
    </cfRule>
    <cfRule type="containsText" dxfId="3534" priority="24402" operator="containsText" text="Tue">
      <formula>NOT(ISERROR(SEARCH("Tue",D1135)))</formula>
    </cfRule>
    <cfRule type="containsText" dxfId="3533" priority="24403" operator="containsText" text="Mon">
      <formula>NOT(ISERROR(SEARCH("Mon",D1135)))</formula>
    </cfRule>
  </conditionalFormatting>
  <conditionalFormatting sqref="A1135:B1142">
    <cfRule type="cellIs" dxfId="3532" priority="24398" operator="equal">
      <formula>0</formula>
    </cfRule>
  </conditionalFormatting>
  <conditionalFormatting sqref="D1141:D1142">
    <cfRule type="containsText" dxfId="3531" priority="24393" operator="containsText" text="Fri">
      <formula>NOT(ISERROR(SEARCH("Fri",D1141)))</formula>
    </cfRule>
    <cfRule type="containsText" dxfId="3530" priority="24394" operator="containsText" text="Thu">
      <formula>NOT(ISERROR(SEARCH("Thu",D1141)))</formula>
    </cfRule>
    <cfRule type="containsText" dxfId="3529" priority="24395" operator="containsText" text="Wed">
      <formula>NOT(ISERROR(SEARCH("Wed",D1141)))</formula>
    </cfRule>
    <cfRule type="containsText" dxfId="3528" priority="24396" operator="containsText" text="Tue">
      <formula>NOT(ISERROR(SEARCH("Tue",D1141)))</formula>
    </cfRule>
    <cfRule type="containsText" dxfId="3527" priority="24397" operator="containsText" text="Mon">
      <formula>NOT(ISERROR(SEARCH("Mon",D1141)))</formula>
    </cfRule>
  </conditionalFormatting>
  <conditionalFormatting sqref="D1143:D1149">
    <cfRule type="containsText" dxfId="3526" priority="24388" operator="containsText" text="Fri">
      <formula>NOT(ISERROR(SEARCH("Fri",D1143)))</formula>
    </cfRule>
    <cfRule type="containsText" dxfId="3525" priority="24389" operator="containsText" text="Thu">
      <formula>NOT(ISERROR(SEARCH("Thu",D1143)))</formula>
    </cfRule>
    <cfRule type="containsText" dxfId="3524" priority="24390" operator="containsText" text="Wed">
      <formula>NOT(ISERROR(SEARCH("Wed",D1143)))</formula>
    </cfRule>
    <cfRule type="containsText" dxfId="3523" priority="24391" operator="containsText" text="Tue">
      <formula>NOT(ISERROR(SEARCH("Tue",D1143)))</formula>
    </cfRule>
    <cfRule type="containsText" dxfId="3522" priority="24392" operator="containsText" text="Mon">
      <formula>NOT(ISERROR(SEARCH("Mon",D1143)))</formula>
    </cfRule>
  </conditionalFormatting>
  <conditionalFormatting sqref="A1143:B1149">
    <cfRule type="cellIs" dxfId="3521" priority="24387" operator="equal">
      <formula>0</formula>
    </cfRule>
  </conditionalFormatting>
  <conditionalFormatting sqref="D1150">
    <cfRule type="containsText" dxfId="3520" priority="24382" operator="containsText" text="Fri">
      <formula>NOT(ISERROR(SEARCH("Fri",D1150)))</formula>
    </cfRule>
    <cfRule type="containsText" dxfId="3519" priority="24383" operator="containsText" text="Thu">
      <formula>NOT(ISERROR(SEARCH("Thu",D1150)))</formula>
    </cfRule>
    <cfRule type="containsText" dxfId="3518" priority="24384" operator="containsText" text="Wed">
      <formula>NOT(ISERROR(SEARCH("Wed",D1150)))</formula>
    </cfRule>
    <cfRule type="containsText" dxfId="3517" priority="24385" operator="containsText" text="Tue">
      <formula>NOT(ISERROR(SEARCH("Tue",D1150)))</formula>
    </cfRule>
    <cfRule type="containsText" dxfId="3516" priority="24386" operator="containsText" text="Mon">
      <formula>NOT(ISERROR(SEARCH("Mon",D1150)))</formula>
    </cfRule>
  </conditionalFormatting>
  <conditionalFormatting sqref="A1150:B1152">
    <cfRule type="cellIs" dxfId="3515" priority="24381" operator="equal">
      <formula>0</formula>
    </cfRule>
  </conditionalFormatting>
  <conditionalFormatting sqref="D1151:D1152">
    <cfRule type="containsText" dxfId="3514" priority="24376" operator="containsText" text="Fri">
      <formula>NOT(ISERROR(SEARCH("Fri",D1151)))</formula>
    </cfRule>
    <cfRule type="containsText" dxfId="3513" priority="24377" operator="containsText" text="Thu">
      <formula>NOT(ISERROR(SEARCH("Thu",D1151)))</formula>
    </cfRule>
    <cfRule type="containsText" dxfId="3512" priority="24378" operator="containsText" text="Wed">
      <formula>NOT(ISERROR(SEARCH("Wed",D1151)))</formula>
    </cfRule>
    <cfRule type="containsText" dxfId="3511" priority="24379" operator="containsText" text="Tue">
      <formula>NOT(ISERROR(SEARCH("Tue",D1151)))</formula>
    </cfRule>
    <cfRule type="containsText" dxfId="3510" priority="24380" operator="containsText" text="Mon">
      <formula>NOT(ISERROR(SEARCH("Mon",D1151)))</formula>
    </cfRule>
  </conditionalFormatting>
  <conditionalFormatting sqref="D1153:D1159">
    <cfRule type="containsText" dxfId="3509" priority="24371" operator="containsText" text="Fri">
      <formula>NOT(ISERROR(SEARCH("Fri",D1153)))</formula>
    </cfRule>
    <cfRule type="containsText" dxfId="3508" priority="24372" operator="containsText" text="Thu">
      <formula>NOT(ISERROR(SEARCH("Thu",D1153)))</formula>
    </cfRule>
    <cfRule type="containsText" dxfId="3507" priority="24373" operator="containsText" text="Wed">
      <formula>NOT(ISERROR(SEARCH("Wed",D1153)))</formula>
    </cfRule>
    <cfRule type="containsText" dxfId="3506" priority="24374" operator="containsText" text="Tue">
      <formula>NOT(ISERROR(SEARCH("Tue",D1153)))</formula>
    </cfRule>
    <cfRule type="containsText" dxfId="3505" priority="24375" operator="containsText" text="Mon">
      <formula>NOT(ISERROR(SEARCH("Mon",D1153)))</formula>
    </cfRule>
  </conditionalFormatting>
  <conditionalFormatting sqref="A1153:B1159">
    <cfRule type="cellIs" dxfId="3504" priority="24370" operator="equal">
      <formula>0</formula>
    </cfRule>
  </conditionalFormatting>
  <conditionalFormatting sqref="D1160:D1169">
    <cfRule type="containsText" dxfId="3503" priority="24365" operator="containsText" text="Fri">
      <formula>NOT(ISERROR(SEARCH("Fri",D1160)))</formula>
    </cfRule>
    <cfRule type="containsText" dxfId="3502" priority="24366" operator="containsText" text="Thu">
      <formula>NOT(ISERROR(SEARCH("Thu",D1160)))</formula>
    </cfRule>
    <cfRule type="containsText" dxfId="3501" priority="24367" operator="containsText" text="Wed">
      <formula>NOT(ISERROR(SEARCH("Wed",D1160)))</formula>
    </cfRule>
    <cfRule type="containsText" dxfId="3500" priority="24368" operator="containsText" text="Tue">
      <formula>NOT(ISERROR(SEARCH("Tue",D1160)))</formula>
    </cfRule>
    <cfRule type="containsText" dxfId="3499" priority="24369" operator="containsText" text="Mon">
      <formula>NOT(ISERROR(SEARCH("Mon",D1160)))</formula>
    </cfRule>
  </conditionalFormatting>
  <conditionalFormatting sqref="A1160:B1169">
    <cfRule type="cellIs" dxfId="3498" priority="24364" operator="equal">
      <formula>0</formula>
    </cfRule>
  </conditionalFormatting>
  <conditionalFormatting sqref="D1170:D1173">
    <cfRule type="containsText" dxfId="3497" priority="24359" operator="containsText" text="Fri">
      <formula>NOT(ISERROR(SEARCH("Fri",D1170)))</formula>
    </cfRule>
    <cfRule type="containsText" dxfId="3496" priority="24360" operator="containsText" text="Thu">
      <formula>NOT(ISERROR(SEARCH("Thu",D1170)))</formula>
    </cfRule>
    <cfRule type="containsText" dxfId="3495" priority="24361" operator="containsText" text="Wed">
      <formula>NOT(ISERROR(SEARCH("Wed",D1170)))</formula>
    </cfRule>
    <cfRule type="containsText" dxfId="3494" priority="24362" operator="containsText" text="Tue">
      <formula>NOT(ISERROR(SEARCH("Tue",D1170)))</formula>
    </cfRule>
    <cfRule type="containsText" dxfId="3493" priority="24363" operator="containsText" text="Mon">
      <formula>NOT(ISERROR(SEARCH("Mon",D1170)))</formula>
    </cfRule>
  </conditionalFormatting>
  <conditionalFormatting sqref="A1170:B1180">
    <cfRule type="cellIs" dxfId="3492" priority="24358" operator="equal">
      <formula>0</formula>
    </cfRule>
  </conditionalFormatting>
  <conditionalFormatting sqref="D1174:D1180">
    <cfRule type="containsText" dxfId="3491" priority="24353" operator="containsText" text="Fri">
      <formula>NOT(ISERROR(SEARCH("Fri",D1174)))</formula>
    </cfRule>
    <cfRule type="containsText" dxfId="3490" priority="24354" operator="containsText" text="Thu">
      <formula>NOT(ISERROR(SEARCH("Thu",D1174)))</formula>
    </cfRule>
    <cfRule type="containsText" dxfId="3489" priority="24355" operator="containsText" text="Wed">
      <formula>NOT(ISERROR(SEARCH("Wed",D1174)))</formula>
    </cfRule>
    <cfRule type="containsText" dxfId="3488" priority="24356" operator="containsText" text="Tue">
      <formula>NOT(ISERROR(SEARCH("Tue",D1174)))</formula>
    </cfRule>
    <cfRule type="containsText" dxfId="3487" priority="24357" operator="containsText" text="Mon">
      <formula>NOT(ISERROR(SEARCH("Mon",D1174)))</formula>
    </cfRule>
  </conditionalFormatting>
  <conditionalFormatting sqref="E1181:K1194">
    <cfRule type="cellIs" dxfId="3486" priority="24352" operator="equal">
      <formula>0</formula>
    </cfRule>
  </conditionalFormatting>
  <conditionalFormatting sqref="D1181:D1187">
    <cfRule type="containsText" dxfId="3485" priority="24347" operator="containsText" text="Fri">
      <formula>NOT(ISERROR(SEARCH("Fri",D1181)))</formula>
    </cfRule>
    <cfRule type="containsText" dxfId="3484" priority="24348" operator="containsText" text="Thu">
      <formula>NOT(ISERROR(SEARCH("Thu",D1181)))</formula>
    </cfRule>
    <cfRule type="containsText" dxfId="3483" priority="24349" operator="containsText" text="Wed">
      <formula>NOT(ISERROR(SEARCH("Wed",D1181)))</formula>
    </cfRule>
    <cfRule type="containsText" dxfId="3482" priority="24350" operator="containsText" text="Tue">
      <formula>NOT(ISERROR(SEARCH("Tue",D1181)))</formula>
    </cfRule>
    <cfRule type="containsText" dxfId="3481" priority="24351" operator="containsText" text="Mon">
      <formula>NOT(ISERROR(SEARCH("Mon",D1181)))</formula>
    </cfRule>
  </conditionalFormatting>
  <conditionalFormatting sqref="A1181:B1194">
    <cfRule type="cellIs" dxfId="3480" priority="24346" operator="equal">
      <formula>0</formula>
    </cfRule>
  </conditionalFormatting>
  <conditionalFormatting sqref="D1188:D1194">
    <cfRule type="containsText" dxfId="3479" priority="24341" operator="containsText" text="Fri">
      <formula>NOT(ISERROR(SEARCH("Fri",D1188)))</formula>
    </cfRule>
    <cfRule type="containsText" dxfId="3478" priority="24342" operator="containsText" text="Thu">
      <formula>NOT(ISERROR(SEARCH("Thu",D1188)))</formula>
    </cfRule>
    <cfRule type="containsText" dxfId="3477" priority="24343" operator="containsText" text="Wed">
      <formula>NOT(ISERROR(SEARCH("Wed",D1188)))</formula>
    </cfRule>
    <cfRule type="containsText" dxfId="3476" priority="24344" operator="containsText" text="Tue">
      <formula>NOT(ISERROR(SEARCH("Tue",D1188)))</formula>
    </cfRule>
    <cfRule type="containsText" dxfId="3475" priority="24345" operator="containsText" text="Mon">
      <formula>NOT(ISERROR(SEARCH("Mon",D1188)))</formula>
    </cfRule>
  </conditionalFormatting>
  <conditionalFormatting sqref="E1195:K1206">
    <cfRule type="cellIs" dxfId="3474" priority="24340" operator="equal">
      <formula>0</formula>
    </cfRule>
  </conditionalFormatting>
  <conditionalFormatting sqref="D1195:D1199">
    <cfRule type="containsText" dxfId="3473" priority="24335" operator="containsText" text="Fri">
      <formula>NOT(ISERROR(SEARCH("Fri",D1195)))</formula>
    </cfRule>
    <cfRule type="containsText" dxfId="3472" priority="24336" operator="containsText" text="Thu">
      <formula>NOT(ISERROR(SEARCH("Thu",D1195)))</formula>
    </cfRule>
    <cfRule type="containsText" dxfId="3471" priority="24337" operator="containsText" text="Wed">
      <formula>NOT(ISERROR(SEARCH("Wed",D1195)))</formula>
    </cfRule>
    <cfRule type="containsText" dxfId="3470" priority="24338" operator="containsText" text="Tue">
      <formula>NOT(ISERROR(SEARCH("Tue",D1195)))</formula>
    </cfRule>
    <cfRule type="containsText" dxfId="3469" priority="24339" operator="containsText" text="Mon">
      <formula>NOT(ISERROR(SEARCH("Mon",D1195)))</formula>
    </cfRule>
  </conditionalFormatting>
  <conditionalFormatting sqref="A1195:B1206">
    <cfRule type="cellIs" dxfId="3468" priority="24334" operator="equal">
      <formula>0</formula>
    </cfRule>
  </conditionalFormatting>
  <conditionalFormatting sqref="D1200:D1206">
    <cfRule type="containsText" dxfId="3467" priority="24329" operator="containsText" text="Fri">
      <formula>NOT(ISERROR(SEARCH("Fri",D1200)))</formula>
    </cfRule>
    <cfRule type="containsText" dxfId="3466" priority="24330" operator="containsText" text="Thu">
      <formula>NOT(ISERROR(SEARCH("Thu",D1200)))</formula>
    </cfRule>
    <cfRule type="containsText" dxfId="3465" priority="24331" operator="containsText" text="Wed">
      <formula>NOT(ISERROR(SEARCH("Wed",D1200)))</formula>
    </cfRule>
    <cfRule type="containsText" dxfId="3464" priority="24332" operator="containsText" text="Tue">
      <formula>NOT(ISERROR(SEARCH("Tue",D1200)))</formula>
    </cfRule>
    <cfRule type="containsText" dxfId="3463" priority="24333" operator="containsText" text="Mon">
      <formula>NOT(ISERROR(SEARCH("Mon",D1200)))</formula>
    </cfRule>
  </conditionalFormatting>
  <conditionalFormatting sqref="E1207:K1220">
    <cfRule type="cellIs" dxfId="3462" priority="24328" operator="equal">
      <formula>0</formula>
    </cfRule>
  </conditionalFormatting>
  <conditionalFormatting sqref="D1207:D1213">
    <cfRule type="containsText" dxfId="3461" priority="24323" operator="containsText" text="Fri">
      <formula>NOT(ISERROR(SEARCH("Fri",D1207)))</formula>
    </cfRule>
    <cfRule type="containsText" dxfId="3460" priority="24324" operator="containsText" text="Thu">
      <formula>NOT(ISERROR(SEARCH("Thu",D1207)))</formula>
    </cfRule>
    <cfRule type="containsText" dxfId="3459" priority="24325" operator="containsText" text="Wed">
      <formula>NOT(ISERROR(SEARCH("Wed",D1207)))</formula>
    </cfRule>
    <cfRule type="containsText" dxfId="3458" priority="24326" operator="containsText" text="Tue">
      <formula>NOT(ISERROR(SEARCH("Tue",D1207)))</formula>
    </cfRule>
    <cfRule type="containsText" dxfId="3457" priority="24327" operator="containsText" text="Mon">
      <formula>NOT(ISERROR(SEARCH("Mon",D1207)))</formula>
    </cfRule>
  </conditionalFormatting>
  <conditionalFormatting sqref="A1207:B1220">
    <cfRule type="cellIs" dxfId="3456" priority="24322" operator="equal">
      <formula>0</formula>
    </cfRule>
  </conditionalFormatting>
  <conditionalFormatting sqref="D1214:D1220">
    <cfRule type="containsText" dxfId="3455" priority="24317" operator="containsText" text="Fri">
      <formula>NOT(ISERROR(SEARCH("Fri",D1214)))</formula>
    </cfRule>
    <cfRule type="containsText" dxfId="3454" priority="24318" operator="containsText" text="Thu">
      <formula>NOT(ISERROR(SEARCH("Thu",D1214)))</formula>
    </cfRule>
    <cfRule type="containsText" dxfId="3453" priority="24319" operator="containsText" text="Wed">
      <formula>NOT(ISERROR(SEARCH("Wed",D1214)))</formula>
    </cfRule>
    <cfRule type="containsText" dxfId="3452" priority="24320" operator="containsText" text="Tue">
      <formula>NOT(ISERROR(SEARCH("Tue",D1214)))</formula>
    </cfRule>
    <cfRule type="containsText" dxfId="3451" priority="24321" operator="containsText" text="Mon">
      <formula>NOT(ISERROR(SEARCH("Mon",D1214)))</formula>
    </cfRule>
  </conditionalFormatting>
  <conditionalFormatting sqref="E1221:K1234">
    <cfRule type="cellIs" dxfId="3450" priority="24316" operator="equal">
      <formula>0</formula>
    </cfRule>
  </conditionalFormatting>
  <conditionalFormatting sqref="D1221:D1227">
    <cfRule type="containsText" dxfId="3449" priority="24311" operator="containsText" text="Fri">
      <formula>NOT(ISERROR(SEARCH("Fri",D1221)))</formula>
    </cfRule>
    <cfRule type="containsText" dxfId="3448" priority="24312" operator="containsText" text="Thu">
      <formula>NOT(ISERROR(SEARCH("Thu",D1221)))</formula>
    </cfRule>
    <cfRule type="containsText" dxfId="3447" priority="24313" operator="containsText" text="Wed">
      <formula>NOT(ISERROR(SEARCH("Wed",D1221)))</formula>
    </cfRule>
    <cfRule type="containsText" dxfId="3446" priority="24314" operator="containsText" text="Tue">
      <formula>NOT(ISERROR(SEARCH("Tue",D1221)))</formula>
    </cfRule>
    <cfRule type="containsText" dxfId="3445" priority="24315" operator="containsText" text="Mon">
      <formula>NOT(ISERROR(SEARCH("Mon",D1221)))</formula>
    </cfRule>
  </conditionalFormatting>
  <conditionalFormatting sqref="A1221:B1234">
    <cfRule type="cellIs" dxfId="3444" priority="24310" operator="equal">
      <formula>0</formula>
    </cfRule>
  </conditionalFormatting>
  <conditionalFormatting sqref="D1228:D1234">
    <cfRule type="containsText" dxfId="3443" priority="24305" operator="containsText" text="Fri">
      <formula>NOT(ISERROR(SEARCH("Fri",D1228)))</formula>
    </cfRule>
    <cfRule type="containsText" dxfId="3442" priority="24306" operator="containsText" text="Thu">
      <formula>NOT(ISERROR(SEARCH("Thu",D1228)))</formula>
    </cfRule>
    <cfRule type="containsText" dxfId="3441" priority="24307" operator="containsText" text="Wed">
      <formula>NOT(ISERROR(SEARCH("Wed",D1228)))</formula>
    </cfRule>
    <cfRule type="containsText" dxfId="3440" priority="24308" operator="containsText" text="Tue">
      <formula>NOT(ISERROR(SEARCH("Tue",D1228)))</formula>
    </cfRule>
    <cfRule type="containsText" dxfId="3439" priority="24309" operator="containsText" text="Mon">
      <formula>NOT(ISERROR(SEARCH("Mon",D1228)))</formula>
    </cfRule>
  </conditionalFormatting>
  <conditionalFormatting sqref="E1235:K1248">
    <cfRule type="cellIs" dxfId="3438" priority="24304" operator="equal">
      <formula>0</formula>
    </cfRule>
  </conditionalFormatting>
  <conditionalFormatting sqref="D1235:D1241">
    <cfRule type="containsText" dxfId="3437" priority="24299" operator="containsText" text="Fri">
      <formula>NOT(ISERROR(SEARCH("Fri",D1235)))</formula>
    </cfRule>
    <cfRule type="containsText" dxfId="3436" priority="24300" operator="containsText" text="Thu">
      <formula>NOT(ISERROR(SEARCH("Thu",D1235)))</formula>
    </cfRule>
    <cfRule type="containsText" dxfId="3435" priority="24301" operator="containsText" text="Wed">
      <formula>NOT(ISERROR(SEARCH("Wed",D1235)))</formula>
    </cfRule>
    <cfRule type="containsText" dxfId="3434" priority="24302" operator="containsText" text="Tue">
      <formula>NOT(ISERROR(SEARCH("Tue",D1235)))</formula>
    </cfRule>
    <cfRule type="containsText" dxfId="3433" priority="24303" operator="containsText" text="Mon">
      <formula>NOT(ISERROR(SEARCH("Mon",D1235)))</formula>
    </cfRule>
  </conditionalFormatting>
  <conditionalFormatting sqref="A1235:B1248">
    <cfRule type="cellIs" dxfId="3432" priority="24298" operator="equal">
      <formula>0</formula>
    </cfRule>
  </conditionalFormatting>
  <conditionalFormatting sqref="D1242:D1248">
    <cfRule type="containsText" dxfId="3431" priority="24293" operator="containsText" text="Fri">
      <formula>NOT(ISERROR(SEARCH("Fri",D1242)))</formula>
    </cfRule>
    <cfRule type="containsText" dxfId="3430" priority="24294" operator="containsText" text="Thu">
      <formula>NOT(ISERROR(SEARCH("Thu",D1242)))</formula>
    </cfRule>
    <cfRule type="containsText" dxfId="3429" priority="24295" operator="containsText" text="Wed">
      <formula>NOT(ISERROR(SEARCH("Wed",D1242)))</formula>
    </cfRule>
    <cfRule type="containsText" dxfId="3428" priority="24296" operator="containsText" text="Tue">
      <formula>NOT(ISERROR(SEARCH("Tue",D1242)))</formula>
    </cfRule>
    <cfRule type="containsText" dxfId="3427" priority="24297" operator="containsText" text="Mon">
      <formula>NOT(ISERROR(SEARCH("Mon",D1242)))</formula>
    </cfRule>
  </conditionalFormatting>
  <conditionalFormatting sqref="D1249:D1255">
    <cfRule type="containsText" dxfId="3426" priority="23525" operator="containsText" text="Fri">
      <formula>NOT(ISERROR(SEARCH("Fri",D1249)))</formula>
    </cfRule>
    <cfRule type="containsText" dxfId="3425" priority="23526" operator="containsText" text="Thu">
      <formula>NOT(ISERROR(SEARCH("Thu",D1249)))</formula>
    </cfRule>
    <cfRule type="containsText" dxfId="3424" priority="23527" operator="containsText" text="Wed">
      <formula>NOT(ISERROR(SEARCH("Wed",D1249)))</formula>
    </cfRule>
    <cfRule type="containsText" dxfId="3423" priority="23528" operator="containsText" text="Tue">
      <formula>NOT(ISERROR(SEARCH("Tue",D1249)))</formula>
    </cfRule>
    <cfRule type="containsText" dxfId="3422" priority="23529" operator="containsText" text="Mon">
      <formula>NOT(ISERROR(SEARCH("Mon",D1249)))</formula>
    </cfRule>
  </conditionalFormatting>
  <conditionalFormatting sqref="E1249:K1335">
    <cfRule type="cellIs" dxfId="3421" priority="23524" operator="equal">
      <formula>0</formula>
    </cfRule>
  </conditionalFormatting>
  <conditionalFormatting sqref="A1249:B1263">
    <cfRule type="cellIs" dxfId="3420" priority="23523" operator="equal">
      <formula>0</formula>
    </cfRule>
  </conditionalFormatting>
  <conditionalFormatting sqref="D1256:D1263">
    <cfRule type="containsText" dxfId="3419" priority="23518" operator="containsText" text="Fri">
      <formula>NOT(ISERROR(SEARCH("Fri",D1256)))</formula>
    </cfRule>
    <cfRule type="containsText" dxfId="3418" priority="23519" operator="containsText" text="Thu">
      <formula>NOT(ISERROR(SEARCH("Thu",D1256)))</formula>
    </cfRule>
    <cfRule type="containsText" dxfId="3417" priority="23520" operator="containsText" text="Wed">
      <formula>NOT(ISERROR(SEARCH("Wed",D1256)))</formula>
    </cfRule>
    <cfRule type="containsText" dxfId="3416" priority="23521" operator="containsText" text="Tue">
      <formula>NOT(ISERROR(SEARCH("Tue",D1256)))</formula>
    </cfRule>
    <cfRule type="containsText" dxfId="3415" priority="23522" operator="containsText" text="Mon">
      <formula>NOT(ISERROR(SEARCH("Mon",D1256)))</formula>
    </cfRule>
  </conditionalFormatting>
  <conditionalFormatting sqref="D1264:D1275">
    <cfRule type="containsText" dxfId="3414" priority="23513" operator="containsText" text="Fri">
      <formula>NOT(ISERROR(SEARCH("Fri",D1264)))</formula>
    </cfRule>
    <cfRule type="containsText" dxfId="3413" priority="23514" operator="containsText" text="Thu">
      <formula>NOT(ISERROR(SEARCH("Thu",D1264)))</formula>
    </cfRule>
    <cfRule type="containsText" dxfId="3412" priority="23515" operator="containsText" text="Wed">
      <formula>NOT(ISERROR(SEARCH("Wed",D1264)))</formula>
    </cfRule>
    <cfRule type="containsText" dxfId="3411" priority="23516" operator="containsText" text="Tue">
      <formula>NOT(ISERROR(SEARCH("Tue",D1264)))</formula>
    </cfRule>
    <cfRule type="containsText" dxfId="3410" priority="23517" operator="containsText" text="Mon">
      <formula>NOT(ISERROR(SEARCH("Mon",D1264)))</formula>
    </cfRule>
  </conditionalFormatting>
  <conditionalFormatting sqref="A1264:B1277">
    <cfRule type="cellIs" dxfId="3409" priority="23512" operator="equal">
      <formula>0</formula>
    </cfRule>
  </conditionalFormatting>
  <conditionalFormatting sqref="D1276">
    <cfRule type="containsText" dxfId="3408" priority="23507" operator="containsText" text="Fri">
      <formula>NOT(ISERROR(SEARCH("Fri",D1276)))</formula>
    </cfRule>
    <cfRule type="containsText" dxfId="3407" priority="23508" operator="containsText" text="Thu">
      <formula>NOT(ISERROR(SEARCH("Thu",D1276)))</formula>
    </cfRule>
    <cfRule type="containsText" dxfId="3406" priority="23509" operator="containsText" text="Wed">
      <formula>NOT(ISERROR(SEARCH("Wed",D1276)))</formula>
    </cfRule>
    <cfRule type="containsText" dxfId="3405" priority="23510" operator="containsText" text="Tue">
      <formula>NOT(ISERROR(SEARCH("Tue",D1276)))</formula>
    </cfRule>
    <cfRule type="containsText" dxfId="3404" priority="23511" operator="containsText" text="Mon">
      <formula>NOT(ISERROR(SEARCH("Mon",D1276)))</formula>
    </cfRule>
  </conditionalFormatting>
  <conditionalFormatting sqref="D1277:D1284">
    <cfRule type="containsText" dxfId="3403" priority="23502" operator="containsText" text="Fri">
      <formula>NOT(ISERROR(SEARCH("Fri",D1277)))</formula>
    </cfRule>
    <cfRule type="containsText" dxfId="3402" priority="23503" operator="containsText" text="Thu">
      <formula>NOT(ISERROR(SEARCH("Thu",D1277)))</formula>
    </cfRule>
    <cfRule type="containsText" dxfId="3401" priority="23504" operator="containsText" text="Wed">
      <formula>NOT(ISERROR(SEARCH("Wed",D1277)))</formula>
    </cfRule>
    <cfRule type="containsText" dxfId="3400" priority="23505" operator="containsText" text="Tue">
      <formula>NOT(ISERROR(SEARCH("Tue",D1277)))</formula>
    </cfRule>
    <cfRule type="containsText" dxfId="3399" priority="23506" operator="containsText" text="Mon">
      <formula>NOT(ISERROR(SEARCH("Mon",D1277)))</formula>
    </cfRule>
  </conditionalFormatting>
  <conditionalFormatting sqref="A1278:B1291">
    <cfRule type="cellIs" dxfId="3398" priority="23501" operator="equal">
      <formula>0</formula>
    </cfRule>
  </conditionalFormatting>
  <conditionalFormatting sqref="D1285:D1291">
    <cfRule type="containsText" dxfId="3397" priority="23496" operator="containsText" text="Fri">
      <formula>NOT(ISERROR(SEARCH("Fri",D1285)))</formula>
    </cfRule>
    <cfRule type="containsText" dxfId="3396" priority="23497" operator="containsText" text="Thu">
      <formula>NOT(ISERROR(SEARCH("Thu",D1285)))</formula>
    </cfRule>
    <cfRule type="containsText" dxfId="3395" priority="23498" operator="containsText" text="Wed">
      <formula>NOT(ISERROR(SEARCH("Wed",D1285)))</formula>
    </cfRule>
    <cfRule type="containsText" dxfId="3394" priority="23499" operator="containsText" text="Tue">
      <formula>NOT(ISERROR(SEARCH("Tue",D1285)))</formula>
    </cfRule>
    <cfRule type="containsText" dxfId="3393" priority="23500" operator="containsText" text="Mon">
      <formula>NOT(ISERROR(SEARCH("Mon",D1285)))</formula>
    </cfRule>
  </conditionalFormatting>
  <conditionalFormatting sqref="D1292:D1299">
    <cfRule type="containsText" dxfId="3392" priority="23491" operator="containsText" text="Fri">
      <formula>NOT(ISERROR(SEARCH("Fri",D1292)))</formula>
    </cfRule>
    <cfRule type="containsText" dxfId="3391" priority="23492" operator="containsText" text="Thu">
      <formula>NOT(ISERROR(SEARCH("Thu",D1292)))</formula>
    </cfRule>
    <cfRule type="containsText" dxfId="3390" priority="23493" operator="containsText" text="Wed">
      <formula>NOT(ISERROR(SEARCH("Wed",D1292)))</formula>
    </cfRule>
    <cfRule type="containsText" dxfId="3389" priority="23494" operator="containsText" text="Tue">
      <formula>NOT(ISERROR(SEARCH("Tue",D1292)))</formula>
    </cfRule>
    <cfRule type="containsText" dxfId="3388" priority="23495" operator="containsText" text="Mon">
      <formula>NOT(ISERROR(SEARCH("Mon",D1292)))</formula>
    </cfRule>
  </conditionalFormatting>
  <conditionalFormatting sqref="A1292:B1300">
    <cfRule type="cellIs" dxfId="3387" priority="23490" operator="equal">
      <formula>0</formula>
    </cfRule>
  </conditionalFormatting>
  <conditionalFormatting sqref="D1300">
    <cfRule type="containsText" dxfId="3386" priority="23485" operator="containsText" text="Fri">
      <formula>NOT(ISERROR(SEARCH("Fri",D1300)))</formula>
    </cfRule>
    <cfRule type="containsText" dxfId="3385" priority="23486" operator="containsText" text="Thu">
      <formula>NOT(ISERROR(SEARCH("Thu",D1300)))</formula>
    </cfRule>
    <cfRule type="containsText" dxfId="3384" priority="23487" operator="containsText" text="Wed">
      <formula>NOT(ISERROR(SEARCH("Wed",D1300)))</formula>
    </cfRule>
    <cfRule type="containsText" dxfId="3383" priority="23488" operator="containsText" text="Tue">
      <formula>NOT(ISERROR(SEARCH("Tue",D1300)))</formula>
    </cfRule>
    <cfRule type="containsText" dxfId="3382" priority="23489" operator="containsText" text="Mon">
      <formula>NOT(ISERROR(SEARCH("Mon",D1300)))</formula>
    </cfRule>
  </conditionalFormatting>
  <conditionalFormatting sqref="D1301">
    <cfRule type="containsText" dxfId="3381" priority="23480" operator="containsText" text="Fri">
      <formula>NOT(ISERROR(SEARCH("Fri",D1301)))</formula>
    </cfRule>
    <cfRule type="containsText" dxfId="3380" priority="23481" operator="containsText" text="Thu">
      <formula>NOT(ISERROR(SEARCH("Thu",D1301)))</formula>
    </cfRule>
    <cfRule type="containsText" dxfId="3379" priority="23482" operator="containsText" text="Wed">
      <formula>NOT(ISERROR(SEARCH("Wed",D1301)))</formula>
    </cfRule>
    <cfRule type="containsText" dxfId="3378" priority="23483" operator="containsText" text="Tue">
      <formula>NOT(ISERROR(SEARCH("Tue",D1301)))</formula>
    </cfRule>
    <cfRule type="containsText" dxfId="3377" priority="23484" operator="containsText" text="Mon">
      <formula>NOT(ISERROR(SEARCH("Mon",D1301)))</formula>
    </cfRule>
  </conditionalFormatting>
  <conditionalFormatting sqref="A1301:B1301">
    <cfRule type="cellIs" dxfId="3376" priority="23479" operator="equal">
      <formula>0</formula>
    </cfRule>
  </conditionalFormatting>
  <conditionalFormatting sqref="D1302">
    <cfRule type="containsText" dxfId="3375" priority="23474" operator="containsText" text="Fri">
      <formula>NOT(ISERROR(SEARCH("Fri",D1302)))</formula>
    </cfRule>
    <cfRule type="containsText" dxfId="3374" priority="23475" operator="containsText" text="Thu">
      <formula>NOT(ISERROR(SEARCH("Thu",D1302)))</formula>
    </cfRule>
    <cfRule type="containsText" dxfId="3373" priority="23476" operator="containsText" text="Wed">
      <formula>NOT(ISERROR(SEARCH("Wed",D1302)))</formula>
    </cfRule>
    <cfRule type="containsText" dxfId="3372" priority="23477" operator="containsText" text="Tue">
      <formula>NOT(ISERROR(SEARCH("Tue",D1302)))</formula>
    </cfRule>
    <cfRule type="containsText" dxfId="3371" priority="23478" operator="containsText" text="Mon">
      <formula>NOT(ISERROR(SEARCH("Mon",D1302)))</formula>
    </cfRule>
  </conditionalFormatting>
  <conditionalFormatting sqref="A1302:B1302">
    <cfRule type="cellIs" dxfId="3370" priority="23473" operator="equal">
      <formula>0</formula>
    </cfRule>
  </conditionalFormatting>
  <conditionalFormatting sqref="D1303">
    <cfRule type="containsText" dxfId="3369" priority="23468" operator="containsText" text="Fri">
      <formula>NOT(ISERROR(SEARCH("Fri",D1303)))</formula>
    </cfRule>
    <cfRule type="containsText" dxfId="3368" priority="23469" operator="containsText" text="Thu">
      <formula>NOT(ISERROR(SEARCH("Thu",D1303)))</formula>
    </cfRule>
    <cfRule type="containsText" dxfId="3367" priority="23470" operator="containsText" text="Wed">
      <formula>NOT(ISERROR(SEARCH("Wed",D1303)))</formula>
    </cfRule>
    <cfRule type="containsText" dxfId="3366" priority="23471" operator="containsText" text="Tue">
      <formula>NOT(ISERROR(SEARCH("Tue",D1303)))</formula>
    </cfRule>
    <cfRule type="containsText" dxfId="3365" priority="23472" operator="containsText" text="Mon">
      <formula>NOT(ISERROR(SEARCH("Mon",D1303)))</formula>
    </cfRule>
  </conditionalFormatting>
  <conditionalFormatting sqref="A1303:B1303">
    <cfRule type="cellIs" dxfId="3364" priority="23467" operator="equal">
      <formula>0</formula>
    </cfRule>
  </conditionalFormatting>
  <conditionalFormatting sqref="D1304:D1305">
    <cfRule type="containsText" dxfId="3363" priority="23462" operator="containsText" text="Fri">
      <formula>NOT(ISERROR(SEARCH("Fri",D1304)))</formula>
    </cfRule>
    <cfRule type="containsText" dxfId="3362" priority="23463" operator="containsText" text="Thu">
      <formula>NOT(ISERROR(SEARCH("Thu",D1304)))</formula>
    </cfRule>
    <cfRule type="containsText" dxfId="3361" priority="23464" operator="containsText" text="Wed">
      <formula>NOT(ISERROR(SEARCH("Wed",D1304)))</formula>
    </cfRule>
    <cfRule type="containsText" dxfId="3360" priority="23465" operator="containsText" text="Tue">
      <formula>NOT(ISERROR(SEARCH("Tue",D1304)))</formula>
    </cfRule>
    <cfRule type="containsText" dxfId="3359" priority="23466" operator="containsText" text="Mon">
      <formula>NOT(ISERROR(SEARCH("Mon",D1304)))</formula>
    </cfRule>
  </conditionalFormatting>
  <conditionalFormatting sqref="A1304:B1305">
    <cfRule type="cellIs" dxfId="3358" priority="23461" operator="equal">
      <formula>0</formula>
    </cfRule>
  </conditionalFormatting>
  <conditionalFormatting sqref="D1306">
    <cfRule type="containsText" dxfId="3357" priority="23456" operator="containsText" text="Fri">
      <formula>NOT(ISERROR(SEARCH("Fri",D1306)))</formula>
    </cfRule>
    <cfRule type="containsText" dxfId="3356" priority="23457" operator="containsText" text="Thu">
      <formula>NOT(ISERROR(SEARCH("Thu",D1306)))</formula>
    </cfRule>
    <cfRule type="containsText" dxfId="3355" priority="23458" operator="containsText" text="Wed">
      <formula>NOT(ISERROR(SEARCH("Wed",D1306)))</formula>
    </cfRule>
    <cfRule type="containsText" dxfId="3354" priority="23459" operator="containsText" text="Tue">
      <formula>NOT(ISERROR(SEARCH("Tue",D1306)))</formula>
    </cfRule>
    <cfRule type="containsText" dxfId="3353" priority="23460" operator="containsText" text="Mon">
      <formula>NOT(ISERROR(SEARCH("Mon",D1306)))</formula>
    </cfRule>
  </conditionalFormatting>
  <conditionalFormatting sqref="A1306:B1306">
    <cfRule type="cellIs" dxfId="3352" priority="23455" operator="equal">
      <formula>0</formula>
    </cfRule>
  </conditionalFormatting>
  <conditionalFormatting sqref="D1307">
    <cfRule type="containsText" dxfId="3351" priority="23450" operator="containsText" text="Fri">
      <formula>NOT(ISERROR(SEARCH("Fri",D1307)))</formula>
    </cfRule>
    <cfRule type="containsText" dxfId="3350" priority="23451" operator="containsText" text="Thu">
      <formula>NOT(ISERROR(SEARCH("Thu",D1307)))</formula>
    </cfRule>
    <cfRule type="containsText" dxfId="3349" priority="23452" operator="containsText" text="Wed">
      <formula>NOT(ISERROR(SEARCH("Wed",D1307)))</formula>
    </cfRule>
    <cfRule type="containsText" dxfId="3348" priority="23453" operator="containsText" text="Tue">
      <formula>NOT(ISERROR(SEARCH("Tue",D1307)))</formula>
    </cfRule>
    <cfRule type="containsText" dxfId="3347" priority="23454" operator="containsText" text="Mon">
      <formula>NOT(ISERROR(SEARCH("Mon",D1307)))</formula>
    </cfRule>
  </conditionalFormatting>
  <conditionalFormatting sqref="A1307:B1307">
    <cfRule type="cellIs" dxfId="3346" priority="23449" operator="equal">
      <formula>0</formula>
    </cfRule>
  </conditionalFormatting>
  <conditionalFormatting sqref="D1308">
    <cfRule type="containsText" dxfId="3345" priority="23444" operator="containsText" text="Fri">
      <formula>NOT(ISERROR(SEARCH("Fri",D1308)))</formula>
    </cfRule>
    <cfRule type="containsText" dxfId="3344" priority="23445" operator="containsText" text="Thu">
      <formula>NOT(ISERROR(SEARCH("Thu",D1308)))</formula>
    </cfRule>
    <cfRule type="containsText" dxfId="3343" priority="23446" operator="containsText" text="Wed">
      <formula>NOT(ISERROR(SEARCH("Wed",D1308)))</formula>
    </cfRule>
    <cfRule type="containsText" dxfId="3342" priority="23447" operator="containsText" text="Tue">
      <formula>NOT(ISERROR(SEARCH("Tue",D1308)))</formula>
    </cfRule>
    <cfRule type="containsText" dxfId="3341" priority="23448" operator="containsText" text="Mon">
      <formula>NOT(ISERROR(SEARCH("Mon",D1308)))</formula>
    </cfRule>
  </conditionalFormatting>
  <conditionalFormatting sqref="A1308:B1308">
    <cfRule type="cellIs" dxfId="3340" priority="23443" operator="equal">
      <formula>0</formula>
    </cfRule>
  </conditionalFormatting>
  <conditionalFormatting sqref="D1309:D1310">
    <cfRule type="containsText" dxfId="3339" priority="23438" operator="containsText" text="Fri">
      <formula>NOT(ISERROR(SEARCH("Fri",D1309)))</formula>
    </cfRule>
    <cfRule type="containsText" dxfId="3338" priority="23439" operator="containsText" text="Thu">
      <formula>NOT(ISERROR(SEARCH("Thu",D1309)))</formula>
    </cfRule>
    <cfRule type="containsText" dxfId="3337" priority="23440" operator="containsText" text="Wed">
      <formula>NOT(ISERROR(SEARCH("Wed",D1309)))</formula>
    </cfRule>
    <cfRule type="containsText" dxfId="3336" priority="23441" operator="containsText" text="Tue">
      <formula>NOT(ISERROR(SEARCH("Tue",D1309)))</formula>
    </cfRule>
    <cfRule type="containsText" dxfId="3335" priority="23442" operator="containsText" text="Mon">
      <formula>NOT(ISERROR(SEARCH("Mon",D1309)))</formula>
    </cfRule>
  </conditionalFormatting>
  <conditionalFormatting sqref="A1309:B1310">
    <cfRule type="cellIs" dxfId="3334" priority="23437" operator="equal">
      <formula>0</formula>
    </cfRule>
  </conditionalFormatting>
  <conditionalFormatting sqref="D1311">
    <cfRule type="containsText" dxfId="3333" priority="23432" operator="containsText" text="Fri">
      <formula>NOT(ISERROR(SEARCH("Fri",D1311)))</formula>
    </cfRule>
    <cfRule type="containsText" dxfId="3332" priority="23433" operator="containsText" text="Thu">
      <formula>NOT(ISERROR(SEARCH("Thu",D1311)))</formula>
    </cfRule>
    <cfRule type="containsText" dxfId="3331" priority="23434" operator="containsText" text="Wed">
      <formula>NOT(ISERROR(SEARCH("Wed",D1311)))</formula>
    </cfRule>
    <cfRule type="containsText" dxfId="3330" priority="23435" operator="containsText" text="Tue">
      <formula>NOT(ISERROR(SEARCH("Tue",D1311)))</formula>
    </cfRule>
    <cfRule type="containsText" dxfId="3329" priority="23436" operator="containsText" text="Mon">
      <formula>NOT(ISERROR(SEARCH("Mon",D1311)))</formula>
    </cfRule>
  </conditionalFormatting>
  <conditionalFormatting sqref="A1311:B1312">
    <cfRule type="cellIs" dxfId="3328" priority="23431" operator="equal">
      <formula>0</formula>
    </cfRule>
  </conditionalFormatting>
  <conditionalFormatting sqref="D1312">
    <cfRule type="containsText" dxfId="3327" priority="23426" operator="containsText" text="Fri">
      <formula>NOT(ISERROR(SEARCH("Fri",D1312)))</formula>
    </cfRule>
    <cfRule type="containsText" dxfId="3326" priority="23427" operator="containsText" text="Thu">
      <formula>NOT(ISERROR(SEARCH("Thu",D1312)))</formula>
    </cfRule>
    <cfRule type="containsText" dxfId="3325" priority="23428" operator="containsText" text="Wed">
      <formula>NOT(ISERROR(SEARCH("Wed",D1312)))</formula>
    </cfRule>
    <cfRule type="containsText" dxfId="3324" priority="23429" operator="containsText" text="Tue">
      <formula>NOT(ISERROR(SEARCH("Tue",D1312)))</formula>
    </cfRule>
    <cfRule type="containsText" dxfId="3323" priority="23430" operator="containsText" text="Mon">
      <formula>NOT(ISERROR(SEARCH("Mon",D1312)))</formula>
    </cfRule>
  </conditionalFormatting>
  <conditionalFormatting sqref="D1313:D1315">
    <cfRule type="containsText" dxfId="3322" priority="23421" operator="containsText" text="Fri">
      <formula>NOT(ISERROR(SEARCH("Fri",D1313)))</formula>
    </cfRule>
    <cfRule type="containsText" dxfId="3321" priority="23422" operator="containsText" text="Thu">
      <formula>NOT(ISERROR(SEARCH("Thu",D1313)))</formula>
    </cfRule>
    <cfRule type="containsText" dxfId="3320" priority="23423" operator="containsText" text="Wed">
      <formula>NOT(ISERROR(SEARCH("Wed",D1313)))</formula>
    </cfRule>
    <cfRule type="containsText" dxfId="3319" priority="23424" operator="containsText" text="Tue">
      <formula>NOT(ISERROR(SEARCH("Tue",D1313)))</formula>
    </cfRule>
    <cfRule type="containsText" dxfId="3318" priority="23425" operator="containsText" text="Mon">
      <formula>NOT(ISERROR(SEARCH("Mon",D1313)))</formula>
    </cfRule>
  </conditionalFormatting>
  <conditionalFormatting sqref="A1313:B1315">
    <cfRule type="cellIs" dxfId="3317" priority="23420" operator="equal">
      <formula>0</formula>
    </cfRule>
  </conditionalFormatting>
  <conditionalFormatting sqref="D1316">
    <cfRule type="containsText" dxfId="3316" priority="23415" operator="containsText" text="Fri">
      <formula>NOT(ISERROR(SEARCH("Fri",D1316)))</formula>
    </cfRule>
    <cfRule type="containsText" dxfId="3315" priority="23416" operator="containsText" text="Thu">
      <formula>NOT(ISERROR(SEARCH("Thu",D1316)))</formula>
    </cfRule>
    <cfRule type="containsText" dxfId="3314" priority="23417" operator="containsText" text="Wed">
      <formula>NOT(ISERROR(SEARCH("Wed",D1316)))</formula>
    </cfRule>
    <cfRule type="containsText" dxfId="3313" priority="23418" operator="containsText" text="Tue">
      <formula>NOT(ISERROR(SEARCH("Tue",D1316)))</formula>
    </cfRule>
    <cfRule type="containsText" dxfId="3312" priority="23419" operator="containsText" text="Mon">
      <formula>NOT(ISERROR(SEARCH("Mon",D1316)))</formula>
    </cfRule>
  </conditionalFormatting>
  <conditionalFormatting sqref="A1316:B1318">
    <cfRule type="cellIs" dxfId="3311" priority="23414" operator="equal">
      <formula>0</formula>
    </cfRule>
  </conditionalFormatting>
  <conditionalFormatting sqref="D1317:D1318">
    <cfRule type="containsText" dxfId="3310" priority="23409" operator="containsText" text="Fri">
      <formula>NOT(ISERROR(SEARCH("Fri",D1317)))</formula>
    </cfRule>
    <cfRule type="containsText" dxfId="3309" priority="23410" operator="containsText" text="Thu">
      <formula>NOT(ISERROR(SEARCH("Thu",D1317)))</formula>
    </cfRule>
    <cfRule type="containsText" dxfId="3308" priority="23411" operator="containsText" text="Wed">
      <formula>NOT(ISERROR(SEARCH("Wed",D1317)))</formula>
    </cfRule>
    <cfRule type="containsText" dxfId="3307" priority="23412" operator="containsText" text="Tue">
      <formula>NOT(ISERROR(SEARCH("Tue",D1317)))</formula>
    </cfRule>
    <cfRule type="containsText" dxfId="3306" priority="23413" operator="containsText" text="Mon">
      <formula>NOT(ISERROR(SEARCH("Mon",D1317)))</formula>
    </cfRule>
  </conditionalFormatting>
  <conditionalFormatting sqref="D1319:D1320">
    <cfRule type="containsText" dxfId="3305" priority="23404" operator="containsText" text="Fri">
      <formula>NOT(ISERROR(SEARCH("Fri",D1319)))</formula>
    </cfRule>
    <cfRule type="containsText" dxfId="3304" priority="23405" operator="containsText" text="Thu">
      <formula>NOT(ISERROR(SEARCH("Thu",D1319)))</formula>
    </cfRule>
    <cfRule type="containsText" dxfId="3303" priority="23406" operator="containsText" text="Wed">
      <formula>NOT(ISERROR(SEARCH("Wed",D1319)))</formula>
    </cfRule>
    <cfRule type="containsText" dxfId="3302" priority="23407" operator="containsText" text="Tue">
      <formula>NOT(ISERROR(SEARCH("Tue",D1319)))</formula>
    </cfRule>
    <cfRule type="containsText" dxfId="3301" priority="23408" operator="containsText" text="Mon">
      <formula>NOT(ISERROR(SEARCH("Mon",D1319)))</formula>
    </cfRule>
  </conditionalFormatting>
  <conditionalFormatting sqref="A1319:B1320">
    <cfRule type="cellIs" dxfId="3300" priority="23403" operator="equal">
      <formula>0</formula>
    </cfRule>
  </conditionalFormatting>
  <conditionalFormatting sqref="D1321:D1325">
    <cfRule type="containsText" dxfId="3299" priority="23398" operator="containsText" text="Fri">
      <formula>NOT(ISERROR(SEARCH("Fri",D1321)))</formula>
    </cfRule>
    <cfRule type="containsText" dxfId="3298" priority="23399" operator="containsText" text="Thu">
      <formula>NOT(ISERROR(SEARCH("Thu",D1321)))</formula>
    </cfRule>
    <cfRule type="containsText" dxfId="3297" priority="23400" operator="containsText" text="Wed">
      <formula>NOT(ISERROR(SEARCH("Wed",D1321)))</formula>
    </cfRule>
    <cfRule type="containsText" dxfId="3296" priority="23401" operator="containsText" text="Tue">
      <formula>NOT(ISERROR(SEARCH("Tue",D1321)))</formula>
    </cfRule>
    <cfRule type="containsText" dxfId="3295" priority="23402" operator="containsText" text="Mon">
      <formula>NOT(ISERROR(SEARCH("Mon",D1321)))</formula>
    </cfRule>
  </conditionalFormatting>
  <conditionalFormatting sqref="A1321:B1326">
    <cfRule type="cellIs" dxfId="3294" priority="23397" operator="equal">
      <formula>0</formula>
    </cfRule>
  </conditionalFormatting>
  <conditionalFormatting sqref="D1326">
    <cfRule type="containsText" dxfId="3293" priority="23392" operator="containsText" text="Fri">
      <formula>NOT(ISERROR(SEARCH("Fri",D1326)))</formula>
    </cfRule>
    <cfRule type="containsText" dxfId="3292" priority="23393" operator="containsText" text="Thu">
      <formula>NOT(ISERROR(SEARCH("Thu",D1326)))</formula>
    </cfRule>
    <cfRule type="containsText" dxfId="3291" priority="23394" operator="containsText" text="Wed">
      <formula>NOT(ISERROR(SEARCH("Wed",D1326)))</formula>
    </cfRule>
    <cfRule type="containsText" dxfId="3290" priority="23395" operator="containsText" text="Tue">
      <formula>NOT(ISERROR(SEARCH("Tue",D1326)))</formula>
    </cfRule>
    <cfRule type="containsText" dxfId="3289" priority="23396" operator="containsText" text="Mon">
      <formula>NOT(ISERROR(SEARCH("Mon",D1326)))</formula>
    </cfRule>
  </conditionalFormatting>
  <conditionalFormatting sqref="D1327:D1328">
    <cfRule type="containsText" dxfId="3288" priority="23387" operator="containsText" text="Fri">
      <formula>NOT(ISERROR(SEARCH("Fri",D1327)))</formula>
    </cfRule>
    <cfRule type="containsText" dxfId="3287" priority="23388" operator="containsText" text="Thu">
      <formula>NOT(ISERROR(SEARCH("Thu",D1327)))</formula>
    </cfRule>
    <cfRule type="containsText" dxfId="3286" priority="23389" operator="containsText" text="Wed">
      <formula>NOT(ISERROR(SEARCH("Wed",D1327)))</formula>
    </cfRule>
    <cfRule type="containsText" dxfId="3285" priority="23390" operator="containsText" text="Tue">
      <formula>NOT(ISERROR(SEARCH("Tue",D1327)))</formula>
    </cfRule>
    <cfRule type="containsText" dxfId="3284" priority="23391" operator="containsText" text="Mon">
      <formula>NOT(ISERROR(SEARCH("Mon",D1327)))</formula>
    </cfRule>
  </conditionalFormatting>
  <conditionalFormatting sqref="A1327:B1328">
    <cfRule type="cellIs" dxfId="3283" priority="23386" operator="equal">
      <formula>0</formula>
    </cfRule>
  </conditionalFormatting>
  <conditionalFormatting sqref="D1329:D1332">
    <cfRule type="containsText" dxfId="3282" priority="23381" operator="containsText" text="Fri">
      <formula>NOT(ISERROR(SEARCH("Fri",D1329)))</formula>
    </cfRule>
    <cfRule type="containsText" dxfId="3281" priority="23382" operator="containsText" text="Thu">
      <formula>NOT(ISERROR(SEARCH("Thu",D1329)))</formula>
    </cfRule>
    <cfRule type="containsText" dxfId="3280" priority="23383" operator="containsText" text="Wed">
      <formula>NOT(ISERROR(SEARCH("Wed",D1329)))</formula>
    </cfRule>
    <cfRule type="containsText" dxfId="3279" priority="23384" operator="containsText" text="Tue">
      <formula>NOT(ISERROR(SEARCH("Tue",D1329)))</formula>
    </cfRule>
    <cfRule type="containsText" dxfId="3278" priority="23385" operator="containsText" text="Mon">
      <formula>NOT(ISERROR(SEARCH("Mon",D1329)))</formula>
    </cfRule>
  </conditionalFormatting>
  <conditionalFormatting sqref="A1329:B1335">
    <cfRule type="cellIs" dxfId="3277" priority="23380" operator="equal">
      <formula>0</formula>
    </cfRule>
  </conditionalFormatting>
  <conditionalFormatting sqref="D1333:D1335">
    <cfRule type="containsText" dxfId="3276" priority="23375" operator="containsText" text="Fri">
      <formula>NOT(ISERROR(SEARCH("Fri",D1333)))</formula>
    </cfRule>
    <cfRule type="containsText" dxfId="3275" priority="23376" operator="containsText" text="Thu">
      <formula>NOT(ISERROR(SEARCH("Thu",D1333)))</formula>
    </cfRule>
    <cfRule type="containsText" dxfId="3274" priority="23377" operator="containsText" text="Wed">
      <formula>NOT(ISERROR(SEARCH("Wed",D1333)))</formula>
    </cfRule>
    <cfRule type="containsText" dxfId="3273" priority="23378" operator="containsText" text="Tue">
      <formula>NOT(ISERROR(SEARCH("Tue",D1333)))</formula>
    </cfRule>
    <cfRule type="containsText" dxfId="3272" priority="23379" operator="containsText" text="Mon">
      <formula>NOT(ISERROR(SEARCH("Mon",D1333)))</formula>
    </cfRule>
  </conditionalFormatting>
  <conditionalFormatting sqref="E1336:K1344">
    <cfRule type="cellIs" dxfId="3271" priority="23374" operator="equal">
      <formula>0</formula>
    </cfRule>
  </conditionalFormatting>
  <conditionalFormatting sqref="D1336:D1340">
    <cfRule type="containsText" dxfId="3270" priority="23369" operator="containsText" text="Fri">
      <formula>NOT(ISERROR(SEARCH("Fri",D1336)))</formula>
    </cfRule>
    <cfRule type="containsText" dxfId="3269" priority="23370" operator="containsText" text="Thu">
      <formula>NOT(ISERROR(SEARCH("Thu",D1336)))</formula>
    </cfRule>
    <cfRule type="containsText" dxfId="3268" priority="23371" operator="containsText" text="Wed">
      <formula>NOT(ISERROR(SEARCH("Wed",D1336)))</formula>
    </cfRule>
    <cfRule type="containsText" dxfId="3267" priority="23372" operator="containsText" text="Tue">
      <formula>NOT(ISERROR(SEARCH("Tue",D1336)))</formula>
    </cfRule>
    <cfRule type="containsText" dxfId="3266" priority="23373" operator="containsText" text="Mon">
      <formula>NOT(ISERROR(SEARCH("Mon",D1336)))</formula>
    </cfRule>
  </conditionalFormatting>
  <conditionalFormatting sqref="A1336:B1344">
    <cfRule type="cellIs" dxfId="3265" priority="23368" operator="equal">
      <formula>0</formula>
    </cfRule>
  </conditionalFormatting>
  <conditionalFormatting sqref="D1341:D1344">
    <cfRule type="containsText" dxfId="3264" priority="23363" operator="containsText" text="Fri">
      <formula>NOT(ISERROR(SEARCH("Fri",D1341)))</formula>
    </cfRule>
    <cfRule type="containsText" dxfId="3263" priority="23364" operator="containsText" text="Thu">
      <formula>NOT(ISERROR(SEARCH("Thu",D1341)))</formula>
    </cfRule>
    <cfRule type="containsText" dxfId="3262" priority="23365" operator="containsText" text="Wed">
      <formula>NOT(ISERROR(SEARCH("Wed",D1341)))</formula>
    </cfRule>
    <cfRule type="containsText" dxfId="3261" priority="23366" operator="containsText" text="Tue">
      <formula>NOT(ISERROR(SEARCH("Tue",D1341)))</formula>
    </cfRule>
    <cfRule type="containsText" dxfId="3260" priority="23367" operator="containsText" text="Mon">
      <formula>NOT(ISERROR(SEARCH("Mon",D1341)))</formula>
    </cfRule>
  </conditionalFormatting>
  <conditionalFormatting sqref="E1345:K1353">
    <cfRule type="cellIs" dxfId="3259" priority="23362" operator="equal">
      <formula>0</formula>
    </cfRule>
  </conditionalFormatting>
  <conditionalFormatting sqref="D1345:D1350">
    <cfRule type="containsText" dxfId="3258" priority="23357" operator="containsText" text="Fri">
      <formula>NOT(ISERROR(SEARCH("Fri",D1345)))</formula>
    </cfRule>
    <cfRule type="containsText" dxfId="3257" priority="23358" operator="containsText" text="Thu">
      <formula>NOT(ISERROR(SEARCH("Thu",D1345)))</formula>
    </cfRule>
    <cfRule type="containsText" dxfId="3256" priority="23359" operator="containsText" text="Wed">
      <formula>NOT(ISERROR(SEARCH("Wed",D1345)))</formula>
    </cfRule>
    <cfRule type="containsText" dxfId="3255" priority="23360" operator="containsText" text="Tue">
      <formula>NOT(ISERROR(SEARCH("Tue",D1345)))</formula>
    </cfRule>
    <cfRule type="containsText" dxfId="3254" priority="23361" operator="containsText" text="Mon">
      <formula>NOT(ISERROR(SEARCH("Mon",D1345)))</formula>
    </cfRule>
  </conditionalFormatting>
  <conditionalFormatting sqref="A1345:B1353">
    <cfRule type="cellIs" dxfId="3253" priority="23356" operator="equal">
      <formula>0</formula>
    </cfRule>
  </conditionalFormatting>
  <conditionalFormatting sqref="D1351:D1353">
    <cfRule type="containsText" dxfId="3252" priority="23351" operator="containsText" text="Fri">
      <formula>NOT(ISERROR(SEARCH("Fri",D1351)))</formula>
    </cfRule>
    <cfRule type="containsText" dxfId="3251" priority="23352" operator="containsText" text="Thu">
      <formula>NOT(ISERROR(SEARCH("Thu",D1351)))</formula>
    </cfRule>
    <cfRule type="containsText" dxfId="3250" priority="23353" operator="containsText" text="Wed">
      <formula>NOT(ISERROR(SEARCH("Wed",D1351)))</formula>
    </cfRule>
    <cfRule type="containsText" dxfId="3249" priority="23354" operator="containsText" text="Tue">
      <formula>NOT(ISERROR(SEARCH("Tue",D1351)))</formula>
    </cfRule>
    <cfRule type="containsText" dxfId="3248" priority="23355" operator="containsText" text="Mon">
      <formula>NOT(ISERROR(SEARCH("Mon",D1351)))</formula>
    </cfRule>
  </conditionalFormatting>
  <conditionalFormatting sqref="E1354:K1362">
    <cfRule type="cellIs" dxfId="3247" priority="23350" operator="equal">
      <formula>0</formula>
    </cfRule>
  </conditionalFormatting>
  <conditionalFormatting sqref="D1354:D1359">
    <cfRule type="containsText" dxfId="3246" priority="23345" operator="containsText" text="Fri">
      <formula>NOT(ISERROR(SEARCH("Fri",D1354)))</formula>
    </cfRule>
    <cfRule type="containsText" dxfId="3245" priority="23346" operator="containsText" text="Thu">
      <formula>NOT(ISERROR(SEARCH("Thu",D1354)))</formula>
    </cfRule>
    <cfRule type="containsText" dxfId="3244" priority="23347" operator="containsText" text="Wed">
      <formula>NOT(ISERROR(SEARCH("Wed",D1354)))</formula>
    </cfRule>
    <cfRule type="containsText" dxfId="3243" priority="23348" operator="containsText" text="Tue">
      <formula>NOT(ISERROR(SEARCH("Tue",D1354)))</formula>
    </cfRule>
    <cfRule type="containsText" dxfId="3242" priority="23349" operator="containsText" text="Mon">
      <formula>NOT(ISERROR(SEARCH("Mon",D1354)))</formula>
    </cfRule>
  </conditionalFormatting>
  <conditionalFormatting sqref="A1354:B1362">
    <cfRule type="cellIs" dxfId="3241" priority="23344" operator="equal">
      <formula>0</formula>
    </cfRule>
  </conditionalFormatting>
  <conditionalFormatting sqref="D1360:D1362">
    <cfRule type="containsText" dxfId="3240" priority="23339" operator="containsText" text="Fri">
      <formula>NOT(ISERROR(SEARCH("Fri",D1360)))</formula>
    </cfRule>
    <cfRule type="containsText" dxfId="3239" priority="23340" operator="containsText" text="Thu">
      <formula>NOT(ISERROR(SEARCH("Thu",D1360)))</formula>
    </cfRule>
    <cfRule type="containsText" dxfId="3238" priority="23341" operator="containsText" text="Wed">
      <formula>NOT(ISERROR(SEARCH("Wed",D1360)))</formula>
    </cfRule>
    <cfRule type="containsText" dxfId="3237" priority="23342" operator="containsText" text="Tue">
      <formula>NOT(ISERROR(SEARCH("Tue",D1360)))</formula>
    </cfRule>
    <cfRule type="containsText" dxfId="3236" priority="23343" operator="containsText" text="Mon">
      <formula>NOT(ISERROR(SEARCH("Mon",D1360)))</formula>
    </cfRule>
  </conditionalFormatting>
  <conditionalFormatting sqref="D1363:D1378">
    <cfRule type="containsText" dxfId="3235" priority="22373" operator="containsText" text="Fri">
      <formula>NOT(ISERROR(SEARCH("Fri",D1363)))</formula>
    </cfRule>
    <cfRule type="containsText" dxfId="3234" priority="22374" operator="containsText" text="Thu">
      <formula>NOT(ISERROR(SEARCH("Thu",D1363)))</formula>
    </cfRule>
    <cfRule type="containsText" dxfId="3233" priority="22375" operator="containsText" text="Wed">
      <formula>NOT(ISERROR(SEARCH("Wed",D1363)))</formula>
    </cfRule>
    <cfRule type="containsText" dxfId="3232" priority="22376" operator="containsText" text="Tue">
      <formula>NOT(ISERROR(SEARCH("Tue",D1363)))</formula>
    </cfRule>
    <cfRule type="containsText" dxfId="3231" priority="22377" operator="containsText" text="Mon">
      <formula>NOT(ISERROR(SEARCH("Mon",D1363)))</formula>
    </cfRule>
  </conditionalFormatting>
  <conditionalFormatting sqref="E1363:K1406">
    <cfRule type="cellIs" dxfId="3230" priority="22372" operator="equal">
      <formula>0</formula>
    </cfRule>
  </conditionalFormatting>
  <conditionalFormatting sqref="A1363:B1371">
    <cfRule type="cellIs" dxfId="3229" priority="22371" operator="equal">
      <formula>0</formula>
    </cfRule>
  </conditionalFormatting>
  <conditionalFormatting sqref="A1372:B1380">
    <cfRule type="cellIs" dxfId="3228" priority="22370" operator="equal">
      <formula>0</formula>
    </cfRule>
  </conditionalFormatting>
  <conditionalFormatting sqref="D1379:D1380">
    <cfRule type="containsText" dxfId="3227" priority="22365" operator="containsText" text="Fri">
      <formula>NOT(ISERROR(SEARCH("Fri",D1379)))</formula>
    </cfRule>
    <cfRule type="containsText" dxfId="3226" priority="22366" operator="containsText" text="Thu">
      <formula>NOT(ISERROR(SEARCH("Thu",D1379)))</formula>
    </cfRule>
    <cfRule type="containsText" dxfId="3225" priority="22367" operator="containsText" text="Wed">
      <formula>NOT(ISERROR(SEARCH("Wed",D1379)))</formula>
    </cfRule>
    <cfRule type="containsText" dxfId="3224" priority="22368" operator="containsText" text="Tue">
      <formula>NOT(ISERROR(SEARCH("Tue",D1379)))</formula>
    </cfRule>
    <cfRule type="containsText" dxfId="3223" priority="22369" operator="containsText" text="Mon">
      <formula>NOT(ISERROR(SEARCH("Mon",D1379)))</formula>
    </cfRule>
  </conditionalFormatting>
  <conditionalFormatting sqref="D1381">
    <cfRule type="containsText" dxfId="3222" priority="22360" operator="containsText" text="Fri">
      <formula>NOT(ISERROR(SEARCH("Fri",D1381)))</formula>
    </cfRule>
    <cfRule type="containsText" dxfId="3221" priority="22361" operator="containsText" text="Thu">
      <formula>NOT(ISERROR(SEARCH("Thu",D1381)))</formula>
    </cfRule>
    <cfRule type="containsText" dxfId="3220" priority="22362" operator="containsText" text="Wed">
      <formula>NOT(ISERROR(SEARCH("Wed",D1381)))</formula>
    </cfRule>
    <cfRule type="containsText" dxfId="3219" priority="22363" operator="containsText" text="Tue">
      <formula>NOT(ISERROR(SEARCH("Tue",D1381)))</formula>
    </cfRule>
    <cfRule type="containsText" dxfId="3218" priority="22364" operator="containsText" text="Mon">
      <formula>NOT(ISERROR(SEARCH("Mon",D1381)))</formula>
    </cfRule>
  </conditionalFormatting>
  <conditionalFormatting sqref="A1381:B1381">
    <cfRule type="cellIs" dxfId="3217" priority="22359" operator="equal">
      <formula>0</formula>
    </cfRule>
  </conditionalFormatting>
  <conditionalFormatting sqref="D1382">
    <cfRule type="containsText" dxfId="3216" priority="22354" operator="containsText" text="Fri">
      <formula>NOT(ISERROR(SEARCH("Fri",D1382)))</formula>
    </cfRule>
    <cfRule type="containsText" dxfId="3215" priority="22355" operator="containsText" text="Thu">
      <formula>NOT(ISERROR(SEARCH("Thu",D1382)))</formula>
    </cfRule>
    <cfRule type="containsText" dxfId="3214" priority="22356" operator="containsText" text="Wed">
      <formula>NOT(ISERROR(SEARCH("Wed",D1382)))</formula>
    </cfRule>
    <cfRule type="containsText" dxfId="3213" priority="22357" operator="containsText" text="Tue">
      <formula>NOT(ISERROR(SEARCH("Tue",D1382)))</formula>
    </cfRule>
    <cfRule type="containsText" dxfId="3212" priority="22358" operator="containsText" text="Mon">
      <formula>NOT(ISERROR(SEARCH("Mon",D1382)))</formula>
    </cfRule>
  </conditionalFormatting>
  <conditionalFormatting sqref="A1382:B1383">
    <cfRule type="cellIs" dxfId="3211" priority="22353" operator="equal">
      <formula>0</formula>
    </cfRule>
  </conditionalFormatting>
  <conditionalFormatting sqref="D1383">
    <cfRule type="containsText" dxfId="3210" priority="22348" operator="containsText" text="Fri">
      <formula>NOT(ISERROR(SEARCH("Fri",D1383)))</formula>
    </cfRule>
    <cfRule type="containsText" dxfId="3209" priority="22349" operator="containsText" text="Thu">
      <formula>NOT(ISERROR(SEARCH("Thu",D1383)))</formula>
    </cfRule>
    <cfRule type="containsText" dxfId="3208" priority="22350" operator="containsText" text="Wed">
      <formula>NOT(ISERROR(SEARCH("Wed",D1383)))</formula>
    </cfRule>
    <cfRule type="containsText" dxfId="3207" priority="22351" operator="containsText" text="Tue">
      <formula>NOT(ISERROR(SEARCH("Tue",D1383)))</formula>
    </cfRule>
    <cfRule type="containsText" dxfId="3206" priority="22352" operator="containsText" text="Mon">
      <formula>NOT(ISERROR(SEARCH("Mon",D1383)))</formula>
    </cfRule>
  </conditionalFormatting>
  <conditionalFormatting sqref="D1384">
    <cfRule type="containsText" dxfId="3205" priority="22343" operator="containsText" text="Fri">
      <formula>NOT(ISERROR(SEARCH("Fri",D1384)))</formula>
    </cfRule>
    <cfRule type="containsText" dxfId="3204" priority="22344" operator="containsText" text="Thu">
      <formula>NOT(ISERROR(SEARCH("Thu",D1384)))</formula>
    </cfRule>
    <cfRule type="containsText" dxfId="3203" priority="22345" operator="containsText" text="Wed">
      <formula>NOT(ISERROR(SEARCH("Wed",D1384)))</formula>
    </cfRule>
    <cfRule type="containsText" dxfId="3202" priority="22346" operator="containsText" text="Tue">
      <formula>NOT(ISERROR(SEARCH("Tue",D1384)))</formula>
    </cfRule>
    <cfRule type="containsText" dxfId="3201" priority="22347" operator="containsText" text="Mon">
      <formula>NOT(ISERROR(SEARCH("Mon",D1384)))</formula>
    </cfRule>
  </conditionalFormatting>
  <conditionalFormatting sqref="A1384:B1384">
    <cfRule type="cellIs" dxfId="3200" priority="22342" operator="equal">
      <formula>0</formula>
    </cfRule>
  </conditionalFormatting>
  <conditionalFormatting sqref="D1385">
    <cfRule type="containsText" dxfId="3199" priority="22337" operator="containsText" text="Fri">
      <formula>NOT(ISERROR(SEARCH("Fri",D1385)))</formula>
    </cfRule>
    <cfRule type="containsText" dxfId="3198" priority="22338" operator="containsText" text="Thu">
      <formula>NOT(ISERROR(SEARCH("Thu",D1385)))</formula>
    </cfRule>
    <cfRule type="containsText" dxfId="3197" priority="22339" operator="containsText" text="Wed">
      <formula>NOT(ISERROR(SEARCH("Wed",D1385)))</formula>
    </cfRule>
    <cfRule type="containsText" dxfId="3196" priority="22340" operator="containsText" text="Tue">
      <formula>NOT(ISERROR(SEARCH("Tue",D1385)))</formula>
    </cfRule>
    <cfRule type="containsText" dxfId="3195" priority="22341" operator="containsText" text="Mon">
      <formula>NOT(ISERROR(SEARCH("Mon",D1385)))</formula>
    </cfRule>
  </conditionalFormatting>
  <conditionalFormatting sqref="A1385:B1385">
    <cfRule type="cellIs" dxfId="3194" priority="22336" operator="equal">
      <formula>0</formula>
    </cfRule>
  </conditionalFormatting>
  <conditionalFormatting sqref="D1386">
    <cfRule type="containsText" dxfId="3193" priority="22331" operator="containsText" text="Fri">
      <formula>NOT(ISERROR(SEARCH("Fri",D1386)))</formula>
    </cfRule>
    <cfRule type="containsText" dxfId="3192" priority="22332" operator="containsText" text="Thu">
      <formula>NOT(ISERROR(SEARCH("Thu",D1386)))</formula>
    </cfRule>
    <cfRule type="containsText" dxfId="3191" priority="22333" operator="containsText" text="Wed">
      <formula>NOT(ISERROR(SEARCH("Wed",D1386)))</formula>
    </cfRule>
    <cfRule type="containsText" dxfId="3190" priority="22334" operator="containsText" text="Tue">
      <formula>NOT(ISERROR(SEARCH("Tue",D1386)))</formula>
    </cfRule>
    <cfRule type="containsText" dxfId="3189" priority="22335" operator="containsText" text="Mon">
      <formula>NOT(ISERROR(SEARCH("Mon",D1386)))</formula>
    </cfRule>
  </conditionalFormatting>
  <conditionalFormatting sqref="A1386:B1386">
    <cfRule type="cellIs" dxfId="3188" priority="22330" operator="equal">
      <formula>0</formula>
    </cfRule>
  </conditionalFormatting>
  <conditionalFormatting sqref="D1387:D1388">
    <cfRule type="containsText" dxfId="3187" priority="22325" operator="containsText" text="Fri">
      <formula>NOT(ISERROR(SEARCH("Fri",D1387)))</formula>
    </cfRule>
    <cfRule type="containsText" dxfId="3186" priority="22326" operator="containsText" text="Thu">
      <formula>NOT(ISERROR(SEARCH("Thu",D1387)))</formula>
    </cfRule>
    <cfRule type="containsText" dxfId="3185" priority="22327" operator="containsText" text="Wed">
      <formula>NOT(ISERROR(SEARCH("Wed",D1387)))</formula>
    </cfRule>
    <cfRule type="containsText" dxfId="3184" priority="22328" operator="containsText" text="Tue">
      <formula>NOT(ISERROR(SEARCH("Tue",D1387)))</formula>
    </cfRule>
    <cfRule type="containsText" dxfId="3183" priority="22329" operator="containsText" text="Mon">
      <formula>NOT(ISERROR(SEARCH("Mon",D1387)))</formula>
    </cfRule>
  </conditionalFormatting>
  <conditionalFormatting sqref="A1387:B1388">
    <cfRule type="cellIs" dxfId="3182" priority="22324" operator="equal">
      <formula>0</formula>
    </cfRule>
  </conditionalFormatting>
  <conditionalFormatting sqref="D1389:D1390">
    <cfRule type="containsText" dxfId="3181" priority="22319" operator="containsText" text="Fri">
      <formula>NOT(ISERROR(SEARCH("Fri",D1389)))</formula>
    </cfRule>
    <cfRule type="containsText" dxfId="3180" priority="22320" operator="containsText" text="Thu">
      <formula>NOT(ISERROR(SEARCH("Thu",D1389)))</formula>
    </cfRule>
    <cfRule type="containsText" dxfId="3179" priority="22321" operator="containsText" text="Wed">
      <formula>NOT(ISERROR(SEARCH("Wed",D1389)))</formula>
    </cfRule>
    <cfRule type="containsText" dxfId="3178" priority="22322" operator="containsText" text="Tue">
      <formula>NOT(ISERROR(SEARCH("Tue",D1389)))</formula>
    </cfRule>
    <cfRule type="containsText" dxfId="3177" priority="22323" operator="containsText" text="Mon">
      <formula>NOT(ISERROR(SEARCH("Mon",D1389)))</formula>
    </cfRule>
  </conditionalFormatting>
  <conditionalFormatting sqref="A1389:B1390">
    <cfRule type="cellIs" dxfId="3176" priority="22318" operator="equal">
      <formula>0</formula>
    </cfRule>
  </conditionalFormatting>
  <conditionalFormatting sqref="D1391">
    <cfRule type="containsText" dxfId="3175" priority="22313" operator="containsText" text="Fri">
      <formula>NOT(ISERROR(SEARCH("Fri",D1391)))</formula>
    </cfRule>
    <cfRule type="containsText" dxfId="3174" priority="22314" operator="containsText" text="Thu">
      <formula>NOT(ISERROR(SEARCH("Thu",D1391)))</formula>
    </cfRule>
    <cfRule type="containsText" dxfId="3173" priority="22315" operator="containsText" text="Wed">
      <formula>NOT(ISERROR(SEARCH("Wed",D1391)))</formula>
    </cfRule>
    <cfRule type="containsText" dxfId="3172" priority="22316" operator="containsText" text="Tue">
      <formula>NOT(ISERROR(SEARCH("Tue",D1391)))</formula>
    </cfRule>
    <cfRule type="containsText" dxfId="3171" priority="22317" operator="containsText" text="Mon">
      <formula>NOT(ISERROR(SEARCH("Mon",D1391)))</formula>
    </cfRule>
  </conditionalFormatting>
  <conditionalFormatting sqref="A1391:B1391">
    <cfRule type="cellIs" dxfId="3170" priority="22312" operator="equal">
      <formula>0</formula>
    </cfRule>
  </conditionalFormatting>
  <conditionalFormatting sqref="D1392:D1396">
    <cfRule type="containsText" dxfId="3169" priority="22307" operator="containsText" text="Fri">
      <formula>NOT(ISERROR(SEARCH("Fri",D1392)))</formula>
    </cfRule>
    <cfRule type="containsText" dxfId="3168" priority="22308" operator="containsText" text="Thu">
      <formula>NOT(ISERROR(SEARCH("Thu",D1392)))</formula>
    </cfRule>
    <cfRule type="containsText" dxfId="3167" priority="22309" operator="containsText" text="Wed">
      <formula>NOT(ISERROR(SEARCH("Wed",D1392)))</formula>
    </cfRule>
    <cfRule type="containsText" dxfId="3166" priority="22310" operator="containsText" text="Tue">
      <formula>NOT(ISERROR(SEARCH("Tue",D1392)))</formula>
    </cfRule>
    <cfRule type="containsText" dxfId="3165" priority="22311" operator="containsText" text="Mon">
      <formula>NOT(ISERROR(SEARCH("Mon",D1392)))</formula>
    </cfRule>
  </conditionalFormatting>
  <conditionalFormatting sqref="A1392:B1396">
    <cfRule type="cellIs" dxfId="3164" priority="22306" operator="equal">
      <formula>0</formula>
    </cfRule>
  </conditionalFormatting>
  <conditionalFormatting sqref="D1397">
    <cfRule type="containsText" dxfId="3163" priority="22301" operator="containsText" text="Fri">
      <formula>NOT(ISERROR(SEARCH("Fri",D1397)))</formula>
    </cfRule>
    <cfRule type="containsText" dxfId="3162" priority="22302" operator="containsText" text="Thu">
      <formula>NOT(ISERROR(SEARCH("Thu",D1397)))</formula>
    </cfRule>
    <cfRule type="containsText" dxfId="3161" priority="22303" operator="containsText" text="Wed">
      <formula>NOT(ISERROR(SEARCH("Wed",D1397)))</formula>
    </cfRule>
    <cfRule type="containsText" dxfId="3160" priority="22304" operator="containsText" text="Tue">
      <formula>NOT(ISERROR(SEARCH("Tue",D1397)))</formula>
    </cfRule>
    <cfRule type="containsText" dxfId="3159" priority="22305" operator="containsText" text="Mon">
      <formula>NOT(ISERROR(SEARCH("Mon",D1397)))</formula>
    </cfRule>
  </conditionalFormatting>
  <conditionalFormatting sqref="A1397:B1397">
    <cfRule type="cellIs" dxfId="3158" priority="22300" operator="equal">
      <formula>0</formula>
    </cfRule>
  </conditionalFormatting>
  <conditionalFormatting sqref="D1398:D1405">
    <cfRule type="containsText" dxfId="3157" priority="22295" operator="containsText" text="Fri">
      <formula>NOT(ISERROR(SEARCH("Fri",D1398)))</formula>
    </cfRule>
    <cfRule type="containsText" dxfId="3156" priority="22296" operator="containsText" text="Thu">
      <formula>NOT(ISERROR(SEARCH("Thu",D1398)))</formula>
    </cfRule>
    <cfRule type="containsText" dxfId="3155" priority="22297" operator="containsText" text="Wed">
      <formula>NOT(ISERROR(SEARCH("Wed",D1398)))</formula>
    </cfRule>
    <cfRule type="containsText" dxfId="3154" priority="22298" operator="containsText" text="Tue">
      <formula>NOT(ISERROR(SEARCH("Tue",D1398)))</formula>
    </cfRule>
    <cfRule type="containsText" dxfId="3153" priority="22299" operator="containsText" text="Mon">
      <formula>NOT(ISERROR(SEARCH("Mon",D1398)))</formula>
    </cfRule>
  </conditionalFormatting>
  <conditionalFormatting sqref="A1398:B1406">
    <cfRule type="cellIs" dxfId="3152" priority="22294" operator="equal">
      <formula>0</formula>
    </cfRule>
  </conditionalFormatting>
  <conditionalFormatting sqref="D1406">
    <cfRule type="containsText" dxfId="3151" priority="22289" operator="containsText" text="Fri">
      <formula>NOT(ISERROR(SEARCH("Fri",D1406)))</formula>
    </cfRule>
    <cfRule type="containsText" dxfId="3150" priority="22290" operator="containsText" text="Thu">
      <formula>NOT(ISERROR(SEARCH("Thu",D1406)))</formula>
    </cfRule>
    <cfRule type="containsText" dxfId="3149" priority="22291" operator="containsText" text="Wed">
      <formula>NOT(ISERROR(SEARCH("Wed",D1406)))</formula>
    </cfRule>
    <cfRule type="containsText" dxfId="3148" priority="22292" operator="containsText" text="Tue">
      <formula>NOT(ISERROR(SEARCH("Tue",D1406)))</formula>
    </cfRule>
    <cfRule type="containsText" dxfId="3147" priority="22293" operator="containsText" text="Mon">
      <formula>NOT(ISERROR(SEARCH("Mon",D1406)))</formula>
    </cfRule>
  </conditionalFormatting>
  <conditionalFormatting sqref="E1407:K1414">
    <cfRule type="cellIs" dxfId="3146" priority="22288" operator="equal">
      <formula>0</formula>
    </cfRule>
  </conditionalFormatting>
  <conditionalFormatting sqref="D1407:D1412">
    <cfRule type="containsText" dxfId="3145" priority="22283" operator="containsText" text="Fri">
      <formula>NOT(ISERROR(SEARCH("Fri",D1407)))</formula>
    </cfRule>
    <cfRule type="containsText" dxfId="3144" priority="22284" operator="containsText" text="Thu">
      <formula>NOT(ISERROR(SEARCH("Thu",D1407)))</formula>
    </cfRule>
    <cfRule type="containsText" dxfId="3143" priority="22285" operator="containsText" text="Wed">
      <formula>NOT(ISERROR(SEARCH("Wed",D1407)))</formula>
    </cfRule>
    <cfRule type="containsText" dxfId="3142" priority="22286" operator="containsText" text="Tue">
      <formula>NOT(ISERROR(SEARCH("Tue",D1407)))</formula>
    </cfRule>
    <cfRule type="containsText" dxfId="3141" priority="22287" operator="containsText" text="Mon">
      <formula>NOT(ISERROR(SEARCH("Mon",D1407)))</formula>
    </cfRule>
  </conditionalFormatting>
  <conditionalFormatting sqref="A1407:B1414">
    <cfRule type="cellIs" dxfId="3140" priority="22282" operator="equal">
      <formula>0</formula>
    </cfRule>
  </conditionalFormatting>
  <conditionalFormatting sqref="D1413:D1414">
    <cfRule type="containsText" dxfId="3139" priority="22277" operator="containsText" text="Fri">
      <formula>NOT(ISERROR(SEARCH("Fri",D1413)))</formula>
    </cfRule>
    <cfRule type="containsText" dxfId="3138" priority="22278" operator="containsText" text="Thu">
      <formula>NOT(ISERROR(SEARCH("Thu",D1413)))</formula>
    </cfRule>
    <cfRule type="containsText" dxfId="3137" priority="22279" operator="containsText" text="Wed">
      <formula>NOT(ISERROR(SEARCH("Wed",D1413)))</formula>
    </cfRule>
    <cfRule type="containsText" dxfId="3136" priority="22280" operator="containsText" text="Tue">
      <formula>NOT(ISERROR(SEARCH("Tue",D1413)))</formula>
    </cfRule>
    <cfRule type="containsText" dxfId="3135" priority="22281" operator="containsText" text="Mon">
      <formula>NOT(ISERROR(SEARCH("Mon",D1413)))</formula>
    </cfRule>
  </conditionalFormatting>
  <conditionalFormatting sqref="E1415:K1422">
    <cfRule type="cellIs" dxfId="3134" priority="22276" operator="equal">
      <formula>0</formula>
    </cfRule>
  </conditionalFormatting>
  <conditionalFormatting sqref="D1415:D1420">
    <cfRule type="containsText" dxfId="3133" priority="22271" operator="containsText" text="Fri">
      <formula>NOT(ISERROR(SEARCH("Fri",D1415)))</formula>
    </cfRule>
    <cfRule type="containsText" dxfId="3132" priority="22272" operator="containsText" text="Thu">
      <formula>NOT(ISERROR(SEARCH("Thu",D1415)))</formula>
    </cfRule>
    <cfRule type="containsText" dxfId="3131" priority="22273" operator="containsText" text="Wed">
      <formula>NOT(ISERROR(SEARCH("Wed",D1415)))</formula>
    </cfRule>
    <cfRule type="containsText" dxfId="3130" priority="22274" operator="containsText" text="Tue">
      <formula>NOT(ISERROR(SEARCH("Tue",D1415)))</formula>
    </cfRule>
    <cfRule type="containsText" dxfId="3129" priority="22275" operator="containsText" text="Mon">
      <formula>NOT(ISERROR(SEARCH("Mon",D1415)))</formula>
    </cfRule>
  </conditionalFormatting>
  <conditionalFormatting sqref="A1415:B1422">
    <cfRule type="cellIs" dxfId="3128" priority="22270" operator="equal">
      <formula>0</formula>
    </cfRule>
  </conditionalFormatting>
  <conditionalFormatting sqref="D1421:D1422">
    <cfRule type="containsText" dxfId="3127" priority="22265" operator="containsText" text="Fri">
      <formula>NOT(ISERROR(SEARCH("Fri",D1421)))</formula>
    </cfRule>
    <cfRule type="containsText" dxfId="3126" priority="22266" operator="containsText" text="Thu">
      <formula>NOT(ISERROR(SEARCH("Thu",D1421)))</formula>
    </cfRule>
    <cfRule type="containsText" dxfId="3125" priority="22267" operator="containsText" text="Wed">
      <formula>NOT(ISERROR(SEARCH("Wed",D1421)))</formula>
    </cfRule>
    <cfRule type="containsText" dxfId="3124" priority="22268" operator="containsText" text="Tue">
      <formula>NOT(ISERROR(SEARCH("Tue",D1421)))</formula>
    </cfRule>
    <cfRule type="containsText" dxfId="3123" priority="22269" operator="containsText" text="Mon">
      <formula>NOT(ISERROR(SEARCH("Mon",D1421)))</formula>
    </cfRule>
  </conditionalFormatting>
  <conditionalFormatting sqref="D1423:D1438">
    <cfRule type="containsText" dxfId="3122" priority="17488" operator="containsText" text="Fri">
      <formula>NOT(ISERROR(SEARCH("Fri",D1423)))</formula>
    </cfRule>
    <cfRule type="containsText" dxfId="3121" priority="17489" operator="containsText" text="Thu">
      <formula>NOT(ISERROR(SEARCH("Thu",D1423)))</formula>
    </cfRule>
    <cfRule type="containsText" dxfId="3120" priority="17490" operator="containsText" text="Wed">
      <formula>NOT(ISERROR(SEARCH("Wed",D1423)))</formula>
    </cfRule>
    <cfRule type="containsText" dxfId="3119" priority="17491" operator="containsText" text="Tue">
      <formula>NOT(ISERROR(SEARCH("Tue",D1423)))</formula>
    </cfRule>
    <cfRule type="containsText" dxfId="3118" priority="17492" operator="containsText" text="Mon">
      <formula>NOT(ISERROR(SEARCH("Mon",D1423)))</formula>
    </cfRule>
  </conditionalFormatting>
  <conditionalFormatting sqref="J1654:J1702 E1654:E1702 E1423:K1653">
    <cfRule type="cellIs" dxfId="3117" priority="17487" operator="equal">
      <formula>0</formula>
    </cfRule>
  </conditionalFormatting>
  <conditionalFormatting sqref="A1423:B1430">
    <cfRule type="cellIs" dxfId="3116" priority="17486" operator="equal">
      <formula>0</formula>
    </cfRule>
  </conditionalFormatting>
  <conditionalFormatting sqref="A1431:B1440">
    <cfRule type="cellIs" dxfId="3115" priority="17485" operator="equal">
      <formula>0</formula>
    </cfRule>
  </conditionalFormatting>
  <conditionalFormatting sqref="D1439:D1440">
    <cfRule type="containsText" dxfId="3114" priority="17480" operator="containsText" text="Fri">
      <formula>NOT(ISERROR(SEARCH("Fri",D1439)))</formula>
    </cfRule>
    <cfRule type="containsText" dxfId="3113" priority="17481" operator="containsText" text="Thu">
      <formula>NOT(ISERROR(SEARCH("Thu",D1439)))</formula>
    </cfRule>
    <cfRule type="containsText" dxfId="3112" priority="17482" operator="containsText" text="Wed">
      <formula>NOT(ISERROR(SEARCH("Wed",D1439)))</formula>
    </cfRule>
    <cfRule type="containsText" dxfId="3111" priority="17483" operator="containsText" text="Tue">
      <formula>NOT(ISERROR(SEARCH("Tue",D1439)))</formula>
    </cfRule>
    <cfRule type="containsText" dxfId="3110" priority="17484" operator="containsText" text="Mon">
      <formula>NOT(ISERROR(SEARCH("Mon",D1439)))</formula>
    </cfRule>
  </conditionalFormatting>
  <conditionalFormatting sqref="D1441:D1442">
    <cfRule type="containsText" dxfId="3109" priority="17475" operator="containsText" text="Fri">
      <formula>NOT(ISERROR(SEARCH("Fri",D1441)))</formula>
    </cfRule>
    <cfRule type="containsText" dxfId="3108" priority="17476" operator="containsText" text="Thu">
      <formula>NOT(ISERROR(SEARCH("Thu",D1441)))</formula>
    </cfRule>
    <cfRule type="containsText" dxfId="3107" priority="17477" operator="containsText" text="Wed">
      <formula>NOT(ISERROR(SEARCH("Wed",D1441)))</formula>
    </cfRule>
    <cfRule type="containsText" dxfId="3106" priority="17478" operator="containsText" text="Tue">
      <formula>NOT(ISERROR(SEARCH("Tue",D1441)))</formula>
    </cfRule>
    <cfRule type="containsText" dxfId="3105" priority="17479" operator="containsText" text="Mon">
      <formula>NOT(ISERROR(SEARCH("Mon",D1441)))</formula>
    </cfRule>
  </conditionalFormatting>
  <conditionalFormatting sqref="A1441:B1442">
    <cfRule type="cellIs" dxfId="3104" priority="17474" operator="equal">
      <formula>0</formula>
    </cfRule>
  </conditionalFormatting>
  <conditionalFormatting sqref="D1443:D1444">
    <cfRule type="containsText" dxfId="3103" priority="17469" operator="containsText" text="Fri">
      <formula>NOT(ISERROR(SEARCH("Fri",D1443)))</formula>
    </cfRule>
    <cfRule type="containsText" dxfId="3102" priority="17470" operator="containsText" text="Thu">
      <formula>NOT(ISERROR(SEARCH("Thu",D1443)))</formula>
    </cfRule>
    <cfRule type="containsText" dxfId="3101" priority="17471" operator="containsText" text="Wed">
      <formula>NOT(ISERROR(SEARCH("Wed",D1443)))</formula>
    </cfRule>
    <cfRule type="containsText" dxfId="3100" priority="17472" operator="containsText" text="Tue">
      <formula>NOT(ISERROR(SEARCH("Tue",D1443)))</formula>
    </cfRule>
    <cfRule type="containsText" dxfId="3099" priority="17473" operator="containsText" text="Mon">
      <formula>NOT(ISERROR(SEARCH("Mon",D1443)))</formula>
    </cfRule>
  </conditionalFormatting>
  <conditionalFormatting sqref="A1443:B1444">
    <cfRule type="cellIs" dxfId="3098" priority="17468" operator="equal">
      <formula>0</formula>
    </cfRule>
  </conditionalFormatting>
  <conditionalFormatting sqref="D1445:D1446">
    <cfRule type="containsText" dxfId="3097" priority="17463" operator="containsText" text="Fri">
      <formula>NOT(ISERROR(SEARCH("Fri",D1445)))</formula>
    </cfRule>
    <cfRule type="containsText" dxfId="3096" priority="17464" operator="containsText" text="Thu">
      <formula>NOT(ISERROR(SEARCH("Thu",D1445)))</formula>
    </cfRule>
    <cfRule type="containsText" dxfId="3095" priority="17465" operator="containsText" text="Wed">
      <formula>NOT(ISERROR(SEARCH("Wed",D1445)))</formula>
    </cfRule>
    <cfRule type="containsText" dxfId="3094" priority="17466" operator="containsText" text="Tue">
      <formula>NOT(ISERROR(SEARCH("Tue",D1445)))</formula>
    </cfRule>
    <cfRule type="containsText" dxfId="3093" priority="17467" operator="containsText" text="Mon">
      <formula>NOT(ISERROR(SEARCH("Mon",D1445)))</formula>
    </cfRule>
  </conditionalFormatting>
  <conditionalFormatting sqref="A1445:B1446">
    <cfRule type="cellIs" dxfId="3092" priority="17462" operator="equal">
      <formula>0</formula>
    </cfRule>
  </conditionalFormatting>
  <conditionalFormatting sqref="D1447:D1449">
    <cfRule type="containsText" dxfId="3091" priority="17457" operator="containsText" text="Fri">
      <formula>NOT(ISERROR(SEARCH("Fri",D1447)))</formula>
    </cfRule>
    <cfRule type="containsText" dxfId="3090" priority="17458" operator="containsText" text="Thu">
      <formula>NOT(ISERROR(SEARCH("Thu",D1447)))</formula>
    </cfRule>
    <cfRule type="containsText" dxfId="3089" priority="17459" operator="containsText" text="Wed">
      <formula>NOT(ISERROR(SEARCH("Wed",D1447)))</formula>
    </cfRule>
    <cfRule type="containsText" dxfId="3088" priority="17460" operator="containsText" text="Tue">
      <formula>NOT(ISERROR(SEARCH("Tue",D1447)))</formula>
    </cfRule>
    <cfRule type="containsText" dxfId="3087" priority="17461" operator="containsText" text="Mon">
      <formula>NOT(ISERROR(SEARCH("Mon",D1447)))</formula>
    </cfRule>
  </conditionalFormatting>
  <conditionalFormatting sqref="A1447:B1449">
    <cfRule type="cellIs" dxfId="3086" priority="17456" operator="equal">
      <formula>0</formula>
    </cfRule>
  </conditionalFormatting>
  <conditionalFormatting sqref="D1450:D1451">
    <cfRule type="containsText" dxfId="3085" priority="17451" operator="containsText" text="Fri">
      <formula>NOT(ISERROR(SEARCH("Fri",D1450)))</formula>
    </cfRule>
    <cfRule type="containsText" dxfId="3084" priority="17452" operator="containsText" text="Thu">
      <formula>NOT(ISERROR(SEARCH("Thu",D1450)))</formula>
    </cfRule>
    <cfRule type="containsText" dxfId="3083" priority="17453" operator="containsText" text="Wed">
      <formula>NOT(ISERROR(SEARCH("Wed",D1450)))</formula>
    </cfRule>
    <cfRule type="containsText" dxfId="3082" priority="17454" operator="containsText" text="Tue">
      <formula>NOT(ISERROR(SEARCH("Tue",D1450)))</formula>
    </cfRule>
    <cfRule type="containsText" dxfId="3081" priority="17455" operator="containsText" text="Mon">
      <formula>NOT(ISERROR(SEARCH("Mon",D1450)))</formula>
    </cfRule>
  </conditionalFormatting>
  <conditionalFormatting sqref="A1450:B1451">
    <cfRule type="cellIs" dxfId="3080" priority="17450" operator="equal">
      <formula>0</formula>
    </cfRule>
  </conditionalFormatting>
  <conditionalFormatting sqref="D1452:D1453">
    <cfRule type="containsText" dxfId="3079" priority="17445" operator="containsText" text="Fri">
      <formula>NOT(ISERROR(SEARCH("Fri",D1452)))</formula>
    </cfRule>
    <cfRule type="containsText" dxfId="3078" priority="17446" operator="containsText" text="Thu">
      <formula>NOT(ISERROR(SEARCH("Thu",D1452)))</formula>
    </cfRule>
    <cfRule type="containsText" dxfId="3077" priority="17447" operator="containsText" text="Wed">
      <formula>NOT(ISERROR(SEARCH("Wed",D1452)))</formula>
    </cfRule>
    <cfRule type="containsText" dxfId="3076" priority="17448" operator="containsText" text="Tue">
      <formula>NOT(ISERROR(SEARCH("Tue",D1452)))</formula>
    </cfRule>
    <cfRule type="containsText" dxfId="3075" priority="17449" operator="containsText" text="Mon">
      <formula>NOT(ISERROR(SEARCH("Mon",D1452)))</formula>
    </cfRule>
  </conditionalFormatting>
  <conditionalFormatting sqref="A1452:B1454">
    <cfRule type="cellIs" dxfId="3074" priority="17444" operator="equal">
      <formula>0</formula>
    </cfRule>
  </conditionalFormatting>
  <conditionalFormatting sqref="D1454">
    <cfRule type="containsText" dxfId="3073" priority="17439" operator="containsText" text="Fri">
      <formula>NOT(ISERROR(SEARCH("Fri",D1454)))</formula>
    </cfRule>
    <cfRule type="containsText" dxfId="3072" priority="17440" operator="containsText" text="Thu">
      <formula>NOT(ISERROR(SEARCH("Thu",D1454)))</formula>
    </cfRule>
    <cfRule type="containsText" dxfId="3071" priority="17441" operator="containsText" text="Wed">
      <formula>NOT(ISERROR(SEARCH("Wed",D1454)))</formula>
    </cfRule>
    <cfRule type="containsText" dxfId="3070" priority="17442" operator="containsText" text="Tue">
      <formula>NOT(ISERROR(SEARCH("Tue",D1454)))</formula>
    </cfRule>
    <cfRule type="containsText" dxfId="3069" priority="17443" operator="containsText" text="Mon">
      <formula>NOT(ISERROR(SEARCH("Mon",D1454)))</formula>
    </cfRule>
  </conditionalFormatting>
  <conditionalFormatting sqref="D1455:D1461">
    <cfRule type="containsText" dxfId="3068" priority="17434" operator="containsText" text="Fri">
      <formula>NOT(ISERROR(SEARCH("Fri",D1455)))</formula>
    </cfRule>
    <cfRule type="containsText" dxfId="3067" priority="17435" operator="containsText" text="Thu">
      <formula>NOT(ISERROR(SEARCH("Thu",D1455)))</formula>
    </cfRule>
    <cfRule type="containsText" dxfId="3066" priority="17436" operator="containsText" text="Wed">
      <formula>NOT(ISERROR(SEARCH("Wed",D1455)))</formula>
    </cfRule>
    <cfRule type="containsText" dxfId="3065" priority="17437" operator="containsText" text="Tue">
      <formula>NOT(ISERROR(SEARCH("Tue",D1455)))</formula>
    </cfRule>
    <cfRule type="containsText" dxfId="3064" priority="17438" operator="containsText" text="Mon">
      <formula>NOT(ISERROR(SEARCH("Mon",D1455)))</formula>
    </cfRule>
  </conditionalFormatting>
  <conditionalFormatting sqref="A1455:B1461">
    <cfRule type="cellIs" dxfId="3063" priority="17433" operator="equal">
      <formula>0</formula>
    </cfRule>
  </conditionalFormatting>
  <conditionalFormatting sqref="D1462:D1463">
    <cfRule type="containsText" dxfId="3062" priority="17428" operator="containsText" text="Fri">
      <formula>NOT(ISERROR(SEARCH("Fri",D1462)))</formula>
    </cfRule>
    <cfRule type="containsText" dxfId="3061" priority="17429" operator="containsText" text="Thu">
      <formula>NOT(ISERROR(SEARCH("Thu",D1462)))</formula>
    </cfRule>
    <cfRule type="containsText" dxfId="3060" priority="17430" operator="containsText" text="Wed">
      <formula>NOT(ISERROR(SEARCH("Wed",D1462)))</formula>
    </cfRule>
    <cfRule type="containsText" dxfId="3059" priority="17431" operator="containsText" text="Tue">
      <formula>NOT(ISERROR(SEARCH("Tue",D1462)))</formula>
    </cfRule>
    <cfRule type="containsText" dxfId="3058" priority="17432" operator="containsText" text="Mon">
      <formula>NOT(ISERROR(SEARCH("Mon",D1462)))</formula>
    </cfRule>
  </conditionalFormatting>
  <conditionalFormatting sqref="A1462:B1464">
    <cfRule type="cellIs" dxfId="3057" priority="17427" operator="equal">
      <formula>0</formula>
    </cfRule>
  </conditionalFormatting>
  <conditionalFormatting sqref="D1464">
    <cfRule type="containsText" dxfId="3056" priority="17422" operator="containsText" text="Fri">
      <formula>NOT(ISERROR(SEARCH("Fri",D1464)))</formula>
    </cfRule>
    <cfRule type="containsText" dxfId="3055" priority="17423" operator="containsText" text="Thu">
      <formula>NOT(ISERROR(SEARCH("Thu",D1464)))</formula>
    </cfRule>
    <cfRule type="containsText" dxfId="3054" priority="17424" operator="containsText" text="Wed">
      <formula>NOT(ISERROR(SEARCH("Wed",D1464)))</formula>
    </cfRule>
    <cfRule type="containsText" dxfId="3053" priority="17425" operator="containsText" text="Tue">
      <formula>NOT(ISERROR(SEARCH("Tue",D1464)))</formula>
    </cfRule>
    <cfRule type="containsText" dxfId="3052" priority="17426" operator="containsText" text="Mon">
      <formula>NOT(ISERROR(SEARCH("Mon",D1464)))</formula>
    </cfRule>
  </conditionalFormatting>
  <conditionalFormatting sqref="D1465:D1472">
    <cfRule type="containsText" dxfId="3051" priority="17417" operator="containsText" text="Fri">
      <formula>NOT(ISERROR(SEARCH("Fri",D1465)))</formula>
    </cfRule>
    <cfRule type="containsText" dxfId="3050" priority="17418" operator="containsText" text="Thu">
      <formula>NOT(ISERROR(SEARCH("Thu",D1465)))</formula>
    </cfRule>
    <cfRule type="containsText" dxfId="3049" priority="17419" operator="containsText" text="Wed">
      <formula>NOT(ISERROR(SEARCH("Wed",D1465)))</formula>
    </cfRule>
    <cfRule type="containsText" dxfId="3048" priority="17420" operator="containsText" text="Tue">
      <formula>NOT(ISERROR(SEARCH("Tue",D1465)))</formula>
    </cfRule>
    <cfRule type="containsText" dxfId="3047" priority="17421" operator="containsText" text="Mon">
      <formula>NOT(ISERROR(SEARCH("Mon",D1465)))</formula>
    </cfRule>
  </conditionalFormatting>
  <conditionalFormatting sqref="A1465:B1472">
    <cfRule type="cellIs" dxfId="3046" priority="17416" operator="equal">
      <formula>0</formula>
    </cfRule>
  </conditionalFormatting>
  <conditionalFormatting sqref="D1473:D1478">
    <cfRule type="containsText" dxfId="3045" priority="17411" operator="containsText" text="Fri">
      <formula>NOT(ISERROR(SEARCH("Fri",D1473)))</formula>
    </cfRule>
    <cfRule type="containsText" dxfId="3044" priority="17412" operator="containsText" text="Thu">
      <formula>NOT(ISERROR(SEARCH("Thu",D1473)))</formula>
    </cfRule>
    <cfRule type="containsText" dxfId="3043" priority="17413" operator="containsText" text="Wed">
      <formula>NOT(ISERROR(SEARCH("Wed",D1473)))</formula>
    </cfRule>
    <cfRule type="containsText" dxfId="3042" priority="17414" operator="containsText" text="Tue">
      <formula>NOT(ISERROR(SEARCH("Tue",D1473)))</formula>
    </cfRule>
    <cfRule type="containsText" dxfId="3041" priority="17415" operator="containsText" text="Mon">
      <formula>NOT(ISERROR(SEARCH("Mon",D1473)))</formula>
    </cfRule>
  </conditionalFormatting>
  <conditionalFormatting sqref="A1473:B1490">
    <cfRule type="cellIs" dxfId="3040" priority="17410" operator="equal">
      <formula>0</formula>
    </cfRule>
  </conditionalFormatting>
  <conditionalFormatting sqref="D1479">
    <cfRule type="containsText" dxfId="3039" priority="17405" operator="containsText" text="Fri">
      <formula>NOT(ISERROR(SEARCH("Fri",D1479)))</formula>
    </cfRule>
    <cfRule type="containsText" dxfId="3038" priority="17406" operator="containsText" text="Thu">
      <formula>NOT(ISERROR(SEARCH("Thu",D1479)))</formula>
    </cfRule>
    <cfRule type="containsText" dxfId="3037" priority="17407" operator="containsText" text="Wed">
      <formula>NOT(ISERROR(SEARCH("Wed",D1479)))</formula>
    </cfRule>
    <cfRule type="containsText" dxfId="3036" priority="17408" operator="containsText" text="Tue">
      <formula>NOT(ISERROR(SEARCH("Tue",D1479)))</formula>
    </cfRule>
    <cfRule type="containsText" dxfId="3035" priority="17409" operator="containsText" text="Mon">
      <formula>NOT(ISERROR(SEARCH("Mon",D1479)))</formula>
    </cfRule>
  </conditionalFormatting>
  <conditionalFormatting sqref="D1480:D1488 D1490">
    <cfRule type="containsText" dxfId="3034" priority="17400" operator="containsText" text="Fri">
      <formula>NOT(ISERROR(SEARCH("Fri",D1480)))</formula>
    </cfRule>
    <cfRule type="containsText" dxfId="3033" priority="17401" operator="containsText" text="Thu">
      <formula>NOT(ISERROR(SEARCH("Thu",D1480)))</formula>
    </cfRule>
    <cfRule type="containsText" dxfId="3032" priority="17402" operator="containsText" text="Wed">
      <formula>NOT(ISERROR(SEARCH("Wed",D1480)))</formula>
    </cfRule>
    <cfRule type="containsText" dxfId="3031" priority="17403" operator="containsText" text="Tue">
      <formula>NOT(ISERROR(SEARCH("Tue",D1480)))</formula>
    </cfRule>
    <cfRule type="containsText" dxfId="3030" priority="17404" operator="containsText" text="Mon">
      <formula>NOT(ISERROR(SEARCH("Mon",D1480)))</formula>
    </cfRule>
  </conditionalFormatting>
  <conditionalFormatting sqref="D1489">
    <cfRule type="containsText" dxfId="3029" priority="17395" operator="containsText" text="Fri">
      <formula>NOT(ISERROR(SEARCH("Fri",D1489)))</formula>
    </cfRule>
    <cfRule type="containsText" dxfId="3028" priority="17396" operator="containsText" text="Thu">
      <formula>NOT(ISERROR(SEARCH("Thu",D1489)))</formula>
    </cfRule>
    <cfRule type="containsText" dxfId="3027" priority="17397" operator="containsText" text="Wed">
      <formula>NOT(ISERROR(SEARCH("Wed",D1489)))</formula>
    </cfRule>
    <cfRule type="containsText" dxfId="3026" priority="17398" operator="containsText" text="Tue">
      <formula>NOT(ISERROR(SEARCH("Tue",D1489)))</formula>
    </cfRule>
    <cfRule type="containsText" dxfId="3025" priority="17399" operator="containsText" text="Mon">
      <formula>NOT(ISERROR(SEARCH("Mon",D1489)))</formula>
    </cfRule>
  </conditionalFormatting>
  <conditionalFormatting sqref="D1491:D1492">
    <cfRule type="containsText" dxfId="3024" priority="17390" operator="containsText" text="Fri">
      <formula>NOT(ISERROR(SEARCH("Fri",D1491)))</formula>
    </cfRule>
    <cfRule type="containsText" dxfId="3023" priority="17391" operator="containsText" text="Thu">
      <formula>NOT(ISERROR(SEARCH("Thu",D1491)))</formula>
    </cfRule>
    <cfRule type="containsText" dxfId="3022" priority="17392" operator="containsText" text="Wed">
      <formula>NOT(ISERROR(SEARCH("Wed",D1491)))</formula>
    </cfRule>
    <cfRule type="containsText" dxfId="3021" priority="17393" operator="containsText" text="Tue">
      <formula>NOT(ISERROR(SEARCH("Tue",D1491)))</formula>
    </cfRule>
    <cfRule type="containsText" dxfId="3020" priority="17394" operator="containsText" text="Mon">
      <formula>NOT(ISERROR(SEARCH("Mon",D1491)))</formula>
    </cfRule>
  </conditionalFormatting>
  <conditionalFormatting sqref="A1491:B1492">
    <cfRule type="cellIs" dxfId="3019" priority="17389" operator="equal">
      <formula>0</formula>
    </cfRule>
  </conditionalFormatting>
  <conditionalFormatting sqref="D1493:D1504">
    <cfRule type="containsText" dxfId="3018" priority="17384" operator="containsText" text="Fri">
      <formula>NOT(ISERROR(SEARCH("Fri",D1493)))</formula>
    </cfRule>
    <cfRule type="containsText" dxfId="3017" priority="17385" operator="containsText" text="Thu">
      <formula>NOT(ISERROR(SEARCH("Thu",D1493)))</formula>
    </cfRule>
    <cfRule type="containsText" dxfId="3016" priority="17386" operator="containsText" text="Wed">
      <formula>NOT(ISERROR(SEARCH("Wed",D1493)))</formula>
    </cfRule>
    <cfRule type="containsText" dxfId="3015" priority="17387" operator="containsText" text="Tue">
      <formula>NOT(ISERROR(SEARCH("Tue",D1493)))</formula>
    </cfRule>
    <cfRule type="containsText" dxfId="3014" priority="17388" operator="containsText" text="Mon">
      <formula>NOT(ISERROR(SEARCH("Mon",D1493)))</formula>
    </cfRule>
  </conditionalFormatting>
  <conditionalFormatting sqref="A1493:B1514">
    <cfRule type="cellIs" dxfId="3013" priority="17383" operator="equal">
      <formula>0</formula>
    </cfRule>
  </conditionalFormatting>
  <conditionalFormatting sqref="D1521:D1522 D1505:D1519">
    <cfRule type="containsText" dxfId="3012" priority="17378" operator="containsText" text="Fri">
      <formula>NOT(ISERROR(SEARCH("Fri",D1505)))</formula>
    </cfRule>
    <cfRule type="containsText" dxfId="3011" priority="17379" operator="containsText" text="Thu">
      <formula>NOT(ISERROR(SEARCH("Thu",D1505)))</formula>
    </cfRule>
    <cfRule type="containsText" dxfId="3010" priority="17380" operator="containsText" text="Wed">
      <formula>NOT(ISERROR(SEARCH("Wed",D1505)))</formula>
    </cfRule>
    <cfRule type="containsText" dxfId="3009" priority="17381" operator="containsText" text="Tue">
      <formula>NOT(ISERROR(SEARCH("Tue",D1505)))</formula>
    </cfRule>
    <cfRule type="containsText" dxfId="3008" priority="17382" operator="containsText" text="Mon">
      <formula>NOT(ISERROR(SEARCH("Mon",D1505)))</formula>
    </cfRule>
  </conditionalFormatting>
  <conditionalFormatting sqref="A1515:B1536">
    <cfRule type="cellIs" dxfId="3007" priority="17377" operator="equal">
      <formula>0</formula>
    </cfRule>
  </conditionalFormatting>
  <conditionalFormatting sqref="D1520">
    <cfRule type="containsText" dxfId="3006" priority="17372" operator="containsText" text="Fri">
      <formula>NOT(ISERROR(SEARCH("Fri",D1520)))</formula>
    </cfRule>
    <cfRule type="containsText" dxfId="3005" priority="17373" operator="containsText" text="Thu">
      <formula>NOT(ISERROR(SEARCH("Thu",D1520)))</formula>
    </cfRule>
    <cfRule type="containsText" dxfId="3004" priority="17374" operator="containsText" text="Wed">
      <formula>NOT(ISERROR(SEARCH("Wed",D1520)))</formula>
    </cfRule>
    <cfRule type="containsText" dxfId="3003" priority="17375" operator="containsText" text="Tue">
      <formula>NOT(ISERROR(SEARCH("Tue",D1520)))</formula>
    </cfRule>
    <cfRule type="containsText" dxfId="3002" priority="17376" operator="containsText" text="Mon">
      <formula>NOT(ISERROR(SEARCH("Mon",D1520)))</formula>
    </cfRule>
  </conditionalFormatting>
  <conditionalFormatting sqref="D1535:D1536 D1523:D1533">
    <cfRule type="containsText" dxfId="3001" priority="17367" operator="containsText" text="Fri">
      <formula>NOT(ISERROR(SEARCH("Fri",D1523)))</formula>
    </cfRule>
    <cfRule type="containsText" dxfId="3000" priority="17368" operator="containsText" text="Thu">
      <formula>NOT(ISERROR(SEARCH("Thu",D1523)))</formula>
    </cfRule>
    <cfRule type="containsText" dxfId="2999" priority="17369" operator="containsText" text="Wed">
      <formula>NOT(ISERROR(SEARCH("Wed",D1523)))</formula>
    </cfRule>
    <cfRule type="containsText" dxfId="2998" priority="17370" operator="containsText" text="Tue">
      <formula>NOT(ISERROR(SEARCH("Tue",D1523)))</formula>
    </cfRule>
    <cfRule type="containsText" dxfId="2997" priority="17371" operator="containsText" text="Mon">
      <formula>NOT(ISERROR(SEARCH("Mon",D1523)))</formula>
    </cfRule>
  </conditionalFormatting>
  <conditionalFormatting sqref="D1534">
    <cfRule type="containsText" dxfId="2996" priority="17362" operator="containsText" text="Fri">
      <formula>NOT(ISERROR(SEARCH("Fri",D1534)))</formula>
    </cfRule>
    <cfRule type="containsText" dxfId="2995" priority="17363" operator="containsText" text="Thu">
      <formula>NOT(ISERROR(SEARCH("Thu",D1534)))</formula>
    </cfRule>
    <cfRule type="containsText" dxfId="2994" priority="17364" operator="containsText" text="Wed">
      <formula>NOT(ISERROR(SEARCH("Wed",D1534)))</formula>
    </cfRule>
    <cfRule type="containsText" dxfId="2993" priority="17365" operator="containsText" text="Tue">
      <formula>NOT(ISERROR(SEARCH("Tue",D1534)))</formula>
    </cfRule>
    <cfRule type="containsText" dxfId="2992" priority="17366" operator="containsText" text="Mon">
      <formula>NOT(ISERROR(SEARCH("Mon",D1534)))</formula>
    </cfRule>
  </conditionalFormatting>
  <conditionalFormatting sqref="D1537:D1547">
    <cfRule type="containsText" dxfId="2991" priority="17357" operator="containsText" text="Fri">
      <formula>NOT(ISERROR(SEARCH("Fri",D1537)))</formula>
    </cfRule>
    <cfRule type="containsText" dxfId="2990" priority="17358" operator="containsText" text="Thu">
      <formula>NOT(ISERROR(SEARCH("Thu",D1537)))</formula>
    </cfRule>
    <cfRule type="containsText" dxfId="2989" priority="17359" operator="containsText" text="Wed">
      <formula>NOT(ISERROR(SEARCH("Wed",D1537)))</formula>
    </cfRule>
    <cfRule type="containsText" dxfId="2988" priority="17360" operator="containsText" text="Tue">
      <formula>NOT(ISERROR(SEARCH("Tue",D1537)))</formula>
    </cfRule>
    <cfRule type="containsText" dxfId="2987" priority="17361" operator="containsText" text="Mon">
      <formula>NOT(ISERROR(SEARCH("Mon",D1537)))</formula>
    </cfRule>
  </conditionalFormatting>
  <conditionalFormatting sqref="A1537:B1557">
    <cfRule type="cellIs" dxfId="2986" priority="17356" operator="equal">
      <formula>0</formula>
    </cfRule>
  </conditionalFormatting>
  <conditionalFormatting sqref="D1565:D1566 D1548:D1563">
    <cfRule type="containsText" dxfId="2985" priority="17351" operator="containsText" text="Fri">
      <formula>NOT(ISERROR(SEARCH("Fri",D1548)))</formula>
    </cfRule>
    <cfRule type="containsText" dxfId="2984" priority="17352" operator="containsText" text="Thu">
      <formula>NOT(ISERROR(SEARCH("Thu",D1548)))</formula>
    </cfRule>
    <cfRule type="containsText" dxfId="2983" priority="17353" operator="containsText" text="Wed">
      <formula>NOT(ISERROR(SEARCH("Wed",D1548)))</formula>
    </cfRule>
    <cfRule type="containsText" dxfId="2982" priority="17354" operator="containsText" text="Tue">
      <formula>NOT(ISERROR(SEARCH("Tue",D1548)))</formula>
    </cfRule>
    <cfRule type="containsText" dxfId="2981" priority="17355" operator="containsText" text="Mon">
      <formula>NOT(ISERROR(SEARCH("Mon",D1548)))</formula>
    </cfRule>
  </conditionalFormatting>
  <conditionalFormatting sqref="A1558:B1580">
    <cfRule type="cellIs" dxfId="2980" priority="17350" operator="equal">
      <formula>0</formula>
    </cfRule>
  </conditionalFormatting>
  <conditionalFormatting sqref="D1564">
    <cfRule type="containsText" dxfId="2979" priority="17345" operator="containsText" text="Fri">
      <formula>NOT(ISERROR(SEARCH("Fri",D1564)))</formula>
    </cfRule>
    <cfRule type="containsText" dxfId="2978" priority="17346" operator="containsText" text="Thu">
      <formula>NOT(ISERROR(SEARCH("Thu",D1564)))</formula>
    </cfRule>
    <cfRule type="containsText" dxfId="2977" priority="17347" operator="containsText" text="Wed">
      <formula>NOT(ISERROR(SEARCH("Wed",D1564)))</formula>
    </cfRule>
    <cfRule type="containsText" dxfId="2976" priority="17348" operator="containsText" text="Tue">
      <formula>NOT(ISERROR(SEARCH("Tue",D1564)))</formula>
    </cfRule>
    <cfRule type="containsText" dxfId="2975" priority="17349" operator="containsText" text="Mon">
      <formula>NOT(ISERROR(SEARCH("Mon",D1564)))</formula>
    </cfRule>
  </conditionalFormatting>
  <conditionalFormatting sqref="D1579:D1580 D1567:D1577">
    <cfRule type="containsText" dxfId="2974" priority="17340" operator="containsText" text="Fri">
      <formula>NOT(ISERROR(SEARCH("Fri",D1567)))</formula>
    </cfRule>
    <cfRule type="containsText" dxfId="2973" priority="17341" operator="containsText" text="Thu">
      <formula>NOT(ISERROR(SEARCH("Thu",D1567)))</formula>
    </cfRule>
    <cfRule type="containsText" dxfId="2972" priority="17342" operator="containsText" text="Wed">
      <formula>NOT(ISERROR(SEARCH("Wed",D1567)))</formula>
    </cfRule>
    <cfRule type="containsText" dxfId="2971" priority="17343" operator="containsText" text="Tue">
      <formula>NOT(ISERROR(SEARCH("Tue",D1567)))</formula>
    </cfRule>
    <cfRule type="containsText" dxfId="2970" priority="17344" operator="containsText" text="Mon">
      <formula>NOT(ISERROR(SEARCH("Mon",D1567)))</formula>
    </cfRule>
  </conditionalFormatting>
  <conditionalFormatting sqref="D1578">
    <cfRule type="containsText" dxfId="2969" priority="17335" operator="containsText" text="Fri">
      <formula>NOT(ISERROR(SEARCH("Fri",D1578)))</formula>
    </cfRule>
    <cfRule type="containsText" dxfId="2968" priority="17336" operator="containsText" text="Thu">
      <formula>NOT(ISERROR(SEARCH("Thu",D1578)))</formula>
    </cfRule>
    <cfRule type="containsText" dxfId="2967" priority="17337" operator="containsText" text="Wed">
      <formula>NOT(ISERROR(SEARCH("Wed",D1578)))</formula>
    </cfRule>
    <cfRule type="containsText" dxfId="2966" priority="17338" operator="containsText" text="Tue">
      <formula>NOT(ISERROR(SEARCH("Tue",D1578)))</formula>
    </cfRule>
    <cfRule type="containsText" dxfId="2965" priority="17339" operator="containsText" text="Mon">
      <formula>NOT(ISERROR(SEARCH("Mon",D1578)))</formula>
    </cfRule>
  </conditionalFormatting>
  <conditionalFormatting sqref="D1581:D1592">
    <cfRule type="containsText" dxfId="2964" priority="17330" operator="containsText" text="Fri">
      <formula>NOT(ISERROR(SEARCH("Fri",D1581)))</formula>
    </cfRule>
    <cfRule type="containsText" dxfId="2963" priority="17331" operator="containsText" text="Thu">
      <formula>NOT(ISERROR(SEARCH("Thu",D1581)))</formula>
    </cfRule>
    <cfRule type="containsText" dxfId="2962" priority="17332" operator="containsText" text="Wed">
      <formula>NOT(ISERROR(SEARCH("Wed",D1581)))</formula>
    </cfRule>
    <cfRule type="containsText" dxfId="2961" priority="17333" operator="containsText" text="Tue">
      <formula>NOT(ISERROR(SEARCH("Tue",D1581)))</formula>
    </cfRule>
    <cfRule type="containsText" dxfId="2960" priority="17334" operator="containsText" text="Mon">
      <formula>NOT(ISERROR(SEARCH("Mon",D1581)))</formula>
    </cfRule>
  </conditionalFormatting>
  <conditionalFormatting sqref="A1581:B1602">
    <cfRule type="cellIs" dxfId="2959" priority="17329" operator="equal">
      <formula>0</formula>
    </cfRule>
  </conditionalFormatting>
  <conditionalFormatting sqref="D1610:D1611 D1593:D1608">
    <cfRule type="containsText" dxfId="2958" priority="17324" operator="containsText" text="Fri">
      <formula>NOT(ISERROR(SEARCH("Fri",D1593)))</formula>
    </cfRule>
    <cfRule type="containsText" dxfId="2957" priority="17325" operator="containsText" text="Thu">
      <formula>NOT(ISERROR(SEARCH("Thu",D1593)))</formula>
    </cfRule>
    <cfRule type="containsText" dxfId="2956" priority="17326" operator="containsText" text="Wed">
      <formula>NOT(ISERROR(SEARCH("Wed",D1593)))</formula>
    </cfRule>
    <cfRule type="containsText" dxfId="2955" priority="17327" operator="containsText" text="Tue">
      <formula>NOT(ISERROR(SEARCH("Tue",D1593)))</formula>
    </cfRule>
    <cfRule type="containsText" dxfId="2954" priority="17328" operator="containsText" text="Mon">
      <formula>NOT(ISERROR(SEARCH("Mon",D1593)))</formula>
    </cfRule>
  </conditionalFormatting>
  <conditionalFormatting sqref="A1603:B1618">
    <cfRule type="cellIs" dxfId="2953" priority="17323" operator="equal">
      <formula>0</formula>
    </cfRule>
  </conditionalFormatting>
  <conditionalFormatting sqref="D1609">
    <cfRule type="containsText" dxfId="2952" priority="17318" operator="containsText" text="Fri">
      <formula>NOT(ISERROR(SEARCH("Fri",D1609)))</formula>
    </cfRule>
    <cfRule type="containsText" dxfId="2951" priority="17319" operator="containsText" text="Thu">
      <formula>NOT(ISERROR(SEARCH("Thu",D1609)))</formula>
    </cfRule>
    <cfRule type="containsText" dxfId="2950" priority="17320" operator="containsText" text="Wed">
      <formula>NOT(ISERROR(SEARCH("Wed",D1609)))</formula>
    </cfRule>
    <cfRule type="containsText" dxfId="2949" priority="17321" operator="containsText" text="Tue">
      <formula>NOT(ISERROR(SEARCH("Tue",D1609)))</formula>
    </cfRule>
    <cfRule type="containsText" dxfId="2948" priority="17322" operator="containsText" text="Mon">
      <formula>NOT(ISERROR(SEARCH("Mon",D1609)))</formula>
    </cfRule>
  </conditionalFormatting>
  <conditionalFormatting sqref="D1618 D1612:D1616">
    <cfRule type="containsText" dxfId="2947" priority="17313" operator="containsText" text="Fri">
      <formula>NOT(ISERROR(SEARCH("Fri",D1612)))</formula>
    </cfRule>
    <cfRule type="containsText" dxfId="2946" priority="17314" operator="containsText" text="Thu">
      <formula>NOT(ISERROR(SEARCH("Thu",D1612)))</formula>
    </cfRule>
    <cfRule type="containsText" dxfId="2945" priority="17315" operator="containsText" text="Wed">
      <formula>NOT(ISERROR(SEARCH("Wed",D1612)))</formula>
    </cfRule>
    <cfRule type="containsText" dxfId="2944" priority="17316" operator="containsText" text="Tue">
      <formula>NOT(ISERROR(SEARCH("Tue",D1612)))</formula>
    </cfRule>
    <cfRule type="containsText" dxfId="2943" priority="17317" operator="containsText" text="Mon">
      <formula>NOT(ISERROR(SEARCH("Mon",D1612)))</formula>
    </cfRule>
  </conditionalFormatting>
  <conditionalFormatting sqref="D1617">
    <cfRule type="containsText" dxfId="2942" priority="17308" operator="containsText" text="Fri">
      <formula>NOT(ISERROR(SEARCH("Fri",D1617)))</formula>
    </cfRule>
    <cfRule type="containsText" dxfId="2941" priority="17309" operator="containsText" text="Thu">
      <formula>NOT(ISERROR(SEARCH("Thu",D1617)))</formula>
    </cfRule>
    <cfRule type="containsText" dxfId="2940" priority="17310" operator="containsText" text="Wed">
      <formula>NOT(ISERROR(SEARCH("Wed",D1617)))</formula>
    </cfRule>
    <cfRule type="containsText" dxfId="2939" priority="17311" operator="containsText" text="Tue">
      <formula>NOT(ISERROR(SEARCH("Tue",D1617)))</formula>
    </cfRule>
    <cfRule type="containsText" dxfId="2938" priority="17312" operator="containsText" text="Mon">
      <formula>NOT(ISERROR(SEARCH("Mon",D1617)))</formula>
    </cfRule>
  </conditionalFormatting>
  <conditionalFormatting sqref="D1619:D1631">
    <cfRule type="containsText" dxfId="2937" priority="17303" operator="containsText" text="Fri">
      <formula>NOT(ISERROR(SEARCH("Fri",D1619)))</formula>
    </cfRule>
    <cfRule type="containsText" dxfId="2936" priority="17304" operator="containsText" text="Thu">
      <formula>NOT(ISERROR(SEARCH("Thu",D1619)))</formula>
    </cfRule>
    <cfRule type="containsText" dxfId="2935" priority="17305" operator="containsText" text="Wed">
      <formula>NOT(ISERROR(SEARCH("Wed",D1619)))</formula>
    </cfRule>
    <cfRule type="containsText" dxfId="2934" priority="17306" operator="containsText" text="Tue">
      <formula>NOT(ISERROR(SEARCH("Tue",D1619)))</formula>
    </cfRule>
    <cfRule type="containsText" dxfId="2933" priority="17307" operator="containsText" text="Mon">
      <formula>NOT(ISERROR(SEARCH("Mon",D1619)))</formula>
    </cfRule>
  </conditionalFormatting>
  <conditionalFormatting sqref="A1619:B1634">
    <cfRule type="cellIs" dxfId="2932" priority="17302" operator="equal">
      <formula>0</formula>
    </cfRule>
  </conditionalFormatting>
  <conditionalFormatting sqref="D1632:D1641">
    <cfRule type="containsText" dxfId="2931" priority="17297" operator="containsText" text="Fri">
      <formula>NOT(ISERROR(SEARCH("Fri",D1632)))</formula>
    </cfRule>
    <cfRule type="containsText" dxfId="2930" priority="17298" operator="containsText" text="Thu">
      <formula>NOT(ISERROR(SEARCH("Thu",D1632)))</formula>
    </cfRule>
    <cfRule type="containsText" dxfId="2929" priority="17299" operator="containsText" text="Wed">
      <formula>NOT(ISERROR(SEARCH("Wed",D1632)))</formula>
    </cfRule>
    <cfRule type="containsText" dxfId="2928" priority="17300" operator="containsText" text="Tue">
      <formula>NOT(ISERROR(SEARCH("Tue",D1632)))</formula>
    </cfRule>
    <cfRule type="containsText" dxfId="2927" priority="17301" operator="containsText" text="Mon">
      <formula>NOT(ISERROR(SEARCH("Mon",D1632)))</formula>
    </cfRule>
  </conditionalFormatting>
  <conditionalFormatting sqref="A1635:B1653">
    <cfRule type="cellIs" dxfId="2926" priority="17296" operator="equal">
      <formula>0</formula>
    </cfRule>
  </conditionalFormatting>
  <conditionalFormatting sqref="D1653 D1642:D1651">
    <cfRule type="containsText" dxfId="2925" priority="17291" operator="containsText" text="Fri">
      <formula>NOT(ISERROR(SEARCH("Fri",D1642)))</formula>
    </cfRule>
    <cfRule type="containsText" dxfId="2924" priority="17292" operator="containsText" text="Thu">
      <formula>NOT(ISERROR(SEARCH("Thu",D1642)))</formula>
    </cfRule>
    <cfRule type="containsText" dxfId="2923" priority="17293" operator="containsText" text="Wed">
      <formula>NOT(ISERROR(SEARCH("Wed",D1642)))</formula>
    </cfRule>
    <cfRule type="containsText" dxfId="2922" priority="17294" operator="containsText" text="Tue">
      <formula>NOT(ISERROR(SEARCH("Tue",D1642)))</formula>
    </cfRule>
    <cfRule type="containsText" dxfId="2921" priority="17295" operator="containsText" text="Mon">
      <formula>NOT(ISERROR(SEARCH("Mon",D1642)))</formula>
    </cfRule>
  </conditionalFormatting>
  <conditionalFormatting sqref="D1652">
    <cfRule type="containsText" dxfId="2920" priority="17286" operator="containsText" text="Fri">
      <formula>NOT(ISERROR(SEARCH("Fri",D1652)))</formula>
    </cfRule>
    <cfRule type="containsText" dxfId="2919" priority="17287" operator="containsText" text="Thu">
      <formula>NOT(ISERROR(SEARCH("Thu",D1652)))</formula>
    </cfRule>
    <cfRule type="containsText" dxfId="2918" priority="17288" operator="containsText" text="Wed">
      <formula>NOT(ISERROR(SEARCH("Wed",D1652)))</formula>
    </cfRule>
    <cfRule type="containsText" dxfId="2917" priority="17289" operator="containsText" text="Tue">
      <formula>NOT(ISERROR(SEARCH("Tue",D1652)))</formula>
    </cfRule>
    <cfRule type="containsText" dxfId="2916" priority="17290" operator="containsText" text="Mon">
      <formula>NOT(ISERROR(SEARCH("Mon",D1652)))</formula>
    </cfRule>
  </conditionalFormatting>
  <conditionalFormatting sqref="K1654:K1676 F1654:I1676">
    <cfRule type="cellIs" dxfId="2915" priority="17285" operator="equal">
      <formula>0</formula>
    </cfRule>
  </conditionalFormatting>
  <conditionalFormatting sqref="D1661:D1662 D1654:D1659">
    <cfRule type="containsText" dxfId="2914" priority="17280" operator="containsText" text="Fri">
      <formula>NOT(ISERROR(SEARCH("Fri",D1654)))</formula>
    </cfRule>
    <cfRule type="containsText" dxfId="2913" priority="17281" operator="containsText" text="Thu">
      <formula>NOT(ISERROR(SEARCH("Thu",D1654)))</formula>
    </cfRule>
    <cfRule type="containsText" dxfId="2912" priority="17282" operator="containsText" text="Wed">
      <formula>NOT(ISERROR(SEARCH("Wed",D1654)))</formula>
    </cfRule>
    <cfRule type="containsText" dxfId="2911" priority="17283" operator="containsText" text="Tue">
      <formula>NOT(ISERROR(SEARCH("Tue",D1654)))</formula>
    </cfRule>
    <cfRule type="containsText" dxfId="2910" priority="17284" operator="containsText" text="Mon">
      <formula>NOT(ISERROR(SEARCH("Mon",D1654)))</formula>
    </cfRule>
  </conditionalFormatting>
  <conditionalFormatting sqref="A1654:B1676">
    <cfRule type="cellIs" dxfId="2909" priority="17279" operator="equal">
      <formula>0</formula>
    </cfRule>
  </conditionalFormatting>
  <conditionalFormatting sqref="D1660">
    <cfRule type="containsText" dxfId="2908" priority="17274" operator="containsText" text="Fri">
      <formula>NOT(ISERROR(SEARCH("Fri",D1660)))</formula>
    </cfRule>
    <cfRule type="containsText" dxfId="2907" priority="17275" operator="containsText" text="Thu">
      <formula>NOT(ISERROR(SEARCH("Thu",D1660)))</formula>
    </cfRule>
    <cfRule type="containsText" dxfId="2906" priority="17276" operator="containsText" text="Wed">
      <formula>NOT(ISERROR(SEARCH("Wed",D1660)))</formula>
    </cfRule>
    <cfRule type="containsText" dxfId="2905" priority="17277" operator="containsText" text="Tue">
      <formula>NOT(ISERROR(SEARCH("Tue",D1660)))</formula>
    </cfRule>
    <cfRule type="containsText" dxfId="2904" priority="17278" operator="containsText" text="Mon">
      <formula>NOT(ISERROR(SEARCH("Mon",D1660)))</formula>
    </cfRule>
  </conditionalFormatting>
  <conditionalFormatting sqref="D1675:D1676 D1663:D1673">
    <cfRule type="containsText" dxfId="2903" priority="17269" operator="containsText" text="Fri">
      <formula>NOT(ISERROR(SEARCH("Fri",D1663)))</formula>
    </cfRule>
    <cfRule type="containsText" dxfId="2902" priority="17270" operator="containsText" text="Thu">
      <formula>NOT(ISERROR(SEARCH("Thu",D1663)))</formula>
    </cfRule>
    <cfRule type="containsText" dxfId="2901" priority="17271" operator="containsText" text="Wed">
      <formula>NOT(ISERROR(SEARCH("Wed",D1663)))</formula>
    </cfRule>
    <cfRule type="containsText" dxfId="2900" priority="17272" operator="containsText" text="Tue">
      <formula>NOT(ISERROR(SEARCH("Tue",D1663)))</formula>
    </cfRule>
    <cfRule type="containsText" dxfId="2899" priority="17273" operator="containsText" text="Mon">
      <formula>NOT(ISERROR(SEARCH("Mon",D1663)))</formula>
    </cfRule>
  </conditionalFormatting>
  <conditionalFormatting sqref="D1674">
    <cfRule type="containsText" dxfId="2898" priority="17264" operator="containsText" text="Fri">
      <formula>NOT(ISERROR(SEARCH("Fri",D1674)))</formula>
    </cfRule>
    <cfRule type="containsText" dxfId="2897" priority="17265" operator="containsText" text="Thu">
      <formula>NOT(ISERROR(SEARCH("Thu",D1674)))</formula>
    </cfRule>
    <cfRule type="containsText" dxfId="2896" priority="17266" operator="containsText" text="Wed">
      <formula>NOT(ISERROR(SEARCH("Wed",D1674)))</formula>
    </cfRule>
    <cfRule type="containsText" dxfId="2895" priority="17267" operator="containsText" text="Tue">
      <formula>NOT(ISERROR(SEARCH("Tue",D1674)))</formula>
    </cfRule>
    <cfRule type="containsText" dxfId="2894" priority="17268" operator="containsText" text="Mon">
      <formula>NOT(ISERROR(SEARCH("Mon",D1674)))</formula>
    </cfRule>
  </conditionalFormatting>
  <conditionalFormatting sqref="K1677:K1685 F1677:I1685">
    <cfRule type="cellIs" dxfId="2893" priority="17263" operator="equal">
      <formula>0</formula>
    </cfRule>
  </conditionalFormatting>
  <conditionalFormatting sqref="D1677:D1684">
    <cfRule type="containsText" dxfId="2892" priority="17258" operator="containsText" text="Fri">
      <formula>NOT(ISERROR(SEARCH("Fri",D1677)))</formula>
    </cfRule>
    <cfRule type="containsText" dxfId="2891" priority="17259" operator="containsText" text="Thu">
      <formula>NOT(ISERROR(SEARCH("Thu",D1677)))</formula>
    </cfRule>
    <cfRule type="containsText" dxfId="2890" priority="17260" operator="containsText" text="Wed">
      <formula>NOT(ISERROR(SEARCH("Wed",D1677)))</formula>
    </cfRule>
    <cfRule type="containsText" dxfId="2889" priority="17261" operator="containsText" text="Tue">
      <formula>NOT(ISERROR(SEARCH("Tue",D1677)))</formula>
    </cfRule>
    <cfRule type="containsText" dxfId="2888" priority="17262" operator="containsText" text="Mon">
      <formula>NOT(ISERROR(SEARCH("Mon",D1677)))</formula>
    </cfRule>
  </conditionalFormatting>
  <conditionalFormatting sqref="A1677:B1685">
    <cfRule type="cellIs" dxfId="2887" priority="17257" operator="equal">
      <formula>0</formula>
    </cfRule>
  </conditionalFormatting>
  <conditionalFormatting sqref="D1685">
    <cfRule type="containsText" dxfId="2886" priority="17252" operator="containsText" text="Fri">
      <formula>NOT(ISERROR(SEARCH("Fri",D1685)))</formula>
    </cfRule>
    <cfRule type="containsText" dxfId="2885" priority="17253" operator="containsText" text="Thu">
      <formula>NOT(ISERROR(SEARCH("Thu",D1685)))</formula>
    </cfRule>
    <cfRule type="containsText" dxfId="2884" priority="17254" operator="containsText" text="Wed">
      <formula>NOT(ISERROR(SEARCH("Wed",D1685)))</formula>
    </cfRule>
    <cfRule type="containsText" dxfId="2883" priority="17255" operator="containsText" text="Tue">
      <formula>NOT(ISERROR(SEARCH("Tue",D1685)))</formula>
    </cfRule>
    <cfRule type="containsText" dxfId="2882" priority="17256" operator="containsText" text="Mon">
      <formula>NOT(ISERROR(SEARCH("Mon",D1685)))</formula>
    </cfRule>
  </conditionalFormatting>
  <conditionalFormatting sqref="K1686:K1694 F1686:I1694">
    <cfRule type="cellIs" dxfId="2881" priority="17251" operator="equal">
      <formula>0</formula>
    </cfRule>
  </conditionalFormatting>
  <conditionalFormatting sqref="D1686:D1693">
    <cfRule type="containsText" dxfId="2880" priority="17246" operator="containsText" text="Fri">
      <formula>NOT(ISERROR(SEARCH("Fri",D1686)))</formula>
    </cfRule>
    <cfRule type="containsText" dxfId="2879" priority="17247" operator="containsText" text="Thu">
      <formula>NOT(ISERROR(SEARCH("Thu",D1686)))</formula>
    </cfRule>
    <cfRule type="containsText" dxfId="2878" priority="17248" operator="containsText" text="Wed">
      <formula>NOT(ISERROR(SEARCH("Wed",D1686)))</formula>
    </cfRule>
    <cfRule type="containsText" dxfId="2877" priority="17249" operator="containsText" text="Tue">
      <formula>NOT(ISERROR(SEARCH("Tue",D1686)))</formula>
    </cfRule>
    <cfRule type="containsText" dxfId="2876" priority="17250" operator="containsText" text="Mon">
      <formula>NOT(ISERROR(SEARCH("Mon",D1686)))</formula>
    </cfRule>
  </conditionalFormatting>
  <conditionalFormatting sqref="A1686:B1694">
    <cfRule type="cellIs" dxfId="2875" priority="17245" operator="equal">
      <formula>0</formula>
    </cfRule>
  </conditionalFormatting>
  <conditionalFormatting sqref="D1694">
    <cfRule type="containsText" dxfId="2874" priority="17240" operator="containsText" text="Fri">
      <formula>NOT(ISERROR(SEARCH("Fri",D1694)))</formula>
    </cfRule>
    <cfRule type="containsText" dxfId="2873" priority="17241" operator="containsText" text="Thu">
      <formula>NOT(ISERROR(SEARCH("Thu",D1694)))</formula>
    </cfRule>
    <cfRule type="containsText" dxfId="2872" priority="17242" operator="containsText" text="Wed">
      <formula>NOT(ISERROR(SEARCH("Wed",D1694)))</formula>
    </cfRule>
    <cfRule type="containsText" dxfId="2871" priority="17243" operator="containsText" text="Tue">
      <formula>NOT(ISERROR(SEARCH("Tue",D1694)))</formula>
    </cfRule>
    <cfRule type="containsText" dxfId="2870" priority="17244" operator="containsText" text="Mon">
      <formula>NOT(ISERROR(SEARCH("Mon",D1694)))</formula>
    </cfRule>
  </conditionalFormatting>
  <conditionalFormatting sqref="K1695:K1702 F1695:I1702">
    <cfRule type="cellIs" dxfId="2869" priority="17239" operator="equal">
      <formula>0</formula>
    </cfRule>
  </conditionalFormatting>
  <conditionalFormatting sqref="D1701 D1695:D1699">
    <cfRule type="containsText" dxfId="2868" priority="17234" operator="containsText" text="Fri">
      <formula>NOT(ISERROR(SEARCH("Fri",D1695)))</formula>
    </cfRule>
    <cfRule type="containsText" dxfId="2867" priority="17235" operator="containsText" text="Thu">
      <formula>NOT(ISERROR(SEARCH("Thu",D1695)))</formula>
    </cfRule>
    <cfRule type="containsText" dxfId="2866" priority="17236" operator="containsText" text="Wed">
      <formula>NOT(ISERROR(SEARCH("Wed",D1695)))</formula>
    </cfRule>
    <cfRule type="containsText" dxfId="2865" priority="17237" operator="containsText" text="Tue">
      <formula>NOT(ISERROR(SEARCH("Tue",D1695)))</formula>
    </cfRule>
    <cfRule type="containsText" dxfId="2864" priority="17238" operator="containsText" text="Mon">
      <formula>NOT(ISERROR(SEARCH("Mon",D1695)))</formula>
    </cfRule>
  </conditionalFormatting>
  <conditionalFormatting sqref="A1695:B1702">
    <cfRule type="cellIs" dxfId="2863" priority="17233" operator="equal">
      <formula>0</formula>
    </cfRule>
  </conditionalFormatting>
  <conditionalFormatting sqref="D1700">
    <cfRule type="containsText" dxfId="2862" priority="17228" operator="containsText" text="Fri">
      <formula>NOT(ISERROR(SEARCH("Fri",D1700)))</formula>
    </cfRule>
    <cfRule type="containsText" dxfId="2861" priority="17229" operator="containsText" text="Thu">
      <formula>NOT(ISERROR(SEARCH("Thu",D1700)))</formula>
    </cfRule>
    <cfRule type="containsText" dxfId="2860" priority="17230" operator="containsText" text="Wed">
      <formula>NOT(ISERROR(SEARCH("Wed",D1700)))</formula>
    </cfRule>
    <cfRule type="containsText" dxfId="2859" priority="17231" operator="containsText" text="Tue">
      <formula>NOT(ISERROR(SEARCH("Tue",D1700)))</formula>
    </cfRule>
    <cfRule type="containsText" dxfId="2858" priority="17232" operator="containsText" text="Mon">
      <formula>NOT(ISERROR(SEARCH("Mon",D1700)))</formula>
    </cfRule>
  </conditionalFormatting>
  <conditionalFormatting sqref="D1702">
    <cfRule type="containsText" dxfId="2857" priority="17223" operator="containsText" text="Fri">
      <formula>NOT(ISERROR(SEARCH("Fri",D1702)))</formula>
    </cfRule>
    <cfRule type="containsText" dxfId="2856" priority="17224" operator="containsText" text="Thu">
      <formula>NOT(ISERROR(SEARCH("Thu",D1702)))</formula>
    </cfRule>
    <cfRule type="containsText" dxfId="2855" priority="17225" operator="containsText" text="Wed">
      <formula>NOT(ISERROR(SEARCH("Wed",D1702)))</formula>
    </cfRule>
    <cfRule type="containsText" dxfId="2854" priority="17226" operator="containsText" text="Tue">
      <formula>NOT(ISERROR(SEARCH("Tue",D1702)))</formula>
    </cfRule>
    <cfRule type="containsText" dxfId="2853" priority="17227" operator="containsText" text="Mon">
      <formula>NOT(ISERROR(SEARCH("Mon",D1702)))</formula>
    </cfRule>
  </conditionalFormatting>
  <conditionalFormatting sqref="D1703:D1710">
    <cfRule type="containsText" dxfId="2852" priority="16021" operator="containsText" text="Fri">
      <formula>NOT(ISERROR(SEARCH("Fri",D1703)))</formula>
    </cfRule>
    <cfRule type="containsText" dxfId="2851" priority="16022" operator="containsText" text="Thu">
      <formula>NOT(ISERROR(SEARCH("Thu",D1703)))</formula>
    </cfRule>
    <cfRule type="containsText" dxfId="2850" priority="16023" operator="containsText" text="Wed">
      <formula>NOT(ISERROR(SEARCH("Wed",D1703)))</formula>
    </cfRule>
    <cfRule type="containsText" dxfId="2849" priority="16024" operator="containsText" text="Tue">
      <formula>NOT(ISERROR(SEARCH("Tue",D1703)))</formula>
    </cfRule>
    <cfRule type="containsText" dxfId="2848" priority="16025" operator="containsText" text="Mon">
      <formula>NOT(ISERROR(SEARCH("Mon",D1703)))</formula>
    </cfRule>
  </conditionalFormatting>
  <conditionalFormatting sqref="E1703:K1850">
    <cfRule type="cellIs" dxfId="2847" priority="16020" operator="equal">
      <formula>0</formula>
    </cfRule>
  </conditionalFormatting>
  <conditionalFormatting sqref="A1703:B1713">
    <cfRule type="cellIs" dxfId="2846" priority="16019" operator="equal">
      <formula>0</formula>
    </cfRule>
  </conditionalFormatting>
  <conditionalFormatting sqref="D1711:D1713">
    <cfRule type="containsText" dxfId="2845" priority="16014" operator="containsText" text="Fri">
      <formula>NOT(ISERROR(SEARCH("Fri",D1711)))</formula>
    </cfRule>
    <cfRule type="containsText" dxfId="2844" priority="16015" operator="containsText" text="Thu">
      <formula>NOT(ISERROR(SEARCH("Thu",D1711)))</formula>
    </cfRule>
    <cfRule type="containsText" dxfId="2843" priority="16016" operator="containsText" text="Wed">
      <formula>NOT(ISERROR(SEARCH("Wed",D1711)))</formula>
    </cfRule>
    <cfRule type="containsText" dxfId="2842" priority="16017" operator="containsText" text="Tue">
      <formula>NOT(ISERROR(SEARCH("Tue",D1711)))</formula>
    </cfRule>
    <cfRule type="containsText" dxfId="2841" priority="16018" operator="containsText" text="Mon">
      <formula>NOT(ISERROR(SEARCH("Mon",D1711)))</formula>
    </cfRule>
  </conditionalFormatting>
  <conditionalFormatting sqref="D1714:D1722">
    <cfRule type="containsText" dxfId="2840" priority="16009" operator="containsText" text="Fri">
      <formula>NOT(ISERROR(SEARCH("Fri",D1714)))</formula>
    </cfRule>
    <cfRule type="containsText" dxfId="2839" priority="16010" operator="containsText" text="Thu">
      <formula>NOT(ISERROR(SEARCH("Thu",D1714)))</formula>
    </cfRule>
    <cfRule type="containsText" dxfId="2838" priority="16011" operator="containsText" text="Wed">
      <formula>NOT(ISERROR(SEARCH("Wed",D1714)))</formula>
    </cfRule>
    <cfRule type="containsText" dxfId="2837" priority="16012" operator="containsText" text="Tue">
      <formula>NOT(ISERROR(SEARCH("Tue",D1714)))</formula>
    </cfRule>
    <cfRule type="containsText" dxfId="2836" priority="16013" operator="containsText" text="Mon">
      <formula>NOT(ISERROR(SEARCH("Mon",D1714)))</formula>
    </cfRule>
  </conditionalFormatting>
  <conditionalFormatting sqref="A1714:B1722">
    <cfRule type="cellIs" dxfId="2835" priority="16008" operator="equal">
      <formula>0</formula>
    </cfRule>
  </conditionalFormatting>
  <conditionalFormatting sqref="D1723:D1729">
    <cfRule type="containsText" dxfId="2834" priority="16003" operator="containsText" text="Fri">
      <formula>NOT(ISERROR(SEARCH("Fri",D1723)))</formula>
    </cfRule>
    <cfRule type="containsText" dxfId="2833" priority="16004" operator="containsText" text="Thu">
      <formula>NOT(ISERROR(SEARCH("Thu",D1723)))</formula>
    </cfRule>
    <cfRule type="containsText" dxfId="2832" priority="16005" operator="containsText" text="Wed">
      <formula>NOT(ISERROR(SEARCH("Wed",D1723)))</formula>
    </cfRule>
    <cfRule type="containsText" dxfId="2831" priority="16006" operator="containsText" text="Tue">
      <formula>NOT(ISERROR(SEARCH("Tue",D1723)))</formula>
    </cfRule>
    <cfRule type="containsText" dxfId="2830" priority="16007" operator="containsText" text="Mon">
      <formula>NOT(ISERROR(SEARCH("Mon",D1723)))</formula>
    </cfRule>
  </conditionalFormatting>
  <conditionalFormatting sqref="A1723:B1734">
    <cfRule type="cellIs" dxfId="2829" priority="16002" operator="equal">
      <formula>0</formula>
    </cfRule>
  </conditionalFormatting>
  <conditionalFormatting sqref="D1730:D1734">
    <cfRule type="containsText" dxfId="2828" priority="15997" operator="containsText" text="Fri">
      <formula>NOT(ISERROR(SEARCH("Fri",D1730)))</formula>
    </cfRule>
    <cfRule type="containsText" dxfId="2827" priority="15998" operator="containsText" text="Thu">
      <formula>NOT(ISERROR(SEARCH("Thu",D1730)))</formula>
    </cfRule>
    <cfRule type="containsText" dxfId="2826" priority="15999" operator="containsText" text="Wed">
      <formula>NOT(ISERROR(SEARCH("Wed",D1730)))</formula>
    </cfRule>
    <cfRule type="containsText" dxfId="2825" priority="16000" operator="containsText" text="Tue">
      <formula>NOT(ISERROR(SEARCH("Tue",D1730)))</formula>
    </cfRule>
    <cfRule type="containsText" dxfId="2824" priority="16001" operator="containsText" text="Mon">
      <formula>NOT(ISERROR(SEARCH("Mon",D1730)))</formula>
    </cfRule>
  </conditionalFormatting>
  <conditionalFormatting sqref="D1735:D1744">
    <cfRule type="containsText" dxfId="2823" priority="15992" operator="containsText" text="Fri">
      <formula>NOT(ISERROR(SEARCH("Fri",D1735)))</formula>
    </cfRule>
    <cfRule type="containsText" dxfId="2822" priority="15993" operator="containsText" text="Thu">
      <formula>NOT(ISERROR(SEARCH("Thu",D1735)))</formula>
    </cfRule>
    <cfRule type="containsText" dxfId="2821" priority="15994" operator="containsText" text="Wed">
      <formula>NOT(ISERROR(SEARCH("Wed",D1735)))</formula>
    </cfRule>
    <cfRule type="containsText" dxfId="2820" priority="15995" operator="containsText" text="Tue">
      <formula>NOT(ISERROR(SEARCH("Tue",D1735)))</formula>
    </cfRule>
    <cfRule type="containsText" dxfId="2819" priority="15996" operator="containsText" text="Mon">
      <formula>NOT(ISERROR(SEARCH("Mon",D1735)))</formula>
    </cfRule>
  </conditionalFormatting>
  <conditionalFormatting sqref="A1735:B1744">
    <cfRule type="cellIs" dxfId="2818" priority="15991" operator="equal">
      <formula>0</formula>
    </cfRule>
  </conditionalFormatting>
  <conditionalFormatting sqref="D1752:D1753 D1745:D1750">
    <cfRule type="containsText" dxfId="2817" priority="15986" operator="containsText" text="Fri">
      <formula>NOT(ISERROR(SEARCH("Fri",D1745)))</formula>
    </cfRule>
    <cfRule type="containsText" dxfId="2816" priority="15987" operator="containsText" text="Thu">
      <formula>NOT(ISERROR(SEARCH("Thu",D1745)))</formula>
    </cfRule>
    <cfRule type="containsText" dxfId="2815" priority="15988" operator="containsText" text="Wed">
      <formula>NOT(ISERROR(SEARCH("Wed",D1745)))</formula>
    </cfRule>
    <cfRule type="containsText" dxfId="2814" priority="15989" operator="containsText" text="Tue">
      <formula>NOT(ISERROR(SEARCH("Tue",D1745)))</formula>
    </cfRule>
    <cfRule type="containsText" dxfId="2813" priority="15990" operator="containsText" text="Mon">
      <formula>NOT(ISERROR(SEARCH("Mon",D1745)))</formula>
    </cfRule>
  </conditionalFormatting>
  <conditionalFormatting sqref="A1745:B1755">
    <cfRule type="cellIs" dxfId="2812" priority="15985" operator="equal">
      <formula>0</formula>
    </cfRule>
  </conditionalFormatting>
  <conditionalFormatting sqref="D1751">
    <cfRule type="containsText" dxfId="2811" priority="15980" operator="containsText" text="Fri">
      <formula>NOT(ISERROR(SEARCH("Fri",D1751)))</formula>
    </cfRule>
    <cfRule type="containsText" dxfId="2810" priority="15981" operator="containsText" text="Thu">
      <formula>NOT(ISERROR(SEARCH("Thu",D1751)))</formula>
    </cfRule>
    <cfRule type="containsText" dxfId="2809" priority="15982" operator="containsText" text="Wed">
      <formula>NOT(ISERROR(SEARCH("Wed",D1751)))</formula>
    </cfRule>
    <cfRule type="containsText" dxfId="2808" priority="15983" operator="containsText" text="Tue">
      <formula>NOT(ISERROR(SEARCH("Tue",D1751)))</formula>
    </cfRule>
    <cfRule type="containsText" dxfId="2807" priority="15984" operator="containsText" text="Mon">
      <formula>NOT(ISERROR(SEARCH("Mon",D1751)))</formula>
    </cfRule>
  </conditionalFormatting>
  <conditionalFormatting sqref="D1754:D1755">
    <cfRule type="containsText" dxfId="2806" priority="15975" operator="containsText" text="Fri">
      <formula>NOT(ISERROR(SEARCH("Fri",D1754)))</formula>
    </cfRule>
    <cfRule type="containsText" dxfId="2805" priority="15976" operator="containsText" text="Thu">
      <formula>NOT(ISERROR(SEARCH("Thu",D1754)))</formula>
    </cfRule>
    <cfRule type="containsText" dxfId="2804" priority="15977" operator="containsText" text="Wed">
      <formula>NOT(ISERROR(SEARCH("Wed",D1754)))</formula>
    </cfRule>
    <cfRule type="containsText" dxfId="2803" priority="15978" operator="containsText" text="Tue">
      <formula>NOT(ISERROR(SEARCH("Tue",D1754)))</formula>
    </cfRule>
    <cfRule type="containsText" dxfId="2802" priority="15979" operator="containsText" text="Mon">
      <formula>NOT(ISERROR(SEARCH("Mon",D1754)))</formula>
    </cfRule>
  </conditionalFormatting>
  <conditionalFormatting sqref="D1756:D1764">
    <cfRule type="containsText" dxfId="2801" priority="15970" operator="containsText" text="Fri">
      <formula>NOT(ISERROR(SEARCH("Fri",D1756)))</formula>
    </cfRule>
    <cfRule type="containsText" dxfId="2800" priority="15971" operator="containsText" text="Thu">
      <formula>NOT(ISERROR(SEARCH("Thu",D1756)))</formula>
    </cfRule>
    <cfRule type="containsText" dxfId="2799" priority="15972" operator="containsText" text="Wed">
      <formula>NOT(ISERROR(SEARCH("Wed",D1756)))</formula>
    </cfRule>
    <cfRule type="containsText" dxfId="2798" priority="15973" operator="containsText" text="Tue">
      <formula>NOT(ISERROR(SEARCH("Tue",D1756)))</formula>
    </cfRule>
    <cfRule type="containsText" dxfId="2797" priority="15974" operator="containsText" text="Mon">
      <formula>NOT(ISERROR(SEARCH("Mon",D1756)))</formula>
    </cfRule>
  </conditionalFormatting>
  <conditionalFormatting sqref="A1756:B1764">
    <cfRule type="cellIs" dxfId="2796" priority="15969" operator="equal">
      <formula>0</formula>
    </cfRule>
  </conditionalFormatting>
  <conditionalFormatting sqref="D1765:D1772">
    <cfRule type="containsText" dxfId="2795" priority="15964" operator="containsText" text="Fri">
      <formula>NOT(ISERROR(SEARCH("Fri",D1765)))</formula>
    </cfRule>
    <cfRule type="containsText" dxfId="2794" priority="15965" operator="containsText" text="Thu">
      <formula>NOT(ISERROR(SEARCH("Thu",D1765)))</formula>
    </cfRule>
    <cfRule type="containsText" dxfId="2793" priority="15966" operator="containsText" text="Wed">
      <formula>NOT(ISERROR(SEARCH("Wed",D1765)))</formula>
    </cfRule>
    <cfRule type="containsText" dxfId="2792" priority="15967" operator="containsText" text="Tue">
      <formula>NOT(ISERROR(SEARCH("Tue",D1765)))</formula>
    </cfRule>
    <cfRule type="containsText" dxfId="2791" priority="15968" operator="containsText" text="Mon">
      <formula>NOT(ISERROR(SEARCH("Mon",D1765)))</formula>
    </cfRule>
  </conditionalFormatting>
  <conditionalFormatting sqref="A1765:B1774">
    <cfRule type="cellIs" dxfId="2790" priority="15963" operator="equal">
      <formula>0</formula>
    </cfRule>
  </conditionalFormatting>
  <conditionalFormatting sqref="D1773:D1774">
    <cfRule type="containsText" dxfId="2789" priority="15958" operator="containsText" text="Fri">
      <formula>NOT(ISERROR(SEARCH("Fri",D1773)))</formula>
    </cfRule>
    <cfRule type="containsText" dxfId="2788" priority="15959" operator="containsText" text="Thu">
      <formula>NOT(ISERROR(SEARCH("Thu",D1773)))</formula>
    </cfRule>
    <cfRule type="containsText" dxfId="2787" priority="15960" operator="containsText" text="Wed">
      <formula>NOT(ISERROR(SEARCH("Wed",D1773)))</formula>
    </cfRule>
    <cfRule type="containsText" dxfId="2786" priority="15961" operator="containsText" text="Tue">
      <formula>NOT(ISERROR(SEARCH("Tue",D1773)))</formula>
    </cfRule>
    <cfRule type="containsText" dxfId="2785" priority="15962" operator="containsText" text="Mon">
      <formula>NOT(ISERROR(SEARCH("Mon",D1773)))</formula>
    </cfRule>
  </conditionalFormatting>
  <conditionalFormatting sqref="D1775">
    <cfRule type="containsText" dxfId="2784" priority="15953" operator="containsText" text="Fri">
      <formula>NOT(ISERROR(SEARCH("Fri",D1775)))</formula>
    </cfRule>
    <cfRule type="containsText" dxfId="2783" priority="15954" operator="containsText" text="Thu">
      <formula>NOT(ISERROR(SEARCH("Thu",D1775)))</formula>
    </cfRule>
    <cfRule type="containsText" dxfId="2782" priority="15955" operator="containsText" text="Wed">
      <formula>NOT(ISERROR(SEARCH("Wed",D1775)))</formula>
    </cfRule>
    <cfRule type="containsText" dxfId="2781" priority="15956" operator="containsText" text="Tue">
      <formula>NOT(ISERROR(SEARCH("Tue",D1775)))</formula>
    </cfRule>
    <cfRule type="containsText" dxfId="2780" priority="15957" operator="containsText" text="Mon">
      <formula>NOT(ISERROR(SEARCH("Mon",D1775)))</formula>
    </cfRule>
  </conditionalFormatting>
  <conditionalFormatting sqref="A1775:B1775">
    <cfRule type="cellIs" dxfId="2779" priority="15952" operator="equal">
      <formula>0</formula>
    </cfRule>
  </conditionalFormatting>
  <conditionalFormatting sqref="D1776">
    <cfRule type="containsText" dxfId="2778" priority="15947" operator="containsText" text="Fri">
      <formula>NOT(ISERROR(SEARCH("Fri",D1776)))</formula>
    </cfRule>
    <cfRule type="containsText" dxfId="2777" priority="15948" operator="containsText" text="Thu">
      <formula>NOT(ISERROR(SEARCH("Thu",D1776)))</formula>
    </cfRule>
    <cfRule type="containsText" dxfId="2776" priority="15949" operator="containsText" text="Wed">
      <formula>NOT(ISERROR(SEARCH("Wed",D1776)))</formula>
    </cfRule>
    <cfRule type="containsText" dxfId="2775" priority="15950" operator="containsText" text="Tue">
      <formula>NOT(ISERROR(SEARCH("Tue",D1776)))</formula>
    </cfRule>
    <cfRule type="containsText" dxfId="2774" priority="15951" operator="containsText" text="Mon">
      <formula>NOT(ISERROR(SEARCH("Mon",D1776)))</formula>
    </cfRule>
  </conditionalFormatting>
  <conditionalFormatting sqref="A1776:B1776">
    <cfRule type="cellIs" dxfId="2773" priority="15946" operator="equal">
      <formula>0</formula>
    </cfRule>
  </conditionalFormatting>
  <conditionalFormatting sqref="D1777">
    <cfRule type="containsText" dxfId="2772" priority="15941" operator="containsText" text="Fri">
      <formula>NOT(ISERROR(SEARCH("Fri",D1777)))</formula>
    </cfRule>
    <cfRule type="containsText" dxfId="2771" priority="15942" operator="containsText" text="Thu">
      <formula>NOT(ISERROR(SEARCH("Thu",D1777)))</formula>
    </cfRule>
    <cfRule type="containsText" dxfId="2770" priority="15943" operator="containsText" text="Wed">
      <formula>NOT(ISERROR(SEARCH("Wed",D1777)))</formula>
    </cfRule>
    <cfRule type="containsText" dxfId="2769" priority="15944" operator="containsText" text="Tue">
      <formula>NOT(ISERROR(SEARCH("Tue",D1777)))</formula>
    </cfRule>
    <cfRule type="containsText" dxfId="2768" priority="15945" operator="containsText" text="Mon">
      <formula>NOT(ISERROR(SEARCH("Mon",D1777)))</formula>
    </cfRule>
  </conditionalFormatting>
  <conditionalFormatting sqref="A1777:B1777">
    <cfRule type="cellIs" dxfId="2767" priority="15940" operator="equal">
      <formula>0</formula>
    </cfRule>
  </conditionalFormatting>
  <conditionalFormatting sqref="D1778">
    <cfRule type="containsText" dxfId="2766" priority="15935" operator="containsText" text="Fri">
      <formula>NOT(ISERROR(SEARCH("Fri",D1778)))</formula>
    </cfRule>
    <cfRule type="containsText" dxfId="2765" priority="15936" operator="containsText" text="Thu">
      <formula>NOT(ISERROR(SEARCH("Thu",D1778)))</formula>
    </cfRule>
    <cfRule type="containsText" dxfId="2764" priority="15937" operator="containsText" text="Wed">
      <formula>NOT(ISERROR(SEARCH("Wed",D1778)))</formula>
    </cfRule>
    <cfRule type="containsText" dxfId="2763" priority="15938" operator="containsText" text="Tue">
      <formula>NOT(ISERROR(SEARCH("Tue",D1778)))</formula>
    </cfRule>
    <cfRule type="containsText" dxfId="2762" priority="15939" operator="containsText" text="Mon">
      <formula>NOT(ISERROR(SEARCH("Mon",D1778)))</formula>
    </cfRule>
  </conditionalFormatting>
  <conditionalFormatting sqref="A1778:B1778">
    <cfRule type="cellIs" dxfId="2761" priority="15934" operator="equal">
      <formula>0</formula>
    </cfRule>
  </conditionalFormatting>
  <conditionalFormatting sqref="D1779:D1780">
    <cfRule type="containsText" dxfId="2760" priority="15929" operator="containsText" text="Fri">
      <formula>NOT(ISERROR(SEARCH("Fri",D1779)))</formula>
    </cfRule>
    <cfRule type="containsText" dxfId="2759" priority="15930" operator="containsText" text="Thu">
      <formula>NOT(ISERROR(SEARCH("Thu",D1779)))</formula>
    </cfRule>
    <cfRule type="containsText" dxfId="2758" priority="15931" operator="containsText" text="Wed">
      <formula>NOT(ISERROR(SEARCH("Wed",D1779)))</formula>
    </cfRule>
    <cfRule type="containsText" dxfId="2757" priority="15932" operator="containsText" text="Tue">
      <formula>NOT(ISERROR(SEARCH("Tue",D1779)))</formula>
    </cfRule>
    <cfRule type="containsText" dxfId="2756" priority="15933" operator="containsText" text="Mon">
      <formula>NOT(ISERROR(SEARCH("Mon",D1779)))</formula>
    </cfRule>
  </conditionalFormatting>
  <conditionalFormatting sqref="A1779:B1780">
    <cfRule type="cellIs" dxfId="2755" priority="15928" operator="equal">
      <formula>0</formula>
    </cfRule>
  </conditionalFormatting>
  <conditionalFormatting sqref="D1781">
    <cfRule type="containsText" dxfId="2754" priority="15923" operator="containsText" text="Fri">
      <formula>NOT(ISERROR(SEARCH("Fri",D1781)))</formula>
    </cfRule>
    <cfRule type="containsText" dxfId="2753" priority="15924" operator="containsText" text="Thu">
      <formula>NOT(ISERROR(SEARCH("Thu",D1781)))</formula>
    </cfRule>
    <cfRule type="containsText" dxfId="2752" priority="15925" operator="containsText" text="Wed">
      <formula>NOT(ISERROR(SEARCH("Wed",D1781)))</formula>
    </cfRule>
    <cfRule type="containsText" dxfId="2751" priority="15926" operator="containsText" text="Tue">
      <formula>NOT(ISERROR(SEARCH("Tue",D1781)))</formula>
    </cfRule>
    <cfRule type="containsText" dxfId="2750" priority="15927" operator="containsText" text="Mon">
      <formula>NOT(ISERROR(SEARCH("Mon",D1781)))</formula>
    </cfRule>
  </conditionalFormatting>
  <conditionalFormatting sqref="A1781:B1782">
    <cfRule type="cellIs" dxfId="2749" priority="15922" operator="equal">
      <formula>0</formula>
    </cfRule>
  </conditionalFormatting>
  <conditionalFormatting sqref="D1782">
    <cfRule type="containsText" dxfId="2748" priority="15917" operator="containsText" text="Fri">
      <formula>NOT(ISERROR(SEARCH("Fri",D1782)))</formula>
    </cfRule>
    <cfRule type="containsText" dxfId="2747" priority="15918" operator="containsText" text="Thu">
      <formula>NOT(ISERROR(SEARCH("Thu",D1782)))</formula>
    </cfRule>
    <cfRule type="containsText" dxfId="2746" priority="15919" operator="containsText" text="Wed">
      <formula>NOT(ISERROR(SEARCH("Wed",D1782)))</formula>
    </cfRule>
    <cfRule type="containsText" dxfId="2745" priority="15920" operator="containsText" text="Tue">
      <formula>NOT(ISERROR(SEARCH("Tue",D1782)))</formula>
    </cfRule>
    <cfRule type="containsText" dxfId="2744" priority="15921" operator="containsText" text="Mon">
      <formula>NOT(ISERROR(SEARCH("Mon",D1782)))</formula>
    </cfRule>
  </conditionalFormatting>
  <conditionalFormatting sqref="D1783:D1789">
    <cfRule type="containsText" dxfId="2743" priority="15912" operator="containsText" text="Fri">
      <formula>NOT(ISERROR(SEARCH("Fri",D1783)))</formula>
    </cfRule>
    <cfRule type="containsText" dxfId="2742" priority="15913" operator="containsText" text="Thu">
      <formula>NOT(ISERROR(SEARCH("Thu",D1783)))</formula>
    </cfRule>
    <cfRule type="containsText" dxfId="2741" priority="15914" operator="containsText" text="Wed">
      <formula>NOT(ISERROR(SEARCH("Wed",D1783)))</formula>
    </cfRule>
    <cfRule type="containsText" dxfId="2740" priority="15915" operator="containsText" text="Tue">
      <formula>NOT(ISERROR(SEARCH("Tue",D1783)))</formula>
    </cfRule>
    <cfRule type="containsText" dxfId="2739" priority="15916" operator="containsText" text="Mon">
      <formula>NOT(ISERROR(SEARCH("Mon",D1783)))</formula>
    </cfRule>
  </conditionalFormatting>
  <conditionalFormatting sqref="A1783:B1790">
    <cfRule type="cellIs" dxfId="2738" priority="15911" operator="equal">
      <formula>0</formula>
    </cfRule>
  </conditionalFormatting>
  <conditionalFormatting sqref="D1790:D1791">
    <cfRule type="containsText" dxfId="2737" priority="15906" operator="containsText" text="Fri">
      <formula>NOT(ISERROR(SEARCH("Fri",D1790)))</formula>
    </cfRule>
    <cfRule type="containsText" dxfId="2736" priority="15907" operator="containsText" text="Thu">
      <formula>NOT(ISERROR(SEARCH("Thu",D1790)))</formula>
    </cfRule>
    <cfRule type="containsText" dxfId="2735" priority="15908" operator="containsText" text="Wed">
      <formula>NOT(ISERROR(SEARCH("Wed",D1790)))</formula>
    </cfRule>
    <cfRule type="containsText" dxfId="2734" priority="15909" operator="containsText" text="Tue">
      <formula>NOT(ISERROR(SEARCH("Tue",D1790)))</formula>
    </cfRule>
    <cfRule type="containsText" dxfId="2733" priority="15910" operator="containsText" text="Mon">
      <formula>NOT(ISERROR(SEARCH("Mon",D1790)))</formula>
    </cfRule>
  </conditionalFormatting>
  <conditionalFormatting sqref="A1791:B1792">
    <cfRule type="cellIs" dxfId="2732" priority="15905" operator="equal">
      <formula>0</formula>
    </cfRule>
  </conditionalFormatting>
  <conditionalFormatting sqref="D1792">
    <cfRule type="containsText" dxfId="2731" priority="15900" operator="containsText" text="Fri">
      <formula>NOT(ISERROR(SEARCH("Fri",D1792)))</formula>
    </cfRule>
    <cfRule type="containsText" dxfId="2730" priority="15901" operator="containsText" text="Thu">
      <formula>NOT(ISERROR(SEARCH("Thu",D1792)))</formula>
    </cfRule>
    <cfRule type="containsText" dxfId="2729" priority="15902" operator="containsText" text="Wed">
      <formula>NOT(ISERROR(SEARCH("Wed",D1792)))</formula>
    </cfRule>
    <cfRule type="containsText" dxfId="2728" priority="15903" operator="containsText" text="Tue">
      <formula>NOT(ISERROR(SEARCH("Tue",D1792)))</formula>
    </cfRule>
    <cfRule type="containsText" dxfId="2727" priority="15904" operator="containsText" text="Mon">
      <formula>NOT(ISERROR(SEARCH("Mon",D1792)))</formula>
    </cfRule>
  </conditionalFormatting>
  <conditionalFormatting sqref="D1793:D1795">
    <cfRule type="containsText" dxfId="2726" priority="15895" operator="containsText" text="Fri">
      <formula>NOT(ISERROR(SEARCH("Fri",D1793)))</formula>
    </cfRule>
    <cfRule type="containsText" dxfId="2725" priority="15896" operator="containsText" text="Thu">
      <formula>NOT(ISERROR(SEARCH("Thu",D1793)))</formula>
    </cfRule>
    <cfRule type="containsText" dxfId="2724" priority="15897" operator="containsText" text="Wed">
      <formula>NOT(ISERROR(SEARCH("Wed",D1793)))</formula>
    </cfRule>
    <cfRule type="containsText" dxfId="2723" priority="15898" operator="containsText" text="Tue">
      <formula>NOT(ISERROR(SEARCH("Tue",D1793)))</formula>
    </cfRule>
    <cfRule type="containsText" dxfId="2722" priority="15899" operator="containsText" text="Mon">
      <formula>NOT(ISERROR(SEARCH("Mon",D1793)))</formula>
    </cfRule>
  </conditionalFormatting>
  <conditionalFormatting sqref="A1793:B1795">
    <cfRule type="cellIs" dxfId="2721" priority="15894" operator="equal">
      <formula>0</formula>
    </cfRule>
  </conditionalFormatting>
  <conditionalFormatting sqref="D1796:D1797">
    <cfRule type="containsText" dxfId="2720" priority="15889" operator="containsText" text="Fri">
      <formula>NOT(ISERROR(SEARCH("Fri",D1796)))</formula>
    </cfRule>
    <cfRule type="containsText" dxfId="2719" priority="15890" operator="containsText" text="Thu">
      <formula>NOT(ISERROR(SEARCH("Thu",D1796)))</formula>
    </cfRule>
    <cfRule type="containsText" dxfId="2718" priority="15891" operator="containsText" text="Wed">
      <formula>NOT(ISERROR(SEARCH("Wed",D1796)))</formula>
    </cfRule>
    <cfRule type="containsText" dxfId="2717" priority="15892" operator="containsText" text="Tue">
      <formula>NOT(ISERROR(SEARCH("Tue",D1796)))</formula>
    </cfRule>
    <cfRule type="containsText" dxfId="2716" priority="15893" operator="containsText" text="Mon">
      <formula>NOT(ISERROR(SEARCH("Mon",D1796)))</formula>
    </cfRule>
  </conditionalFormatting>
  <conditionalFormatting sqref="A1796:B1799">
    <cfRule type="cellIs" dxfId="2715" priority="15888" operator="equal">
      <formula>0</formula>
    </cfRule>
  </conditionalFormatting>
  <conditionalFormatting sqref="D1798:D1799">
    <cfRule type="containsText" dxfId="2714" priority="15883" operator="containsText" text="Fri">
      <formula>NOT(ISERROR(SEARCH("Fri",D1798)))</formula>
    </cfRule>
    <cfRule type="containsText" dxfId="2713" priority="15884" operator="containsText" text="Thu">
      <formula>NOT(ISERROR(SEARCH("Thu",D1798)))</formula>
    </cfRule>
    <cfRule type="containsText" dxfId="2712" priority="15885" operator="containsText" text="Wed">
      <formula>NOT(ISERROR(SEARCH("Wed",D1798)))</formula>
    </cfRule>
    <cfRule type="containsText" dxfId="2711" priority="15886" operator="containsText" text="Tue">
      <formula>NOT(ISERROR(SEARCH("Tue",D1798)))</formula>
    </cfRule>
    <cfRule type="containsText" dxfId="2710" priority="15887" operator="containsText" text="Mon">
      <formula>NOT(ISERROR(SEARCH("Mon",D1798)))</formula>
    </cfRule>
  </conditionalFormatting>
  <conditionalFormatting sqref="D1800:D1803">
    <cfRule type="containsText" dxfId="2709" priority="15878" operator="containsText" text="Fri">
      <formula>NOT(ISERROR(SEARCH("Fri",D1800)))</formula>
    </cfRule>
    <cfRule type="containsText" dxfId="2708" priority="15879" operator="containsText" text="Thu">
      <formula>NOT(ISERROR(SEARCH("Thu",D1800)))</formula>
    </cfRule>
    <cfRule type="containsText" dxfId="2707" priority="15880" operator="containsText" text="Wed">
      <formula>NOT(ISERROR(SEARCH("Wed",D1800)))</formula>
    </cfRule>
    <cfRule type="containsText" dxfId="2706" priority="15881" operator="containsText" text="Tue">
      <formula>NOT(ISERROR(SEARCH("Tue",D1800)))</formula>
    </cfRule>
    <cfRule type="containsText" dxfId="2705" priority="15882" operator="containsText" text="Mon">
      <formula>NOT(ISERROR(SEARCH("Mon",D1800)))</formula>
    </cfRule>
  </conditionalFormatting>
  <conditionalFormatting sqref="A1800:B1803">
    <cfRule type="cellIs" dxfId="2704" priority="15877" operator="equal">
      <formula>0</formula>
    </cfRule>
  </conditionalFormatting>
  <conditionalFormatting sqref="D1804:D1807">
    <cfRule type="containsText" dxfId="2703" priority="15872" operator="containsText" text="Fri">
      <formula>NOT(ISERROR(SEARCH("Fri",D1804)))</formula>
    </cfRule>
    <cfRule type="containsText" dxfId="2702" priority="15873" operator="containsText" text="Thu">
      <formula>NOT(ISERROR(SEARCH("Thu",D1804)))</formula>
    </cfRule>
    <cfRule type="containsText" dxfId="2701" priority="15874" operator="containsText" text="Wed">
      <formula>NOT(ISERROR(SEARCH("Wed",D1804)))</formula>
    </cfRule>
    <cfRule type="containsText" dxfId="2700" priority="15875" operator="containsText" text="Tue">
      <formula>NOT(ISERROR(SEARCH("Tue",D1804)))</formula>
    </cfRule>
    <cfRule type="containsText" dxfId="2699" priority="15876" operator="containsText" text="Mon">
      <formula>NOT(ISERROR(SEARCH("Mon",D1804)))</formula>
    </cfRule>
  </conditionalFormatting>
  <conditionalFormatting sqref="A1804:B1809">
    <cfRule type="cellIs" dxfId="2698" priority="15871" operator="equal">
      <formula>0</formula>
    </cfRule>
  </conditionalFormatting>
  <conditionalFormatting sqref="D1808:D1809">
    <cfRule type="containsText" dxfId="2697" priority="15866" operator="containsText" text="Fri">
      <formula>NOT(ISERROR(SEARCH("Fri",D1808)))</formula>
    </cfRule>
    <cfRule type="containsText" dxfId="2696" priority="15867" operator="containsText" text="Thu">
      <formula>NOT(ISERROR(SEARCH("Thu",D1808)))</formula>
    </cfRule>
    <cfRule type="containsText" dxfId="2695" priority="15868" operator="containsText" text="Wed">
      <formula>NOT(ISERROR(SEARCH("Wed",D1808)))</formula>
    </cfRule>
    <cfRule type="containsText" dxfId="2694" priority="15869" operator="containsText" text="Tue">
      <formula>NOT(ISERROR(SEARCH("Tue",D1808)))</formula>
    </cfRule>
    <cfRule type="containsText" dxfId="2693" priority="15870" operator="containsText" text="Mon">
      <formula>NOT(ISERROR(SEARCH("Mon",D1808)))</formula>
    </cfRule>
  </conditionalFormatting>
  <conditionalFormatting sqref="D1817 D1810:D1815">
    <cfRule type="containsText" dxfId="2692" priority="15861" operator="containsText" text="Fri">
      <formula>NOT(ISERROR(SEARCH("Fri",D1810)))</formula>
    </cfRule>
    <cfRule type="containsText" dxfId="2691" priority="15862" operator="containsText" text="Thu">
      <formula>NOT(ISERROR(SEARCH("Thu",D1810)))</formula>
    </cfRule>
    <cfRule type="containsText" dxfId="2690" priority="15863" operator="containsText" text="Wed">
      <formula>NOT(ISERROR(SEARCH("Wed",D1810)))</formula>
    </cfRule>
    <cfRule type="containsText" dxfId="2689" priority="15864" operator="containsText" text="Tue">
      <formula>NOT(ISERROR(SEARCH("Tue",D1810)))</formula>
    </cfRule>
    <cfRule type="containsText" dxfId="2688" priority="15865" operator="containsText" text="Mon">
      <formula>NOT(ISERROR(SEARCH("Mon",D1810)))</formula>
    </cfRule>
  </conditionalFormatting>
  <conditionalFormatting sqref="A1810:B1820">
    <cfRule type="cellIs" dxfId="2687" priority="15860" operator="equal">
      <formula>0</formula>
    </cfRule>
  </conditionalFormatting>
  <conditionalFormatting sqref="D1816">
    <cfRule type="containsText" dxfId="2686" priority="15855" operator="containsText" text="Fri">
      <formula>NOT(ISERROR(SEARCH("Fri",D1816)))</formula>
    </cfRule>
    <cfRule type="containsText" dxfId="2685" priority="15856" operator="containsText" text="Thu">
      <formula>NOT(ISERROR(SEARCH("Thu",D1816)))</formula>
    </cfRule>
    <cfRule type="containsText" dxfId="2684" priority="15857" operator="containsText" text="Wed">
      <formula>NOT(ISERROR(SEARCH("Wed",D1816)))</formula>
    </cfRule>
    <cfRule type="containsText" dxfId="2683" priority="15858" operator="containsText" text="Tue">
      <formula>NOT(ISERROR(SEARCH("Tue",D1816)))</formula>
    </cfRule>
    <cfRule type="containsText" dxfId="2682" priority="15859" operator="containsText" text="Mon">
      <formula>NOT(ISERROR(SEARCH("Mon",D1816)))</formula>
    </cfRule>
  </conditionalFormatting>
  <conditionalFormatting sqref="D1818:D1820">
    <cfRule type="containsText" dxfId="2681" priority="15850" operator="containsText" text="Fri">
      <formula>NOT(ISERROR(SEARCH("Fri",D1818)))</formula>
    </cfRule>
    <cfRule type="containsText" dxfId="2680" priority="15851" operator="containsText" text="Thu">
      <formula>NOT(ISERROR(SEARCH("Thu",D1818)))</formula>
    </cfRule>
    <cfRule type="containsText" dxfId="2679" priority="15852" operator="containsText" text="Wed">
      <formula>NOT(ISERROR(SEARCH("Wed",D1818)))</formula>
    </cfRule>
    <cfRule type="containsText" dxfId="2678" priority="15853" operator="containsText" text="Tue">
      <formula>NOT(ISERROR(SEARCH("Tue",D1818)))</formula>
    </cfRule>
    <cfRule type="containsText" dxfId="2677" priority="15854" operator="containsText" text="Mon">
      <formula>NOT(ISERROR(SEARCH("Mon",D1818)))</formula>
    </cfRule>
  </conditionalFormatting>
  <conditionalFormatting sqref="D1826 D1821:D1824">
    <cfRule type="containsText" dxfId="2676" priority="15845" operator="containsText" text="Fri">
      <formula>NOT(ISERROR(SEARCH("Fri",D1821)))</formula>
    </cfRule>
    <cfRule type="containsText" dxfId="2675" priority="15846" operator="containsText" text="Thu">
      <formula>NOT(ISERROR(SEARCH("Thu",D1821)))</formula>
    </cfRule>
    <cfRule type="containsText" dxfId="2674" priority="15847" operator="containsText" text="Wed">
      <formula>NOT(ISERROR(SEARCH("Wed",D1821)))</formula>
    </cfRule>
    <cfRule type="containsText" dxfId="2673" priority="15848" operator="containsText" text="Tue">
      <formula>NOT(ISERROR(SEARCH("Tue",D1821)))</formula>
    </cfRule>
    <cfRule type="containsText" dxfId="2672" priority="15849" operator="containsText" text="Mon">
      <formula>NOT(ISERROR(SEARCH("Mon",D1821)))</formula>
    </cfRule>
  </conditionalFormatting>
  <conditionalFormatting sqref="A1821:B1830">
    <cfRule type="cellIs" dxfId="2671" priority="15844" operator="equal">
      <formula>0</formula>
    </cfRule>
  </conditionalFormatting>
  <conditionalFormatting sqref="D1825">
    <cfRule type="containsText" dxfId="2670" priority="15839" operator="containsText" text="Fri">
      <formula>NOT(ISERROR(SEARCH("Fri",D1825)))</formula>
    </cfRule>
    <cfRule type="containsText" dxfId="2669" priority="15840" operator="containsText" text="Thu">
      <formula>NOT(ISERROR(SEARCH("Thu",D1825)))</formula>
    </cfRule>
    <cfRule type="containsText" dxfId="2668" priority="15841" operator="containsText" text="Wed">
      <formula>NOT(ISERROR(SEARCH("Wed",D1825)))</formula>
    </cfRule>
    <cfRule type="containsText" dxfId="2667" priority="15842" operator="containsText" text="Tue">
      <formula>NOT(ISERROR(SEARCH("Tue",D1825)))</formula>
    </cfRule>
    <cfRule type="containsText" dxfId="2666" priority="15843" operator="containsText" text="Mon">
      <formula>NOT(ISERROR(SEARCH("Mon",D1825)))</formula>
    </cfRule>
  </conditionalFormatting>
  <conditionalFormatting sqref="D1827:D1830">
    <cfRule type="containsText" dxfId="2665" priority="15834" operator="containsText" text="Fri">
      <formula>NOT(ISERROR(SEARCH("Fri",D1827)))</formula>
    </cfRule>
    <cfRule type="containsText" dxfId="2664" priority="15835" operator="containsText" text="Thu">
      <formula>NOT(ISERROR(SEARCH("Thu",D1827)))</formula>
    </cfRule>
    <cfRule type="containsText" dxfId="2663" priority="15836" operator="containsText" text="Wed">
      <formula>NOT(ISERROR(SEARCH("Wed",D1827)))</formula>
    </cfRule>
    <cfRule type="containsText" dxfId="2662" priority="15837" operator="containsText" text="Tue">
      <formula>NOT(ISERROR(SEARCH("Tue",D1827)))</formula>
    </cfRule>
    <cfRule type="containsText" dxfId="2661" priority="15838" operator="containsText" text="Mon">
      <formula>NOT(ISERROR(SEARCH("Mon",D1827)))</formula>
    </cfRule>
  </conditionalFormatting>
  <conditionalFormatting sqref="D1831:D1834">
    <cfRule type="containsText" dxfId="2660" priority="15829" operator="containsText" text="Fri">
      <formula>NOT(ISERROR(SEARCH("Fri",D1831)))</formula>
    </cfRule>
    <cfRule type="containsText" dxfId="2659" priority="15830" operator="containsText" text="Thu">
      <formula>NOT(ISERROR(SEARCH("Thu",D1831)))</formula>
    </cfRule>
    <cfRule type="containsText" dxfId="2658" priority="15831" operator="containsText" text="Wed">
      <formula>NOT(ISERROR(SEARCH("Wed",D1831)))</formula>
    </cfRule>
    <cfRule type="containsText" dxfId="2657" priority="15832" operator="containsText" text="Tue">
      <formula>NOT(ISERROR(SEARCH("Tue",D1831)))</formula>
    </cfRule>
    <cfRule type="containsText" dxfId="2656" priority="15833" operator="containsText" text="Mon">
      <formula>NOT(ISERROR(SEARCH("Mon",D1831)))</formula>
    </cfRule>
  </conditionalFormatting>
  <conditionalFormatting sqref="A1831:B1837 A1839:B1840 A1838">
    <cfRule type="cellIs" dxfId="2655" priority="15828" operator="equal">
      <formula>0</formula>
    </cfRule>
  </conditionalFormatting>
  <conditionalFormatting sqref="D1835:D1840">
    <cfRule type="containsText" dxfId="2654" priority="15823" operator="containsText" text="Fri">
      <formula>NOT(ISERROR(SEARCH("Fri",D1835)))</formula>
    </cfRule>
    <cfRule type="containsText" dxfId="2653" priority="15824" operator="containsText" text="Thu">
      <formula>NOT(ISERROR(SEARCH("Thu",D1835)))</formula>
    </cfRule>
    <cfRule type="containsText" dxfId="2652" priority="15825" operator="containsText" text="Wed">
      <formula>NOT(ISERROR(SEARCH("Wed",D1835)))</formula>
    </cfRule>
    <cfRule type="containsText" dxfId="2651" priority="15826" operator="containsText" text="Tue">
      <formula>NOT(ISERROR(SEARCH("Tue",D1835)))</formula>
    </cfRule>
    <cfRule type="containsText" dxfId="2650" priority="15827" operator="containsText" text="Mon">
      <formula>NOT(ISERROR(SEARCH("Mon",D1835)))</formula>
    </cfRule>
  </conditionalFormatting>
  <conditionalFormatting sqref="D1845 D1841:D1843">
    <cfRule type="containsText" dxfId="2649" priority="15818" operator="containsText" text="Fri">
      <formula>NOT(ISERROR(SEARCH("Fri",D1841)))</formula>
    </cfRule>
    <cfRule type="containsText" dxfId="2648" priority="15819" operator="containsText" text="Thu">
      <formula>NOT(ISERROR(SEARCH("Thu",D1841)))</formula>
    </cfRule>
    <cfRule type="containsText" dxfId="2647" priority="15820" operator="containsText" text="Wed">
      <formula>NOT(ISERROR(SEARCH("Wed",D1841)))</formula>
    </cfRule>
    <cfRule type="containsText" dxfId="2646" priority="15821" operator="containsText" text="Tue">
      <formula>NOT(ISERROR(SEARCH("Tue",D1841)))</formula>
    </cfRule>
    <cfRule type="containsText" dxfId="2645" priority="15822" operator="containsText" text="Mon">
      <formula>NOT(ISERROR(SEARCH("Mon",D1841)))</formula>
    </cfRule>
  </conditionalFormatting>
  <conditionalFormatting sqref="A1841:B1850">
    <cfRule type="cellIs" dxfId="2644" priority="15817" operator="equal">
      <formula>0</formula>
    </cfRule>
  </conditionalFormatting>
  <conditionalFormatting sqref="D1844">
    <cfRule type="containsText" dxfId="2643" priority="15812" operator="containsText" text="Fri">
      <formula>NOT(ISERROR(SEARCH("Fri",D1844)))</formula>
    </cfRule>
    <cfRule type="containsText" dxfId="2642" priority="15813" operator="containsText" text="Thu">
      <formula>NOT(ISERROR(SEARCH("Thu",D1844)))</formula>
    </cfRule>
    <cfRule type="containsText" dxfId="2641" priority="15814" operator="containsText" text="Wed">
      <formula>NOT(ISERROR(SEARCH("Wed",D1844)))</formula>
    </cfRule>
    <cfRule type="containsText" dxfId="2640" priority="15815" operator="containsText" text="Tue">
      <formula>NOT(ISERROR(SEARCH("Tue",D1844)))</formula>
    </cfRule>
    <cfRule type="containsText" dxfId="2639" priority="15816" operator="containsText" text="Mon">
      <formula>NOT(ISERROR(SEARCH("Mon",D1844)))</formula>
    </cfRule>
  </conditionalFormatting>
  <conditionalFormatting sqref="D1846:D1850">
    <cfRule type="containsText" dxfId="2638" priority="15807" operator="containsText" text="Fri">
      <formula>NOT(ISERROR(SEARCH("Fri",D1846)))</formula>
    </cfRule>
    <cfRule type="containsText" dxfId="2637" priority="15808" operator="containsText" text="Thu">
      <formula>NOT(ISERROR(SEARCH("Thu",D1846)))</formula>
    </cfRule>
    <cfRule type="containsText" dxfId="2636" priority="15809" operator="containsText" text="Wed">
      <formula>NOT(ISERROR(SEARCH("Wed",D1846)))</formula>
    </cfRule>
    <cfRule type="containsText" dxfId="2635" priority="15810" operator="containsText" text="Tue">
      <formula>NOT(ISERROR(SEARCH("Tue",D1846)))</formula>
    </cfRule>
    <cfRule type="containsText" dxfId="2634" priority="15811" operator="containsText" text="Mon">
      <formula>NOT(ISERROR(SEARCH("Mon",D1846)))</formula>
    </cfRule>
  </conditionalFormatting>
  <conditionalFormatting sqref="B1838">
    <cfRule type="cellIs" dxfId="2633" priority="15348" operator="equal">
      <formula>0</formula>
    </cfRule>
  </conditionalFormatting>
  <conditionalFormatting sqref="D1851:D1856">
    <cfRule type="containsText" dxfId="2632" priority="14891" operator="containsText" text="Fri">
      <formula>NOT(ISERROR(SEARCH("Fri",D1851)))</formula>
    </cfRule>
    <cfRule type="containsText" dxfId="2631" priority="14892" operator="containsText" text="Thu">
      <formula>NOT(ISERROR(SEARCH("Thu",D1851)))</formula>
    </cfRule>
    <cfRule type="containsText" dxfId="2630" priority="14893" operator="containsText" text="Wed">
      <formula>NOT(ISERROR(SEARCH("Wed",D1851)))</formula>
    </cfRule>
    <cfRule type="containsText" dxfId="2629" priority="14894" operator="containsText" text="Tue">
      <formula>NOT(ISERROR(SEARCH("Tue",D1851)))</formula>
    </cfRule>
    <cfRule type="containsText" dxfId="2628" priority="14895" operator="containsText" text="Mon">
      <formula>NOT(ISERROR(SEARCH("Mon",D1851)))</formula>
    </cfRule>
  </conditionalFormatting>
  <conditionalFormatting sqref="E1851:K1969">
    <cfRule type="cellIs" dxfId="2627" priority="14890" operator="equal">
      <formula>0</formula>
    </cfRule>
  </conditionalFormatting>
  <conditionalFormatting sqref="A1851:B1860">
    <cfRule type="cellIs" dxfId="2626" priority="14889" operator="equal">
      <formula>0</formula>
    </cfRule>
  </conditionalFormatting>
  <conditionalFormatting sqref="D1857:D1860">
    <cfRule type="containsText" dxfId="2625" priority="14884" operator="containsText" text="Fri">
      <formula>NOT(ISERROR(SEARCH("Fri",D1857)))</formula>
    </cfRule>
    <cfRule type="containsText" dxfId="2624" priority="14885" operator="containsText" text="Thu">
      <formula>NOT(ISERROR(SEARCH("Thu",D1857)))</formula>
    </cfRule>
    <cfRule type="containsText" dxfId="2623" priority="14886" operator="containsText" text="Wed">
      <formula>NOT(ISERROR(SEARCH("Wed",D1857)))</formula>
    </cfRule>
    <cfRule type="containsText" dxfId="2622" priority="14887" operator="containsText" text="Tue">
      <formula>NOT(ISERROR(SEARCH("Tue",D1857)))</formula>
    </cfRule>
    <cfRule type="containsText" dxfId="2621" priority="14888" operator="containsText" text="Mon">
      <formula>NOT(ISERROR(SEARCH("Mon",D1857)))</formula>
    </cfRule>
  </conditionalFormatting>
  <conditionalFormatting sqref="D1861:D1872">
    <cfRule type="containsText" dxfId="2620" priority="14879" operator="containsText" text="Fri">
      <formula>NOT(ISERROR(SEARCH("Fri",D1861)))</formula>
    </cfRule>
    <cfRule type="containsText" dxfId="2619" priority="14880" operator="containsText" text="Thu">
      <formula>NOT(ISERROR(SEARCH("Thu",D1861)))</formula>
    </cfRule>
    <cfRule type="containsText" dxfId="2618" priority="14881" operator="containsText" text="Wed">
      <formula>NOT(ISERROR(SEARCH("Wed",D1861)))</formula>
    </cfRule>
    <cfRule type="containsText" dxfId="2617" priority="14882" operator="containsText" text="Tue">
      <formula>NOT(ISERROR(SEARCH("Tue",D1861)))</formula>
    </cfRule>
    <cfRule type="containsText" dxfId="2616" priority="14883" operator="containsText" text="Mon">
      <formula>NOT(ISERROR(SEARCH("Mon",D1861)))</formula>
    </cfRule>
  </conditionalFormatting>
  <conditionalFormatting sqref="A1861:B1872">
    <cfRule type="cellIs" dxfId="2615" priority="14878" operator="equal">
      <formula>0</formula>
    </cfRule>
  </conditionalFormatting>
  <conditionalFormatting sqref="D1879 D1873:D1877">
    <cfRule type="containsText" dxfId="2614" priority="14873" operator="containsText" text="Fri">
      <formula>NOT(ISERROR(SEARCH("Fri",D1873)))</formula>
    </cfRule>
    <cfRule type="containsText" dxfId="2613" priority="14874" operator="containsText" text="Thu">
      <formula>NOT(ISERROR(SEARCH("Thu",D1873)))</formula>
    </cfRule>
    <cfRule type="containsText" dxfId="2612" priority="14875" operator="containsText" text="Wed">
      <formula>NOT(ISERROR(SEARCH("Wed",D1873)))</formula>
    </cfRule>
    <cfRule type="containsText" dxfId="2611" priority="14876" operator="containsText" text="Tue">
      <formula>NOT(ISERROR(SEARCH("Tue",D1873)))</formula>
    </cfRule>
    <cfRule type="containsText" dxfId="2610" priority="14877" operator="containsText" text="Mon">
      <formula>NOT(ISERROR(SEARCH("Mon",D1873)))</formula>
    </cfRule>
  </conditionalFormatting>
  <conditionalFormatting sqref="A1873:B1882">
    <cfRule type="cellIs" dxfId="2609" priority="14872" operator="equal">
      <formula>0</formula>
    </cfRule>
  </conditionalFormatting>
  <conditionalFormatting sqref="D1878">
    <cfRule type="containsText" dxfId="2608" priority="14867" operator="containsText" text="Fri">
      <formula>NOT(ISERROR(SEARCH("Fri",D1878)))</formula>
    </cfRule>
    <cfRule type="containsText" dxfId="2607" priority="14868" operator="containsText" text="Thu">
      <formula>NOT(ISERROR(SEARCH("Thu",D1878)))</formula>
    </cfRule>
    <cfRule type="containsText" dxfId="2606" priority="14869" operator="containsText" text="Wed">
      <formula>NOT(ISERROR(SEARCH("Wed",D1878)))</formula>
    </cfRule>
    <cfRule type="containsText" dxfId="2605" priority="14870" operator="containsText" text="Tue">
      <formula>NOT(ISERROR(SEARCH("Tue",D1878)))</formula>
    </cfRule>
    <cfRule type="containsText" dxfId="2604" priority="14871" operator="containsText" text="Mon">
      <formula>NOT(ISERROR(SEARCH("Mon",D1878)))</formula>
    </cfRule>
  </conditionalFormatting>
  <conditionalFormatting sqref="D1880:D1882">
    <cfRule type="containsText" dxfId="2603" priority="14862" operator="containsText" text="Fri">
      <formula>NOT(ISERROR(SEARCH("Fri",D1880)))</formula>
    </cfRule>
    <cfRule type="containsText" dxfId="2602" priority="14863" operator="containsText" text="Thu">
      <formula>NOT(ISERROR(SEARCH("Thu",D1880)))</formula>
    </cfRule>
    <cfRule type="containsText" dxfId="2601" priority="14864" operator="containsText" text="Wed">
      <formula>NOT(ISERROR(SEARCH("Wed",D1880)))</formula>
    </cfRule>
    <cfRule type="containsText" dxfId="2600" priority="14865" operator="containsText" text="Tue">
      <formula>NOT(ISERROR(SEARCH("Tue",D1880)))</formula>
    </cfRule>
    <cfRule type="containsText" dxfId="2599" priority="14866" operator="containsText" text="Mon">
      <formula>NOT(ISERROR(SEARCH("Mon",D1880)))</formula>
    </cfRule>
  </conditionalFormatting>
  <conditionalFormatting sqref="D1883:D1887">
    <cfRule type="containsText" dxfId="2598" priority="14857" operator="containsText" text="Fri">
      <formula>NOT(ISERROR(SEARCH("Fri",D1883)))</formula>
    </cfRule>
    <cfRule type="containsText" dxfId="2597" priority="14858" operator="containsText" text="Thu">
      <formula>NOT(ISERROR(SEARCH("Thu",D1883)))</formula>
    </cfRule>
    <cfRule type="containsText" dxfId="2596" priority="14859" operator="containsText" text="Wed">
      <formula>NOT(ISERROR(SEARCH("Wed",D1883)))</formula>
    </cfRule>
    <cfRule type="containsText" dxfId="2595" priority="14860" operator="containsText" text="Tue">
      <formula>NOT(ISERROR(SEARCH("Tue",D1883)))</formula>
    </cfRule>
    <cfRule type="containsText" dxfId="2594" priority="14861" operator="containsText" text="Mon">
      <formula>NOT(ISERROR(SEARCH("Mon",D1883)))</formula>
    </cfRule>
  </conditionalFormatting>
  <conditionalFormatting sqref="A1883:B1890">
    <cfRule type="cellIs" dxfId="2593" priority="14856" operator="equal">
      <formula>0</formula>
    </cfRule>
  </conditionalFormatting>
  <conditionalFormatting sqref="D1888:D1891">
    <cfRule type="containsText" dxfId="2592" priority="14851" operator="containsText" text="Fri">
      <formula>NOT(ISERROR(SEARCH("Fri",D1888)))</formula>
    </cfRule>
    <cfRule type="containsText" dxfId="2591" priority="14852" operator="containsText" text="Thu">
      <formula>NOT(ISERROR(SEARCH("Thu",D1888)))</formula>
    </cfRule>
    <cfRule type="containsText" dxfId="2590" priority="14853" operator="containsText" text="Wed">
      <formula>NOT(ISERROR(SEARCH("Wed",D1888)))</formula>
    </cfRule>
    <cfRule type="containsText" dxfId="2589" priority="14854" operator="containsText" text="Tue">
      <formula>NOT(ISERROR(SEARCH("Tue",D1888)))</formula>
    </cfRule>
    <cfRule type="containsText" dxfId="2588" priority="14855" operator="containsText" text="Mon">
      <formula>NOT(ISERROR(SEARCH("Mon",D1888)))</formula>
    </cfRule>
  </conditionalFormatting>
  <conditionalFormatting sqref="A1891:B1891">
    <cfRule type="cellIs" dxfId="2587" priority="14850" operator="equal">
      <formula>0</formula>
    </cfRule>
  </conditionalFormatting>
  <conditionalFormatting sqref="D1892">
    <cfRule type="containsText" dxfId="2586" priority="14845" operator="containsText" text="Fri">
      <formula>NOT(ISERROR(SEARCH("Fri",D1892)))</formula>
    </cfRule>
    <cfRule type="containsText" dxfId="2585" priority="14846" operator="containsText" text="Thu">
      <formula>NOT(ISERROR(SEARCH("Thu",D1892)))</formula>
    </cfRule>
    <cfRule type="containsText" dxfId="2584" priority="14847" operator="containsText" text="Wed">
      <formula>NOT(ISERROR(SEARCH("Wed",D1892)))</formula>
    </cfRule>
    <cfRule type="containsText" dxfId="2583" priority="14848" operator="containsText" text="Tue">
      <formula>NOT(ISERROR(SEARCH("Tue",D1892)))</formula>
    </cfRule>
    <cfRule type="containsText" dxfId="2582" priority="14849" operator="containsText" text="Mon">
      <formula>NOT(ISERROR(SEARCH("Mon",D1892)))</formula>
    </cfRule>
  </conditionalFormatting>
  <conditionalFormatting sqref="A1892:B1892">
    <cfRule type="cellIs" dxfId="2581" priority="14844" operator="equal">
      <formula>0</formula>
    </cfRule>
  </conditionalFormatting>
  <conditionalFormatting sqref="D1893">
    <cfRule type="containsText" dxfId="2580" priority="14839" operator="containsText" text="Fri">
      <formula>NOT(ISERROR(SEARCH("Fri",D1893)))</formula>
    </cfRule>
    <cfRule type="containsText" dxfId="2579" priority="14840" operator="containsText" text="Thu">
      <formula>NOT(ISERROR(SEARCH("Thu",D1893)))</formula>
    </cfRule>
    <cfRule type="containsText" dxfId="2578" priority="14841" operator="containsText" text="Wed">
      <formula>NOT(ISERROR(SEARCH("Wed",D1893)))</formula>
    </cfRule>
    <cfRule type="containsText" dxfId="2577" priority="14842" operator="containsText" text="Tue">
      <formula>NOT(ISERROR(SEARCH("Tue",D1893)))</formula>
    </cfRule>
    <cfRule type="containsText" dxfId="2576" priority="14843" operator="containsText" text="Mon">
      <formula>NOT(ISERROR(SEARCH("Mon",D1893)))</formula>
    </cfRule>
  </conditionalFormatting>
  <conditionalFormatting sqref="A1893:B1893">
    <cfRule type="cellIs" dxfId="2575" priority="14838" operator="equal">
      <formula>0</formula>
    </cfRule>
  </conditionalFormatting>
  <conditionalFormatting sqref="D1894:D1898">
    <cfRule type="containsText" dxfId="2574" priority="14833" operator="containsText" text="Fri">
      <formula>NOT(ISERROR(SEARCH("Fri",D1894)))</formula>
    </cfRule>
    <cfRule type="containsText" dxfId="2573" priority="14834" operator="containsText" text="Thu">
      <formula>NOT(ISERROR(SEARCH("Thu",D1894)))</formula>
    </cfRule>
    <cfRule type="containsText" dxfId="2572" priority="14835" operator="containsText" text="Wed">
      <formula>NOT(ISERROR(SEARCH("Wed",D1894)))</formula>
    </cfRule>
    <cfRule type="containsText" dxfId="2571" priority="14836" operator="containsText" text="Tue">
      <formula>NOT(ISERROR(SEARCH("Tue",D1894)))</formula>
    </cfRule>
    <cfRule type="containsText" dxfId="2570" priority="14837" operator="containsText" text="Mon">
      <formula>NOT(ISERROR(SEARCH("Mon",D1894)))</formula>
    </cfRule>
  </conditionalFormatting>
  <conditionalFormatting sqref="A1894:B1901">
    <cfRule type="cellIs" dxfId="2569" priority="14832" operator="equal">
      <formula>0</formula>
    </cfRule>
  </conditionalFormatting>
  <conditionalFormatting sqref="D1899:D1901">
    <cfRule type="containsText" dxfId="2568" priority="14827" operator="containsText" text="Fri">
      <formula>NOT(ISERROR(SEARCH("Fri",D1899)))</formula>
    </cfRule>
    <cfRule type="containsText" dxfId="2567" priority="14828" operator="containsText" text="Thu">
      <formula>NOT(ISERROR(SEARCH("Thu",D1899)))</formula>
    </cfRule>
    <cfRule type="containsText" dxfId="2566" priority="14829" operator="containsText" text="Wed">
      <formula>NOT(ISERROR(SEARCH("Wed",D1899)))</formula>
    </cfRule>
    <cfRule type="containsText" dxfId="2565" priority="14830" operator="containsText" text="Tue">
      <formula>NOT(ISERROR(SEARCH("Tue",D1899)))</formula>
    </cfRule>
    <cfRule type="containsText" dxfId="2564" priority="14831" operator="containsText" text="Mon">
      <formula>NOT(ISERROR(SEARCH("Mon",D1899)))</formula>
    </cfRule>
  </conditionalFormatting>
  <conditionalFormatting sqref="D1902:D1906">
    <cfRule type="containsText" dxfId="2563" priority="14822" operator="containsText" text="Fri">
      <formula>NOT(ISERROR(SEARCH("Fri",D1902)))</formula>
    </cfRule>
    <cfRule type="containsText" dxfId="2562" priority="14823" operator="containsText" text="Thu">
      <formula>NOT(ISERROR(SEARCH("Thu",D1902)))</formula>
    </cfRule>
    <cfRule type="containsText" dxfId="2561" priority="14824" operator="containsText" text="Wed">
      <formula>NOT(ISERROR(SEARCH("Wed",D1902)))</formula>
    </cfRule>
    <cfRule type="containsText" dxfId="2560" priority="14825" operator="containsText" text="Tue">
      <formula>NOT(ISERROR(SEARCH("Tue",D1902)))</formula>
    </cfRule>
    <cfRule type="containsText" dxfId="2559" priority="14826" operator="containsText" text="Mon">
      <formula>NOT(ISERROR(SEARCH("Mon",D1902)))</formula>
    </cfRule>
  </conditionalFormatting>
  <conditionalFormatting sqref="A1902:B1908">
    <cfRule type="cellIs" dxfId="2558" priority="14821" operator="equal">
      <formula>0</formula>
    </cfRule>
  </conditionalFormatting>
  <conditionalFormatting sqref="D1907:D1908">
    <cfRule type="containsText" dxfId="2557" priority="14816" operator="containsText" text="Fri">
      <formula>NOT(ISERROR(SEARCH("Fri",D1907)))</formula>
    </cfRule>
    <cfRule type="containsText" dxfId="2556" priority="14817" operator="containsText" text="Thu">
      <formula>NOT(ISERROR(SEARCH("Thu",D1907)))</formula>
    </cfRule>
    <cfRule type="containsText" dxfId="2555" priority="14818" operator="containsText" text="Wed">
      <formula>NOT(ISERROR(SEARCH("Wed",D1907)))</formula>
    </cfRule>
    <cfRule type="containsText" dxfId="2554" priority="14819" operator="containsText" text="Tue">
      <formula>NOT(ISERROR(SEARCH("Tue",D1907)))</formula>
    </cfRule>
    <cfRule type="containsText" dxfId="2553" priority="14820" operator="containsText" text="Mon">
      <formula>NOT(ISERROR(SEARCH("Mon",D1907)))</formula>
    </cfRule>
  </conditionalFormatting>
  <conditionalFormatting sqref="D1909:D1914">
    <cfRule type="containsText" dxfId="2552" priority="14811" operator="containsText" text="Fri">
      <formula>NOT(ISERROR(SEARCH("Fri",D1909)))</formula>
    </cfRule>
    <cfRule type="containsText" dxfId="2551" priority="14812" operator="containsText" text="Thu">
      <formula>NOT(ISERROR(SEARCH("Thu",D1909)))</formula>
    </cfRule>
    <cfRule type="containsText" dxfId="2550" priority="14813" operator="containsText" text="Wed">
      <formula>NOT(ISERROR(SEARCH("Wed",D1909)))</formula>
    </cfRule>
    <cfRule type="containsText" dxfId="2549" priority="14814" operator="containsText" text="Tue">
      <formula>NOT(ISERROR(SEARCH("Tue",D1909)))</formula>
    </cfRule>
    <cfRule type="containsText" dxfId="2548" priority="14815" operator="containsText" text="Mon">
      <formula>NOT(ISERROR(SEARCH("Mon",D1909)))</formula>
    </cfRule>
  </conditionalFormatting>
  <conditionalFormatting sqref="A1909:B1916">
    <cfRule type="cellIs" dxfId="2547" priority="14810" operator="equal">
      <formula>0</formula>
    </cfRule>
  </conditionalFormatting>
  <conditionalFormatting sqref="D1915:D1917">
    <cfRule type="containsText" dxfId="2546" priority="14805" operator="containsText" text="Fri">
      <formula>NOT(ISERROR(SEARCH("Fri",D1915)))</formula>
    </cfRule>
    <cfRule type="containsText" dxfId="2545" priority="14806" operator="containsText" text="Thu">
      <formula>NOT(ISERROR(SEARCH("Thu",D1915)))</formula>
    </cfRule>
    <cfRule type="containsText" dxfId="2544" priority="14807" operator="containsText" text="Wed">
      <formula>NOT(ISERROR(SEARCH("Wed",D1915)))</formula>
    </cfRule>
    <cfRule type="containsText" dxfId="2543" priority="14808" operator="containsText" text="Tue">
      <formula>NOT(ISERROR(SEARCH("Tue",D1915)))</formula>
    </cfRule>
    <cfRule type="containsText" dxfId="2542" priority="14809" operator="containsText" text="Mon">
      <formula>NOT(ISERROR(SEARCH("Mon",D1915)))</formula>
    </cfRule>
  </conditionalFormatting>
  <conditionalFormatting sqref="A1917:B1917">
    <cfRule type="cellIs" dxfId="2541" priority="14804" operator="equal">
      <formula>0</formula>
    </cfRule>
  </conditionalFormatting>
  <conditionalFormatting sqref="D1918:D1919">
    <cfRule type="containsText" dxfId="2540" priority="14799" operator="containsText" text="Fri">
      <formula>NOT(ISERROR(SEARCH("Fri",D1918)))</formula>
    </cfRule>
    <cfRule type="containsText" dxfId="2539" priority="14800" operator="containsText" text="Thu">
      <formula>NOT(ISERROR(SEARCH("Thu",D1918)))</formula>
    </cfRule>
    <cfRule type="containsText" dxfId="2538" priority="14801" operator="containsText" text="Wed">
      <formula>NOT(ISERROR(SEARCH("Wed",D1918)))</formula>
    </cfRule>
    <cfRule type="containsText" dxfId="2537" priority="14802" operator="containsText" text="Tue">
      <formula>NOT(ISERROR(SEARCH("Tue",D1918)))</formula>
    </cfRule>
    <cfRule type="containsText" dxfId="2536" priority="14803" operator="containsText" text="Mon">
      <formula>NOT(ISERROR(SEARCH("Mon",D1918)))</formula>
    </cfRule>
  </conditionalFormatting>
  <conditionalFormatting sqref="A1918:B1919">
    <cfRule type="cellIs" dxfId="2535" priority="14798" operator="equal">
      <formula>0</formula>
    </cfRule>
  </conditionalFormatting>
  <conditionalFormatting sqref="D1920">
    <cfRule type="containsText" dxfId="2534" priority="14793" operator="containsText" text="Fri">
      <formula>NOT(ISERROR(SEARCH("Fri",D1920)))</formula>
    </cfRule>
    <cfRule type="containsText" dxfId="2533" priority="14794" operator="containsText" text="Thu">
      <formula>NOT(ISERROR(SEARCH("Thu",D1920)))</formula>
    </cfRule>
    <cfRule type="containsText" dxfId="2532" priority="14795" operator="containsText" text="Wed">
      <formula>NOT(ISERROR(SEARCH("Wed",D1920)))</formula>
    </cfRule>
    <cfRule type="containsText" dxfId="2531" priority="14796" operator="containsText" text="Tue">
      <formula>NOT(ISERROR(SEARCH("Tue",D1920)))</formula>
    </cfRule>
    <cfRule type="containsText" dxfId="2530" priority="14797" operator="containsText" text="Mon">
      <formula>NOT(ISERROR(SEARCH("Mon",D1920)))</formula>
    </cfRule>
  </conditionalFormatting>
  <conditionalFormatting sqref="A1920:B1920">
    <cfRule type="cellIs" dxfId="2529" priority="14792" operator="equal">
      <formula>0</formula>
    </cfRule>
  </conditionalFormatting>
  <conditionalFormatting sqref="D1921:D1926">
    <cfRule type="containsText" dxfId="2528" priority="14787" operator="containsText" text="Fri">
      <formula>NOT(ISERROR(SEARCH("Fri",D1921)))</formula>
    </cfRule>
    <cfRule type="containsText" dxfId="2527" priority="14788" operator="containsText" text="Thu">
      <formula>NOT(ISERROR(SEARCH("Thu",D1921)))</formula>
    </cfRule>
    <cfRule type="containsText" dxfId="2526" priority="14789" operator="containsText" text="Wed">
      <formula>NOT(ISERROR(SEARCH("Wed",D1921)))</formula>
    </cfRule>
    <cfRule type="containsText" dxfId="2525" priority="14790" operator="containsText" text="Tue">
      <formula>NOT(ISERROR(SEARCH("Tue",D1921)))</formula>
    </cfRule>
    <cfRule type="containsText" dxfId="2524" priority="14791" operator="containsText" text="Mon">
      <formula>NOT(ISERROR(SEARCH("Mon",D1921)))</formula>
    </cfRule>
  </conditionalFormatting>
  <conditionalFormatting sqref="A1921:B1928">
    <cfRule type="cellIs" dxfId="2523" priority="14786" operator="equal">
      <formula>0</formula>
    </cfRule>
  </conditionalFormatting>
  <conditionalFormatting sqref="D1927:D1929">
    <cfRule type="containsText" dxfId="2522" priority="14781" operator="containsText" text="Fri">
      <formula>NOT(ISERROR(SEARCH("Fri",D1927)))</formula>
    </cfRule>
    <cfRule type="containsText" dxfId="2521" priority="14782" operator="containsText" text="Thu">
      <formula>NOT(ISERROR(SEARCH("Thu",D1927)))</formula>
    </cfRule>
    <cfRule type="containsText" dxfId="2520" priority="14783" operator="containsText" text="Wed">
      <formula>NOT(ISERROR(SEARCH("Wed",D1927)))</formula>
    </cfRule>
    <cfRule type="containsText" dxfId="2519" priority="14784" operator="containsText" text="Tue">
      <formula>NOT(ISERROR(SEARCH("Tue",D1927)))</formula>
    </cfRule>
    <cfRule type="containsText" dxfId="2518" priority="14785" operator="containsText" text="Mon">
      <formula>NOT(ISERROR(SEARCH("Mon",D1927)))</formula>
    </cfRule>
  </conditionalFormatting>
  <conditionalFormatting sqref="A1929:B1929">
    <cfRule type="cellIs" dxfId="2517" priority="14780" operator="equal">
      <formula>0</formula>
    </cfRule>
  </conditionalFormatting>
  <conditionalFormatting sqref="D1930">
    <cfRule type="containsText" dxfId="2516" priority="14775" operator="containsText" text="Fri">
      <formula>NOT(ISERROR(SEARCH("Fri",D1930)))</formula>
    </cfRule>
    <cfRule type="containsText" dxfId="2515" priority="14776" operator="containsText" text="Thu">
      <formula>NOT(ISERROR(SEARCH("Thu",D1930)))</formula>
    </cfRule>
    <cfRule type="containsText" dxfId="2514" priority="14777" operator="containsText" text="Wed">
      <formula>NOT(ISERROR(SEARCH("Wed",D1930)))</formula>
    </cfRule>
    <cfRule type="containsText" dxfId="2513" priority="14778" operator="containsText" text="Tue">
      <formula>NOT(ISERROR(SEARCH("Tue",D1930)))</formula>
    </cfRule>
    <cfRule type="containsText" dxfId="2512" priority="14779" operator="containsText" text="Mon">
      <formula>NOT(ISERROR(SEARCH("Mon",D1930)))</formula>
    </cfRule>
  </conditionalFormatting>
  <conditionalFormatting sqref="A1930:B1930">
    <cfRule type="cellIs" dxfId="2511" priority="14774" operator="equal">
      <formula>0</formula>
    </cfRule>
  </conditionalFormatting>
  <conditionalFormatting sqref="D1931">
    <cfRule type="containsText" dxfId="2510" priority="14769" operator="containsText" text="Fri">
      <formula>NOT(ISERROR(SEARCH("Fri",D1931)))</formula>
    </cfRule>
    <cfRule type="containsText" dxfId="2509" priority="14770" operator="containsText" text="Thu">
      <formula>NOT(ISERROR(SEARCH("Thu",D1931)))</formula>
    </cfRule>
    <cfRule type="containsText" dxfId="2508" priority="14771" operator="containsText" text="Wed">
      <formula>NOT(ISERROR(SEARCH("Wed",D1931)))</formula>
    </cfRule>
    <cfRule type="containsText" dxfId="2507" priority="14772" operator="containsText" text="Tue">
      <formula>NOT(ISERROR(SEARCH("Tue",D1931)))</formula>
    </cfRule>
    <cfRule type="containsText" dxfId="2506" priority="14773" operator="containsText" text="Mon">
      <formula>NOT(ISERROR(SEARCH("Mon",D1931)))</formula>
    </cfRule>
  </conditionalFormatting>
  <conditionalFormatting sqref="A1931:B1931">
    <cfRule type="cellIs" dxfId="2505" priority="14768" operator="equal">
      <formula>0</formula>
    </cfRule>
  </conditionalFormatting>
  <conditionalFormatting sqref="D1932:D1933">
    <cfRule type="containsText" dxfId="2504" priority="14763" operator="containsText" text="Fri">
      <formula>NOT(ISERROR(SEARCH("Fri",D1932)))</formula>
    </cfRule>
    <cfRule type="containsText" dxfId="2503" priority="14764" operator="containsText" text="Thu">
      <formula>NOT(ISERROR(SEARCH("Thu",D1932)))</formula>
    </cfRule>
    <cfRule type="containsText" dxfId="2502" priority="14765" operator="containsText" text="Wed">
      <formula>NOT(ISERROR(SEARCH("Wed",D1932)))</formula>
    </cfRule>
    <cfRule type="containsText" dxfId="2501" priority="14766" operator="containsText" text="Tue">
      <formula>NOT(ISERROR(SEARCH("Tue",D1932)))</formula>
    </cfRule>
    <cfRule type="containsText" dxfId="2500" priority="14767" operator="containsText" text="Mon">
      <formula>NOT(ISERROR(SEARCH("Mon",D1932)))</formula>
    </cfRule>
  </conditionalFormatting>
  <conditionalFormatting sqref="A1932:B1933">
    <cfRule type="cellIs" dxfId="2499" priority="14762" operator="equal">
      <formula>0</formula>
    </cfRule>
  </conditionalFormatting>
  <conditionalFormatting sqref="D1934:D1939">
    <cfRule type="containsText" dxfId="2498" priority="14757" operator="containsText" text="Fri">
      <formula>NOT(ISERROR(SEARCH("Fri",D1934)))</formula>
    </cfRule>
    <cfRule type="containsText" dxfId="2497" priority="14758" operator="containsText" text="Thu">
      <formula>NOT(ISERROR(SEARCH("Thu",D1934)))</formula>
    </cfRule>
    <cfRule type="containsText" dxfId="2496" priority="14759" operator="containsText" text="Wed">
      <formula>NOT(ISERROR(SEARCH("Wed",D1934)))</formula>
    </cfRule>
    <cfRule type="containsText" dxfId="2495" priority="14760" operator="containsText" text="Tue">
      <formula>NOT(ISERROR(SEARCH("Tue",D1934)))</formula>
    </cfRule>
    <cfRule type="containsText" dxfId="2494" priority="14761" operator="containsText" text="Mon">
      <formula>NOT(ISERROR(SEARCH("Mon",D1934)))</formula>
    </cfRule>
  </conditionalFormatting>
  <conditionalFormatting sqref="A1934:B1943">
    <cfRule type="cellIs" dxfId="2493" priority="14756" operator="equal">
      <formula>0</formula>
    </cfRule>
  </conditionalFormatting>
  <conditionalFormatting sqref="D1940:D1943">
    <cfRule type="containsText" dxfId="2492" priority="14751" operator="containsText" text="Fri">
      <formula>NOT(ISERROR(SEARCH("Fri",D1940)))</formula>
    </cfRule>
    <cfRule type="containsText" dxfId="2491" priority="14752" operator="containsText" text="Thu">
      <formula>NOT(ISERROR(SEARCH("Thu",D1940)))</formula>
    </cfRule>
    <cfRule type="containsText" dxfId="2490" priority="14753" operator="containsText" text="Wed">
      <formula>NOT(ISERROR(SEARCH("Wed",D1940)))</formula>
    </cfRule>
    <cfRule type="containsText" dxfId="2489" priority="14754" operator="containsText" text="Tue">
      <formula>NOT(ISERROR(SEARCH("Tue",D1940)))</formula>
    </cfRule>
    <cfRule type="containsText" dxfId="2488" priority="14755" operator="containsText" text="Mon">
      <formula>NOT(ISERROR(SEARCH("Mon",D1940)))</formula>
    </cfRule>
  </conditionalFormatting>
  <conditionalFormatting sqref="D1944">
    <cfRule type="containsText" dxfId="2487" priority="14746" operator="containsText" text="Fri">
      <formula>NOT(ISERROR(SEARCH("Fri",D1944)))</formula>
    </cfRule>
    <cfRule type="containsText" dxfId="2486" priority="14747" operator="containsText" text="Thu">
      <formula>NOT(ISERROR(SEARCH("Thu",D1944)))</formula>
    </cfRule>
    <cfRule type="containsText" dxfId="2485" priority="14748" operator="containsText" text="Wed">
      <formula>NOT(ISERROR(SEARCH("Wed",D1944)))</formula>
    </cfRule>
    <cfRule type="containsText" dxfId="2484" priority="14749" operator="containsText" text="Tue">
      <formula>NOT(ISERROR(SEARCH("Tue",D1944)))</formula>
    </cfRule>
    <cfRule type="containsText" dxfId="2483" priority="14750" operator="containsText" text="Mon">
      <formula>NOT(ISERROR(SEARCH("Mon",D1944)))</formula>
    </cfRule>
  </conditionalFormatting>
  <conditionalFormatting sqref="A1944:B1944">
    <cfRule type="cellIs" dxfId="2482" priority="14745" operator="equal">
      <formula>0</formula>
    </cfRule>
  </conditionalFormatting>
  <conditionalFormatting sqref="D1945:D1948">
    <cfRule type="containsText" dxfId="2481" priority="14740" operator="containsText" text="Fri">
      <formula>NOT(ISERROR(SEARCH("Fri",D1945)))</formula>
    </cfRule>
    <cfRule type="containsText" dxfId="2480" priority="14741" operator="containsText" text="Thu">
      <formula>NOT(ISERROR(SEARCH("Thu",D1945)))</formula>
    </cfRule>
    <cfRule type="containsText" dxfId="2479" priority="14742" operator="containsText" text="Wed">
      <formula>NOT(ISERROR(SEARCH("Wed",D1945)))</formula>
    </cfRule>
    <cfRule type="containsText" dxfId="2478" priority="14743" operator="containsText" text="Tue">
      <formula>NOT(ISERROR(SEARCH("Tue",D1945)))</formula>
    </cfRule>
    <cfRule type="containsText" dxfId="2477" priority="14744" operator="containsText" text="Mon">
      <formula>NOT(ISERROR(SEARCH("Mon",D1945)))</formula>
    </cfRule>
  </conditionalFormatting>
  <conditionalFormatting sqref="A1945:B1951">
    <cfRule type="cellIs" dxfId="2476" priority="14739" operator="equal">
      <formula>0</formula>
    </cfRule>
  </conditionalFormatting>
  <conditionalFormatting sqref="D1949:D1951">
    <cfRule type="containsText" dxfId="2475" priority="14734" operator="containsText" text="Fri">
      <formula>NOT(ISERROR(SEARCH("Fri",D1949)))</formula>
    </cfRule>
    <cfRule type="containsText" dxfId="2474" priority="14735" operator="containsText" text="Thu">
      <formula>NOT(ISERROR(SEARCH("Thu",D1949)))</formula>
    </cfRule>
    <cfRule type="containsText" dxfId="2473" priority="14736" operator="containsText" text="Wed">
      <formula>NOT(ISERROR(SEARCH("Wed",D1949)))</formula>
    </cfRule>
    <cfRule type="containsText" dxfId="2472" priority="14737" operator="containsText" text="Tue">
      <formula>NOT(ISERROR(SEARCH("Tue",D1949)))</formula>
    </cfRule>
    <cfRule type="containsText" dxfId="2471" priority="14738" operator="containsText" text="Mon">
      <formula>NOT(ISERROR(SEARCH("Mon",D1949)))</formula>
    </cfRule>
  </conditionalFormatting>
  <conditionalFormatting sqref="D1952:D1957">
    <cfRule type="containsText" dxfId="2470" priority="14729" operator="containsText" text="Fri">
      <formula>NOT(ISERROR(SEARCH("Fri",D1952)))</formula>
    </cfRule>
    <cfRule type="containsText" dxfId="2469" priority="14730" operator="containsText" text="Thu">
      <formula>NOT(ISERROR(SEARCH("Thu",D1952)))</formula>
    </cfRule>
    <cfRule type="containsText" dxfId="2468" priority="14731" operator="containsText" text="Wed">
      <formula>NOT(ISERROR(SEARCH("Wed",D1952)))</formula>
    </cfRule>
    <cfRule type="containsText" dxfId="2467" priority="14732" operator="containsText" text="Tue">
      <formula>NOT(ISERROR(SEARCH("Tue",D1952)))</formula>
    </cfRule>
    <cfRule type="containsText" dxfId="2466" priority="14733" operator="containsText" text="Mon">
      <formula>NOT(ISERROR(SEARCH("Mon",D1952)))</formula>
    </cfRule>
  </conditionalFormatting>
  <conditionalFormatting sqref="A1952:B1960">
    <cfRule type="cellIs" dxfId="2465" priority="14728" operator="equal">
      <formula>0</formula>
    </cfRule>
  </conditionalFormatting>
  <conditionalFormatting sqref="D1958:D1960">
    <cfRule type="containsText" dxfId="2464" priority="14723" operator="containsText" text="Fri">
      <formula>NOT(ISERROR(SEARCH("Fri",D1958)))</formula>
    </cfRule>
    <cfRule type="containsText" dxfId="2463" priority="14724" operator="containsText" text="Thu">
      <formula>NOT(ISERROR(SEARCH("Thu",D1958)))</formula>
    </cfRule>
    <cfRule type="containsText" dxfId="2462" priority="14725" operator="containsText" text="Wed">
      <formula>NOT(ISERROR(SEARCH("Wed",D1958)))</formula>
    </cfRule>
    <cfRule type="containsText" dxfId="2461" priority="14726" operator="containsText" text="Tue">
      <formula>NOT(ISERROR(SEARCH("Tue",D1958)))</formula>
    </cfRule>
    <cfRule type="containsText" dxfId="2460" priority="14727" operator="containsText" text="Mon">
      <formula>NOT(ISERROR(SEARCH("Mon",D1958)))</formula>
    </cfRule>
  </conditionalFormatting>
  <conditionalFormatting sqref="D1961:D1967">
    <cfRule type="containsText" dxfId="2459" priority="14718" operator="containsText" text="Fri">
      <formula>NOT(ISERROR(SEARCH("Fri",D1961)))</formula>
    </cfRule>
    <cfRule type="containsText" dxfId="2458" priority="14719" operator="containsText" text="Thu">
      <formula>NOT(ISERROR(SEARCH("Thu",D1961)))</formula>
    </cfRule>
    <cfRule type="containsText" dxfId="2457" priority="14720" operator="containsText" text="Wed">
      <formula>NOT(ISERROR(SEARCH("Wed",D1961)))</formula>
    </cfRule>
    <cfRule type="containsText" dxfId="2456" priority="14721" operator="containsText" text="Tue">
      <formula>NOT(ISERROR(SEARCH("Tue",D1961)))</formula>
    </cfRule>
    <cfRule type="containsText" dxfId="2455" priority="14722" operator="containsText" text="Mon">
      <formula>NOT(ISERROR(SEARCH("Mon",D1961)))</formula>
    </cfRule>
  </conditionalFormatting>
  <conditionalFormatting sqref="A1961:B1969">
    <cfRule type="cellIs" dxfId="2454" priority="14717" operator="equal">
      <formula>0</formula>
    </cfRule>
  </conditionalFormatting>
  <conditionalFormatting sqref="D1968:D1969">
    <cfRule type="containsText" dxfId="2453" priority="14712" operator="containsText" text="Fri">
      <formula>NOT(ISERROR(SEARCH("Fri",D1968)))</formula>
    </cfRule>
    <cfRule type="containsText" dxfId="2452" priority="14713" operator="containsText" text="Thu">
      <formula>NOT(ISERROR(SEARCH("Thu",D1968)))</formula>
    </cfRule>
    <cfRule type="containsText" dxfId="2451" priority="14714" operator="containsText" text="Wed">
      <formula>NOT(ISERROR(SEARCH("Wed",D1968)))</formula>
    </cfRule>
    <cfRule type="containsText" dxfId="2450" priority="14715" operator="containsText" text="Tue">
      <formula>NOT(ISERROR(SEARCH("Tue",D1968)))</formula>
    </cfRule>
    <cfRule type="containsText" dxfId="2449" priority="14716" operator="containsText" text="Mon">
      <formula>NOT(ISERROR(SEARCH("Mon",D1968)))</formula>
    </cfRule>
  </conditionalFormatting>
  <conditionalFormatting sqref="D1970:D1986">
    <cfRule type="containsText" dxfId="2448" priority="14075" operator="containsText" text="Fri">
      <formula>NOT(ISERROR(SEARCH("Fri",D1970)))</formula>
    </cfRule>
    <cfRule type="containsText" dxfId="2447" priority="14076" operator="containsText" text="Thu">
      <formula>NOT(ISERROR(SEARCH("Thu",D1970)))</formula>
    </cfRule>
    <cfRule type="containsText" dxfId="2446" priority="14077" operator="containsText" text="Wed">
      <formula>NOT(ISERROR(SEARCH("Wed",D1970)))</formula>
    </cfRule>
    <cfRule type="containsText" dxfId="2445" priority="14078" operator="containsText" text="Tue">
      <formula>NOT(ISERROR(SEARCH("Tue",D1970)))</formula>
    </cfRule>
    <cfRule type="containsText" dxfId="2444" priority="14079" operator="containsText" text="Mon">
      <formula>NOT(ISERROR(SEARCH("Mon",D1970)))</formula>
    </cfRule>
  </conditionalFormatting>
  <conditionalFormatting sqref="E1970:K2104">
    <cfRule type="cellIs" dxfId="2443" priority="14074" operator="equal">
      <formula>0</formula>
    </cfRule>
  </conditionalFormatting>
  <conditionalFormatting sqref="A1970:B1977">
    <cfRule type="cellIs" dxfId="2442" priority="14073" operator="equal">
      <formula>0</formula>
    </cfRule>
  </conditionalFormatting>
  <conditionalFormatting sqref="A1978:B1986">
    <cfRule type="cellIs" dxfId="2441" priority="14072" operator="equal">
      <formula>0</formula>
    </cfRule>
  </conditionalFormatting>
  <conditionalFormatting sqref="D1987">
    <cfRule type="containsText" dxfId="2440" priority="14067" operator="containsText" text="Fri">
      <formula>NOT(ISERROR(SEARCH("Fri",D1987)))</formula>
    </cfRule>
    <cfRule type="containsText" dxfId="2439" priority="14068" operator="containsText" text="Thu">
      <formula>NOT(ISERROR(SEARCH("Thu",D1987)))</formula>
    </cfRule>
    <cfRule type="containsText" dxfId="2438" priority="14069" operator="containsText" text="Wed">
      <formula>NOT(ISERROR(SEARCH("Wed",D1987)))</formula>
    </cfRule>
    <cfRule type="containsText" dxfId="2437" priority="14070" operator="containsText" text="Tue">
      <formula>NOT(ISERROR(SEARCH("Tue",D1987)))</formula>
    </cfRule>
    <cfRule type="containsText" dxfId="2436" priority="14071" operator="containsText" text="Mon">
      <formula>NOT(ISERROR(SEARCH("Mon",D1987)))</formula>
    </cfRule>
  </conditionalFormatting>
  <conditionalFormatting sqref="A1987:B1987">
    <cfRule type="cellIs" dxfId="2435" priority="14066" operator="equal">
      <formula>0</formula>
    </cfRule>
  </conditionalFormatting>
  <conditionalFormatting sqref="D1988">
    <cfRule type="containsText" dxfId="2434" priority="14061" operator="containsText" text="Fri">
      <formula>NOT(ISERROR(SEARCH("Fri",D1988)))</formula>
    </cfRule>
    <cfRule type="containsText" dxfId="2433" priority="14062" operator="containsText" text="Thu">
      <formula>NOT(ISERROR(SEARCH("Thu",D1988)))</formula>
    </cfRule>
    <cfRule type="containsText" dxfId="2432" priority="14063" operator="containsText" text="Wed">
      <formula>NOT(ISERROR(SEARCH("Wed",D1988)))</formula>
    </cfRule>
    <cfRule type="containsText" dxfId="2431" priority="14064" operator="containsText" text="Tue">
      <formula>NOT(ISERROR(SEARCH("Tue",D1988)))</formula>
    </cfRule>
    <cfRule type="containsText" dxfId="2430" priority="14065" operator="containsText" text="Mon">
      <formula>NOT(ISERROR(SEARCH("Mon",D1988)))</formula>
    </cfRule>
  </conditionalFormatting>
  <conditionalFormatting sqref="A1988:B1988">
    <cfRule type="cellIs" dxfId="2429" priority="14060" operator="equal">
      <formula>0</formula>
    </cfRule>
  </conditionalFormatting>
  <conditionalFormatting sqref="D1989">
    <cfRule type="containsText" dxfId="2428" priority="14055" operator="containsText" text="Fri">
      <formula>NOT(ISERROR(SEARCH("Fri",D1989)))</formula>
    </cfRule>
    <cfRule type="containsText" dxfId="2427" priority="14056" operator="containsText" text="Thu">
      <formula>NOT(ISERROR(SEARCH("Thu",D1989)))</formula>
    </cfRule>
    <cfRule type="containsText" dxfId="2426" priority="14057" operator="containsText" text="Wed">
      <formula>NOT(ISERROR(SEARCH("Wed",D1989)))</formula>
    </cfRule>
    <cfRule type="containsText" dxfId="2425" priority="14058" operator="containsText" text="Tue">
      <formula>NOT(ISERROR(SEARCH("Tue",D1989)))</formula>
    </cfRule>
    <cfRule type="containsText" dxfId="2424" priority="14059" operator="containsText" text="Mon">
      <formula>NOT(ISERROR(SEARCH("Mon",D1989)))</formula>
    </cfRule>
  </conditionalFormatting>
  <conditionalFormatting sqref="A1989:B1990">
    <cfRule type="cellIs" dxfId="2423" priority="14054" operator="equal">
      <formula>0</formula>
    </cfRule>
  </conditionalFormatting>
  <conditionalFormatting sqref="D1990">
    <cfRule type="containsText" dxfId="2422" priority="14049" operator="containsText" text="Fri">
      <formula>NOT(ISERROR(SEARCH("Fri",D1990)))</formula>
    </cfRule>
    <cfRule type="containsText" dxfId="2421" priority="14050" operator="containsText" text="Thu">
      <formula>NOT(ISERROR(SEARCH("Thu",D1990)))</formula>
    </cfRule>
    <cfRule type="containsText" dxfId="2420" priority="14051" operator="containsText" text="Wed">
      <formula>NOT(ISERROR(SEARCH("Wed",D1990)))</formula>
    </cfRule>
    <cfRule type="containsText" dxfId="2419" priority="14052" operator="containsText" text="Tue">
      <formula>NOT(ISERROR(SEARCH("Tue",D1990)))</formula>
    </cfRule>
    <cfRule type="containsText" dxfId="2418" priority="14053" operator="containsText" text="Mon">
      <formula>NOT(ISERROR(SEARCH("Mon",D1990)))</formula>
    </cfRule>
  </conditionalFormatting>
  <conditionalFormatting sqref="D1991">
    <cfRule type="containsText" dxfId="2417" priority="14044" operator="containsText" text="Fri">
      <formula>NOT(ISERROR(SEARCH("Fri",D1991)))</formula>
    </cfRule>
    <cfRule type="containsText" dxfId="2416" priority="14045" operator="containsText" text="Thu">
      <formula>NOT(ISERROR(SEARCH("Thu",D1991)))</formula>
    </cfRule>
    <cfRule type="containsText" dxfId="2415" priority="14046" operator="containsText" text="Wed">
      <formula>NOT(ISERROR(SEARCH("Wed",D1991)))</formula>
    </cfRule>
    <cfRule type="containsText" dxfId="2414" priority="14047" operator="containsText" text="Tue">
      <formula>NOT(ISERROR(SEARCH("Tue",D1991)))</formula>
    </cfRule>
    <cfRule type="containsText" dxfId="2413" priority="14048" operator="containsText" text="Mon">
      <formula>NOT(ISERROR(SEARCH("Mon",D1991)))</formula>
    </cfRule>
  </conditionalFormatting>
  <conditionalFormatting sqref="A1991:B1991">
    <cfRule type="cellIs" dxfId="2412" priority="14043" operator="equal">
      <formula>0</formula>
    </cfRule>
  </conditionalFormatting>
  <conditionalFormatting sqref="D1997:D1998 D1992:D1995">
    <cfRule type="containsText" dxfId="2411" priority="14038" operator="containsText" text="Fri">
      <formula>NOT(ISERROR(SEARCH("Fri",D1992)))</formula>
    </cfRule>
    <cfRule type="containsText" dxfId="2410" priority="14039" operator="containsText" text="Thu">
      <formula>NOT(ISERROR(SEARCH("Thu",D1992)))</formula>
    </cfRule>
    <cfRule type="containsText" dxfId="2409" priority="14040" operator="containsText" text="Wed">
      <formula>NOT(ISERROR(SEARCH("Wed",D1992)))</formula>
    </cfRule>
    <cfRule type="containsText" dxfId="2408" priority="14041" operator="containsText" text="Tue">
      <formula>NOT(ISERROR(SEARCH("Tue",D1992)))</formula>
    </cfRule>
    <cfRule type="containsText" dxfId="2407" priority="14042" operator="containsText" text="Mon">
      <formula>NOT(ISERROR(SEARCH("Mon",D1992)))</formula>
    </cfRule>
  </conditionalFormatting>
  <conditionalFormatting sqref="A1992:B1998">
    <cfRule type="cellIs" dxfId="2406" priority="14037" operator="equal">
      <formula>0</formula>
    </cfRule>
  </conditionalFormatting>
  <conditionalFormatting sqref="D1996">
    <cfRule type="containsText" dxfId="2405" priority="14032" operator="containsText" text="Fri">
      <formula>NOT(ISERROR(SEARCH("Fri",D1996)))</formula>
    </cfRule>
    <cfRule type="containsText" dxfId="2404" priority="14033" operator="containsText" text="Thu">
      <formula>NOT(ISERROR(SEARCH("Thu",D1996)))</formula>
    </cfRule>
    <cfRule type="containsText" dxfId="2403" priority="14034" operator="containsText" text="Wed">
      <formula>NOT(ISERROR(SEARCH("Wed",D1996)))</formula>
    </cfRule>
    <cfRule type="containsText" dxfId="2402" priority="14035" operator="containsText" text="Tue">
      <formula>NOT(ISERROR(SEARCH("Tue",D1996)))</formula>
    </cfRule>
    <cfRule type="containsText" dxfId="2401" priority="14036" operator="containsText" text="Mon">
      <formula>NOT(ISERROR(SEARCH("Mon",D1996)))</formula>
    </cfRule>
  </conditionalFormatting>
  <conditionalFormatting sqref="D1999:D2004">
    <cfRule type="containsText" dxfId="2400" priority="14027" operator="containsText" text="Fri">
      <formula>NOT(ISERROR(SEARCH("Fri",D1999)))</formula>
    </cfRule>
    <cfRule type="containsText" dxfId="2399" priority="14028" operator="containsText" text="Thu">
      <formula>NOT(ISERROR(SEARCH("Thu",D1999)))</formula>
    </cfRule>
    <cfRule type="containsText" dxfId="2398" priority="14029" operator="containsText" text="Wed">
      <formula>NOT(ISERROR(SEARCH("Wed",D1999)))</formula>
    </cfRule>
    <cfRule type="containsText" dxfId="2397" priority="14030" operator="containsText" text="Tue">
      <formula>NOT(ISERROR(SEARCH("Tue",D1999)))</formula>
    </cfRule>
    <cfRule type="containsText" dxfId="2396" priority="14031" operator="containsText" text="Mon">
      <formula>NOT(ISERROR(SEARCH("Mon",D1999)))</formula>
    </cfRule>
  </conditionalFormatting>
  <conditionalFormatting sqref="A1999:B2005">
    <cfRule type="cellIs" dxfId="2395" priority="14026" operator="equal">
      <formula>0</formula>
    </cfRule>
  </conditionalFormatting>
  <conditionalFormatting sqref="D2005:D2010">
    <cfRule type="containsText" dxfId="2394" priority="14021" operator="containsText" text="Fri">
      <formula>NOT(ISERROR(SEARCH("Fri",D2005)))</formula>
    </cfRule>
    <cfRule type="containsText" dxfId="2393" priority="14022" operator="containsText" text="Thu">
      <formula>NOT(ISERROR(SEARCH("Thu",D2005)))</formula>
    </cfRule>
    <cfRule type="containsText" dxfId="2392" priority="14023" operator="containsText" text="Wed">
      <formula>NOT(ISERROR(SEARCH("Wed",D2005)))</formula>
    </cfRule>
    <cfRule type="containsText" dxfId="2391" priority="14024" operator="containsText" text="Tue">
      <formula>NOT(ISERROR(SEARCH("Tue",D2005)))</formula>
    </cfRule>
    <cfRule type="containsText" dxfId="2390" priority="14025" operator="containsText" text="Mon">
      <formula>NOT(ISERROR(SEARCH("Mon",D2005)))</formula>
    </cfRule>
  </conditionalFormatting>
  <conditionalFormatting sqref="A2006:B2014">
    <cfRule type="cellIs" dxfId="2389" priority="14020" operator="equal">
      <formula>0</formula>
    </cfRule>
  </conditionalFormatting>
  <conditionalFormatting sqref="D2011:D2014">
    <cfRule type="containsText" dxfId="2388" priority="14015" operator="containsText" text="Fri">
      <formula>NOT(ISERROR(SEARCH("Fri",D2011)))</formula>
    </cfRule>
    <cfRule type="containsText" dxfId="2387" priority="14016" operator="containsText" text="Thu">
      <formula>NOT(ISERROR(SEARCH("Thu",D2011)))</formula>
    </cfRule>
    <cfRule type="containsText" dxfId="2386" priority="14017" operator="containsText" text="Wed">
      <formula>NOT(ISERROR(SEARCH("Wed",D2011)))</formula>
    </cfRule>
    <cfRule type="containsText" dxfId="2385" priority="14018" operator="containsText" text="Tue">
      <formula>NOT(ISERROR(SEARCH("Tue",D2011)))</formula>
    </cfRule>
    <cfRule type="containsText" dxfId="2384" priority="14019" operator="containsText" text="Mon">
      <formula>NOT(ISERROR(SEARCH("Mon",D2011)))</formula>
    </cfRule>
  </conditionalFormatting>
  <conditionalFormatting sqref="D2015">
    <cfRule type="containsText" dxfId="2383" priority="14010" operator="containsText" text="Fri">
      <formula>NOT(ISERROR(SEARCH("Fri",D2015)))</formula>
    </cfRule>
    <cfRule type="containsText" dxfId="2382" priority="14011" operator="containsText" text="Thu">
      <formula>NOT(ISERROR(SEARCH("Thu",D2015)))</formula>
    </cfRule>
    <cfRule type="containsText" dxfId="2381" priority="14012" operator="containsText" text="Wed">
      <formula>NOT(ISERROR(SEARCH("Wed",D2015)))</formula>
    </cfRule>
    <cfRule type="containsText" dxfId="2380" priority="14013" operator="containsText" text="Tue">
      <formula>NOT(ISERROR(SEARCH("Tue",D2015)))</formula>
    </cfRule>
    <cfRule type="containsText" dxfId="2379" priority="14014" operator="containsText" text="Mon">
      <formula>NOT(ISERROR(SEARCH("Mon",D2015)))</formula>
    </cfRule>
  </conditionalFormatting>
  <conditionalFormatting sqref="A2015:B2015">
    <cfRule type="cellIs" dxfId="2378" priority="14009" operator="equal">
      <formula>0</formula>
    </cfRule>
  </conditionalFormatting>
  <conditionalFormatting sqref="D2016:D2022 D2024:D2025">
    <cfRule type="containsText" dxfId="2377" priority="14004" operator="containsText" text="Fri">
      <formula>NOT(ISERROR(SEARCH("Fri",D2016)))</formula>
    </cfRule>
    <cfRule type="containsText" dxfId="2376" priority="14005" operator="containsText" text="Thu">
      <formula>NOT(ISERROR(SEARCH("Thu",D2016)))</formula>
    </cfRule>
    <cfRule type="containsText" dxfId="2375" priority="14006" operator="containsText" text="Wed">
      <formula>NOT(ISERROR(SEARCH("Wed",D2016)))</formula>
    </cfRule>
    <cfRule type="containsText" dxfId="2374" priority="14007" operator="containsText" text="Tue">
      <formula>NOT(ISERROR(SEARCH("Tue",D2016)))</formula>
    </cfRule>
    <cfRule type="containsText" dxfId="2373" priority="14008" operator="containsText" text="Mon">
      <formula>NOT(ISERROR(SEARCH("Mon",D2016)))</formula>
    </cfRule>
  </conditionalFormatting>
  <conditionalFormatting sqref="D2023">
    <cfRule type="containsText" dxfId="2372" priority="13999" operator="containsText" text="Fri">
      <formula>NOT(ISERROR(SEARCH("Fri",D2023)))</formula>
    </cfRule>
    <cfRule type="containsText" dxfId="2371" priority="14000" operator="containsText" text="Thu">
      <formula>NOT(ISERROR(SEARCH("Thu",D2023)))</formula>
    </cfRule>
    <cfRule type="containsText" dxfId="2370" priority="14001" operator="containsText" text="Wed">
      <formula>NOT(ISERROR(SEARCH("Wed",D2023)))</formula>
    </cfRule>
    <cfRule type="containsText" dxfId="2369" priority="14002" operator="containsText" text="Tue">
      <formula>NOT(ISERROR(SEARCH("Tue",D2023)))</formula>
    </cfRule>
    <cfRule type="containsText" dxfId="2368" priority="14003" operator="containsText" text="Mon">
      <formula>NOT(ISERROR(SEARCH("Mon",D2023)))</formula>
    </cfRule>
  </conditionalFormatting>
  <conditionalFormatting sqref="A2016:B2025">
    <cfRule type="cellIs" dxfId="2367" priority="13998" operator="equal">
      <formula>0</formula>
    </cfRule>
  </conditionalFormatting>
  <conditionalFormatting sqref="D2026:D2035">
    <cfRule type="containsText" dxfId="2366" priority="13993" operator="containsText" text="Fri">
      <formula>NOT(ISERROR(SEARCH("Fri",D2026)))</formula>
    </cfRule>
    <cfRule type="containsText" dxfId="2365" priority="13994" operator="containsText" text="Thu">
      <formula>NOT(ISERROR(SEARCH("Thu",D2026)))</formula>
    </cfRule>
    <cfRule type="containsText" dxfId="2364" priority="13995" operator="containsText" text="Wed">
      <formula>NOT(ISERROR(SEARCH("Wed",D2026)))</formula>
    </cfRule>
    <cfRule type="containsText" dxfId="2363" priority="13996" operator="containsText" text="Tue">
      <formula>NOT(ISERROR(SEARCH("Tue",D2026)))</formula>
    </cfRule>
    <cfRule type="containsText" dxfId="2362" priority="13997" operator="containsText" text="Mon">
      <formula>NOT(ISERROR(SEARCH("Mon",D2026)))</formula>
    </cfRule>
  </conditionalFormatting>
  <conditionalFormatting sqref="A2026:B2035">
    <cfRule type="cellIs" dxfId="2361" priority="13992" operator="equal">
      <formula>0</formula>
    </cfRule>
  </conditionalFormatting>
  <conditionalFormatting sqref="D2036">
    <cfRule type="containsText" dxfId="2360" priority="13987" operator="containsText" text="Fri">
      <formula>NOT(ISERROR(SEARCH("Fri",D2036)))</formula>
    </cfRule>
    <cfRule type="containsText" dxfId="2359" priority="13988" operator="containsText" text="Thu">
      <formula>NOT(ISERROR(SEARCH("Thu",D2036)))</formula>
    </cfRule>
    <cfRule type="containsText" dxfId="2358" priority="13989" operator="containsText" text="Wed">
      <formula>NOT(ISERROR(SEARCH("Wed",D2036)))</formula>
    </cfRule>
    <cfRule type="containsText" dxfId="2357" priority="13990" operator="containsText" text="Tue">
      <formula>NOT(ISERROR(SEARCH("Tue",D2036)))</formula>
    </cfRule>
    <cfRule type="containsText" dxfId="2356" priority="13991" operator="containsText" text="Mon">
      <formula>NOT(ISERROR(SEARCH("Mon",D2036)))</formula>
    </cfRule>
  </conditionalFormatting>
  <conditionalFormatting sqref="A2036:B2036">
    <cfRule type="cellIs" dxfId="2355" priority="13986" operator="equal">
      <formula>0</formula>
    </cfRule>
  </conditionalFormatting>
  <conditionalFormatting sqref="D2037">
    <cfRule type="containsText" dxfId="2354" priority="13981" operator="containsText" text="Fri">
      <formula>NOT(ISERROR(SEARCH("Fri",D2037)))</formula>
    </cfRule>
    <cfRule type="containsText" dxfId="2353" priority="13982" operator="containsText" text="Thu">
      <formula>NOT(ISERROR(SEARCH("Thu",D2037)))</formula>
    </cfRule>
    <cfRule type="containsText" dxfId="2352" priority="13983" operator="containsText" text="Wed">
      <formula>NOT(ISERROR(SEARCH("Wed",D2037)))</formula>
    </cfRule>
    <cfRule type="containsText" dxfId="2351" priority="13984" operator="containsText" text="Tue">
      <formula>NOT(ISERROR(SEARCH("Tue",D2037)))</formula>
    </cfRule>
    <cfRule type="containsText" dxfId="2350" priority="13985" operator="containsText" text="Mon">
      <formula>NOT(ISERROR(SEARCH("Mon",D2037)))</formula>
    </cfRule>
  </conditionalFormatting>
  <conditionalFormatting sqref="A2037:B2037">
    <cfRule type="cellIs" dxfId="2349" priority="13980" operator="equal">
      <formula>0</formula>
    </cfRule>
  </conditionalFormatting>
  <conditionalFormatting sqref="D2038">
    <cfRule type="containsText" dxfId="2348" priority="13975" operator="containsText" text="Fri">
      <formula>NOT(ISERROR(SEARCH("Fri",D2038)))</formula>
    </cfRule>
    <cfRule type="containsText" dxfId="2347" priority="13976" operator="containsText" text="Thu">
      <formula>NOT(ISERROR(SEARCH("Thu",D2038)))</formula>
    </cfRule>
    <cfRule type="containsText" dxfId="2346" priority="13977" operator="containsText" text="Wed">
      <formula>NOT(ISERROR(SEARCH("Wed",D2038)))</formula>
    </cfRule>
    <cfRule type="containsText" dxfId="2345" priority="13978" operator="containsText" text="Tue">
      <formula>NOT(ISERROR(SEARCH("Tue",D2038)))</formula>
    </cfRule>
    <cfRule type="containsText" dxfId="2344" priority="13979" operator="containsText" text="Mon">
      <formula>NOT(ISERROR(SEARCH("Mon",D2038)))</formula>
    </cfRule>
  </conditionalFormatting>
  <conditionalFormatting sqref="A2038:B2038">
    <cfRule type="cellIs" dxfId="2343" priority="13974" operator="equal">
      <formula>0</formula>
    </cfRule>
  </conditionalFormatting>
  <conditionalFormatting sqref="D2039:D2048">
    <cfRule type="containsText" dxfId="2342" priority="13969" operator="containsText" text="Fri">
      <formula>NOT(ISERROR(SEARCH("Fri",D2039)))</formula>
    </cfRule>
    <cfRule type="containsText" dxfId="2341" priority="13970" operator="containsText" text="Thu">
      <formula>NOT(ISERROR(SEARCH("Thu",D2039)))</formula>
    </cfRule>
    <cfRule type="containsText" dxfId="2340" priority="13971" operator="containsText" text="Wed">
      <formula>NOT(ISERROR(SEARCH("Wed",D2039)))</formula>
    </cfRule>
    <cfRule type="containsText" dxfId="2339" priority="13972" operator="containsText" text="Tue">
      <formula>NOT(ISERROR(SEARCH("Tue",D2039)))</formula>
    </cfRule>
    <cfRule type="containsText" dxfId="2338" priority="13973" operator="containsText" text="Mon">
      <formula>NOT(ISERROR(SEARCH("Mon",D2039)))</formula>
    </cfRule>
  </conditionalFormatting>
  <conditionalFormatting sqref="A2039:B2048">
    <cfRule type="cellIs" dxfId="2337" priority="13968" operator="equal">
      <formula>0</formula>
    </cfRule>
  </conditionalFormatting>
  <conditionalFormatting sqref="D2049">
    <cfRule type="containsText" dxfId="2336" priority="13963" operator="containsText" text="Fri">
      <formula>NOT(ISERROR(SEARCH("Fri",D2049)))</formula>
    </cfRule>
    <cfRule type="containsText" dxfId="2335" priority="13964" operator="containsText" text="Thu">
      <formula>NOT(ISERROR(SEARCH("Thu",D2049)))</formula>
    </cfRule>
    <cfRule type="containsText" dxfId="2334" priority="13965" operator="containsText" text="Wed">
      <formula>NOT(ISERROR(SEARCH("Wed",D2049)))</formula>
    </cfRule>
    <cfRule type="containsText" dxfId="2333" priority="13966" operator="containsText" text="Tue">
      <formula>NOT(ISERROR(SEARCH("Tue",D2049)))</formula>
    </cfRule>
    <cfRule type="containsText" dxfId="2332" priority="13967" operator="containsText" text="Mon">
      <formula>NOT(ISERROR(SEARCH("Mon",D2049)))</formula>
    </cfRule>
  </conditionalFormatting>
  <conditionalFormatting sqref="A2049:B2049">
    <cfRule type="cellIs" dxfId="2331" priority="13962" operator="equal">
      <formula>0</formula>
    </cfRule>
  </conditionalFormatting>
  <conditionalFormatting sqref="D2050">
    <cfRule type="containsText" dxfId="2330" priority="13957" operator="containsText" text="Fri">
      <formula>NOT(ISERROR(SEARCH("Fri",D2050)))</formula>
    </cfRule>
    <cfRule type="containsText" dxfId="2329" priority="13958" operator="containsText" text="Thu">
      <formula>NOT(ISERROR(SEARCH("Thu",D2050)))</formula>
    </cfRule>
    <cfRule type="containsText" dxfId="2328" priority="13959" operator="containsText" text="Wed">
      <formula>NOT(ISERROR(SEARCH("Wed",D2050)))</formula>
    </cfRule>
    <cfRule type="containsText" dxfId="2327" priority="13960" operator="containsText" text="Tue">
      <formula>NOT(ISERROR(SEARCH("Tue",D2050)))</formula>
    </cfRule>
    <cfRule type="containsText" dxfId="2326" priority="13961" operator="containsText" text="Mon">
      <formula>NOT(ISERROR(SEARCH("Mon",D2050)))</formula>
    </cfRule>
  </conditionalFormatting>
  <conditionalFormatting sqref="A2050:B2050">
    <cfRule type="cellIs" dxfId="2325" priority="13956" operator="equal">
      <formula>0</formula>
    </cfRule>
  </conditionalFormatting>
  <conditionalFormatting sqref="D2051">
    <cfRule type="containsText" dxfId="2324" priority="13951" operator="containsText" text="Fri">
      <formula>NOT(ISERROR(SEARCH("Fri",D2051)))</formula>
    </cfRule>
    <cfRule type="containsText" dxfId="2323" priority="13952" operator="containsText" text="Thu">
      <formula>NOT(ISERROR(SEARCH("Thu",D2051)))</formula>
    </cfRule>
    <cfRule type="containsText" dxfId="2322" priority="13953" operator="containsText" text="Wed">
      <formula>NOT(ISERROR(SEARCH("Wed",D2051)))</formula>
    </cfRule>
    <cfRule type="containsText" dxfId="2321" priority="13954" operator="containsText" text="Tue">
      <formula>NOT(ISERROR(SEARCH("Tue",D2051)))</formula>
    </cfRule>
    <cfRule type="containsText" dxfId="2320" priority="13955" operator="containsText" text="Mon">
      <formula>NOT(ISERROR(SEARCH("Mon",D2051)))</formula>
    </cfRule>
  </conditionalFormatting>
  <conditionalFormatting sqref="A2051:B2051">
    <cfRule type="cellIs" dxfId="2319" priority="13950" operator="equal">
      <formula>0</formula>
    </cfRule>
  </conditionalFormatting>
  <conditionalFormatting sqref="D2052:D2061">
    <cfRule type="containsText" dxfId="2318" priority="13945" operator="containsText" text="Fri">
      <formula>NOT(ISERROR(SEARCH("Fri",D2052)))</formula>
    </cfRule>
    <cfRule type="containsText" dxfId="2317" priority="13946" operator="containsText" text="Thu">
      <formula>NOT(ISERROR(SEARCH("Thu",D2052)))</formula>
    </cfRule>
    <cfRule type="containsText" dxfId="2316" priority="13947" operator="containsText" text="Wed">
      <formula>NOT(ISERROR(SEARCH("Wed",D2052)))</formula>
    </cfRule>
    <cfRule type="containsText" dxfId="2315" priority="13948" operator="containsText" text="Tue">
      <formula>NOT(ISERROR(SEARCH("Tue",D2052)))</formula>
    </cfRule>
    <cfRule type="containsText" dxfId="2314" priority="13949" operator="containsText" text="Mon">
      <formula>NOT(ISERROR(SEARCH("Mon",D2052)))</formula>
    </cfRule>
  </conditionalFormatting>
  <conditionalFormatting sqref="A2052:B2061">
    <cfRule type="cellIs" dxfId="2313" priority="13944" operator="equal">
      <formula>0</formula>
    </cfRule>
  </conditionalFormatting>
  <conditionalFormatting sqref="D2069 D2062:D2067">
    <cfRule type="containsText" dxfId="2312" priority="13939" operator="containsText" text="Fri">
      <formula>NOT(ISERROR(SEARCH("Fri",D2062)))</formula>
    </cfRule>
    <cfRule type="containsText" dxfId="2311" priority="13940" operator="containsText" text="Thu">
      <formula>NOT(ISERROR(SEARCH("Thu",D2062)))</formula>
    </cfRule>
    <cfRule type="containsText" dxfId="2310" priority="13941" operator="containsText" text="Wed">
      <formula>NOT(ISERROR(SEARCH("Wed",D2062)))</formula>
    </cfRule>
    <cfRule type="containsText" dxfId="2309" priority="13942" operator="containsText" text="Tue">
      <formula>NOT(ISERROR(SEARCH("Tue",D2062)))</formula>
    </cfRule>
    <cfRule type="containsText" dxfId="2308" priority="13943" operator="containsText" text="Mon">
      <formula>NOT(ISERROR(SEARCH("Mon",D2062)))</formula>
    </cfRule>
  </conditionalFormatting>
  <conditionalFormatting sqref="A2062:B2069">
    <cfRule type="cellIs" dxfId="2307" priority="13938" operator="equal">
      <formula>0</formula>
    </cfRule>
  </conditionalFormatting>
  <conditionalFormatting sqref="D2068">
    <cfRule type="containsText" dxfId="2306" priority="13933" operator="containsText" text="Fri">
      <formula>NOT(ISERROR(SEARCH("Fri",D2068)))</formula>
    </cfRule>
    <cfRule type="containsText" dxfId="2305" priority="13934" operator="containsText" text="Thu">
      <formula>NOT(ISERROR(SEARCH("Thu",D2068)))</formula>
    </cfRule>
    <cfRule type="containsText" dxfId="2304" priority="13935" operator="containsText" text="Wed">
      <formula>NOT(ISERROR(SEARCH("Wed",D2068)))</formula>
    </cfRule>
    <cfRule type="containsText" dxfId="2303" priority="13936" operator="containsText" text="Tue">
      <formula>NOT(ISERROR(SEARCH("Tue",D2068)))</formula>
    </cfRule>
    <cfRule type="containsText" dxfId="2302" priority="13937" operator="containsText" text="Mon">
      <formula>NOT(ISERROR(SEARCH("Mon",D2068)))</formula>
    </cfRule>
  </conditionalFormatting>
  <conditionalFormatting sqref="D2076:D2077 D2070:D2074">
    <cfRule type="containsText" dxfId="2301" priority="13928" operator="containsText" text="Fri">
      <formula>NOT(ISERROR(SEARCH("Fri",D2070)))</formula>
    </cfRule>
    <cfRule type="containsText" dxfId="2300" priority="13929" operator="containsText" text="Thu">
      <formula>NOT(ISERROR(SEARCH("Thu",D2070)))</formula>
    </cfRule>
    <cfRule type="containsText" dxfId="2299" priority="13930" operator="containsText" text="Wed">
      <formula>NOT(ISERROR(SEARCH("Wed",D2070)))</formula>
    </cfRule>
    <cfRule type="containsText" dxfId="2298" priority="13931" operator="containsText" text="Tue">
      <formula>NOT(ISERROR(SEARCH("Tue",D2070)))</formula>
    </cfRule>
    <cfRule type="containsText" dxfId="2297" priority="13932" operator="containsText" text="Mon">
      <formula>NOT(ISERROR(SEARCH("Mon",D2070)))</formula>
    </cfRule>
  </conditionalFormatting>
  <conditionalFormatting sqref="A2070:B2077">
    <cfRule type="cellIs" dxfId="2296" priority="13927" operator="equal">
      <formula>0</formula>
    </cfRule>
  </conditionalFormatting>
  <conditionalFormatting sqref="D2075">
    <cfRule type="containsText" dxfId="2295" priority="13922" operator="containsText" text="Fri">
      <formula>NOT(ISERROR(SEARCH("Fri",D2075)))</formula>
    </cfRule>
    <cfRule type="containsText" dxfId="2294" priority="13923" operator="containsText" text="Thu">
      <formula>NOT(ISERROR(SEARCH("Thu",D2075)))</formula>
    </cfRule>
    <cfRule type="containsText" dxfId="2293" priority="13924" operator="containsText" text="Wed">
      <formula>NOT(ISERROR(SEARCH("Wed",D2075)))</formula>
    </cfRule>
    <cfRule type="containsText" dxfId="2292" priority="13925" operator="containsText" text="Tue">
      <formula>NOT(ISERROR(SEARCH("Tue",D2075)))</formula>
    </cfRule>
    <cfRule type="containsText" dxfId="2291" priority="13926" operator="containsText" text="Mon">
      <formula>NOT(ISERROR(SEARCH("Mon",D2075)))</formula>
    </cfRule>
  </conditionalFormatting>
  <conditionalFormatting sqref="D2078:D2085">
    <cfRule type="containsText" dxfId="2290" priority="13917" operator="containsText" text="Fri">
      <formula>NOT(ISERROR(SEARCH("Fri",D2078)))</formula>
    </cfRule>
    <cfRule type="containsText" dxfId="2289" priority="13918" operator="containsText" text="Thu">
      <formula>NOT(ISERROR(SEARCH("Thu",D2078)))</formula>
    </cfRule>
    <cfRule type="containsText" dxfId="2288" priority="13919" operator="containsText" text="Wed">
      <formula>NOT(ISERROR(SEARCH("Wed",D2078)))</formula>
    </cfRule>
    <cfRule type="containsText" dxfId="2287" priority="13920" operator="containsText" text="Tue">
      <formula>NOT(ISERROR(SEARCH("Tue",D2078)))</formula>
    </cfRule>
    <cfRule type="containsText" dxfId="2286" priority="13921" operator="containsText" text="Mon">
      <formula>NOT(ISERROR(SEARCH("Mon",D2078)))</formula>
    </cfRule>
  </conditionalFormatting>
  <conditionalFormatting sqref="A2078:B2085">
    <cfRule type="cellIs" dxfId="2285" priority="13916" operator="equal">
      <formula>0</formula>
    </cfRule>
  </conditionalFormatting>
  <conditionalFormatting sqref="D2093:D2094 D2086:D2091">
    <cfRule type="containsText" dxfId="2284" priority="13911" operator="containsText" text="Fri">
      <formula>NOT(ISERROR(SEARCH("Fri",D2086)))</formula>
    </cfRule>
    <cfRule type="containsText" dxfId="2283" priority="13912" operator="containsText" text="Thu">
      <formula>NOT(ISERROR(SEARCH("Thu",D2086)))</formula>
    </cfRule>
    <cfRule type="containsText" dxfId="2282" priority="13913" operator="containsText" text="Wed">
      <formula>NOT(ISERROR(SEARCH("Wed",D2086)))</formula>
    </cfRule>
    <cfRule type="containsText" dxfId="2281" priority="13914" operator="containsText" text="Tue">
      <formula>NOT(ISERROR(SEARCH("Tue",D2086)))</formula>
    </cfRule>
    <cfRule type="containsText" dxfId="2280" priority="13915" operator="containsText" text="Mon">
      <formula>NOT(ISERROR(SEARCH("Mon",D2086)))</formula>
    </cfRule>
  </conditionalFormatting>
  <conditionalFormatting sqref="A2086:B2094">
    <cfRule type="cellIs" dxfId="2279" priority="13910" operator="equal">
      <formula>0</formula>
    </cfRule>
  </conditionalFormatting>
  <conditionalFormatting sqref="D2092">
    <cfRule type="containsText" dxfId="2278" priority="13905" operator="containsText" text="Fri">
      <formula>NOT(ISERROR(SEARCH("Fri",D2092)))</formula>
    </cfRule>
    <cfRule type="containsText" dxfId="2277" priority="13906" operator="containsText" text="Thu">
      <formula>NOT(ISERROR(SEARCH("Thu",D2092)))</formula>
    </cfRule>
    <cfRule type="containsText" dxfId="2276" priority="13907" operator="containsText" text="Wed">
      <formula>NOT(ISERROR(SEARCH("Wed",D2092)))</formula>
    </cfRule>
    <cfRule type="containsText" dxfId="2275" priority="13908" operator="containsText" text="Tue">
      <formula>NOT(ISERROR(SEARCH("Tue",D2092)))</formula>
    </cfRule>
    <cfRule type="containsText" dxfId="2274" priority="13909" operator="containsText" text="Mon">
      <formula>NOT(ISERROR(SEARCH("Mon",D2092)))</formula>
    </cfRule>
  </conditionalFormatting>
  <conditionalFormatting sqref="D2095:D2101 D2103:D2104">
    <cfRule type="containsText" dxfId="2273" priority="13900" operator="containsText" text="Fri">
      <formula>NOT(ISERROR(SEARCH("Fri",D2095)))</formula>
    </cfRule>
    <cfRule type="containsText" dxfId="2272" priority="13901" operator="containsText" text="Thu">
      <formula>NOT(ISERROR(SEARCH("Thu",D2095)))</formula>
    </cfRule>
    <cfRule type="containsText" dxfId="2271" priority="13902" operator="containsText" text="Wed">
      <formula>NOT(ISERROR(SEARCH("Wed",D2095)))</formula>
    </cfRule>
    <cfRule type="containsText" dxfId="2270" priority="13903" operator="containsText" text="Tue">
      <formula>NOT(ISERROR(SEARCH("Tue",D2095)))</formula>
    </cfRule>
    <cfRule type="containsText" dxfId="2269" priority="13904" operator="containsText" text="Mon">
      <formula>NOT(ISERROR(SEARCH("Mon",D2095)))</formula>
    </cfRule>
  </conditionalFormatting>
  <conditionalFormatting sqref="D2102">
    <cfRule type="containsText" dxfId="2268" priority="13895" operator="containsText" text="Fri">
      <formula>NOT(ISERROR(SEARCH("Fri",D2102)))</formula>
    </cfRule>
    <cfRule type="containsText" dxfId="2267" priority="13896" operator="containsText" text="Thu">
      <formula>NOT(ISERROR(SEARCH("Thu",D2102)))</formula>
    </cfRule>
    <cfRule type="containsText" dxfId="2266" priority="13897" operator="containsText" text="Wed">
      <formula>NOT(ISERROR(SEARCH("Wed",D2102)))</formula>
    </cfRule>
    <cfRule type="containsText" dxfId="2265" priority="13898" operator="containsText" text="Tue">
      <formula>NOT(ISERROR(SEARCH("Tue",D2102)))</formula>
    </cfRule>
    <cfRule type="containsText" dxfId="2264" priority="13899" operator="containsText" text="Mon">
      <formula>NOT(ISERROR(SEARCH("Mon",D2102)))</formula>
    </cfRule>
  </conditionalFormatting>
  <conditionalFormatting sqref="A2095:B2104">
    <cfRule type="cellIs" dxfId="2263" priority="13894" operator="equal">
      <formula>0</formula>
    </cfRule>
  </conditionalFormatting>
  <conditionalFormatting sqref="D2105:D2111">
    <cfRule type="containsText" dxfId="2262" priority="12847" operator="containsText" text="Fri">
      <formula>NOT(ISERROR(SEARCH("Fri",D2105)))</formula>
    </cfRule>
    <cfRule type="containsText" dxfId="2261" priority="12848" operator="containsText" text="Thu">
      <formula>NOT(ISERROR(SEARCH("Thu",D2105)))</formula>
    </cfRule>
    <cfRule type="containsText" dxfId="2260" priority="12849" operator="containsText" text="Wed">
      <formula>NOT(ISERROR(SEARCH("Wed",D2105)))</formula>
    </cfRule>
    <cfRule type="containsText" dxfId="2259" priority="12850" operator="containsText" text="Tue">
      <formula>NOT(ISERROR(SEARCH("Tue",D2105)))</formula>
    </cfRule>
    <cfRule type="containsText" dxfId="2258" priority="12851" operator="containsText" text="Mon">
      <formula>NOT(ISERROR(SEARCH("Mon",D2105)))</formula>
    </cfRule>
  </conditionalFormatting>
  <conditionalFormatting sqref="E2164:K2178 E2105:K2161">
    <cfRule type="cellIs" dxfId="2257" priority="12846" operator="equal">
      <formula>0</formula>
    </cfRule>
  </conditionalFormatting>
  <conditionalFormatting sqref="A2105:B2111">
    <cfRule type="cellIs" dxfId="2256" priority="12845" operator="equal">
      <formula>0</formula>
    </cfRule>
  </conditionalFormatting>
  <conditionalFormatting sqref="D2112:D2119">
    <cfRule type="containsText" dxfId="2255" priority="12840" operator="containsText" text="Fri">
      <formula>NOT(ISERROR(SEARCH("Fri",D2112)))</formula>
    </cfRule>
    <cfRule type="containsText" dxfId="2254" priority="12841" operator="containsText" text="Thu">
      <formula>NOT(ISERROR(SEARCH("Thu",D2112)))</formula>
    </cfRule>
    <cfRule type="containsText" dxfId="2253" priority="12842" operator="containsText" text="Wed">
      <formula>NOT(ISERROR(SEARCH("Wed",D2112)))</formula>
    </cfRule>
    <cfRule type="containsText" dxfId="2252" priority="12843" operator="containsText" text="Tue">
      <formula>NOT(ISERROR(SEARCH("Tue",D2112)))</formula>
    </cfRule>
    <cfRule type="containsText" dxfId="2251" priority="12844" operator="containsText" text="Mon">
      <formula>NOT(ISERROR(SEARCH("Mon",D2112)))</formula>
    </cfRule>
  </conditionalFormatting>
  <conditionalFormatting sqref="A2112:B2119">
    <cfRule type="cellIs" dxfId="2250" priority="12839" operator="equal">
      <formula>0</formula>
    </cfRule>
  </conditionalFormatting>
  <conditionalFormatting sqref="D2126 D2120:D2124">
    <cfRule type="containsText" dxfId="2249" priority="12834" operator="containsText" text="Fri">
      <formula>NOT(ISERROR(SEARCH("Fri",D2120)))</formula>
    </cfRule>
    <cfRule type="containsText" dxfId="2248" priority="12835" operator="containsText" text="Thu">
      <formula>NOT(ISERROR(SEARCH("Thu",D2120)))</formula>
    </cfRule>
    <cfRule type="containsText" dxfId="2247" priority="12836" operator="containsText" text="Wed">
      <formula>NOT(ISERROR(SEARCH("Wed",D2120)))</formula>
    </cfRule>
    <cfRule type="containsText" dxfId="2246" priority="12837" operator="containsText" text="Tue">
      <formula>NOT(ISERROR(SEARCH("Tue",D2120)))</formula>
    </cfRule>
    <cfRule type="containsText" dxfId="2245" priority="12838" operator="containsText" text="Mon">
      <formula>NOT(ISERROR(SEARCH("Mon",D2120)))</formula>
    </cfRule>
  </conditionalFormatting>
  <conditionalFormatting sqref="A2120:B2126">
    <cfRule type="cellIs" dxfId="2244" priority="12833" operator="equal">
      <formula>0</formula>
    </cfRule>
  </conditionalFormatting>
  <conditionalFormatting sqref="D2125">
    <cfRule type="containsText" dxfId="2243" priority="12828" operator="containsText" text="Fri">
      <formula>NOT(ISERROR(SEARCH("Fri",D2125)))</formula>
    </cfRule>
    <cfRule type="containsText" dxfId="2242" priority="12829" operator="containsText" text="Thu">
      <formula>NOT(ISERROR(SEARCH("Thu",D2125)))</formula>
    </cfRule>
    <cfRule type="containsText" dxfId="2241" priority="12830" operator="containsText" text="Wed">
      <formula>NOT(ISERROR(SEARCH("Wed",D2125)))</formula>
    </cfRule>
    <cfRule type="containsText" dxfId="2240" priority="12831" operator="containsText" text="Tue">
      <formula>NOT(ISERROR(SEARCH("Tue",D2125)))</formula>
    </cfRule>
    <cfRule type="containsText" dxfId="2239" priority="12832" operator="containsText" text="Mon">
      <formula>NOT(ISERROR(SEARCH("Mon",D2125)))</formula>
    </cfRule>
  </conditionalFormatting>
  <conditionalFormatting sqref="D2127:D2134">
    <cfRule type="containsText" dxfId="2238" priority="12823" operator="containsText" text="Fri">
      <formula>NOT(ISERROR(SEARCH("Fri",D2127)))</formula>
    </cfRule>
    <cfRule type="containsText" dxfId="2237" priority="12824" operator="containsText" text="Thu">
      <formula>NOT(ISERROR(SEARCH("Thu",D2127)))</formula>
    </cfRule>
    <cfRule type="containsText" dxfId="2236" priority="12825" operator="containsText" text="Wed">
      <formula>NOT(ISERROR(SEARCH("Wed",D2127)))</formula>
    </cfRule>
    <cfRule type="containsText" dxfId="2235" priority="12826" operator="containsText" text="Tue">
      <formula>NOT(ISERROR(SEARCH("Tue",D2127)))</formula>
    </cfRule>
    <cfRule type="containsText" dxfId="2234" priority="12827" operator="containsText" text="Mon">
      <formula>NOT(ISERROR(SEARCH("Mon",D2127)))</formula>
    </cfRule>
  </conditionalFormatting>
  <conditionalFormatting sqref="A2127:B2134">
    <cfRule type="cellIs" dxfId="2233" priority="12822" operator="equal">
      <formula>0</formula>
    </cfRule>
  </conditionalFormatting>
  <conditionalFormatting sqref="D2142:D2143 D2135:D2140">
    <cfRule type="containsText" dxfId="2232" priority="12817" operator="containsText" text="Fri">
      <formula>NOT(ISERROR(SEARCH("Fri",D2135)))</formula>
    </cfRule>
    <cfRule type="containsText" dxfId="2231" priority="12818" operator="containsText" text="Thu">
      <formula>NOT(ISERROR(SEARCH("Thu",D2135)))</formula>
    </cfRule>
    <cfRule type="containsText" dxfId="2230" priority="12819" operator="containsText" text="Wed">
      <formula>NOT(ISERROR(SEARCH("Wed",D2135)))</formula>
    </cfRule>
    <cfRule type="containsText" dxfId="2229" priority="12820" operator="containsText" text="Tue">
      <formula>NOT(ISERROR(SEARCH("Tue",D2135)))</formula>
    </cfRule>
    <cfRule type="containsText" dxfId="2228" priority="12821" operator="containsText" text="Mon">
      <formula>NOT(ISERROR(SEARCH("Mon",D2135)))</formula>
    </cfRule>
  </conditionalFormatting>
  <conditionalFormatting sqref="A2135:B2143">
    <cfRule type="cellIs" dxfId="2227" priority="12816" operator="equal">
      <formula>0</formula>
    </cfRule>
  </conditionalFormatting>
  <conditionalFormatting sqref="D2141">
    <cfRule type="containsText" dxfId="2226" priority="12811" operator="containsText" text="Fri">
      <formula>NOT(ISERROR(SEARCH("Fri",D2141)))</formula>
    </cfRule>
    <cfRule type="containsText" dxfId="2225" priority="12812" operator="containsText" text="Thu">
      <formula>NOT(ISERROR(SEARCH("Thu",D2141)))</formula>
    </cfRule>
    <cfRule type="containsText" dxfId="2224" priority="12813" operator="containsText" text="Wed">
      <formula>NOT(ISERROR(SEARCH("Wed",D2141)))</formula>
    </cfRule>
    <cfRule type="containsText" dxfId="2223" priority="12814" operator="containsText" text="Tue">
      <formula>NOT(ISERROR(SEARCH("Tue",D2141)))</formula>
    </cfRule>
    <cfRule type="containsText" dxfId="2222" priority="12815" operator="containsText" text="Mon">
      <formula>NOT(ISERROR(SEARCH("Mon",D2141)))</formula>
    </cfRule>
  </conditionalFormatting>
  <conditionalFormatting sqref="D2144">
    <cfRule type="containsText" dxfId="2221" priority="12806" operator="containsText" text="Fri">
      <formula>NOT(ISERROR(SEARCH("Fri",D2144)))</formula>
    </cfRule>
    <cfRule type="containsText" dxfId="2220" priority="12807" operator="containsText" text="Thu">
      <formula>NOT(ISERROR(SEARCH("Thu",D2144)))</formula>
    </cfRule>
    <cfRule type="containsText" dxfId="2219" priority="12808" operator="containsText" text="Wed">
      <formula>NOT(ISERROR(SEARCH("Wed",D2144)))</formula>
    </cfRule>
    <cfRule type="containsText" dxfId="2218" priority="12809" operator="containsText" text="Tue">
      <formula>NOT(ISERROR(SEARCH("Tue",D2144)))</formula>
    </cfRule>
    <cfRule type="containsText" dxfId="2217" priority="12810" operator="containsText" text="Mon">
      <formula>NOT(ISERROR(SEARCH("Mon",D2144)))</formula>
    </cfRule>
  </conditionalFormatting>
  <conditionalFormatting sqref="A2144:B2144">
    <cfRule type="cellIs" dxfId="2216" priority="12805" operator="equal">
      <formula>0</formula>
    </cfRule>
  </conditionalFormatting>
  <conditionalFormatting sqref="D2145">
    <cfRule type="containsText" dxfId="2215" priority="12800" operator="containsText" text="Fri">
      <formula>NOT(ISERROR(SEARCH("Fri",D2145)))</formula>
    </cfRule>
    <cfRule type="containsText" dxfId="2214" priority="12801" operator="containsText" text="Thu">
      <formula>NOT(ISERROR(SEARCH("Thu",D2145)))</formula>
    </cfRule>
    <cfRule type="containsText" dxfId="2213" priority="12802" operator="containsText" text="Wed">
      <formula>NOT(ISERROR(SEARCH("Wed",D2145)))</formula>
    </cfRule>
    <cfRule type="containsText" dxfId="2212" priority="12803" operator="containsText" text="Tue">
      <formula>NOT(ISERROR(SEARCH("Tue",D2145)))</formula>
    </cfRule>
    <cfRule type="containsText" dxfId="2211" priority="12804" operator="containsText" text="Mon">
      <formula>NOT(ISERROR(SEARCH("Mon",D2145)))</formula>
    </cfRule>
  </conditionalFormatting>
  <conditionalFormatting sqref="A2145:B2145">
    <cfRule type="cellIs" dxfId="2210" priority="12799" operator="equal">
      <formula>0</formula>
    </cfRule>
  </conditionalFormatting>
  <conditionalFormatting sqref="D2146">
    <cfRule type="containsText" dxfId="2209" priority="12794" operator="containsText" text="Fri">
      <formula>NOT(ISERROR(SEARCH("Fri",D2146)))</formula>
    </cfRule>
    <cfRule type="containsText" dxfId="2208" priority="12795" operator="containsText" text="Thu">
      <formula>NOT(ISERROR(SEARCH("Thu",D2146)))</formula>
    </cfRule>
    <cfRule type="containsText" dxfId="2207" priority="12796" operator="containsText" text="Wed">
      <formula>NOT(ISERROR(SEARCH("Wed",D2146)))</formula>
    </cfRule>
    <cfRule type="containsText" dxfId="2206" priority="12797" operator="containsText" text="Tue">
      <formula>NOT(ISERROR(SEARCH("Tue",D2146)))</formula>
    </cfRule>
    <cfRule type="containsText" dxfId="2205" priority="12798" operator="containsText" text="Mon">
      <formula>NOT(ISERROR(SEARCH("Mon",D2146)))</formula>
    </cfRule>
  </conditionalFormatting>
  <conditionalFormatting sqref="A2146:B2146">
    <cfRule type="cellIs" dxfId="2204" priority="12793" operator="equal">
      <formula>0</formula>
    </cfRule>
  </conditionalFormatting>
  <conditionalFormatting sqref="D2147">
    <cfRule type="containsText" dxfId="2203" priority="12788" operator="containsText" text="Fri">
      <formula>NOT(ISERROR(SEARCH("Fri",D2147)))</formula>
    </cfRule>
    <cfRule type="containsText" dxfId="2202" priority="12789" operator="containsText" text="Thu">
      <formula>NOT(ISERROR(SEARCH("Thu",D2147)))</formula>
    </cfRule>
    <cfRule type="containsText" dxfId="2201" priority="12790" operator="containsText" text="Wed">
      <formula>NOT(ISERROR(SEARCH("Wed",D2147)))</formula>
    </cfRule>
    <cfRule type="containsText" dxfId="2200" priority="12791" operator="containsText" text="Tue">
      <formula>NOT(ISERROR(SEARCH("Tue",D2147)))</formula>
    </cfRule>
    <cfRule type="containsText" dxfId="2199" priority="12792" operator="containsText" text="Mon">
      <formula>NOT(ISERROR(SEARCH("Mon",D2147)))</formula>
    </cfRule>
  </conditionalFormatting>
  <conditionalFormatting sqref="A2147:B2147">
    <cfRule type="cellIs" dxfId="2198" priority="12787" operator="equal">
      <formula>0</formula>
    </cfRule>
  </conditionalFormatting>
  <conditionalFormatting sqref="D2148">
    <cfRule type="containsText" dxfId="2197" priority="12782" operator="containsText" text="Fri">
      <formula>NOT(ISERROR(SEARCH("Fri",D2148)))</formula>
    </cfRule>
    <cfRule type="containsText" dxfId="2196" priority="12783" operator="containsText" text="Thu">
      <formula>NOT(ISERROR(SEARCH("Thu",D2148)))</formula>
    </cfRule>
    <cfRule type="containsText" dxfId="2195" priority="12784" operator="containsText" text="Wed">
      <formula>NOT(ISERROR(SEARCH("Wed",D2148)))</formula>
    </cfRule>
    <cfRule type="containsText" dxfId="2194" priority="12785" operator="containsText" text="Tue">
      <formula>NOT(ISERROR(SEARCH("Tue",D2148)))</formula>
    </cfRule>
    <cfRule type="containsText" dxfId="2193" priority="12786" operator="containsText" text="Mon">
      <formula>NOT(ISERROR(SEARCH("Mon",D2148)))</formula>
    </cfRule>
  </conditionalFormatting>
  <conditionalFormatting sqref="A2148:B2148">
    <cfRule type="cellIs" dxfId="2192" priority="12781" operator="equal">
      <formula>0</formula>
    </cfRule>
  </conditionalFormatting>
  <conditionalFormatting sqref="D2149:D2153">
    <cfRule type="containsText" dxfId="2191" priority="12776" operator="containsText" text="Fri">
      <formula>NOT(ISERROR(SEARCH("Fri",D2149)))</formula>
    </cfRule>
    <cfRule type="containsText" dxfId="2190" priority="12777" operator="containsText" text="Thu">
      <formula>NOT(ISERROR(SEARCH("Thu",D2149)))</formula>
    </cfRule>
    <cfRule type="containsText" dxfId="2189" priority="12778" operator="containsText" text="Wed">
      <formula>NOT(ISERROR(SEARCH("Wed",D2149)))</formula>
    </cfRule>
    <cfRule type="containsText" dxfId="2188" priority="12779" operator="containsText" text="Tue">
      <formula>NOT(ISERROR(SEARCH("Tue",D2149)))</formula>
    </cfRule>
    <cfRule type="containsText" dxfId="2187" priority="12780" operator="containsText" text="Mon">
      <formula>NOT(ISERROR(SEARCH("Mon",D2149)))</formula>
    </cfRule>
  </conditionalFormatting>
  <conditionalFormatting sqref="A2149:B2153">
    <cfRule type="cellIs" dxfId="2186" priority="12775" operator="equal">
      <formula>0</formula>
    </cfRule>
  </conditionalFormatting>
  <conditionalFormatting sqref="D2154:D2160">
    <cfRule type="containsText" dxfId="2185" priority="12770" operator="containsText" text="Fri">
      <formula>NOT(ISERROR(SEARCH("Fri",D2154)))</formula>
    </cfRule>
    <cfRule type="containsText" dxfId="2184" priority="12771" operator="containsText" text="Thu">
      <formula>NOT(ISERROR(SEARCH("Thu",D2154)))</formula>
    </cfRule>
    <cfRule type="containsText" dxfId="2183" priority="12772" operator="containsText" text="Wed">
      <formula>NOT(ISERROR(SEARCH("Wed",D2154)))</formula>
    </cfRule>
    <cfRule type="containsText" dxfId="2182" priority="12773" operator="containsText" text="Tue">
      <formula>NOT(ISERROR(SEARCH("Tue",D2154)))</formula>
    </cfRule>
    <cfRule type="containsText" dxfId="2181" priority="12774" operator="containsText" text="Mon">
      <formula>NOT(ISERROR(SEARCH("Mon",D2154)))</formula>
    </cfRule>
  </conditionalFormatting>
  <conditionalFormatting sqref="A2154:B2160">
    <cfRule type="cellIs" dxfId="2180" priority="12769" operator="equal">
      <formula>0</formula>
    </cfRule>
  </conditionalFormatting>
  <conditionalFormatting sqref="D2161">
    <cfRule type="containsText" dxfId="2179" priority="12764" operator="containsText" text="Fri">
      <formula>NOT(ISERROR(SEARCH("Fri",D2161)))</formula>
    </cfRule>
    <cfRule type="containsText" dxfId="2178" priority="12765" operator="containsText" text="Thu">
      <formula>NOT(ISERROR(SEARCH("Thu",D2161)))</formula>
    </cfRule>
    <cfRule type="containsText" dxfId="2177" priority="12766" operator="containsText" text="Wed">
      <formula>NOT(ISERROR(SEARCH("Wed",D2161)))</formula>
    </cfRule>
    <cfRule type="containsText" dxfId="2176" priority="12767" operator="containsText" text="Tue">
      <formula>NOT(ISERROR(SEARCH("Tue",D2161)))</formula>
    </cfRule>
    <cfRule type="containsText" dxfId="2175" priority="12768" operator="containsText" text="Mon">
      <formula>NOT(ISERROR(SEARCH("Mon",D2161)))</formula>
    </cfRule>
  </conditionalFormatting>
  <conditionalFormatting sqref="A2161:B2161">
    <cfRule type="cellIs" dxfId="2174" priority="12763" operator="equal">
      <formula>0</formula>
    </cfRule>
  </conditionalFormatting>
  <conditionalFormatting sqref="D2164">
    <cfRule type="containsText" dxfId="2173" priority="12758" operator="containsText" text="Fri">
      <formula>NOT(ISERROR(SEARCH("Fri",D2164)))</formula>
    </cfRule>
    <cfRule type="containsText" dxfId="2172" priority="12759" operator="containsText" text="Thu">
      <formula>NOT(ISERROR(SEARCH("Thu",D2164)))</formula>
    </cfRule>
    <cfRule type="containsText" dxfId="2171" priority="12760" operator="containsText" text="Wed">
      <formula>NOT(ISERROR(SEARCH("Wed",D2164)))</formula>
    </cfRule>
    <cfRule type="containsText" dxfId="2170" priority="12761" operator="containsText" text="Tue">
      <formula>NOT(ISERROR(SEARCH("Tue",D2164)))</formula>
    </cfRule>
    <cfRule type="containsText" dxfId="2169" priority="12762" operator="containsText" text="Mon">
      <formula>NOT(ISERROR(SEARCH("Mon",D2164)))</formula>
    </cfRule>
  </conditionalFormatting>
  <conditionalFormatting sqref="A2164:B2164">
    <cfRule type="cellIs" dxfId="2168" priority="12757" operator="equal">
      <formula>0</formula>
    </cfRule>
  </conditionalFormatting>
  <conditionalFormatting sqref="D2165">
    <cfRule type="containsText" dxfId="2167" priority="12752" operator="containsText" text="Fri">
      <formula>NOT(ISERROR(SEARCH("Fri",D2165)))</formula>
    </cfRule>
    <cfRule type="containsText" dxfId="2166" priority="12753" operator="containsText" text="Thu">
      <formula>NOT(ISERROR(SEARCH("Thu",D2165)))</formula>
    </cfRule>
    <cfRule type="containsText" dxfId="2165" priority="12754" operator="containsText" text="Wed">
      <formula>NOT(ISERROR(SEARCH("Wed",D2165)))</formula>
    </cfRule>
    <cfRule type="containsText" dxfId="2164" priority="12755" operator="containsText" text="Tue">
      <formula>NOT(ISERROR(SEARCH("Tue",D2165)))</formula>
    </cfRule>
    <cfRule type="containsText" dxfId="2163" priority="12756" operator="containsText" text="Mon">
      <formula>NOT(ISERROR(SEARCH("Mon",D2165)))</formula>
    </cfRule>
  </conditionalFormatting>
  <conditionalFormatting sqref="A2165:B2165">
    <cfRule type="cellIs" dxfId="2162" priority="12751" operator="equal">
      <formula>0</formula>
    </cfRule>
  </conditionalFormatting>
  <conditionalFormatting sqref="D2166">
    <cfRule type="containsText" dxfId="2161" priority="12746" operator="containsText" text="Fri">
      <formula>NOT(ISERROR(SEARCH("Fri",D2166)))</formula>
    </cfRule>
    <cfRule type="containsText" dxfId="2160" priority="12747" operator="containsText" text="Thu">
      <formula>NOT(ISERROR(SEARCH("Thu",D2166)))</formula>
    </cfRule>
    <cfRule type="containsText" dxfId="2159" priority="12748" operator="containsText" text="Wed">
      <formula>NOT(ISERROR(SEARCH("Wed",D2166)))</formula>
    </cfRule>
    <cfRule type="containsText" dxfId="2158" priority="12749" operator="containsText" text="Tue">
      <formula>NOT(ISERROR(SEARCH("Tue",D2166)))</formula>
    </cfRule>
    <cfRule type="containsText" dxfId="2157" priority="12750" operator="containsText" text="Mon">
      <formula>NOT(ISERROR(SEARCH("Mon",D2166)))</formula>
    </cfRule>
  </conditionalFormatting>
  <conditionalFormatting sqref="A2166:B2166">
    <cfRule type="cellIs" dxfId="2156" priority="12745" operator="equal">
      <formula>0</formula>
    </cfRule>
  </conditionalFormatting>
  <conditionalFormatting sqref="D2167">
    <cfRule type="containsText" dxfId="2155" priority="12740" operator="containsText" text="Fri">
      <formula>NOT(ISERROR(SEARCH("Fri",D2167)))</formula>
    </cfRule>
    <cfRule type="containsText" dxfId="2154" priority="12741" operator="containsText" text="Thu">
      <formula>NOT(ISERROR(SEARCH("Thu",D2167)))</formula>
    </cfRule>
    <cfRule type="containsText" dxfId="2153" priority="12742" operator="containsText" text="Wed">
      <formula>NOT(ISERROR(SEARCH("Wed",D2167)))</formula>
    </cfRule>
    <cfRule type="containsText" dxfId="2152" priority="12743" operator="containsText" text="Tue">
      <formula>NOT(ISERROR(SEARCH("Tue",D2167)))</formula>
    </cfRule>
    <cfRule type="containsText" dxfId="2151" priority="12744" operator="containsText" text="Mon">
      <formula>NOT(ISERROR(SEARCH("Mon",D2167)))</formula>
    </cfRule>
  </conditionalFormatting>
  <conditionalFormatting sqref="A2167:B2167">
    <cfRule type="cellIs" dxfId="2150" priority="12739" operator="equal">
      <formula>0</formula>
    </cfRule>
  </conditionalFormatting>
  <conditionalFormatting sqref="D2168">
    <cfRule type="containsText" dxfId="2149" priority="12734" operator="containsText" text="Fri">
      <formula>NOT(ISERROR(SEARCH("Fri",D2168)))</formula>
    </cfRule>
    <cfRule type="containsText" dxfId="2148" priority="12735" operator="containsText" text="Thu">
      <formula>NOT(ISERROR(SEARCH("Thu",D2168)))</formula>
    </cfRule>
    <cfRule type="containsText" dxfId="2147" priority="12736" operator="containsText" text="Wed">
      <formula>NOT(ISERROR(SEARCH("Wed",D2168)))</formula>
    </cfRule>
    <cfRule type="containsText" dxfId="2146" priority="12737" operator="containsText" text="Tue">
      <formula>NOT(ISERROR(SEARCH("Tue",D2168)))</formula>
    </cfRule>
    <cfRule type="containsText" dxfId="2145" priority="12738" operator="containsText" text="Mon">
      <formula>NOT(ISERROR(SEARCH("Mon",D2168)))</formula>
    </cfRule>
  </conditionalFormatting>
  <conditionalFormatting sqref="A2168:B2169">
    <cfRule type="cellIs" dxfId="2144" priority="12733" operator="equal">
      <formula>0</formula>
    </cfRule>
  </conditionalFormatting>
  <conditionalFormatting sqref="D2169">
    <cfRule type="containsText" dxfId="2143" priority="12728" operator="containsText" text="Fri">
      <formula>NOT(ISERROR(SEARCH("Fri",D2169)))</formula>
    </cfRule>
    <cfRule type="containsText" dxfId="2142" priority="12729" operator="containsText" text="Thu">
      <formula>NOT(ISERROR(SEARCH("Thu",D2169)))</formula>
    </cfRule>
    <cfRule type="containsText" dxfId="2141" priority="12730" operator="containsText" text="Wed">
      <formula>NOT(ISERROR(SEARCH("Wed",D2169)))</formula>
    </cfRule>
    <cfRule type="containsText" dxfId="2140" priority="12731" operator="containsText" text="Tue">
      <formula>NOT(ISERROR(SEARCH("Tue",D2169)))</formula>
    </cfRule>
    <cfRule type="containsText" dxfId="2139" priority="12732" operator="containsText" text="Mon">
      <formula>NOT(ISERROR(SEARCH("Mon",D2169)))</formula>
    </cfRule>
  </conditionalFormatting>
  <conditionalFormatting sqref="D2170">
    <cfRule type="containsText" dxfId="2138" priority="12723" operator="containsText" text="Fri">
      <formula>NOT(ISERROR(SEARCH("Fri",D2170)))</formula>
    </cfRule>
    <cfRule type="containsText" dxfId="2137" priority="12724" operator="containsText" text="Thu">
      <formula>NOT(ISERROR(SEARCH("Thu",D2170)))</formula>
    </cfRule>
    <cfRule type="containsText" dxfId="2136" priority="12725" operator="containsText" text="Wed">
      <formula>NOT(ISERROR(SEARCH("Wed",D2170)))</formula>
    </cfRule>
    <cfRule type="containsText" dxfId="2135" priority="12726" operator="containsText" text="Tue">
      <formula>NOT(ISERROR(SEARCH("Tue",D2170)))</formula>
    </cfRule>
    <cfRule type="containsText" dxfId="2134" priority="12727" operator="containsText" text="Mon">
      <formula>NOT(ISERROR(SEARCH("Mon",D2170)))</formula>
    </cfRule>
  </conditionalFormatting>
  <conditionalFormatting sqref="A2170:B2170">
    <cfRule type="cellIs" dxfId="2133" priority="12722" operator="equal">
      <formula>0</formula>
    </cfRule>
  </conditionalFormatting>
  <conditionalFormatting sqref="D2171">
    <cfRule type="containsText" dxfId="2132" priority="12717" operator="containsText" text="Fri">
      <formula>NOT(ISERROR(SEARCH("Fri",D2171)))</formula>
    </cfRule>
    <cfRule type="containsText" dxfId="2131" priority="12718" operator="containsText" text="Thu">
      <formula>NOT(ISERROR(SEARCH("Thu",D2171)))</formula>
    </cfRule>
    <cfRule type="containsText" dxfId="2130" priority="12719" operator="containsText" text="Wed">
      <formula>NOT(ISERROR(SEARCH("Wed",D2171)))</formula>
    </cfRule>
    <cfRule type="containsText" dxfId="2129" priority="12720" operator="containsText" text="Tue">
      <formula>NOT(ISERROR(SEARCH("Tue",D2171)))</formula>
    </cfRule>
    <cfRule type="containsText" dxfId="2128" priority="12721" operator="containsText" text="Mon">
      <formula>NOT(ISERROR(SEARCH("Mon",D2171)))</formula>
    </cfRule>
  </conditionalFormatting>
  <conditionalFormatting sqref="A2171:B2172">
    <cfRule type="cellIs" dxfId="2127" priority="12716" operator="equal">
      <formula>0</formula>
    </cfRule>
  </conditionalFormatting>
  <conditionalFormatting sqref="D2172">
    <cfRule type="containsText" dxfId="2126" priority="12711" operator="containsText" text="Fri">
      <formula>NOT(ISERROR(SEARCH("Fri",D2172)))</formula>
    </cfRule>
    <cfRule type="containsText" dxfId="2125" priority="12712" operator="containsText" text="Thu">
      <formula>NOT(ISERROR(SEARCH("Thu",D2172)))</formula>
    </cfRule>
    <cfRule type="containsText" dxfId="2124" priority="12713" operator="containsText" text="Wed">
      <formula>NOT(ISERROR(SEARCH("Wed",D2172)))</formula>
    </cfRule>
    <cfRule type="containsText" dxfId="2123" priority="12714" operator="containsText" text="Tue">
      <formula>NOT(ISERROR(SEARCH("Tue",D2172)))</formula>
    </cfRule>
    <cfRule type="containsText" dxfId="2122" priority="12715" operator="containsText" text="Mon">
      <formula>NOT(ISERROR(SEARCH("Mon",D2172)))</formula>
    </cfRule>
  </conditionalFormatting>
  <conditionalFormatting sqref="D2173">
    <cfRule type="containsText" dxfId="2121" priority="12706" operator="containsText" text="Fri">
      <formula>NOT(ISERROR(SEARCH("Fri",D2173)))</formula>
    </cfRule>
    <cfRule type="containsText" dxfId="2120" priority="12707" operator="containsText" text="Thu">
      <formula>NOT(ISERROR(SEARCH("Thu",D2173)))</formula>
    </cfRule>
    <cfRule type="containsText" dxfId="2119" priority="12708" operator="containsText" text="Wed">
      <formula>NOT(ISERROR(SEARCH("Wed",D2173)))</formula>
    </cfRule>
    <cfRule type="containsText" dxfId="2118" priority="12709" operator="containsText" text="Tue">
      <formula>NOT(ISERROR(SEARCH("Tue",D2173)))</formula>
    </cfRule>
    <cfRule type="containsText" dxfId="2117" priority="12710" operator="containsText" text="Mon">
      <formula>NOT(ISERROR(SEARCH("Mon",D2173)))</formula>
    </cfRule>
  </conditionalFormatting>
  <conditionalFormatting sqref="A2173:B2174">
    <cfRule type="cellIs" dxfId="2116" priority="12705" operator="equal">
      <formula>0</formula>
    </cfRule>
  </conditionalFormatting>
  <conditionalFormatting sqref="D2174">
    <cfRule type="containsText" dxfId="2115" priority="12700" operator="containsText" text="Fri">
      <formula>NOT(ISERROR(SEARCH("Fri",D2174)))</formula>
    </cfRule>
    <cfRule type="containsText" dxfId="2114" priority="12701" operator="containsText" text="Thu">
      <formula>NOT(ISERROR(SEARCH("Thu",D2174)))</formula>
    </cfRule>
    <cfRule type="containsText" dxfId="2113" priority="12702" operator="containsText" text="Wed">
      <formula>NOT(ISERROR(SEARCH("Wed",D2174)))</formula>
    </cfRule>
    <cfRule type="containsText" dxfId="2112" priority="12703" operator="containsText" text="Tue">
      <formula>NOT(ISERROR(SEARCH("Tue",D2174)))</formula>
    </cfRule>
    <cfRule type="containsText" dxfId="2111" priority="12704" operator="containsText" text="Mon">
      <formula>NOT(ISERROR(SEARCH("Mon",D2174)))</formula>
    </cfRule>
  </conditionalFormatting>
  <conditionalFormatting sqref="D2175">
    <cfRule type="containsText" dxfId="2110" priority="12695" operator="containsText" text="Fri">
      <formula>NOT(ISERROR(SEARCH("Fri",D2175)))</formula>
    </cfRule>
    <cfRule type="containsText" dxfId="2109" priority="12696" operator="containsText" text="Thu">
      <formula>NOT(ISERROR(SEARCH("Thu",D2175)))</formula>
    </cfRule>
    <cfRule type="containsText" dxfId="2108" priority="12697" operator="containsText" text="Wed">
      <formula>NOT(ISERROR(SEARCH("Wed",D2175)))</formula>
    </cfRule>
    <cfRule type="containsText" dxfId="2107" priority="12698" operator="containsText" text="Tue">
      <formula>NOT(ISERROR(SEARCH("Tue",D2175)))</formula>
    </cfRule>
    <cfRule type="containsText" dxfId="2106" priority="12699" operator="containsText" text="Mon">
      <formula>NOT(ISERROR(SEARCH("Mon",D2175)))</formula>
    </cfRule>
  </conditionalFormatting>
  <conditionalFormatting sqref="A2175:B2176">
    <cfRule type="cellIs" dxfId="2105" priority="12694" operator="equal">
      <formula>0</formula>
    </cfRule>
  </conditionalFormatting>
  <conditionalFormatting sqref="D2176">
    <cfRule type="containsText" dxfId="2104" priority="12689" operator="containsText" text="Fri">
      <formula>NOT(ISERROR(SEARCH("Fri",D2176)))</formula>
    </cfRule>
    <cfRule type="containsText" dxfId="2103" priority="12690" operator="containsText" text="Thu">
      <formula>NOT(ISERROR(SEARCH("Thu",D2176)))</formula>
    </cfRule>
    <cfRule type="containsText" dxfId="2102" priority="12691" operator="containsText" text="Wed">
      <formula>NOT(ISERROR(SEARCH("Wed",D2176)))</formula>
    </cfRule>
    <cfRule type="containsText" dxfId="2101" priority="12692" operator="containsText" text="Tue">
      <formula>NOT(ISERROR(SEARCH("Tue",D2176)))</formula>
    </cfRule>
    <cfRule type="containsText" dxfId="2100" priority="12693" operator="containsText" text="Mon">
      <formula>NOT(ISERROR(SEARCH("Mon",D2176)))</formula>
    </cfRule>
  </conditionalFormatting>
  <conditionalFormatting sqref="D2177">
    <cfRule type="containsText" dxfId="2099" priority="12684" operator="containsText" text="Fri">
      <formula>NOT(ISERROR(SEARCH("Fri",D2177)))</formula>
    </cfRule>
    <cfRule type="containsText" dxfId="2098" priority="12685" operator="containsText" text="Thu">
      <formula>NOT(ISERROR(SEARCH("Thu",D2177)))</formula>
    </cfRule>
    <cfRule type="containsText" dxfId="2097" priority="12686" operator="containsText" text="Wed">
      <formula>NOT(ISERROR(SEARCH("Wed",D2177)))</formula>
    </cfRule>
    <cfRule type="containsText" dxfId="2096" priority="12687" operator="containsText" text="Tue">
      <formula>NOT(ISERROR(SEARCH("Tue",D2177)))</formula>
    </cfRule>
    <cfRule type="containsText" dxfId="2095" priority="12688" operator="containsText" text="Mon">
      <formula>NOT(ISERROR(SEARCH("Mon",D2177)))</formula>
    </cfRule>
  </conditionalFormatting>
  <conditionalFormatting sqref="A2177:B2178">
    <cfRule type="cellIs" dxfId="2094" priority="12683" operator="equal">
      <formula>0</formula>
    </cfRule>
  </conditionalFormatting>
  <conditionalFormatting sqref="D2178">
    <cfRule type="containsText" dxfId="2093" priority="12678" operator="containsText" text="Fri">
      <formula>NOT(ISERROR(SEARCH("Fri",D2178)))</formula>
    </cfRule>
    <cfRule type="containsText" dxfId="2092" priority="12679" operator="containsText" text="Thu">
      <formula>NOT(ISERROR(SEARCH("Thu",D2178)))</formula>
    </cfRule>
    <cfRule type="containsText" dxfId="2091" priority="12680" operator="containsText" text="Wed">
      <formula>NOT(ISERROR(SEARCH("Wed",D2178)))</formula>
    </cfRule>
    <cfRule type="containsText" dxfId="2090" priority="12681" operator="containsText" text="Tue">
      <formula>NOT(ISERROR(SEARCH("Tue",D2178)))</formula>
    </cfRule>
    <cfRule type="containsText" dxfId="2089" priority="12682" operator="containsText" text="Mon">
      <formula>NOT(ISERROR(SEARCH("Mon",D2178)))</formula>
    </cfRule>
  </conditionalFormatting>
  <conditionalFormatting sqref="E2162:K2163">
    <cfRule type="cellIs" dxfId="2088" priority="12421" operator="equal">
      <formula>0</formula>
    </cfRule>
  </conditionalFormatting>
  <conditionalFormatting sqref="D2162">
    <cfRule type="containsText" dxfId="2087" priority="12416" operator="containsText" text="Fri">
      <formula>NOT(ISERROR(SEARCH("Fri",D2162)))</formula>
    </cfRule>
    <cfRule type="containsText" dxfId="2086" priority="12417" operator="containsText" text="Thu">
      <formula>NOT(ISERROR(SEARCH("Thu",D2162)))</formula>
    </cfRule>
    <cfRule type="containsText" dxfId="2085" priority="12418" operator="containsText" text="Wed">
      <formula>NOT(ISERROR(SEARCH("Wed",D2162)))</formula>
    </cfRule>
    <cfRule type="containsText" dxfId="2084" priority="12419" operator="containsText" text="Tue">
      <formula>NOT(ISERROR(SEARCH("Tue",D2162)))</formula>
    </cfRule>
    <cfRule type="containsText" dxfId="2083" priority="12420" operator="containsText" text="Mon">
      <formula>NOT(ISERROR(SEARCH("Mon",D2162)))</formula>
    </cfRule>
  </conditionalFormatting>
  <conditionalFormatting sqref="A2162:B2162">
    <cfRule type="cellIs" dxfId="2082" priority="12415" operator="equal">
      <formula>0</formula>
    </cfRule>
  </conditionalFormatting>
  <conditionalFormatting sqref="D2163">
    <cfRule type="containsText" dxfId="2081" priority="12410" operator="containsText" text="Fri">
      <formula>NOT(ISERROR(SEARCH("Fri",D2163)))</formula>
    </cfRule>
    <cfRule type="containsText" dxfId="2080" priority="12411" operator="containsText" text="Thu">
      <formula>NOT(ISERROR(SEARCH("Thu",D2163)))</formula>
    </cfRule>
    <cfRule type="containsText" dxfId="2079" priority="12412" operator="containsText" text="Wed">
      <formula>NOT(ISERROR(SEARCH("Wed",D2163)))</formula>
    </cfRule>
    <cfRule type="containsText" dxfId="2078" priority="12413" operator="containsText" text="Tue">
      <formula>NOT(ISERROR(SEARCH("Tue",D2163)))</formula>
    </cfRule>
    <cfRule type="containsText" dxfId="2077" priority="12414" operator="containsText" text="Mon">
      <formula>NOT(ISERROR(SEARCH("Mon",D2163)))</formula>
    </cfRule>
  </conditionalFormatting>
  <conditionalFormatting sqref="A2163:B2163">
    <cfRule type="cellIs" dxfId="2076" priority="12409" operator="equal">
      <formula>0</formula>
    </cfRule>
  </conditionalFormatting>
  <conditionalFormatting sqref="D2179:D2181">
    <cfRule type="containsText" dxfId="2075" priority="11975" operator="containsText" text="Fri">
      <formula>NOT(ISERROR(SEARCH("Fri",D2179)))</formula>
    </cfRule>
    <cfRule type="containsText" dxfId="2074" priority="11976" operator="containsText" text="Thu">
      <formula>NOT(ISERROR(SEARCH("Thu",D2179)))</formula>
    </cfRule>
    <cfRule type="containsText" dxfId="2073" priority="11977" operator="containsText" text="Wed">
      <formula>NOT(ISERROR(SEARCH("Wed",D2179)))</formula>
    </cfRule>
    <cfRule type="containsText" dxfId="2072" priority="11978" operator="containsText" text="Tue">
      <formula>NOT(ISERROR(SEARCH("Tue",D2179)))</formula>
    </cfRule>
    <cfRule type="containsText" dxfId="2071" priority="11979" operator="containsText" text="Mon">
      <formula>NOT(ISERROR(SEARCH("Mon",D2179)))</formula>
    </cfRule>
  </conditionalFormatting>
  <conditionalFormatting sqref="E2179:K2210">
    <cfRule type="cellIs" dxfId="2070" priority="11974" operator="equal">
      <formula>0</formula>
    </cfRule>
  </conditionalFormatting>
  <conditionalFormatting sqref="A2179:B2180">
    <cfRule type="cellIs" dxfId="2069" priority="11973" operator="equal">
      <formula>0</formula>
    </cfRule>
  </conditionalFormatting>
  <conditionalFormatting sqref="A2181:B2182">
    <cfRule type="cellIs" dxfId="2068" priority="11972" operator="equal">
      <formula>0</formula>
    </cfRule>
  </conditionalFormatting>
  <conditionalFormatting sqref="D2182">
    <cfRule type="containsText" dxfId="2067" priority="11967" operator="containsText" text="Fri">
      <formula>NOT(ISERROR(SEARCH("Fri",D2182)))</formula>
    </cfRule>
    <cfRule type="containsText" dxfId="2066" priority="11968" operator="containsText" text="Thu">
      <formula>NOT(ISERROR(SEARCH("Thu",D2182)))</formula>
    </cfRule>
    <cfRule type="containsText" dxfId="2065" priority="11969" operator="containsText" text="Wed">
      <formula>NOT(ISERROR(SEARCH("Wed",D2182)))</formula>
    </cfRule>
    <cfRule type="containsText" dxfId="2064" priority="11970" operator="containsText" text="Tue">
      <formula>NOT(ISERROR(SEARCH("Tue",D2182)))</formula>
    </cfRule>
    <cfRule type="containsText" dxfId="2063" priority="11971" operator="containsText" text="Mon">
      <formula>NOT(ISERROR(SEARCH("Mon",D2182)))</formula>
    </cfRule>
  </conditionalFormatting>
  <conditionalFormatting sqref="D2183">
    <cfRule type="containsText" dxfId="2062" priority="11962" operator="containsText" text="Fri">
      <formula>NOT(ISERROR(SEARCH("Fri",D2183)))</formula>
    </cfRule>
    <cfRule type="containsText" dxfId="2061" priority="11963" operator="containsText" text="Thu">
      <formula>NOT(ISERROR(SEARCH("Thu",D2183)))</formula>
    </cfRule>
    <cfRule type="containsText" dxfId="2060" priority="11964" operator="containsText" text="Wed">
      <formula>NOT(ISERROR(SEARCH("Wed",D2183)))</formula>
    </cfRule>
    <cfRule type="containsText" dxfId="2059" priority="11965" operator="containsText" text="Tue">
      <formula>NOT(ISERROR(SEARCH("Tue",D2183)))</formula>
    </cfRule>
    <cfRule type="containsText" dxfId="2058" priority="11966" operator="containsText" text="Mon">
      <formula>NOT(ISERROR(SEARCH("Mon",D2183)))</formula>
    </cfRule>
  </conditionalFormatting>
  <conditionalFormatting sqref="A2183:B2184">
    <cfRule type="cellIs" dxfId="2057" priority="11961" operator="equal">
      <formula>0</formula>
    </cfRule>
  </conditionalFormatting>
  <conditionalFormatting sqref="D2184">
    <cfRule type="containsText" dxfId="2056" priority="11956" operator="containsText" text="Fri">
      <formula>NOT(ISERROR(SEARCH("Fri",D2184)))</formula>
    </cfRule>
    <cfRule type="containsText" dxfId="2055" priority="11957" operator="containsText" text="Thu">
      <formula>NOT(ISERROR(SEARCH("Thu",D2184)))</formula>
    </cfRule>
    <cfRule type="containsText" dxfId="2054" priority="11958" operator="containsText" text="Wed">
      <formula>NOT(ISERROR(SEARCH("Wed",D2184)))</formula>
    </cfRule>
    <cfRule type="containsText" dxfId="2053" priority="11959" operator="containsText" text="Tue">
      <formula>NOT(ISERROR(SEARCH("Tue",D2184)))</formula>
    </cfRule>
    <cfRule type="containsText" dxfId="2052" priority="11960" operator="containsText" text="Mon">
      <formula>NOT(ISERROR(SEARCH("Mon",D2184)))</formula>
    </cfRule>
  </conditionalFormatting>
  <conditionalFormatting sqref="D2185">
    <cfRule type="containsText" dxfId="2051" priority="11951" operator="containsText" text="Fri">
      <formula>NOT(ISERROR(SEARCH("Fri",D2185)))</formula>
    </cfRule>
    <cfRule type="containsText" dxfId="2050" priority="11952" operator="containsText" text="Thu">
      <formula>NOT(ISERROR(SEARCH("Thu",D2185)))</formula>
    </cfRule>
    <cfRule type="containsText" dxfId="2049" priority="11953" operator="containsText" text="Wed">
      <formula>NOT(ISERROR(SEARCH("Wed",D2185)))</formula>
    </cfRule>
    <cfRule type="containsText" dxfId="2048" priority="11954" operator="containsText" text="Tue">
      <formula>NOT(ISERROR(SEARCH("Tue",D2185)))</formula>
    </cfRule>
    <cfRule type="containsText" dxfId="2047" priority="11955" operator="containsText" text="Mon">
      <formula>NOT(ISERROR(SEARCH("Mon",D2185)))</formula>
    </cfRule>
  </conditionalFormatting>
  <conditionalFormatting sqref="A2185:B2186">
    <cfRule type="cellIs" dxfId="2046" priority="11950" operator="equal">
      <formula>0</formula>
    </cfRule>
  </conditionalFormatting>
  <conditionalFormatting sqref="D2186">
    <cfRule type="containsText" dxfId="2045" priority="11945" operator="containsText" text="Fri">
      <formula>NOT(ISERROR(SEARCH("Fri",D2186)))</formula>
    </cfRule>
    <cfRule type="containsText" dxfId="2044" priority="11946" operator="containsText" text="Thu">
      <formula>NOT(ISERROR(SEARCH("Thu",D2186)))</formula>
    </cfRule>
    <cfRule type="containsText" dxfId="2043" priority="11947" operator="containsText" text="Wed">
      <formula>NOT(ISERROR(SEARCH("Wed",D2186)))</formula>
    </cfRule>
    <cfRule type="containsText" dxfId="2042" priority="11948" operator="containsText" text="Tue">
      <formula>NOT(ISERROR(SEARCH("Tue",D2186)))</formula>
    </cfRule>
    <cfRule type="containsText" dxfId="2041" priority="11949" operator="containsText" text="Mon">
      <formula>NOT(ISERROR(SEARCH("Mon",D2186)))</formula>
    </cfRule>
  </conditionalFormatting>
  <conditionalFormatting sqref="D2187">
    <cfRule type="containsText" dxfId="2040" priority="11940" operator="containsText" text="Fri">
      <formula>NOT(ISERROR(SEARCH("Fri",D2187)))</formula>
    </cfRule>
    <cfRule type="containsText" dxfId="2039" priority="11941" operator="containsText" text="Thu">
      <formula>NOT(ISERROR(SEARCH("Thu",D2187)))</formula>
    </cfRule>
    <cfRule type="containsText" dxfId="2038" priority="11942" operator="containsText" text="Wed">
      <formula>NOT(ISERROR(SEARCH("Wed",D2187)))</formula>
    </cfRule>
    <cfRule type="containsText" dxfId="2037" priority="11943" operator="containsText" text="Tue">
      <formula>NOT(ISERROR(SEARCH("Tue",D2187)))</formula>
    </cfRule>
    <cfRule type="containsText" dxfId="2036" priority="11944" operator="containsText" text="Mon">
      <formula>NOT(ISERROR(SEARCH("Mon",D2187)))</formula>
    </cfRule>
  </conditionalFormatting>
  <conditionalFormatting sqref="A2187:B2188">
    <cfRule type="cellIs" dxfId="2035" priority="11939" operator="equal">
      <formula>0</formula>
    </cfRule>
  </conditionalFormatting>
  <conditionalFormatting sqref="D2188:D2189">
    <cfRule type="containsText" dxfId="2034" priority="11934" operator="containsText" text="Fri">
      <formula>NOT(ISERROR(SEARCH("Fri",D2188)))</formula>
    </cfRule>
    <cfRule type="containsText" dxfId="2033" priority="11935" operator="containsText" text="Thu">
      <formula>NOT(ISERROR(SEARCH("Thu",D2188)))</formula>
    </cfRule>
    <cfRule type="containsText" dxfId="2032" priority="11936" operator="containsText" text="Wed">
      <formula>NOT(ISERROR(SEARCH("Wed",D2188)))</formula>
    </cfRule>
    <cfRule type="containsText" dxfId="2031" priority="11937" operator="containsText" text="Tue">
      <formula>NOT(ISERROR(SEARCH("Tue",D2188)))</formula>
    </cfRule>
    <cfRule type="containsText" dxfId="2030" priority="11938" operator="containsText" text="Mon">
      <formula>NOT(ISERROR(SEARCH("Mon",D2188)))</formula>
    </cfRule>
  </conditionalFormatting>
  <conditionalFormatting sqref="A2189:B2190">
    <cfRule type="cellIs" dxfId="2029" priority="11933" operator="equal">
      <formula>0</formula>
    </cfRule>
  </conditionalFormatting>
  <conditionalFormatting sqref="D2190">
    <cfRule type="containsText" dxfId="2028" priority="11928" operator="containsText" text="Fri">
      <formula>NOT(ISERROR(SEARCH("Fri",D2190)))</formula>
    </cfRule>
    <cfRule type="containsText" dxfId="2027" priority="11929" operator="containsText" text="Thu">
      <formula>NOT(ISERROR(SEARCH("Thu",D2190)))</formula>
    </cfRule>
    <cfRule type="containsText" dxfId="2026" priority="11930" operator="containsText" text="Wed">
      <formula>NOT(ISERROR(SEARCH("Wed",D2190)))</formula>
    </cfRule>
    <cfRule type="containsText" dxfId="2025" priority="11931" operator="containsText" text="Tue">
      <formula>NOT(ISERROR(SEARCH("Tue",D2190)))</formula>
    </cfRule>
    <cfRule type="containsText" dxfId="2024" priority="11932" operator="containsText" text="Mon">
      <formula>NOT(ISERROR(SEARCH("Mon",D2190)))</formula>
    </cfRule>
  </conditionalFormatting>
  <conditionalFormatting sqref="D2191">
    <cfRule type="containsText" dxfId="2023" priority="11923" operator="containsText" text="Fri">
      <formula>NOT(ISERROR(SEARCH("Fri",D2191)))</formula>
    </cfRule>
    <cfRule type="containsText" dxfId="2022" priority="11924" operator="containsText" text="Thu">
      <formula>NOT(ISERROR(SEARCH("Thu",D2191)))</formula>
    </cfRule>
    <cfRule type="containsText" dxfId="2021" priority="11925" operator="containsText" text="Wed">
      <formula>NOT(ISERROR(SEARCH("Wed",D2191)))</formula>
    </cfRule>
    <cfRule type="containsText" dxfId="2020" priority="11926" operator="containsText" text="Tue">
      <formula>NOT(ISERROR(SEARCH("Tue",D2191)))</formula>
    </cfRule>
    <cfRule type="containsText" dxfId="2019" priority="11927" operator="containsText" text="Mon">
      <formula>NOT(ISERROR(SEARCH("Mon",D2191)))</formula>
    </cfRule>
  </conditionalFormatting>
  <conditionalFormatting sqref="A2191:B2191">
    <cfRule type="cellIs" dxfId="2018" priority="11922" operator="equal">
      <formula>0</formula>
    </cfRule>
  </conditionalFormatting>
  <conditionalFormatting sqref="D2192">
    <cfRule type="containsText" dxfId="2017" priority="11917" operator="containsText" text="Fri">
      <formula>NOT(ISERROR(SEARCH("Fri",D2192)))</formula>
    </cfRule>
    <cfRule type="containsText" dxfId="2016" priority="11918" operator="containsText" text="Thu">
      <formula>NOT(ISERROR(SEARCH("Thu",D2192)))</formula>
    </cfRule>
    <cfRule type="containsText" dxfId="2015" priority="11919" operator="containsText" text="Wed">
      <formula>NOT(ISERROR(SEARCH("Wed",D2192)))</formula>
    </cfRule>
    <cfRule type="containsText" dxfId="2014" priority="11920" operator="containsText" text="Tue">
      <formula>NOT(ISERROR(SEARCH("Tue",D2192)))</formula>
    </cfRule>
    <cfRule type="containsText" dxfId="2013" priority="11921" operator="containsText" text="Mon">
      <formula>NOT(ISERROR(SEARCH("Mon",D2192)))</formula>
    </cfRule>
  </conditionalFormatting>
  <conditionalFormatting sqref="A2192:B2192">
    <cfRule type="cellIs" dxfId="2012" priority="11916" operator="equal">
      <formula>0</formula>
    </cfRule>
  </conditionalFormatting>
  <conditionalFormatting sqref="D2193">
    <cfRule type="containsText" dxfId="2011" priority="11911" operator="containsText" text="Fri">
      <formula>NOT(ISERROR(SEARCH("Fri",D2193)))</formula>
    </cfRule>
    <cfRule type="containsText" dxfId="2010" priority="11912" operator="containsText" text="Thu">
      <formula>NOT(ISERROR(SEARCH("Thu",D2193)))</formula>
    </cfRule>
    <cfRule type="containsText" dxfId="2009" priority="11913" operator="containsText" text="Wed">
      <formula>NOT(ISERROR(SEARCH("Wed",D2193)))</formula>
    </cfRule>
    <cfRule type="containsText" dxfId="2008" priority="11914" operator="containsText" text="Tue">
      <formula>NOT(ISERROR(SEARCH("Tue",D2193)))</formula>
    </cfRule>
    <cfRule type="containsText" dxfId="2007" priority="11915" operator="containsText" text="Mon">
      <formula>NOT(ISERROR(SEARCH("Mon",D2193)))</formula>
    </cfRule>
  </conditionalFormatting>
  <conditionalFormatting sqref="A2193:B2193">
    <cfRule type="cellIs" dxfId="2006" priority="11910" operator="equal">
      <formula>0</formula>
    </cfRule>
  </conditionalFormatting>
  <conditionalFormatting sqref="D2194">
    <cfRule type="containsText" dxfId="2005" priority="11905" operator="containsText" text="Fri">
      <formula>NOT(ISERROR(SEARCH("Fri",D2194)))</formula>
    </cfRule>
    <cfRule type="containsText" dxfId="2004" priority="11906" operator="containsText" text="Thu">
      <formula>NOT(ISERROR(SEARCH("Thu",D2194)))</formula>
    </cfRule>
    <cfRule type="containsText" dxfId="2003" priority="11907" operator="containsText" text="Wed">
      <formula>NOT(ISERROR(SEARCH("Wed",D2194)))</formula>
    </cfRule>
    <cfRule type="containsText" dxfId="2002" priority="11908" operator="containsText" text="Tue">
      <formula>NOT(ISERROR(SEARCH("Tue",D2194)))</formula>
    </cfRule>
    <cfRule type="containsText" dxfId="2001" priority="11909" operator="containsText" text="Mon">
      <formula>NOT(ISERROR(SEARCH("Mon",D2194)))</formula>
    </cfRule>
  </conditionalFormatting>
  <conditionalFormatting sqref="A2194:B2194">
    <cfRule type="cellIs" dxfId="2000" priority="11904" operator="equal">
      <formula>0</formula>
    </cfRule>
  </conditionalFormatting>
  <conditionalFormatting sqref="D2195">
    <cfRule type="containsText" dxfId="1999" priority="11899" operator="containsText" text="Fri">
      <formula>NOT(ISERROR(SEARCH("Fri",D2195)))</formula>
    </cfRule>
    <cfRule type="containsText" dxfId="1998" priority="11900" operator="containsText" text="Thu">
      <formula>NOT(ISERROR(SEARCH("Thu",D2195)))</formula>
    </cfRule>
    <cfRule type="containsText" dxfId="1997" priority="11901" operator="containsText" text="Wed">
      <formula>NOT(ISERROR(SEARCH("Wed",D2195)))</formula>
    </cfRule>
    <cfRule type="containsText" dxfId="1996" priority="11902" operator="containsText" text="Tue">
      <formula>NOT(ISERROR(SEARCH("Tue",D2195)))</formula>
    </cfRule>
    <cfRule type="containsText" dxfId="1995" priority="11903" operator="containsText" text="Mon">
      <formula>NOT(ISERROR(SEARCH("Mon",D2195)))</formula>
    </cfRule>
  </conditionalFormatting>
  <conditionalFormatting sqref="A2195:B2195">
    <cfRule type="cellIs" dxfId="1994" priority="11898" operator="equal">
      <formula>0</formula>
    </cfRule>
  </conditionalFormatting>
  <conditionalFormatting sqref="D2196">
    <cfRule type="containsText" dxfId="1993" priority="11893" operator="containsText" text="Fri">
      <formula>NOT(ISERROR(SEARCH("Fri",D2196)))</formula>
    </cfRule>
    <cfRule type="containsText" dxfId="1992" priority="11894" operator="containsText" text="Thu">
      <formula>NOT(ISERROR(SEARCH("Thu",D2196)))</formula>
    </cfRule>
    <cfRule type="containsText" dxfId="1991" priority="11895" operator="containsText" text="Wed">
      <formula>NOT(ISERROR(SEARCH("Wed",D2196)))</formula>
    </cfRule>
    <cfRule type="containsText" dxfId="1990" priority="11896" operator="containsText" text="Tue">
      <formula>NOT(ISERROR(SEARCH("Tue",D2196)))</formula>
    </cfRule>
    <cfRule type="containsText" dxfId="1989" priority="11897" operator="containsText" text="Mon">
      <formula>NOT(ISERROR(SEARCH("Mon",D2196)))</formula>
    </cfRule>
  </conditionalFormatting>
  <conditionalFormatting sqref="A2196:B2196">
    <cfRule type="cellIs" dxfId="1988" priority="11892" operator="equal">
      <formula>0</formula>
    </cfRule>
  </conditionalFormatting>
  <conditionalFormatting sqref="D2197">
    <cfRule type="containsText" dxfId="1987" priority="11887" operator="containsText" text="Fri">
      <formula>NOT(ISERROR(SEARCH("Fri",D2197)))</formula>
    </cfRule>
    <cfRule type="containsText" dxfId="1986" priority="11888" operator="containsText" text="Thu">
      <formula>NOT(ISERROR(SEARCH("Thu",D2197)))</formula>
    </cfRule>
    <cfRule type="containsText" dxfId="1985" priority="11889" operator="containsText" text="Wed">
      <formula>NOT(ISERROR(SEARCH("Wed",D2197)))</formula>
    </cfRule>
    <cfRule type="containsText" dxfId="1984" priority="11890" operator="containsText" text="Tue">
      <formula>NOT(ISERROR(SEARCH("Tue",D2197)))</formula>
    </cfRule>
    <cfRule type="containsText" dxfId="1983" priority="11891" operator="containsText" text="Mon">
      <formula>NOT(ISERROR(SEARCH("Mon",D2197)))</formula>
    </cfRule>
  </conditionalFormatting>
  <conditionalFormatting sqref="A2197:B2197">
    <cfRule type="cellIs" dxfId="1982" priority="11886" operator="equal">
      <formula>0</formula>
    </cfRule>
  </conditionalFormatting>
  <conditionalFormatting sqref="D2198">
    <cfRule type="containsText" dxfId="1981" priority="11881" operator="containsText" text="Fri">
      <formula>NOT(ISERROR(SEARCH("Fri",D2198)))</formula>
    </cfRule>
    <cfRule type="containsText" dxfId="1980" priority="11882" operator="containsText" text="Thu">
      <formula>NOT(ISERROR(SEARCH("Thu",D2198)))</formula>
    </cfRule>
    <cfRule type="containsText" dxfId="1979" priority="11883" operator="containsText" text="Wed">
      <formula>NOT(ISERROR(SEARCH("Wed",D2198)))</formula>
    </cfRule>
    <cfRule type="containsText" dxfId="1978" priority="11884" operator="containsText" text="Tue">
      <formula>NOT(ISERROR(SEARCH("Tue",D2198)))</formula>
    </cfRule>
    <cfRule type="containsText" dxfId="1977" priority="11885" operator="containsText" text="Mon">
      <formula>NOT(ISERROR(SEARCH("Mon",D2198)))</formula>
    </cfRule>
  </conditionalFormatting>
  <conditionalFormatting sqref="A2198:B2198">
    <cfRule type="cellIs" dxfId="1976" priority="11880" operator="equal">
      <formula>0</formula>
    </cfRule>
  </conditionalFormatting>
  <conditionalFormatting sqref="D2199">
    <cfRule type="containsText" dxfId="1975" priority="11875" operator="containsText" text="Fri">
      <formula>NOT(ISERROR(SEARCH("Fri",D2199)))</formula>
    </cfRule>
    <cfRule type="containsText" dxfId="1974" priority="11876" operator="containsText" text="Thu">
      <formula>NOT(ISERROR(SEARCH("Thu",D2199)))</formula>
    </cfRule>
    <cfRule type="containsText" dxfId="1973" priority="11877" operator="containsText" text="Wed">
      <formula>NOT(ISERROR(SEARCH("Wed",D2199)))</formula>
    </cfRule>
    <cfRule type="containsText" dxfId="1972" priority="11878" operator="containsText" text="Tue">
      <formula>NOT(ISERROR(SEARCH("Tue",D2199)))</formula>
    </cfRule>
    <cfRule type="containsText" dxfId="1971" priority="11879" operator="containsText" text="Mon">
      <formula>NOT(ISERROR(SEARCH("Mon",D2199)))</formula>
    </cfRule>
  </conditionalFormatting>
  <conditionalFormatting sqref="A2199:B2199">
    <cfRule type="cellIs" dxfId="1970" priority="11874" operator="equal">
      <formula>0</formula>
    </cfRule>
  </conditionalFormatting>
  <conditionalFormatting sqref="D2200">
    <cfRule type="containsText" dxfId="1969" priority="11869" operator="containsText" text="Fri">
      <formula>NOT(ISERROR(SEARCH("Fri",D2200)))</formula>
    </cfRule>
    <cfRule type="containsText" dxfId="1968" priority="11870" operator="containsText" text="Thu">
      <formula>NOT(ISERROR(SEARCH("Thu",D2200)))</formula>
    </cfRule>
    <cfRule type="containsText" dxfId="1967" priority="11871" operator="containsText" text="Wed">
      <formula>NOT(ISERROR(SEARCH("Wed",D2200)))</formula>
    </cfRule>
    <cfRule type="containsText" dxfId="1966" priority="11872" operator="containsText" text="Tue">
      <formula>NOT(ISERROR(SEARCH("Tue",D2200)))</formula>
    </cfRule>
    <cfRule type="containsText" dxfId="1965" priority="11873" operator="containsText" text="Mon">
      <formula>NOT(ISERROR(SEARCH("Mon",D2200)))</formula>
    </cfRule>
  </conditionalFormatting>
  <conditionalFormatting sqref="A2200:B2200">
    <cfRule type="cellIs" dxfId="1964" priority="11868" operator="equal">
      <formula>0</formula>
    </cfRule>
  </conditionalFormatting>
  <conditionalFormatting sqref="D2201">
    <cfRule type="containsText" dxfId="1963" priority="11863" operator="containsText" text="Fri">
      <formula>NOT(ISERROR(SEARCH("Fri",D2201)))</formula>
    </cfRule>
    <cfRule type="containsText" dxfId="1962" priority="11864" operator="containsText" text="Thu">
      <formula>NOT(ISERROR(SEARCH("Thu",D2201)))</formula>
    </cfRule>
    <cfRule type="containsText" dxfId="1961" priority="11865" operator="containsText" text="Wed">
      <formula>NOT(ISERROR(SEARCH("Wed",D2201)))</formula>
    </cfRule>
    <cfRule type="containsText" dxfId="1960" priority="11866" operator="containsText" text="Tue">
      <formula>NOT(ISERROR(SEARCH("Tue",D2201)))</formula>
    </cfRule>
    <cfRule type="containsText" dxfId="1959" priority="11867" operator="containsText" text="Mon">
      <formula>NOT(ISERROR(SEARCH("Mon",D2201)))</formula>
    </cfRule>
  </conditionalFormatting>
  <conditionalFormatting sqref="A2201:B2201">
    <cfRule type="cellIs" dxfId="1958" priority="11862" operator="equal">
      <formula>0</formula>
    </cfRule>
  </conditionalFormatting>
  <conditionalFormatting sqref="D2202">
    <cfRule type="containsText" dxfId="1957" priority="11857" operator="containsText" text="Fri">
      <formula>NOT(ISERROR(SEARCH("Fri",D2202)))</formula>
    </cfRule>
    <cfRule type="containsText" dxfId="1956" priority="11858" operator="containsText" text="Thu">
      <formula>NOT(ISERROR(SEARCH("Thu",D2202)))</formula>
    </cfRule>
    <cfRule type="containsText" dxfId="1955" priority="11859" operator="containsText" text="Wed">
      <formula>NOT(ISERROR(SEARCH("Wed",D2202)))</formula>
    </cfRule>
    <cfRule type="containsText" dxfId="1954" priority="11860" operator="containsText" text="Tue">
      <formula>NOT(ISERROR(SEARCH("Tue",D2202)))</formula>
    </cfRule>
    <cfRule type="containsText" dxfId="1953" priority="11861" operator="containsText" text="Mon">
      <formula>NOT(ISERROR(SEARCH("Mon",D2202)))</formula>
    </cfRule>
  </conditionalFormatting>
  <conditionalFormatting sqref="A2202:B2202">
    <cfRule type="cellIs" dxfId="1952" priority="11856" operator="equal">
      <formula>0</formula>
    </cfRule>
  </conditionalFormatting>
  <conditionalFormatting sqref="D2203">
    <cfRule type="containsText" dxfId="1951" priority="11851" operator="containsText" text="Fri">
      <formula>NOT(ISERROR(SEARCH("Fri",D2203)))</formula>
    </cfRule>
    <cfRule type="containsText" dxfId="1950" priority="11852" operator="containsText" text="Thu">
      <formula>NOT(ISERROR(SEARCH("Thu",D2203)))</formula>
    </cfRule>
    <cfRule type="containsText" dxfId="1949" priority="11853" operator="containsText" text="Wed">
      <formula>NOT(ISERROR(SEARCH("Wed",D2203)))</formula>
    </cfRule>
    <cfRule type="containsText" dxfId="1948" priority="11854" operator="containsText" text="Tue">
      <formula>NOT(ISERROR(SEARCH("Tue",D2203)))</formula>
    </cfRule>
    <cfRule type="containsText" dxfId="1947" priority="11855" operator="containsText" text="Mon">
      <formula>NOT(ISERROR(SEARCH("Mon",D2203)))</formula>
    </cfRule>
  </conditionalFormatting>
  <conditionalFormatting sqref="A2203:B2203">
    <cfRule type="cellIs" dxfId="1946" priority="11850" operator="equal">
      <formula>0</formula>
    </cfRule>
  </conditionalFormatting>
  <conditionalFormatting sqref="D2204">
    <cfRule type="containsText" dxfId="1945" priority="11845" operator="containsText" text="Fri">
      <formula>NOT(ISERROR(SEARCH("Fri",D2204)))</formula>
    </cfRule>
    <cfRule type="containsText" dxfId="1944" priority="11846" operator="containsText" text="Thu">
      <formula>NOT(ISERROR(SEARCH("Thu",D2204)))</formula>
    </cfRule>
    <cfRule type="containsText" dxfId="1943" priority="11847" operator="containsText" text="Wed">
      <formula>NOT(ISERROR(SEARCH("Wed",D2204)))</formula>
    </cfRule>
    <cfRule type="containsText" dxfId="1942" priority="11848" operator="containsText" text="Tue">
      <formula>NOT(ISERROR(SEARCH("Tue",D2204)))</formula>
    </cfRule>
    <cfRule type="containsText" dxfId="1941" priority="11849" operator="containsText" text="Mon">
      <formula>NOT(ISERROR(SEARCH("Mon",D2204)))</formula>
    </cfRule>
  </conditionalFormatting>
  <conditionalFormatting sqref="A2204:B2204">
    <cfRule type="cellIs" dxfId="1940" priority="11844" operator="equal">
      <formula>0</formula>
    </cfRule>
  </conditionalFormatting>
  <conditionalFormatting sqref="D2205">
    <cfRule type="containsText" dxfId="1939" priority="11839" operator="containsText" text="Fri">
      <formula>NOT(ISERROR(SEARCH("Fri",D2205)))</formula>
    </cfRule>
    <cfRule type="containsText" dxfId="1938" priority="11840" operator="containsText" text="Thu">
      <formula>NOT(ISERROR(SEARCH("Thu",D2205)))</formula>
    </cfRule>
    <cfRule type="containsText" dxfId="1937" priority="11841" operator="containsText" text="Wed">
      <formula>NOT(ISERROR(SEARCH("Wed",D2205)))</formula>
    </cfRule>
    <cfRule type="containsText" dxfId="1936" priority="11842" operator="containsText" text="Tue">
      <formula>NOT(ISERROR(SEARCH("Tue",D2205)))</formula>
    </cfRule>
    <cfRule type="containsText" dxfId="1935" priority="11843" operator="containsText" text="Mon">
      <formula>NOT(ISERROR(SEARCH("Mon",D2205)))</formula>
    </cfRule>
  </conditionalFormatting>
  <conditionalFormatting sqref="A2205:B2206">
    <cfRule type="cellIs" dxfId="1934" priority="11838" operator="equal">
      <formula>0</formula>
    </cfRule>
  </conditionalFormatting>
  <conditionalFormatting sqref="D2206">
    <cfRule type="containsText" dxfId="1933" priority="11833" operator="containsText" text="Fri">
      <formula>NOT(ISERROR(SEARCH("Fri",D2206)))</formula>
    </cfRule>
    <cfRule type="containsText" dxfId="1932" priority="11834" operator="containsText" text="Thu">
      <formula>NOT(ISERROR(SEARCH("Thu",D2206)))</formula>
    </cfRule>
    <cfRule type="containsText" dxfId="1931" priority="11835" operator="containsText" text="Wed">
      <formula>NOT(ISERROR(SEARCH("Wed",D2206)))</formula>
    </cfRule>
    <cfRule type="containsText" dxfId="1930" priority="11836" operator="containsText" text="Tue">
      <formula>NOT(ISERROR(SEARCH("Tue",D2206)))</formula>
    </cfRule>
    <cfRule type="containsText" dxfId="1929" priority="11837" operator="containsText" text="Mon">
      <formula>NOT(ISERROR(SEARCH("Mon",D2206)))</formula>
    </cfRule>
  </conditionalFormatting>
  <conditionalFormatting sqref="D2207">
    <cfRule type="containsText" dxfId="1928" priority="11828" operator="containsText" text="Fri">
      <formula>NOT(ISERROR(SEARCH("Fri",D2207)))</formula>
    </cfRule>
    <cfRule type="containsText" dxfId="1927" priority="11829" operator="containsText" text="Thu">
      <formula>NOT(ISERROR(SEARCH("Thu",D2207)))</formula>
    </cfRule>
    <cfRule type="containsText" dxfId="1926" priority="11830" operator="containsText" text="Wed">
      <formula>NOT(ISERROR(SEARCH("Wed",D2207)))</formula>
    </cfRule>
    <cfRule type="containsText" dxfId="1925" priority="11831" operator="containsText" text="Tue">
      <formula>NOT(ISERROR(SEARCH("Tue",D2207)))</formula>
    </cfRule>
    <cfRule type="containsText" dxfId="1924" priority="11832" operator="containsText" text="Mon">
      <formula>NOT(ISERROR(SEARCH("Mon",D2207)))</formula>
    </cfRule>
  </conditionalFormatting>
  <conditionalFormatting sqref="A2207:B2208">
    <cfRule type="cellIs" dxfId="1923" priority="11827" operator="equal">
      <formula>0</formula>
    </cfRule>
  </conditionalFormatting>
  <conditionalFormatting sqref="D2208">
    <cfRule type="containsText" dxfId="1922" priority="11822" operator="containsText" text="Fri">
      <formula>NOT(ISERROR(SEARCH("Fri",D2208)))</formula>
    </cfRule>
    <cfRule type="containsText" dxfId="1921" priority="11823" operator="containsText" text="Thu">
      <formula>NOT(ISERROR(SEARCH("Thu",D2208)))</formula>
    </cfRule>
    <cfRule type="containsText" dxfId="1920" priority="11824" operator="containsText" text="Wed">
      <formula>NOT(ISERROR(SEARCH("Wed",D2208)))</formula>
    </cfRule>
    <cfRule type="containsText" dxfId="1919" priority="11825" operator="containsText" text="Tue">
      <formula>NOT(ISERROR(SEARCH("Tue",D2208)))</formula>
    </cfRule>
    <cfRule type="containsText" dxfId="1918" priority="11826" operator="containsText" text="Mon">
      <formula>NOT(ISERROR(SEARCH("Mon",D2208)))</formula>
    </cfRule>
  </conditionalFormatting>
  <conditionalFormatting sqref="D2209">
    <cfRule type="containsText" dxfId="1917" priority="11817" operator="containsText" text="Fri">
      <formula>NOT(ISERROR(SEARCH("Fri",D2209)))</formula>
    </cfRule>
    <cfRule type="containsText" dxfId="1916" priority="11818" operator="containsText" text="Thu">
      <formula>NOT(ISERROR(SEARCH("Thu",D2209)))</formula>
    </cfRule>
    <cfRule type="containsText" dxfId="1915" priority="11819" operator="containsText" text="Wed">
      <formula>NOT(ISERROR(SEARCH("Wed",D2209)))</formula>
    </cfRule>
    <cfRule type="containsText" dxfId="1914" priority="11820" operator="containsText" text="Tue">
      <formula>NOT(ISERROR(SEARCH("Tue",D2209)))</formula>
    </cfRule>
    <cfRule type="containsText" dxfId="1913" priority="11821" operator="containsText" text="Mon">
      <formula>NOT(ISERROR(SEARCH("Mon",D2209)))</formula>
    </cfRule>
  </conditionalFormatting>
  <conditionalFormatting sqref="A2209:B2210">
    <cfRule type="cellIs" dxfId="1912" priority="11816" operator="equal">
      <formula>0</formula>
    </cfRule>
  </conditionalFormatting>
  <conditionalFormatting sqref="D2210">
    <cfRule type="containsText" dxfId="1911" priority="11811" operator="containsText" text="Fri">
      <formula>NOT(ISERROR(SEARCH("Fri",D2210)))</formula>
    </cfRule>
    <cfRule type="containsText" dxfId="1910" priority="11812" operator="containsText" text="Thu">
      <formula>NOT(ISERROR(SEARCH("Thu",D2210)))</formula>
    </cfRule>
    <cfRule type="containsText" dxfId="1909" priority="11813" operator="containsText" text="Wed">
      <formula>NOT(ISERROR(SEARCH("Wed",D2210)))</formula>
    </cfRule>
    <cfRule type="containsText" dxfId="1908" priority="11814" operator="containsText" text="Tue">
      <formula>NOT(ISERROR(SEARCH("Tue",D2210)))</formula>
    </cfRule>
    <cfRule type="containsText" dxfId="1907" priority="11815" operator="containsText" text="Mon">
      <formula>NOT(ISERROR(SEARCH("Mon",D2210)))</formula>
    </cfRule>
  </conditionalFormatting>
  <conditionalFormatting sqref="E2211:K2231">
    <cfRule type="cellIs" dxfId="1906" priority="11385" operator="equal">
      <formula>0</formula>
    </cfRule>
  </conditionalFormatting>
  <conditionalFormatting sqref="D2211">
    <cfRule type="containsText" dxfId="1905" priority="11380" operator="containsText" text="Fri">
      <formula>NOT(ISERROR(SEARCH("Fri",D2211)))</formula>
    </cfRule>
    <cfRule type="containsText" dxfId="1904" priority="11381" operator="containsText" text="Thu">
      <formula>NOT(ISERROR(SEARCH("Thu",D2211)))</formula>
    </cfRule>
    <cfRule type="containsText" dxfId="1903" priority="11382" operator="containsText" text="Wed">
      <formula>NOT(ISERROR(SEARCH("Wed",D2211)))</formula>
    </cfRule>
    <cfRule type="containsText" dxfId="1902" priority="11383" operator="containsText" text="Tue">
      <formula>NOT(ISERROR(SEARCH("Tue",D2211)))</formula>
    </cfRule>
    <cfRule type="containsText" dxfId="1901" priority="11384" operator="containsText" text="Mon">
      <formula>NOT(ISERROR(SEARCH("Mon",D2211)))</formula>
    </cfRule>
  </conditionalFormatting>
  <conditionalFormatting sqref="A2211:B2211">
    <cfRule type="cellIs" dxfId="1900" priority="11379" operator="equal">
      <formula>0</formula>
    </cfRule>
  </conditionalFormatting>
  <conditionalFormatting sqref="D2212">
    <cfRule type="containsText" dxfId="1899" priority="11374" operator="containsText" text="Fri">
      <formula>NOT(ISERROR(SEARCH("Fri",D2212)))</formula>
    </cfRule>
    <cfRule type="containsText" dxfId="1898" priority="11375" operator="containsText" text="Thu">
      <formula>NOT(ISERROR(SEARCH("Thu",D2212)))</formula>
    </cfRule>
    <cfRule type="containsText" dxfId="1897" priority="11376" operator="containsText" text="Wed">
      <formula>NOT(ISERROR(SEARCH("Wed",D2212)))</formula>
    </cfRule>
    <cfRule type="containsText" dxfId="1896" priority="11377" operator="containsText" text="Tue">
      <formula>NOT(ISERROR(SEARCH("Tue",D2212)))</formula>
    </cfRule>
    <cfRule type="containsText" dxfId="1895" priority="11378" operator="containsText" text="Mon">
      <formula>NOT(ISERROR(SEARCH("Mon",D2212)))</formula>
    </cfRule>
  </conditionalFormatting>
  <conditionalFormatting sqref="A2212:B2212">
    <cfRule type="cellIs" dxfId="1894" priority="11373" operator="equal">
      <formula>0</formula>
    </cfRule>
  </conditionalFormatting>
  <conditionalFormatting sqref="D2213">
    <cfRule type="containsText" dxfId="1893" priority="11368" operator="containsText" text="Fri">
      <formula>NOT(ISERROR(SEARCH("Fri",D2213)))</formula>
    </cfRule>
    <cfRule type="containsText" dxfId="1892" priority="11369" operator="containsText" text="Thu">
      <formula>NOT(ISERROR(SEARCH("Thu",D2213)))</formula>
    </cfRule>
    <cfRule type="containsText" dxfId="1891" priority="11370" operator="containsText" text="Wed">
      <formula>NOT(ISERROR(SEARCH("Wed",D2213)))</formula>
    </cfRule>
    <cfRule type="containsText" dxfId="1890" priority="11371" operator="containsText" text="Tue">
      <formula>NOT(ISERROR(SEARCH("Tue",D2213)))</formula>
    </cfRule>
    <cfRule type="containsText" dxfId="1889" priority="11372" operator="containsText" text="Mon">
      <formula>NOT(ISERROR(SEARCH("Mon",D2213)))</formula>
    </cfRule>
  </conditionalFormatting>
  <conditionalFormatting sqref="D2214">
    <cfRule type="containsText" dxfId="1888" priority="11363" operator="containsText" text="Fri">
      <formula>NOT(ISERROR(SEARCH("Fri",D2214)))</formula>
    </cfRule>
    <cfRule type="containsText" dxfId="1887" priority="11364" operator="containsText" text="Thu">
      <formula>NOT(ISERROR(SEARCH("Thu",D2214)))</formula>
    </cfRule>
    <cfRule type="containsText" dxfId="1886" priority="11365" operator="containsText" text="Wed">
      <formula>NOT(ISERROR(SEARCH("Wed",D2214)))</formula>
    </cfRule>
    <cfRule type="containsText" dxfId="1885" priority="11366" operator="containsText" text="Tue">
      <formula>NOT(ISERROR(SEARCH("Tue",D2214)))</formula>
    </cfRule>
    <cfRule type="containsText" dxfId="1884" priority="11367" operator="containsText" text="Mon">
      <formula>NOT(ISERROR(SEARCH("Mon",D2214)))</formula>
    </cfRule>
  </conditionalFormatting>
  <conditionalFormatting sqref="A2213:B2214">
    <cfRule type="cellIs" dxfId="1883" priority="11362" operator="equal">
      <formula>0</formula>
    </cfRule>
  </conditionalFormatting>
  <conditionalFormatting sqref="D2215">
    <cfRule type="containsText" dxfId="1882" priority="11357" operator="containsText" text="Fri">
      <formula>NOT(ISERROR(SEARCH("Fri",D2215)))</formula>
    </cfRule>
    <cfRule type="containsText" dxfId="1881" priority="11358" operator="containsText" text="Thu">
      <formula>NOT(ISERROR(SEARCH("Thu",D2215)))</formula>
    </cfRule>
    <cfRule type="containsText" dxfId="1880" priority="11359" operator="containsText" text="Wed">
      <formula>NOT(ISERROR(SEARCH("Wed",D2215)))</formula>
    </cfRule>
    <cfRule type="containsText" dxfId="1879" priority="11360" operator="containsText" text="Tue">
      <formula>NOT(ISERROR(SEARCH("Tue",D2215)))</formula>
    </cfRule>
    <cfRule type="containsText" dxfId="1878" priority="11361" operator="containsText" text="Mon">
      <formula>NOT(ISERROR(SEARCH("Mon",D2215)))</formula>
    </cfRule>
  </conditionalFormatting>
  <conditionalFormatting sqref="A2215:B2215">
    <cfRule type="cellIs" dxfId="1877" priority="11356" operator="equal">
      <formula>0</formula>
    </cfRule>
  </conditionalFormatting>
  <conditionalFormatting sqref="D2216">
    <cfRule type="containsText" dxfId="1876" priority="11351" operator="containsText" text="Fri">
      <formula>NOT(ISERROR(SEARCH("Fri",D2216)))</formula>
    </cfRule>
    <cfRule type="containsText" dxfId="1875" priority="11352" operator="containsText" text="Thu">
      <formula>NOT(ISERROR(SEARCH("Thu",D2216)))</formula>
    </cfRule>
    <cfRule type="containsText" dxfId="1874" priority="11353" operator="containsText" text="Wed">
      <formula>NOT(ISERROR(SEARCH("Wed",D2216)))</formula>
    </cfRule>
    <cfRule type="containsText" dxfId="1873" priority="11354" operator="containsText" text="Tue">
      <formula>NOT(ISERROR(SEARCH("Tue",D2216)))</formula>
    </cfRule>
    <cfRule type="containsText" dxfId="1872" priority="11355" operator="containsText" text="Mon">
      <formula>NOT(ISERROR(SEARCH("Mon",D2216)))</formula>
    </cfRule>
  </conditionalFormatting>
  <conditionalFormatting sqref="A2216:B2216">
    <cfRule type="cellIs" dxfId="1871" priority="11350" operator="equal">
      <formula>0</formula>
    </cfRule>
  </conditionalFormatting>
  <conditionalFormatting sqref="D2217">
    <cfRule type="containsText" dxfId="1870" priority="11345" operator="containsText" text="Fri">
      <formula>NOT(ISERROR(SEARCH("Fri",D2217)))</formula>
    </cfRule>
    <cfRule type="containsText" dxfId="1869" priority="11346" operator="containsText" text="Thu">
      <formula>NOT(ISERROR(SEARCH("Thu",D2217)))</formula>
    </cfRule>
    <cfRule type="containsText" dxfId="1868" priority="11347" operator="containsText" text="Wed">
      <formula>NOT(ISERROR(SEARCH("Wed",D2217)))</formula>
    </cfRule>
    <cfRule type="containsText" dxfId="1867" priority="11348" operator="containsText" text="Tue">
      <formula>NOT(ISERROR(SEARCH("Tue",D2217)))</formula>
    </cfRule>
    <cfRule type="containsText" dxfId="1866" priority="11349" operator="containsText" text="Mon">
      <formula>NOT(ISERROR(SEARCH("Mon",D2217)))</formula>
    </cfRule>
  </conditionalFormatting>
  <conditionalFormatting sqref="A2217:B2217">
    <cfRule type="cellIs" dxfId="1865" priority="11344" operator="equal">
      <formula>0</formula>
    </cfRule>
  </conditionalFormatting>
  <conditionalFormatting sqref="D2218">
    <cfRule type="containsText" dxfId="1864" priority="11339" operator="containsText" text="Fri">
      <formula>NOT(ISERROR(SEARCH("Fri",D2218)))</formula>
    </cfRule>
    <cfRule type="containsText" dxfId="1863" priority="11340" operator="containsText" text="Thu">
      <formula>NOT(ISERROR(SEARCH("Thu",D2218)))</formula>
    </cfRule>
    <cfRule type="containsText" dxfId="1862" priority="11341" operator="containsText" text="Wed">
      <formula>NOT(ISERROR(SEARCH("Wed",D2218)))</formula>
    </cfRule>
    <cfRule type="containsText" dxfId="1861" priority="11342" operator="containsText" text="Tue">
      <formula>NOT(ISERROR(SEARCH("Tue",D2218)))</formula>
    </cfRule>
    <cfRule type="containsText" dxfId="1860" priority="11343" operator="containsText" text="Mon">
      <formula>NOT(ISERROR(SEARCH("Mon",D2218)))</formula>
    </cfRule>
  </conditionalFormatting>
  <conditionalFormatting sqref="A2218:B2218">
    <cfRule type="cellIs" dxfId="1859" priority="11338" operator="equal">
      <formula>0</formula>
    </cfRule>
  </conditionalFormatting>
  <conditionalFormatting sqref="D2219">
    <cfRule type="containsText" dxfId="1858" priority="11333" operator="containsText" text="Fri">
      <formula>NOT(ISERROR(SEARCH("Fri",D2219)))</formula>
    </cfRule>
    <cfRule type="containsText" dxfId="1857" priority="11334" operator="containsText" text="Thu">
      <formula>NOT(ISERROR(SEARCH("Thu",D2219)))</formula>
    </cfRule>
    <cfRule type="containsText" dxfId="1856" priority="11335" operator="containsText" text="Wed">
      <formula>NOT(ISERROR(SEARCH("Wed",D2219)))</formula>
    </cfRule>
    <cfRule type="containsText" dxfId="1855" priority="11336" operator="containsText" text="Tue">
      <formula>NOT(ISERROR(SEARCH("Tue",D2219)))</formula>
    </cfRule>
    <cfRule type="containsText" dxfId="1854" priority="11337" operator="containsText" text="Mon">
      <formula>NOT(ISERROR(SEARCH("Mon",D2219)))</formula>
    </cfRule>
  </conditionalFormatting>
  <conditionalFormatting sqref="A2219:B2219">
    <cfRule type="cellIs" dxfId="1853" priority="11332" operator="equal">
      <formula>0</formula>
    </cfRule>
  </conditionalFormatting>
  <conditionalFormatting sqref="D2220">
    <cfRule type="containsText" dxfId="1852" priority="11327" operator="containsText" text="Fri">
      <formula>NOT(ISERROR(SEARCH("Fri",D2220)))</formula>
    </cfRule>
    <cfRule type="containsText" dxfId="1851" priority="11328" operator="containsText" text="Thu">
      <formula>NOT(ISERROR(SEARCH("Thu",D2220)))</formula>
    </cfRule>
    <cfRule type="containsText" dxfId="1850" priority="11329" operator="containsText" text="Wed">
      <formula>NOT(ISERROR(SEARCH("Wed",D2220)))</formula>
    </cfRule>
    <cfRule type="containsText" dxfId="1849" priority="11330" operator="containsText" text="Tue">
      <formula>NOT(ISERROR(SEARCH("Tue",D2220)))</formula>
    </cfRule>
    <cfRule type="containsText" dxfId="1848" priority="11331" operator="containsText" text="Mon">
      <formula>NOT(ISERROR(SEARCH("Mon",D2220)))</formula>
    </cfRule>
  </conditionalFormatting>
  <conditionalFormatting sqref="A2220:B2220">
    <cfRule type="cellIs" dxfId="1847" priority="11326" operator="equal">
      <formula>0</formula>
    </cfRule>
  </conditionalFormatting>
  <conditionalFormatting sqref="D2221">
    <cfRule type="containsText" dxfId="1846" priority="11321" operator="containsText" text="Fri">
      <formula>NOT(ISERROR(SEARCH("Fri",D2221)))</formula>
    </cfRule>
    <cfRule type="containsText" dxfId="1845" priority="11322" operator="containsText" text="Thu">
      <formula>NOT(ISERROR(SEARCH("Thu",D2221)))</formula>
    </cfRule>
    <cfRule type="containsText" dxfId="1844" priority="11323" operator="containsText" text="Wed">
      <formula>NOT(ISERROR(SEARCH("Wed",D2221)))</formula>
    </cfRule>
    <cfRule type="containsText" dxfId="1843" priority="11324" operator="containsText" text="Tue">
      <formula>NOT(ISERROR(SEARCH("Tue",D2221)))</formula>
    </cfRule>
    <cfRule type="containsText" dxfId="1842" priority="11325" operator="containsText" text="Mon">
      <formula>NOT(ISERROR(SEARCH("Mon",D2221)))</formula>
    </cfRule>
  </conditionalFormatting>
  <conditionalFormatting sqref="A2221:B2221">
    <cfRule type="cellIs" dxfId="1841" priority="11320" operator="equal">
      <formula>0</formula>
    </cfRule>
  </conditionalFormatting>
  <conditionalFormatting sqref="D2222">
    <cfRule type="containsText" dxfId="1840" priority="11315" operator="containsText" text="Fri">
      <formula>NOT(ISERROR(SEARCH("Fri",D2222)))</formula>
    </cfRule>
    <cfRule type="containsText" dxfId="1839" priority="11316" operator="containsText" text="Thu">
      <formula>NOT(ISERROR(SEARCH("Thu",D2222)))</formula>
    </cfRule>
    <cfRule type="containsText" dxfId="1838" priority="11317" operator="containsText" text="Wed">
      <formula>NOT(ISERROR(SEARCH("Wed",D2222)))</formula>
    </cfRule>
    <cfRule type="containsText" dxfId="1837" priority="11318" operator="containsText" text="Tue">
      <formula>NOT(ISERROR(SEARCH("Tue",D2222)))</formula>
    </cfRule>
    <cfRule type="containsText" dxfId="1836" priority="11319" operator="containsText" text="Mon">
      <formula>NOT(ISERROR(SEARCH("Mon",D2222)))</formula>
    </cfRule>
  </conditionalFormatting>
  <conditionalFormatting sqref="A2222:B2222">
    <cfRule type="cellIs" dxfId="1835" priority="11314" operator="equal">
      <formula>0</formula>
    </cfRule>
  </conditionalFormatting>
  <conditionalFormatting sqref="D2223">
    <cfRule type="containsText" dxfId="1834" priority="11309" operator="containsText" text="Fri">
      <formula>NOT(ISERROR(SEARCH("Fri",D2223)))</formula>
    </cfRule>
    <cfRule type="containsText" dxfId="1833" priority="11310" operator="containsText" text="Thu">
      <formula>NOT(ISERROR(SEARCH("Thu",D2223)))</formula>
    </cfRule>
    <cfRule type="containsText" dxfId="1832" priority="11311" operator="containsText" text="Wed">
      <formula>NOT(ISERROR(SEARCH("Wed",D2223)))</formula>
    </cfRule>
    <cfRule type="containsText" dxfId="1831" priority="11312" operator="containsText" text="Tue">
      <formula>NOT(ISERROR(SEARCH("Tue",D2223)))</formula>
    </cfRule>
    <cfRule type="containsText" dxfId="1830" priority="11313" operator="containsText" text="Mon">
      <formula>NOT(ISERROR(SEARCH("Mon",D2223)))</formula>
    </cfRule>
  </conditionalFormatting>
  <conditionalFormatting sqref="A2223:B2223">
    <cfRule type="cellIs" dxfId="1829" priority="11308" operator="equal">
      <formula>0</formula>
    </cfRule>
  </conditionalFormatting>
  <conditionalFormatting sqref="D2224">
    <cfRule type="containsText" dxfId="1828" priority="11303" operator="containsText" text="Fri">
      <formula>NOT(ISERROR(SEARCH("Fri",D2224)))</formula>
    </cfRule>
    <cfRule type="containsText" dxfId="1827" priority="11304" operator="containsText" text="Thu">
      <formula>NOT(ISERROR(SEARCH("Thu",D2224)))</formula>
    </cfRule>
    <cfRule type="containsText" dxfId="1826" priority="11305" operator="containsText" text="Wed">
      <formula>NOT(ISERROR(SEARCH("Wed",D2224)))</formula>
    </cfRule>
    <cfRule type="containsText" dxfId="1825" priority="11306" operator="containsText" text="Tue">
      <formula>NOT(ISERROR(SEARCH("Tue",D2224)))</formula>
    </cfRule>
    <cfRule type="containsText" dxfId="1824" priority="11307" operator="containsText" text="Mon">
      <formula>NOT(ISERROR(SEARCH("Mon",D2224)))</formula>
    </cfRule>
  </conditionalFormatting>
  <conditionalFormatting sqref="A2224:B2224">
    <cfRule type="cellIs" dxfId="1823" priority="11302" operator="equal">
      <formula>0</formula>
    </cfRule>
  </conditionalFormatting>
  <conditionalFormatting sqref="D2225">
    <cfRule type="containsText" dxfId="1822" priority="11297" operator="containsText" text="Fri">
      <formula>NOT(ISERROR(SEARCH("Fri",D2225)))</formula>
    </cfRule>
    <cfRule type="containsText" dxfId="1821" priority="11298" operator="containsText" text="Thu">
      <formula>NOT(ISERROR(SEARCH("Thu",D2225)))</formula>
    </cfRule>
    <cfRule type="containsText" dxfId="1820" priority="11299" operator="containsText" text="Wed">
      <formula>NOT(ISERROR(SEARCH("Wed",D2225)))</formula>
    </cfRule>
    <cfRule type="containsText" dxfId="1819" priority="11300" operator="containsText" text="Tue">
      <formula>NOT(ISERROR(SEARCH("Tue",D2225)))</formula>
    </cfRule>
    <cfRule type="containsText" dxfId="1818" priority="11301" operator="containsText" text="Mon">
      <formula>NOT(ISERROR(SEARCH("Mon",D2225)))</formula>
    </cfRule>
  </conditionalFormatting>
  <conditionalFormatting sqref="A2225:B2225">
    <cfRule type="cellIs" dxfId="1817" priority="11296" operator="equal">
      <formula>0</formula>
    </cfRule>
  </conditionalFormatting>
  <conditionalFormatting sqref="D2226">
    <cfRule type="containsText" dxfId="1816" priority="11291" operator="containsText" text="Fri">
      <formula>NOT(ISERROR(SEARCH("Fri",D2226)))</formula>
    </cfRule>
    <cfRule type="containsText" dxfId="1815" priority="11292" operator="containsText" text="Thu">
      <formula>NOT(ISERROR(SEARCH("Thu",D2226)))</formula>
    </cfRule>
    <cfRule type="containsText" dxfId="1814" priority="11293" operator="containsText" text="Wed">
      <formula>NOT(ISERROR(SEARCH("Wed",D2226)))</formula>
    </cfRule>
    <cfRule type="containsText" dxfId="1813" priority="11294" operator="containsText" text="Tue">
      <formula>NOT(ISERROR(SEARCH("Tue",D2226)))</formula>
    </cfRule>
    <cfRule type="containsText" dxfId="1812" priority="11295" operator="containsText" text="Mon">
      <formula>NOT(ISERROR(SEARCH("Mon",D2226)))</formula>
    </cfRule>
  </conditionalFormatting>
  <conditionalFormatting sqref="A2226:B2226">
    <cfRule type="cellIs" dxfId="1811" priority="11290" operator="equal">
      <formula>0</formula>
    </cfRule>
  </conditionalFormatting>
  <conditionalFormatting sqref="D2227">
    <cfRule type="containsText" dxfId="1810" priority="11285" operator="containsText" text="Fri">
      <formula>NOT(ISERROR(SEARCH("Fri",D2227)))</formula>
    </cfRule>
    <cfRule type="containsText" dxfId="1809" priority="11286" operator="containsText" text="Thu">
      <formula>NOT(ISERROR(SEARCH("Thu",D2227)))</formula>
    </cfRule>
    <cfRule type="containsText" dxfId="1808" priority="11287" operator="containsText" text="Wed">
      <formula>NOT(ISERROR(SEARCH("Wed",D2227)))</formula>
    </cfRule>
    <cfRule type="containsText" dxfId="1807" priority="11288" operator="containsText" text="Tue">
      <formula>NOT(ISERROR(SEARCH("Tue",D2227)))</formula>
    </cfRule>
    <cfRule type="containsText" dxfId="1806" priority="11289" operator="containsText" text="Mon">
      <formula>NOT(ISERROR(SEARCH("Mon",D2227)))</formula>
    </cfRule>
  </conditionalFormatting>
  <conditionalFormatting sqref="A2227:B2227">
    <cfRule type="cellIs" dxfId="1805" priority="11284" operator="equal">
      <formula>0</formula>
    </cfRule>
  </conditionalFormatting>
  <conditionalFormatting sqref="D2228">
    <cfRule type="containsText" dxfId="1804" priority="11279" operator="containsText" text="Fri">
      <formula>NOT(ISERROR(SEARCH("Fri",D2228)))</formula>
    </cfRule>
    <cfRule type="containsText" dxfId="1803" priority="11280" operator="containsText" text="Thu">
      <formula>NOT(ISERROR(SEARCH("Thu",D2228)))</formula>
    </cfRule>
    <cfRule type="containsText" dxfId="1802" priority="11281" operator="containsText" text="Wed">
      <formula>NOT(ISERROR(SEARCH("Wed",D2228)))</formula>
    </cfRule>
    <cfRule type="containsText" dxfId="1801" priority="11282" operator="containsText" text="Tue">
      <formula>NOT(ISERROR(SEARCH("Tue",D2228)))</formula>
    </cfRule>
    <cfRule type="containsText" dxfId="1800" priority="11283" operator="containsText" text="Mon">
      <formula>NOT(ISERROR(SEARCH("Mon",D2228)))</formula>
    </cfRule>
  </conditionalFormatting>
  <conditionalFormatting sqref="A2228:B2228">
    <cfRule type="cellIs" dxfId="1799" priority="11278" operator="equal">
      <formula>0</formula>
    </cfRule>
  </conditionalFormatting>
  <conditionalFormatting sqref="D2229">
    <cfRule type="containsText" dxfId="1798" priority="11273" operator="containsText" text="Fri">
      <formula>NOT(ISERROR(SEARCH("Fri",D2229)))</formula>
    </cfRule>
    <cfRule type="containsText" dxfId="1797" priority="11274" operator="containsText" text="Thu">
      <formula>NOT(ISERROR(SEARCH("Thu",D2229)))</formula>
    </cfRule>
    <cfRule type="containsText" dxfId="1796" priority="11275" operator="containsText" text="Wed">
      <formula>NOT(ISERROR(SEARCH("Wed",D2229)))</formula>
    </cfRule>
    <cfRule type="containsText" dxfId="1795" priority="11276" operator="containsText" text="Tue">
      <formula>NOT(ISERROR(SEARCH("Tue",D2229)))</formula>
    </cfRule>
    <cfRule type="containsText" dxfId="1794" priority="11277" operator="containsText" text="Mon">
      <formula>NOT(ISERROR(SEARCH("Mon",D2229)))</formula>
    </cfRule>
  </conditionalFormatting>
  <conditionalFormatting sqref="A2229:B2229">
    <cfRule type="cellIs" dxfId="1793" priority="11272" operator="equal">
      <formula>0</formula>
    </cfRule>
  </conditionalFormatting>
  <conditionalFormatting sqref="D2230">
    <cfRule type="containsText" dxfId="1792" priority="11267" operator="containsText" text="Fri">
      <formula>NOT(ISERROR(SEARCH("Fri",D2230)))</formula>
    </cfRule>
    <cfRule type="containsText" dxfId="1791" priority="11268" operator="containsText" text="Thu">
      <formula>NOT(ISERROR(SEARCH("Thu",D2230)))</formula>
    </cfRule>
    <cfRule type="containsText" dxfId="1790" priority="11269" operator="containsText" text="Wed">
      <formula>NOT(ISERROR(SEARCH("Wed",D2230)))</formula>
    </cfRule>
    <cfRule type="containsText" dxfId="1789" priority="11270" operator="containsText" text="Tue">
      <formula>NOT(ISERROR(SEARCH("Tue",D2230)))</formula>
    </cfRule>
    <cfRule type="containsText" dxfId="1788" priority="11271" operator="containsText" text="Mon">
      <formula>NOT(ISERROR(SEARCH("Mon",D2230)))</formula>
    </cfRule>
  </conditionalFormatting>
  <conditionalFormatting sqref="A2230:B2231">
    <cfRule type="cellIs" dxfId="1787" priority="11266" operator="equal">
      <formula>0</formula>
    </cfRule>
  </conditionalFormatting>
  <conditionalFormatting sqref="D2231">
    <cfRule type="containsText" dxfId="1786" priority="11261" operator="containsText" text="Fri">
      <formula>NOT(ISERROR(SEARCH("Fri",D2231)))</formula>
    </cfRule>
    <cfRule type="containsText" dxfId="1785" priority="11262" operator="containsText" text="Thu">
      <formula>NOT(ISERROR(SEARCH("Thu",D2231)))</formula>
    </cfRule>
    <cfRule type="containsText" dxfId="1784" priority="11263" operator="containsText" text="Wed">
      <formula>NOT(ISERROR(SEARCH("Wed",D2231)))</formula>
    </cfRule>
    <cfRule type="containsText" dxfId="1783" priority="11264" operator="containsText" text="Tue">
      <formula>NOT(ISERROR(SEARCH("Tue",D2231)))</formula>
    </cfRule>
    <cfRule type="containsText" dxfId="1782" priority="11265" operator="containsText" text="Mon">
      <formula>NOT(ISERROR(SEARCH("Mon",D2231)))</formula>
    </cfRule>
  </conditionalFormatting>
  <conditionalFormatting sqref="D2232:D2234">
    <cfRule type="containsText" dxfId="1781" priority="10554" operator="containsText" text="Fri">
      <formula>NOT(ISERROR(SEARCH("Fri",D2232)))</formula>
    </cfRule>
    <cfRule type="containsText" dxfId="1780" priority="10555" operator="containsText" text="Thu">
      <formula>NOT(ISERROR(SEARCH("Thu",D2232)))</formula>
    </cfRule>
    <cfRule type="containsText" dxfId="1779" priority="10556" operator="containsText" text="Wed">
      <formula>NOT(ISERROR(SEARCH("Wed",D2232)))</formula>
    </cfRule>
    <cfRule type="containsText" dxfId="1778" priority="10557" operator="containsText" text="Tue">
      <formula>NOT(ISERROR(SEARCH("Tue",D2232)))</formula>
    </cfRule>
    <cfRule type="containsText" dxfId="1777" priority="10558" operator="containsText" text="Mon">
      <formula>NOT(ISERROR(SEARCH("Mon",D2232)))</formula>
    </cfRule>
  </conditionalFormatting>
  <conditionalFormatting sqref="E2232:K2266">
    <cfRule type="cellIs" dxfId="1776" priority="10553" operator="equal">
      <formula>0</formula>
    </cfRule>
  </conditionalFormatting>
  <conditionalFormatting sqref="A2232:B2233">
    <cfRule type="cellIs" dxfId="1775" priority="10552" operator="equal">
      <formula>0</formula>
    </cfRule>
  </conditionalFormatting>
  <conditionalFormatting sqref="A2234:B2235">
    <cfRule type="cellIs" dxfId="1774" priority="10551" operator="equal">
      <formula>0</formula>
    </cfRule>
  </conditionalFormatting>
  <conditionalFormatting sqref="D2235">
    <cfRule type="containsText" dxfId="1773" priority="10546" operator="containsText" text="Fri">
      <formula>NOT(ISERROR(SEARCH("Fri",D2235)))</formula>
    </cfRule>
    <cfRule type="containsText" dxfId="1772" priority="10547" operator="containsText" text="Thu">
      <formula>NOT(ISERROR(SEARCH("Thu",D2235)))</formula>
    </cfRule>
    <cfRule type="containsText" dxfId="1771" priority="10548" operator="containsText" text="Wed">
      <formula>NOT(ISERROR(SEARCH("Wed",D2235)))</formula>
    </cfRule>
    <cfRule type="containsText" dxfId="1770" priority="10549" operator="containsText" text="Tue">
      <formula>NOT(ISERROR(SEARCH("Tue",D2235)))</formula>
    </cfRule>
    <cfRule type="containsText" dxfId="1769" priority="10550" operator="containsText" text="Mon">
      <formula>NOT(ISERROR(SEARCH("Mon",D2235)))</formula>
    </cfRule>
  </conditionalFormatting>
  <conditionalFormatting sqref="D2236:D2237">
    <cfRule type="containsText" dxfId="1768" priority="10541" operator="containsText" text="Fri">
      <formula>NOT(ISERROR(SEARCH("Fri",D2236)))</formula>
    </cfRule>
    <cfRule type="containsText" dxfId="1767" priority="10542" operator="containsText" text="Thu">
      <formula>NOT(ISERROR(SEARCH("Thu",D2236)))</formula>
    </cfRule>
    <cfRule type="containsText" dxfId="1766" priority="10543" operator="containsText" text="Wed">
      <formula>NOT(ISERROR(SEARCH("Wed",D2236)))</formula>
    </cfRule>
    <cfRule type="containsText" dxfId="1765" priority="10544" operator="containsText" text="Tue">
      <formula>NOT(ISERROR(SEARCH("Tue",D2236)))</formula>
    </cfRule>
    <cfRule type="containsText" dxfId="1764" priority="10545" operator="containsText" text="Mon">
      <formula>NOT(ISERROR(SEARCH("Mon",D2236)))</formula>
    </cfRule>
  </conditionalFormatting>
  <conditionalFormatting sqref="A2236:B2237">
    <cfRule type="cellIs" dxfId="1763" priority="10540" operator="equal">
      <formula>0</formula>
    </cfRule>
  </conditionalFormatting>
  <conditionalFormatting sqref="D2238">
    <cfRule type="containsText" dxfId="1762" priority="10535" operator="containsText" text="Fri">
      <formula>NOT(ISERROR(SEARCH("Fri",D2238)))</formula>
    </cfRule>
    <cfRule type="containsText" dxfId="1761" priority="10536" operator="containsText" text="Thu">
      <formula>NOT(ISERROR(SEARCH("Thu",D2238)))</formula>
    </cfRule>
    <cfRule type="containsText" dxfId="1760" priority="10537" operator="containsText" text="Wed">
      <formula>NOT(ISERROR(SEARCH("Wed",D2238)))</formula>
    </cfRule>
    <cfRule type="containsText" dxfId="1759" priority="10538" operator="containsText" text="Tue">
      <formula>NOT(ISERROR(SEARCH("Tue",D2238)))</formula>
    </cfRule>
    <cfRule type="containsText" dxfId="1758" priority="10539" operator="containsText" text="Mon">
      <formula>NOT(ISERROR(SEARCH("Mon",D2238)))</formula>
    </cfRule>
  </conditionalFormatting>
  <conditionalFormatting sqref="A2238:B2239">
    <cfRule type="cellIs" dxfId="1757" priority="10534" operator="equal">
      <formula>0</formula>
    </cfRule>
  </conditionalFormatting>
  <conditionalFormatting sqref="D2239">
    <cfRule type="containsText" dxfId="1756" priority="10529" operator="containsText" text="Fri">
      <formula>NOT(ISERROR(SEARCH("Fri",D2239)))</formula>
    </cfRule>
    <cfRule type="containsText" dxfId="1755" priority="10530" operator="containsText" text="Thu">
      <formula>NOT(ISERROR(SEARCH("Thu",D2239)))</formula>
    </cfRule>
    <cfRule type="containsText" dxfId="1754" priority="10531" operator="containsText" text="Wed">
      <formula>NOT(ISERROR(SEARCH("Wed",D2239)))</formula>
    </cfRule>
    <cfRule type="containsText" dxfId="1753" priority="10532" operator="containsText" text="Tue">
      <formula>NOT(ISERROR(SEARCH("Tue",D2239)))</formula>
    </cfRule>
    <cfRule type="containsText" dxfId="1752" priority="10533" operator="containsText" text="Mon">
      <formula>NOT(ISERROR(SEARCH("Mon",D2239)))</formula>
    </cfRule>
  </conditionalFormatting>
  <conditionalFormatting sqref="D2240:D2241">
    <cfRule type="containsText" dxfId="1751" priority="10524" operator="containsText" text="Fri">
      <formula>NOT(ISERROR(SEARCH("Fri",D2240)))</formula>
    </cfRule>
    <cfRule type="containsText" dxfId="1750" priority="10525" operator="containsText" text="Thu">
      <formula>NOT(ISERROR(SEARCH("Thu",D2240)))</formula>
    </cfRule>
    <cfRule type="containsText" dxfId="1749" priority="10526" operator="containsText" text="Wed">
      <formula>NOT(ISERROR(SEARCH("Wed",D2240)))</formula>
    </cfRule>
    <cfRule type="containsText" dxfId="1748" priority="10527" operator="containsText" text="Tue">
      <formula>NOT(ISERROR(SEARCH("Tue",D2240)))</formula>
    </cfRule>
    <cfRule type="containsText" dxfId="1747" priority="10528" operator="containsText" text="Mon">
      <formula>NOT(ISERROR(SEARCH("Mon",D2240)))</formula>
    </cfRule>
  </conditionalFormatting>
  <conditionalFormatting sqref="A2240:B2241">
    <cfRule type="cellIs" dxfId="1746" priority="10523" operator="equal">
      <formula>0</formula>
    </cfRule>
  </conditionalFormatting>
  <conditionalFormatting sqref="D2242:D2243">
    <cfRule type="containsText" dxfId="1745" priority="10518" operator="containsText" text="Fri">
      <formula>NOT(ISERROR(SEARCH("Fri",D2242)))</formula>
    </cfRule>
    <cfRule type="containsText" dxfId="1744" priority="10519" operator="containsText" text="Thu">
      <formula>NOT(ISERROR(SEARCH("Thu",D2242)))</formula>
    </cfRule>
    <cfRule type="containsText" dxfId="1743" priority="10520" operator="containsText" text="Wed">
      <formula>NOT(ISERROR(SEARCH("Wed",D2242)))</formula>
    </cfRule>
    <cfRule type="containsText" dxfId="1742" priority="10521" operator="containsText" text="Tue">
      <formula>NOT(ISERROR(SEARCH("Tue",D2242)))</formula>
    </cfRule>
    <cfRule type="containsText" dxfId="1741" priority="10522" operator="containsText" text="Mon">
      <formula>NOT(ISERROR(SEARCH("Mon",D2242)))</formula>
    </cfRule>
  </conditionalFormatting>
  <conditionalFormatting sqref="A2242:B2243">
    <cfRule type="cellIs" dxfId="1740" priority="10517" operator="equal">
      <formula>0</formula>
    </cfRule>
  </conditionalFormatting>
  <conditionalFormatting sqref="D2244:D2245">
    <cfRule type="containsText" dxfId="1739" priority="10512" operator="containsText" text="Fri">
      <formula>NOT(ISERROR(SEARCH("Fri",D2244)))</formula>
    </cfRule>
    <cfRule type="containsText" dxfId="1738" priority="10513" operator="containsText" text="Thu">
      <formula>NOT(ISERROR(SEARCH("Thu",D2244)))</formula>
    </cfRule>
    <cfRule type="containsText" dxfId="1737" priority="10514" operator="containsText" text="Wed">
      <formula>NOT(ISERROR(SEARCH("Wed",D2244)))</formula>
    </cfRule>
    <cfRule type="containsText" dxfId="1736" priority="10515" operator="containsText" text="Tue">
      <formula>NOT(ISERROR(SEARCH("Tue",D2244)))</formula>
    </cfRule>
    <cfRule type="containsText" dxfId="1735" priority="10516" operator="containsText" text="Mon">
      <formula>NOT(ISERROR(SEARCH("Mon",D2244)))</formula>
    </cfRule>
  </conditionalFormatting>
  <conditionalFormatting sqref="A2244:B2245">
    <cfRule type="cellIs" dxfId="1734" priority="10511" operator="equal">
      <formula>0</formula>
    </cfRule>
  </conditionalFormatting>
  <conditionalFormatting sqref="D2246">
    <cfRule type="containsText" dxfId="1733" priority="10506" operator="containsText" text="Fri">
      <formula>NOT(ISERROR(SEARCH("Fri",D2246)))</formula>
    </cfRule>
    <cfRule type="containsText" dxfId="1732" priority="10507" operator="containsText" text="Thu">
      <formula>NOT(ISERROR(SEARCH("Thu",D2246)))</formula>
    </cfRule>
    <cfRule type="containsText" dxfId="1731" priority="10508" operator="containsText" text="Wed">
      <formula>NOT(ISERROR(SEARCH("Wed",D2246)))</formula>
    </cfRule>
    <cfRule type="containsText" dxfId="1730" priority="10509" operator="containsText" text="Tue">
      <formula>NOT(ISERROR(SEARCH("Tue",D2246)))</formula>
    </cfRule>
    <cfRule type="containsText" dxfId="1729" priority="10510" operator="containsText" text="Mon">
      <formula>NOT(ISERROR(SEARCH("Mon",D2246)))</formula>
    </cfRule>
  </conditionalFormatting>
  <conditionalFormatting sqref="A2246:B2246">
    <cfRule type="cellIs" dxfId="1728" priority="10505" operator="equal">
      <formula>0</formula>
    </cfRule>
  </conditionalFormatting>
  <conditionalFormatting sqref="D2247">
    <cfRule type="containsText" dxfId="1727" priority="10500" operator="containsText" text="Fri">
      <formula>NOT(ISERROR(SEARCH("Fri",D2247)))</formula>
    </cfRule>
    <cfRule type="containsText" dxfId="1726" priority="10501" operator="containsText" text="Thu">
      <formula>NOT(ISERROR(SEARCH("Thu",D2247)))</formula>
    </cfRule>
    <cfRule type="containsText" dxfId="1725" priority="10502" operator="containsText" text="Wed">
      <formula>NOT(ISERROR(SEARCH("Wed",D2247)))</formula>
    </cfRule>
    <cfRule type="containsText" dxfId="1724" priority="10503" operator="containsText" text="Tue">
      <formula>NOT(ISERROR(SEARCH("Tue",D2247)))</formula>
    </cfRule>
    <cfRule type="containsText" dxfId="1723" priority="10504" operator="containsText" text="Mon">
      <formula>NOT(ISERROR(SEARCH("Mon",D2247)))</formula>
    </cfRule>
  </conditionalFormatting>
  <conditionalFormatting sqref="A2247:B2247">
    <cfRule type="cellIs" dxfId="1722" priority="10499" operator="equal">
      <formula>0</formula>
    </cfRule>
  </conditionalFormatting>
  <conditionalFormatting sqref="D2248">
    <cfRule type="containsText" dxfId="1721" priority="10494" operator="containsText" text="Fri">
      <formula>NOT(ISERROR(SEARCH("Fri",D2248)))</formula>
    </cfRule>
    <cfRule type="containsText" dxfId="1720" priority="10495" operator="containsText" text="Thu">
      <formula>NOT(ISERROR(SEARCH("Thu",D2248)))</formula>
    </cfRule>
    <cfRule type="containsText" dxfId="1719" priority="10496" operator="containsText" text="Wed">
      <formula>NOT(ISERROR(SEARCH("Wed",D2248)))</formula>
    </cfRule>
    <cfRule type="containsText" dxfId="1718" priority="10497" operator="containsText" text="Tue">
      <formula>NOT(ISERROR(SEARCH("Tue",D2248)))</formula>
    </cfRule>
    <cfRule type="containsText" dxfId="1717" priority="10498" operator="containsText" text="Mon">
      <formula>NOT(ISERROR(SEARCH("Mon",D2248)))</formula>
    </cfRule>
  </conditionalFormatting>
  <conditionalFormatting sqref="A2248:B2248">
    <cfRule type="cellIs" dxfId="1716" priority="10493" operator="equal">
      <formula>0</formula>
    </cfRule>
  </conditionalFormatting>
  <conditionalFormatting sqref="D2249">
    <cfRule type="containsText" dxfId="1715" priority="10488" operator="containsText" text="Fri">
      <formula>NOT(ISERROR(SEARCH("Fri",D2249)))</formula>
    </cfRule>
    <cfRule type="containsText" dxfId="1714" priority="10489" operator="containsText" text="Thu">
      <formula>NOT(ISERROR(SEARCH("Thu",D2249)))</formula>
    </cfRule>
    <cfRule type="containsText" dxfId="1713" priority="10490" operator="containsText" text="Wed">
      <formula>NOT(ISERROR(SEARCH("Wed",D2249)))</formula>
    </cfRule>
    <cfRule type="containsText" dxfId="1712" priority="10491" operator="containsText" text="Tue">
      <formula>NOT(ISERROR(SEARCH("Tue",D2249)))</formula>
    </cfRule>
    <cfRule type="containsText" dxfId="1711" priority="10492" operator="containsText" text="Mon">
      <formula>NOT(ISERROR(SEARCH("Mon",D2249)))</formula>
    </cfRule>
  </conditionalFormatting>
  <conditionalFormatting sqref="A2249:B2249">
    <cfRule type="cellIs" dxfId="1710" priority="10487" operator="equal">
      <formula>0</formula>
    </cfRule>
  </conditionalFormatting>
  <conditionalFormatting sqref="D2250">
    <cfRule type="containsText" dxfId="1709" priority="10482" operator="containsText" text="Fri">
      <formula>NOT(ISERROR(SEARCH("Fri",D2250)))</formula>
    </cfRule>
    <cfRule type="containsText" dxfId="1708" priority="10483" operator="containsText" text="Thu">
      <formula>NOT(ISERROR(SEARCH("Thu",D2250)))</formula>
    </cfRule>
    <cfRule type="containsText" dxfId="1707" priority="10484" operator="containsText" text="Wed">
      <formula>NOT(ISERROR(SEARCH("Wed",D2250)))</formula>
    </cfRule>
    <cfRule type="containsText" dxfId="1706" priority="10485" operator="containsText" text="Tue">
      <formula>NOT(ISERROR(SEARCH("Tue",D2250)))</formula>
    </cfRule>
    <cfRule type="containsText" dxfId="1705" priority="10486" operator="containsText" text="Mon">
      <formula>NOT(ISERROR(SEARCH("Mon",D2250)))</formula>
    </cfRule>
  </conditionalFormatting>
  <conditionalFormatting sqref="A2250:B2250">
    <cfRule type="cellIs" dxfId="1704" priority="10481" operator="equal">
      <formula>0</formula>
    </cfRule>
  </conditionalFormatting>
  <conditionalFormatting sqref="D2251">
    <cfRule type="containsText" dxfId="1703" priority="10476" operator="containsText" text="Fri">
      <formula>NOT(ISERROR(SEARCH("Fri",D2251)))</formula>
    </cfRule>
    <cfRule type="containsText" dxfId="1702" priority="10477" operator="containsText" text="Thu">
      <formula>NOT(ISERROR(SEARCH("Thu",D2251)))</formula>
    </cfRule>
    <cfRule type="containsText" dxfId="1701" priority="10478" operator="containsText" text="Wed">
      <formula>NOT(ISERROR(SEARCH("Wed",D2251)))</formula>
    </cfRule>
    <cfRule type="containsText" dxfId="1700" priority="10479" operator="containsText" text="Tue">
      <formula>NOT(ISERROR(SEARCH("Tue",D2251)))</formula>
    </cfRule>
    <cfRule type="containsText" dxfId="1699" priority="10480" operator="containsText" text="Mon">
      <formula>NOT(ISERROR(SEARCH("Mon",D2251)))</formula>
    </cfRule>
  </conditionalFormatting>
  <conditionalFormatting sqref="A2251:B2251">
    <cfRule type="cellIs" dxfId="1698" priority="10475" operator="equal">
      <formula>0</formula>
    </cfRule>
  </conditionalFormatting>
  <conditionalFormatting sqref="D2252:D2253">
    <cfRule type="containsText" dxfId="1697" priority="10470" operator="containsText" text="Fri">
      <formula>NOT(ISERROR(SEARCH("Fri",D2252)))</formula>
    </cfRule>
    <cfRule type="containsText" dxfId="1696" priority="10471" operator="containsText" text="Thu">
      <formula>NOT(ISERROR(SEARCH("Thu",D2252)))</formula>
    </cfRule>
    <cfRule type="containsText" dxfId="1695" priority="10472" operator="containsText" text="Wed">
      <formula>NOT(ISERROR(SEARCH("Wed",D2252)))</formula>
    </cfRule>
    <cfRule type="containsText" dxfId="1694" priority="10473" operator="containsText" text="Tue">
      <formula>NOT(ISERROR(SEARCH("Tue",D2252)))</formula>
    </cfRule>
    <cfRule type="containsText" dxfId="1693" priority="10474" operator="containsText" text="Mon">
      <formula>NOT(ISERROR(SEARCH("Mon",D2252)))</formula>
    </cfRule>
  </conditionalFormatting>
  <conditionalFormatting sqref="A2252:B2253">
    <cfRule type="cellIs" dxfId="1692" priority="10469" operator="equal">
      <formula>0</formula>
    </cfRule>
  </conditionalFormatting>
  <conditionalFormatting sqref="D2254">
    <cfRule type="containsText" dxfId="1691" priority="10464" operator="containsText" text="Fri">
      <formula>NOT(ISERROR(SEARCH("Fri",D2254)))</formula>
    </cfRule>
    <cfRule type="containsText" dxfId="1690" priority="10465" operator="containsText" text="Thu">
      <formula>NOT(ISERROR(SEARCH("Thu",D2254)))</formula>
    </cfRule>
    <cfRule type="containsText" dxfId="1689" priority="10466" operator="containsText" text="Wed">
      <formula>NOT(ISERROR(SEARCH("Wed",D2254)))</formula>
    </cfRule>
    <cfRule type="containsText" dxfId="1688" priority="10467" operator="containsText" text="Tue">
      <formula>NOT(ISERROR(SEARCH("Tue",D2254)))</formula>
    </cfRule>
    <cfRule type="containsText" dxfId="1687" priority="10468" operator="containsText" text="Mon">
      <formula>NOT(ISERROR(SEARCH("Mon",D2254)))</formula>
    </cfRule>
  </conditionalFormatting>
  <conditionalFormatting sqref="A2254:B2254">
    <cfRule type="cellIs" dxfId="1686" priority="10463" operator="equal">
      <formula>0</formula>
    </cfRule>
  </conditionalFormatting>
  <conditionalFormatting sqref="D2255:D2256">
    <cfRule type="containsText" dxfId="1685" priority="10458" operator="containsText" text="Fri">
      <formula>NOT(ISERROR(SEARCH("Fri",D2255)))</formula>
    </cfRule>
    <cfRule type="containsText" dxfId="1684" priority="10459" operator="containsText" text="Thu">
      <formula>NOT(ISERROR(SEARCH("Thu",D2255)))</formula>
    </cfRule>
    <cfRule type="containsText" dxfId="1683" priority="10460" operator="containsText" text="Wed">
      <formula>NOT(ISERROR(SEARCH("Wed",D2255)))</formula>
    </cfRule>
    <cfRule type="containsText" dxfId="1682" priority="10461" operator="containsText" text="Tue">
      <formula>NOT(ISERROR(SEARCH("Tue",D2255)))</formula>
    </cfRule>
    <cfRule type="containsText" dxfId="1681" priority="10462" operator="containsText" text="Mon">
      <formula>NOT(ISERROR(SEARCH("Mon",D2255)))</formula>
    </cfRule>
  </conditionalFormatting>
  <conditionalFormatting sqref="A2255:B2256">
    <cfRule type="cellIs" dxfId="1680" priority="10457" operator="equal">
      <formula>0</formula>
    </cfRule>
  </conditionalFormatting>
  <conditionalFormatting sqref="D2257:D2258">
    <cfRule type="containsText" dxfId="1679" priority="10452" operator="containsText" text="Fri">
      <formula>NOT(ISERROR(SEARCH("Fri",D2257)))</formula>
    </cfRule>
    <cfRule type="containsText" dxfId="1678" priority="10453" operator="containsText" text="Thu">
      <formula>NOT(ISERROR(SEARCH("Thu",D2257)))</formula>
    </cfRule>
    <cfRule type="containsText" dxfId="1677" priority="10454" operator="containsText" text="Wed">
      <formula>NOT(ISERROR(SEARCH("Wed",D2257)))</formula>
    </cfRule>
    <cfRule type="containsText" dxfId="1676" priority="10455" operator="containsText" text="Tue">
      <formula>NOT(ISERROR(SEARCH("Tue",D2257)))</formula>
    </cfRule>
    <cfRule type="containsText" dxfId="1675" priority="10456" operator="containsText" text="Mon">
      <formula>NOT(ISERROR(SEARCH("Mon",D2257)))</formula>
    </cfRule>
  </conditionalFormatting>
  <conditionalFormatting sqref="A2257:B2258">
    <cfRule type="cellIs" dxfId="1674" priority="10451" operator="equal">
      <formula>0</formula>
    </cfRule>
  </conditionalFormatting>
  <conditionalFormatting sqref="D2259:D2260">
    <cfRule type="containsText" dxfId="1673" priority="10446" operator="containsText" text="Fri">
      <formula>NOT(ISERROR(SEARCH("Fri",D2259)))</formula>
    </cfRule>
    <cfRule type="containsText" dxfId="1672" priority="10447" operator="containsText" text="Thu">
      <formula>NOT(ISERROR(SEARCH("Thu",D2259)))</formula>
    </cfRule>
    <cfRule type="containsText" dxfId="1671" priority="10448" operator="containsText" text="Wed">
      <formula>NOT(ISERROR(SEARCH("Wed",D2259)))</formula>
    </cfRule>
    <cfRule type="containsText" dxfId="1670" priority="10449" operator="containsText" text="Tue">
      <formula>NOT(ISERROR(SEARCH("Tue",D2259)))</formula>
    </cfRule>
    <cfRule type="containsText" dxfId="1669" priority="10450" operator="containsText" text="Mon">
      <formula>NOT(ISERROR(SEARCH("Mon",D2259)))</formula>
    </cfRule>
  </conditionalFormatting>
  <conditionalFormatting sqref="A2259:B2260">
    <cfRule type="cellIs" dxfId="1668" priority="10445" operator="equal">
      <formula>0</formula>
    </cfRule>
  </conditionalFormatting>
  <conditionalFormatting sqref="D2261:D2263 D2265">
    <cfRule type="containsText" dxfId="1667" priority="10440" operator="containsText" text="Fri">
      <formula>NOT(ISERROR(SEARCH("Fri",D2261)))</formula>
    </cfRule>
    <cfRule type="containsText" dxfId="1666" priority="10441" operator="containsText" text="Thu">
      <formula>NOT(ISERROR(SEARCH("Thu",D2261)))</formula>
    </cfRule>
    <cfRule type="containsText" dxfId="1665" priority="10442" operator="containsText" text="Wed">
      <formula>NOT(ISERROR(SEARCH("Wed",D2261)))</formula>
    </cfRule>
    <cfRule type="containsText" dxfId="1664" priority="10443" operator="containsText" text="Tue">
      <formula>NOT(ISERROR(SEARCH("Tue",D2261)))</formula>
    </cfRule>
    <cfRule type="containsText" dxfId="1663" priority="10444" operator="containsText" text="Mon">
      <formula>NOT(ISERROR(SEARCH("Mon",D2261)))</formula>
    </cfRule>
  </conditionalFormatting>
  <conditionalFormatting sqref="D2264">
    <cfRule type="containsText" dxfId="1662" priority="10435" operator="containsText" text="Fri">
      <formula>NOT(ISERROR(SEARCH("Fri",D2264)))</formula>
    </cfRule>
    <cfRule type="containsText" dxfId="1661" priority="10436" operator="containsText" text="Thu">
      <formula>NOT(ISERROR(SEARCH("Thu",D2264)))</formula>
    </cfRule>
    <cfRule type="containsText" dxfId="1660" priority="10437" operator="containsText" text="Wed">
      <formula>NOT(ISERROR(SEARCH("Wed",D2264)))</formula>
    </cfRule>
    <cfRule type="containsText" dxfId="1659" priority="10438" operator="containsText" text="Tue">
      <formula>NOT(ISERROR(SEARCH("Tue",D2264)))</formula>
    </cfRule>
    <cfRule type="containsText" dxfId="1658" priority="10439" operator="containsText" text="Mon">
      <formula>NOT(ISERROR(SEARCH("Mon",D2264)))</formula>
    </cfRule>
  </conditionalFormatting>
  <conditionalFormatting sqref="A2261:B2266">
    <cfRule type="cellIs" dxfId="1657" priority="10434" operator="equal">
      <formula>0</formula>
    </cfRule>
  </conditionalFormatting>
  <conditionalFormatting sqref="D2266">
    <cfRule type="containsText" dxfId="1656" priority="10429" operator="containsText" text="Fri">
      <formula>NOT(ISERROR(SEARCH("Fri",D2266)))</formula>
    </cfRule>
    <cfRule type="containsText" dxfId="1655" priority="10430" operator="containsText" text="Thu">
      <formula>NOT(ISERROR(SEARCH("Thu",D2266)))</formula>
    </cfRule>
    <cfRule type="containsText" dxfId="1654" priority="10431" operator="containsText" text="Wed">
      <formula>NOT(ISERROR(SEARCH("Wed",D2266)))</formula>
    </cfRule>
    <cfRule type="containsText" dxfId="1653" priority="10432" operator="containsText" text="Tue">
      <formula>NOT(ISERROR(SEARCH("Tue",D2266)))</formula>
    </cfRule>
    <cfRule type="containsText" dxfId="1652" priority="10433" operator="containsText" text="Mon">
      <formula>NOT(ISERROR(SEARCH("Mon",D2266)))</formula>
    </cfRule>
  </conditionalFormatting>
  <conditionalFormatting sqref="D2267:D2269">
    <cfRule type="containsText" dxfId="1651" priority="8687" operator="containsText" text="Fri">
      <formula>NOT(ISERROR(SEARCH("Fri",D2267)))</formula>
    </cfRule>
    <cfRule type="containsText" dxfId="1650" priority="8688" operator="containsText" text="Thu">
      <formula>NOT(ISERROR(SEARCH("Thu",D2267)))</formula>
    </cfRule>
    <cfRule type="containsText" dxfId="1649" priority="8689" operator="containsText" text="Wed">
      <formula>NOT(ISERROR(SEARCH("Wed",D2267)))</formula>
    </cfRule>
    <cfRule type="containsText" dxfId="1648" priority="8690" operator="containsText" text="Tue">
      <formula>NOT(ISERROR(SEARCH("Tue",D2267)))</formula>
    </cfRule>
    <cfRule type="containsText" dxfId="1647" priority="8691" operator="containsText" text="Mon">
      <formula>NOT(ISERROR(SEARCH("Mon",D2267)))</formula>
    </cfRule>
  </conditionalFormatting>
  <conditionalFormatting sqref="E2267:K2295">
    <cfRule type="cellIs" dxfId="1646" priority="8686" operator="equal">
      <formula>0</formula>
    </cfRule>
  </conditionalFormatting>
  <conditionalFormatting sqref="A2267:B2269">
    <cfRule type="cellIs" dxfId="1645" priority="8685" operator="equal">
      <formula>0</formula>
    </cfRule>
  </conditionalFormatting>
  <conditionalFormatting sqref="D2270:D2274">
    <cfRule type="containsText" dxfId="1644" priority="8680" operator="containsText" text="Fri">
      <formula>NOT(ISERROR(SEARCH("Fri",D2270)))</formula>
    </cfRule>
    <cfRule type="containsText" dxfId="1643" priority="8681" operator="containsText" text="Thu">
      <formula>NOT(ISERROR(SEARCH("Thu",D2270)))</formula>
    </cfRule>
    <cfRule type="containsText" dxfId="1642" priority="8682" operator="containsText" text="Wed">
      <formula>NOT(ISERROR(SEARCH("Wed",D2270)))</formula>
    </cfRule>
    <cfRule type="containsText" dxfId="1641" priority="8683" operator="containsText" text="Tue">
      <formula>NOT(ISERROR(SEARCH("Tue",D2270)))</formula>
    </cfRule>
    <cfRule type="containsText" dxfId="1640" priority="8684" operator="containsText" text="Mon">
      <formula>NOT(ISERROR(SEARCH("Mon",D2270)))</formula>
    </cfRule>
  </conditionalFormatting>
  <conditionalFormatting sqref="A2270:B2274">
    <cfRule type="cellIs" dxfId="1639" priority="8679" operator="equal">
      <formula>0</formula>
    </cfRule>
  </conditionalFormatting>
  <conditionalFormatting sqref="D2275">
    <cfRule type="containsText" dxfId="1638" priority="8674" operator="containsText" text="Fri">
      <formula>NOT(ISERROR(SEARCH("Fri",D2275)))</formula>
    </cfRule>
    <cfRule type="containsText" dxfId="1637" priority="8675" operator="containsText" text="Thu">
      <formula>NOT(ISERROR(SEARCH("Thu",D2275)))</formula>
    </cfRule>
    <cfRule type="containsText" dxfId="1636" priority="8676" operator="containsText" text="Wed">
      <formula>NOT(ISERROR(SEARCH("Wed",D2275)))</formula>
    </cfRule>
    <cfRule type="containsText" dxfId="1635" priority="8677" operator="containsText" text="Tue">
      <formula>NOT(ISERROR(SEARCH("Tue",D2275)))</formula>
    </cfRule>
    <cfRule type="containsText" dxfId="1634" priority="8678" operator="containsText" text="Mon">
      <formula>NOT(ISERROR(SEARCH("Mon",D2275)))</formula>
    </cfRule>
  </conditionalFormatting>
  <conditionalFormatting sqref="A2275:B2275">
    <cfRule type="cellIs" dxfId="1633" priority="8673" operator="equal">
      <formula>0</formula>
    </cfRule>
  </conditionalFormatting>
  <conditionalFormatting sqref="D2276">
    <cfRule type="containsText" dxfId="1632" priority="8668" operator="containsText" text="Fri">
      <formula>NOT(ISERROR(SEARCH("Fri",D2276)))</formula>
    </cfRule>
    <cfRule type="containsText" dxfId="1631" priority="8669" operator="containsText" text="Thu">
      <formula>NOT(ISERROR(SEARCH("Thu",D2276)))</formula>
    </cfRule>
    <cfRule type="containsText" dxfId="1630" priority="8670" operator="containsText" text="Wed">
      <formula>NOT(ISERROR(SEARCH("Wed",D2276)))</formula>
    </cfRule>
    <cfRule type="containsText" dxfId="1629" priority="8671" operator="containsText" text="Tue">
      <formula>NOT(ISERROR(SEARCH("Tue",D2276)))</formula>
    </cfRule>
    <cfRule type="containsText" dxfId="1628" priority="8672" operator="containsText" text="Mon">
      <formula>NOT(ISERROR(SEARCH("Mon",D2276)))</formula>
    </cfRule>
  </conditionalFormatting>
  <conditionalFormatting sqref="A2276:B2276">
    <cfRule type="cellIs" dxfId="1627" priority="8667" operator="equal">
      <formula>0</formula>
    </cfRule>
  </conditionalFormatting>
  <conditionalFormatting sqref="D2277">
    <cfRule type="containsText" dxfId="1626" priority="8662" operator="containsText" text="Fri">
      <formula>NOT(ISERROR(SEARCH("Fri",D2277)))</formula>
    </cfRule>
    <cfRule type="containsText" dxfId="1625" priority="8663" operator="containsText" text="Thu">
      <formula>NOT(ISERROR(SEARCH("Thu",D2277)))</formula>
    </cfRule>
    <cfRule type="containsText" dxfId="1624" priority="8664" operator="containsText" text="Wed">
      <formula>NOT(ISERROR(SEARCH("Wed",D2277)))</formula>
    </cfRule>
    <cfRule type="containsText" dxfId="1623" priority="8665" operator="containsText" text="Tue">
      <formula>NOT(ISERROR(SEARCH("Tue",D2277)))</formula>
    </cfRule>
    <cfRule type="containsText" dxfId="1622" priority="8666" operator="containsText" text="Mon">
      <formula>NOT(ISERROR(SEARCH("Mon",D2277)))</formula>
    </cfRule>
  </conditionalFormatting>
  <conditionalFormatting sqref="A2277:B2277">
    <cfRule type="cellIs" dxfId="1621" priority="8661" operator="equal">
      <formula>0</formula>
    </cfRule>
  </conditionalFormatting>
  <conditionalFormatting sqref="D2278">
    <cfRule type="containsText" dxfId="1620" priority="8656" operator="containsText" text="Fri">
      <formula>NOT(ISERROR(SEARCH("Fri",D2278)))</formula>
    </cfRule>
    <cfRule type="containsText" dxfId="1619" priority="8657" operator="containsText" text="Thu">
      <formula>NOT(ISERROR(SEARCH("Thu",D2278)))</formula>
    </cfRule>
    <cfRule type="containsText" dxfId="1618" priority="8658" operator="containsText" text="Wed">
      <formula>NOT(ISERROR(SEARCH("Wed",D2278)))</formula>
    </cfRule>
    <cfRule type="containsText" dxfId="1617" priority="8659" operator="containsText" text="Tue">
      <formula>NOT(ISERROR(SEARCH("Tue",D2278)))</formula>
    </cfRule>
    <cfRule type="containsText" dxfId="1616" priority="8660" operator="containsText" text="Mon">
      <formula>NOT(ISERROR(SEARCH("Mon",D2278)))</formula>
    </cfRule>
  </conditionalFormatting>
  <conditionalFormatting sqref="A2278:B2280">
    <cfRule type="cellIs" dxfId="1615" priority="8655" operator="equal">
      <formula>0</formula>
    </cfRule>
  </conditionalFormatting>
  <conditionalFormatting sqref="D2279:D2280">
    <cfRule type="containsText" dxfId="1614" priority="8650" operator="containsText" text="Fri">
      <formula>NOT(ISERROR(SEARCH("Fri",D2279)))</formula>
    </cfRule>
    <cfRule type="containsText" dxfId="1613" priority="8651" operator="containsText" text="Thu">
      <formula>NOT(ISERROR(SEARCH("Thu",D2279)))</formula>
    </cfRule>
    <cfRule type="containsText" dxfId="1612" priority="8652" operator="containsText" text="Wed">
      <formula>NOT(ISERROR(SEARCH("Wed",D2279)))</formula>
    </cfRule>
    <cfRule type="containsText" dxfId="1611" priority="8653" operator="containsText" text="Tue">
      <formula>NOT(ISERROR(SEARCH("Tue",D2279)))</formula>
    </cfRule>
    <cfRule type="containsText" dxfId="1610" priority="8654" operator="containsText" text="Mon">
      <formula>NOT(ISERROR(SEARCH("Mon",D2279)))</formula>
    </cfRule>
  </conditionalFormatting>
  <conditionalFormatting sqref="D2281">
    <cfRule type="containsText" dxfId="1609" priority="8645" operator="containsText" text="Fri">
      <formula>NOT(ISERROR(SEARCH("Fri",D2281)))</formula>
    </cfRule>
    <cfRule type="containsText" dxfId="1608" priority="8646" operator="containsText" text="Thu">
      <formula>NOT(ISERROR(SEARCH("Thu",D2281)))</formula>
    </cfRule>
    <cfRule type="containsText" dxfId="1607" priority="8647" operator="containsText" text="Wed">
      <formula>NOT(ISERROR(SEARCH("Wed",D2281)))</formula>
    </cfRule>
    <cfRule type="containsText" dxfId="1606" priority="8648" operator="containsText" text="Tue">
      <formula>NOT(ISERROR(SEARCH("Tue",D2281)))</formula>
    </cfRule>
    <cfRule type="containsText" dxfId="1605" priority="8649" operator="containsText" text="Mon">
      <formula>NOT(ISERROR(SEARCH("Mon",D2281)))</formula>
    </cfRule>
  </conditionalFormatting>
  <conditionalFormatting sqref="A2281:B2281">
    <cfRule type="cellIs" dxfId="1604" priority="8644" operator="equal">
      <formula>0</formula>
    </cfRule>
  </conditionalFormatting>
  <conditionalFormatting sqref="D2282">
    <cfRule type="containsText" dxfId="1603" priority="8639" operator="containsText" text="Fri">
      <formula>NOT(ISERROR(SEARCH("Fri",D2282)))</formula>
    </cfRule>
    <cfRule type="containsText" dxfId="1602" priority="8640" operator="containsText" text="Thu">
      <formula>NOT(ISERROR(SEARCH("Thu",D2282)))</formula>
    </cfRule>
    <cfRule type="containsText" dxfId="1601" priority="8641" operator="containsText" text="Wed">
      <formula>NOT(ISERROR(SEARCH("Wed",D2282)))</formula>
    </cfRule>
    <cfRule type="containsText" dxfId="1600" priority="8642" operator="containsText" text="Tue">
      <formula>NOT(ISERROR(SEARCH("Tue",D2282)))</formula>
    </cfRule>
    <cfRule type="containsText" dxfId="1599" priority="8643" operator="containsText" text="Mon">
      <formula>NOT(ISERROR(SEARCH("Mon",D2282)))</formula>
    </cfRule>
  </conditionalFormatting>
  <conditionalFormatting sqref="A2282:B2282">
    <cfRule type="cellIs" dxfId="1598" priority="8638" operator="equal">
      <formula>0</formula>
    </cfRule>
  </conditionalFormatting>
  <conditionalFormatting sqref="D2283">
    <cfRule type="containsText" dxfId="1597" priority="8633" operator="containsText" text="Fri">
      <formula>NOT(ISERROR(SEARCH("Fri",D2283)))</formula>
    </cfRule>
    <cfRule type="containsText" dxfId="1596" priority="8634" operator="containsText" text="Thu">
      <formula>NOT(ISERROR(SEARCH("Thu",D2283)))</formula>
    </cfRule>
    <cfRule type="containsText" dxfId="1595" priority="8635" operator="containsText" text="Wed">
      <formula>NOT(ISERROR(SEARCH("Wed",D2283)))</formula>
    </cfRule>
    <cfRule type="containsText" dxfId="1594" priority="8636" operator="containsText" text="Tue">
      <formula>NOT(ISERROR(SEARCH("Tue",D2283)))</formula>
    </cfRule>
    <cfRule type="containsText" dxfId="1593" priority="8637" operator="containsText" text="Mon">
      <formula>NOT(ISERROR(SEARCH("Mon",D2283)))</formula>
    </cfRule>
  </conditionalFormatting>
  <conditionalFormatting sqref="A2283:B2283">
    <cfRule type="cellIs" dxfId="1592" priority="8632" operator="equal">
      <formula>0</formula>
    </cfRule>
  </conditionalFormatting>
  <conditionalFormatting sqref="D2284">
    <cfRule type="containsText" dxfId="1591" priority="8627" operator="containsText" text="Fri">
      <formula>NOT(ISERROR(SEARCH("Fri",D2284)))</formula>
    </cfRule>
    <cfRule type="containsText" dxfId="1590" priority="8628" operator="containsText" text="Thu">
      <formula>NOT(ISERROR(SEARCH("Thu",D2284)))</formula>
    </cfRule>
    <cfRule type="containsText" dxfId="1589" priority="8629" operator="containsText" text="Wed">
      <formula>NOT(ISERROR(SEARCH("Wed",D2284)))</formula>
    </cfRule>
    <cfRule type="containsText" dxfId="1588" priority="8630" operator="containsText" text="Tue">
      <formula>NOT(ISERROR(SEARCH("Tue",D2284)))</formula>
    </cfRule>
    <cfRule type="containsText" dxfId="1587" priority="8631" operator="containsText" text="Mon">
      <formula>NOT(ISERROR(SEARCH("Mon",D2284)))</formula>
    </cfRule>
  </conditionalFormatting>
  <conditionalFormatting sqref="A2284:B2284">
    <cfRule type="cellIs" dxfId="1586" priority="8626" operator="equal">
      <formula>0</formula>
    </cfRule>
  </conditionalFormatting>
  <conditionalFormatting sqref="D2285">
    <cfRule type="containsText" dxfId="1585" priority="8621" operator="containsText" text="Fri">
      <formula>NOT(ISERROR(SEARCH("Fri",D2285)))</formula>
    </cfRule>
    <cfRule type="containsText" dxfId="1584" priority="8622" operator="containsText" text="Thu">
      <formula>NOT(ISERROR(SEARCH("Thu",D2285)))</formula>
    </cfRule>
    <cfRule type="containsText" dxfId="1583" priority="8623" operator="containsText" text="Wed">
      <formula>NOT(ISERROR(SEARCH("Wed",D2285)))</formula>
    </cfRule>
    <cfRule type="containsText" dxfId="1582" priority="8624" operator="containsText" text="Tue">
      <formula>NOT(ISERROR(SEARCH("Tue",D2285)))</formula>
    </cfRule>
    <cfRule type="containsText" dxfId="1581" priority="8625" operator="containsText" text="Mon">
      <formula>NOT(ISERROR(SEARCH("Mon",D2285)))</formula>
    </cfRule>
  </conditionalFormatting>
  <conditionalFormatting sqref="A2285:B2285">
    <cfRule type="cellIs" dxfId="1580" priority="8620" operator="equal">
      <formula>0</formula>
    </cfRule>
  </conditionalFormatting>
  <conditionalFormatting sqref="D2286">
    <cfRule type="containsText" dxfId="1579" priority="8615" operator="containsText" text="Fri">
      <formula>NOT(ISERROR(SEARCH("Fri",D2286)))</formula>
    </cfRule>
    <cfRule type="containsText" dxfId="1578" priority="8616" operator="containsText" text="Thu">
      <formula>NOT(ISERROR(SEARCH("Thu",D2286)))</formula>
    </cfRule>
    <cfRule type="containsText" dxfId="1577" priority="8617" operator="containsText" text="Wed">
      <formula>NOT(ISERROR(SEARCH("Wed",D2286)))</formula>
    </cfRule>
    <cfRule type="containsText" dxfId="1576" priority="8618" operator="containsText" text="Tue">
      <formula>NOT(ISERROR(SEARCH("Tue",D2286)))</formula>
    </cfRule>
    <cfRule type="containsText" dxfId="1575" priority="8619" operator="containsText" text="Mon">
      <formula>NOT(ISERROR(SEARCH("Mon",D2286)))</formula>
    </cfRule>
  </conditionalFormatting>
  <conditionalFormatting sqref="A2286:B2286">
    <cfRule type="cellIs" dxfId="1574" priority="8614" operator="equal">
      <formula>0</formula>
    </cfRule>
  </conditionalFormatting>
  <conditionalFormatting sqref="D2287">
    <cfRule type="containsText" dxfId="1573" priority="8609" operator="containsText" text="Fri">
      <formula>NOT(ISERROR(SEARCH("Fri",D2287)))</formula>
    </cfRule>
    <cfRule type="containsText" dxfId="1572" priority="8610" operator="containsText" text="Thu">
      <formula>NOT(ISERROR(SEARCH("Thu",D2287)))</formula>
    </cfRule>
    <cfRule type="containsText" dxfId="1571" priority="8611" operator="containsText" text="Wed">
      <formula>NOT(ISERROR(SEARCH("Wed",D2287)))</formula>
    </cfRule>
    <cfRule type="containsText" dxfId="1570" priority="8612" operator="containsText" text="Tue">
      <formula>NOT(ISERROR(SEARCH("Tue",D2287)))</formula>
    </cfRule>
    <cfRule type="containsText" dxfId="1569" priority="8613" operator="containsText" text="Mon">
      <formula>NOT(ISERROR(SEARCH("Mon",D2287)))</formula>
    </cfRule>
  </conditionalFormatting>
  <conditionalFormatting sqref="A2287:B2287">
    <cfRule type="cellIs" dxfId="1568" priority="8608" operator="equal">
      <formula>0</formula>
    </cfRule>
  </conditionalFormatting>
  <conditionalFormatting sqref="D2288">
    <cfRule type="containsText" dxfId="1567" priority="8603" operator="containsText" text="Fri">
      <formula>NOT(ISERROR(SEARCH("Fri",D2288)))</formula>
    </cfRule>
    <cfRule type="containsText" dxfId="1566" priority="8604" operator="containsText" text="Thu">
      <formula>NOT(ISERROR(SEARCH("Thu",D2288)))</formula>
    </cfRule>
    <cfRule type="containsText" dxfId="1565" priority="8605" operator="containsText" text="Wed">
      <formula>NOT(ISERROR(SEARCH("Wed",D2288)))</formula>
    </cfRule>
    <cfRule type="containsText" dxfId="1564" priority="8606" operator="containsText" text="Tue">
      <formula>NOT(ISERROR(SEARCH("Tue",D2288)))</formula>
    </cfRule>
    <cfRule type="containsText" dxfId="1563" priority="8607" operator="containsText" text="Mon">
      <formula>NOT(ISERROR(SEARCH("Mon",D2288)))</formula>
    </cfRule>
  </conditionalFormatting>
  <conditionalFormatting sqref="A2288:B2288">
    <cfRule type="cellIs" dxfId="1562" priority="8602" operator="equal">
      <formula>0</formula>
    </cfRule>
  </conditionalFormatting>
  <conditionalFormatting sqref="D2289">
    <cfRule type="containsText" dxfId="1561" priority="8597" operator="containsText" text="Fri">
      <formula>NOT(ISERROR(SEARCH("Fri",D2289)))</formula>
    </cfRule>
    <cfRule type="containsText" dxfId="1560" priority="8598" operator="containsText" text="Thu">
      <formula>NOT(ISERROR(SEARCH("Thu",D2289)))</formula>
    </cfRule>
    <cfRule type="containsText" dxfId="1559" priority="8599" operator="containsText" text="Wed">
      <formula>NOT(ISERROR(SEARCH("Wed",D2289)))</formula>
    </cfRule>
    <cfRule type="containsText" dxfId="1558" priority="8600" operator="containsText" text="Tue">
      <formula>NOT(ISERROR(SEARCH("Tue",D2289)))</formula>
    </cfRule>
    <cfRule type="containsText" dxfId="1557" priority="8601" operator="containsText" text="Mon">
      <formula>NOT(ISERROR(SEARCH("Mon",D2289)))</formula>
    </cfRule>
  </conditionalFormatting>
  <conditionalFormatting sqref="A2289:B2289">
    <cfRule type="cellIs" dxfId="1556" priority="8596" operator="equal">
      <formula>0</formula>
    </cfRule>
  </conditionalFormatting>
  <conditionalFormatting sqref="D2290">
    <cfRule type="containsText" dxfId="1555" priority="8591" operator="containsText" text="Fri">
      <formula>NOT(ISERROR(SEARCH("Fri",D2290)))</formula>
    </cfRule>
    <cfRule type="containsText" dxfId="1554" priority="8592" operator="containsText" text="Thu">
      <formula>NOT(ISERROR(SEARCH("Thu",D2290)))</formula>
    </cfRule>
    <cfRule type="containsText" dxfId="1553" priority="8593" operator="containsText" text="Wed">
      <formula>NOT(ISERROR(SEARCH("Wed",D2290)))</formula>
    </cfRule>
    <cfRule type="containsText" dxfId="1552" priority="8594" operator="containsText" text="Tue">
      <formula>NOT(ISERROR(SEARCH("Tue",D2290)))</formula>
    </cfRule>
    <cfRule type="containsText" dxfId="1551" priority="8595" operator="containsText" text="Mon">
      <formula>NOT(ISERROR(SEARCH("Mon",D2290)))</formula>
    </cfRule>
  </conditionalFormatting>
  <conditionalFormatting sqref="A2290:B2291">
    <cfRule type="cellIs" dxfId="1550" priority="8590" operator="equal">
      <formula>0</formula>
    </cfRule>
  </conditionalFormatting>
  <conditionalFormatting sqref="D2291">
    <cfRule type="containsText" dxfId="1549" priority="8585" operator="containsText" text="Fri">
      <formula>NOT(ISERROR(SEARCH("Fri",D2291)))</formula>
    </cfRule>
    <cfRule type="containsText" dxfId="1548" priority="8586" operator="containsText" text="Thu">
      <formula>NOT(ISERROR(SEARCH("Thu",D2291)))</formula>
    </cfRule>
    <cfRule type="containsText" dxfId="1547" priority="8587" operator="containsText" text="Wed">
      <formula>NOT(ISERROR(SEARCH("Wed",D2291)))</formula>
    </cfRule>
    <cfRule type="containsText" dxfId="1546" priority="8588" operator="containsText" text="Tue">
      <formula>NOT(ISERROR(SEARCH("Tue",D2291)))</formula>
    </cfRule>
    <cfRule type="containsText" dxfId="1545" priority="8589" operator="containsText" text="Mon">
      <formula>NOT(ISERROR(SEARCH("Mon",D2291)))</formula>
    </cfRule>
  </conditionalFormatting>
  <conditionalFormatting sqref="D2292">
    <cfRule type="containsText" dxfId="1544" priority="8580" operator="containsText" text="Fri">
      <formula>NOT(ISERROR(SEARCH("Fri",D2292)))</formula>
    </cfRule>
    <cfRule type="containsText" dxfId="1543" priority="8581" operator="containsText" text="Thu">
      <formula>NOT(ISERROR(SEARCH("Thu",D2292)))</formula>
    </cfRule>
    <cfRule type="containsText" dxfId="1542" priority="8582" operator="containsText" text="Wed">
      <formula>NOT(ISERROR(SEARCH("Wed",D2292)))</formula>
    </cfRule>
    <cfRule type="containsText" dxfId="1541" priority="8583" operator="containsText" text="Tue">
      <formula>NOT(ISERROR(SEARCH("Tue",D2292)))</formula>
    </cfRule>
    <cfRule type="containsText" dxfId="1540" priority="8584" operator="containsText" text="Mon">
      <formula>NOT(ISERROR(SEARCH("Mon",D2292)))</formula>
    </cfRule>
  </conditionalFormatting>
  <conditionalFormatting sqref="A2292:B2292">
    <cfRule type="cellIs" dxfId="1539" priority="8579" operator="equal">
      <formula>0</formula>
    </cfRule>
  </conditionalFormatting>
  <conditionalFormatting sqref="D2293">
    <cfRule type="containsText" dxfId="1538" priority="8574" operator="containsText" text="Fri">
      <formula>NOT(ISERROR(SEARCH("Fri",D2293)))</formula>
    </cfRule>
    <cfRule type="containsText" dxfId="1537" priority="8575" operator="containsText" text="Thu">
      <formula>NOT(ISERROR(SEARCH("Thu",D2293)))</formula>
    </cfRule>
    <cfRule type="containsText" dxfId="1536" priority="8576" operator="containsText" text="Wed">
      <formula>NOT(ISERROR(SEARCH("Wed",D2293)))</formula>
    </cfRule>
    <cfRule type="containsText" dxfId="1535" priority="8577" operator="containsText" text="Tue">
      <formula>NOT(ISERROR(SEARCH("Tue",D2293)))</formula>
    </cfRule>
    <cfRule type="containsText" dxfId="1534" priority="8578" operator="containsText" text="Mon">
      <formula>NOT(ISERROR(SEARCH("Mon",D2293)))</formula>
    </cfRule>
  </conditionalFormatting>
  <conditionalFormatting sqref="A2293:B2293">
    <cfRule type="cellIs" dxfId="1533" priority="8573" operator="equal">
      <formula>0</formula>
    </cfRule>
  </conditionalFormatting>
  <conditionalFormatting sqref="D2294">
    <cfRule type="containsText" dxfId="1532" priority="8568" operator="containsText" text="Fri">
      <formula>NOT(ISERROR(SEARCH("Fri",D2294)))</formula>
    </cfRule>
    <cfRule type="containsText" dxfId="1531" priority="8569" operator="containsText" text="Thu">
      <formula>NOT(ISERROR(SEARCH("Thu",D2294)))</formula>
    </cfRule>
    <cfRule type="containsText" dxfId="1530" priority="8570" operator="containsText" text="Wed">
      <formula>NOT(ISERROR(SEARCH("Wed",D2294)))</formula>
    </cfRule>
    <cfRule type="containsText" dxfId="1529" priority="8571" operator="containsText" text="Tue">
      <formula>NOT(ISERROR(SEARCH("Tue",D2294)))</formula>
    </cfRule>
    <cfRule type="containsText" dxfId="1528" priority="8572" operator="containsText" text="Mon">
      <formula>NOT(ISERROR(SEARCH("Mon",D2294)))</formula>
    </cfRule>
  </conditionalFormatting>
  <conditionalFormatting sqref="A2294:B2294">
    <cfRule type="cellIs" dxfId="1527" priority="8567" operator="equal">
      <formula>0</formula>
    </cfRule>
  </conditionalFormatting>
  <conditionalFormatting sqref="D2295">
    <cfRule type="containsText" dxfId="1526" priority="8562" operator="containsText" text="Fri">
      <formula>NOT(ISERROR(SEARCH("Fri",D2295)))</formula>
    </cfRule>
    <cfRule type="containsText" dxfId="1525" priority="8563" operator="containsText" text="Thu">
      <formula>NOT(ISERROR(SEARCH("Thu",D2295)))</formula>
    </cfRule>
    <cfRule type="containsText" dxfId="1524" priority="8564" operator="containsText" text="Wed">
      <formula>NOT(ISERROR(SEARCH("Wed",D2295)))</formula>
    </cfRule>
    <cfRule type="containsText" dxfId="1523" priority="8565" operator="containsText" text="Tue">
      <formula>NOT(ISERROR(SEARCH("Tue",D2295)))</formula>
    </cfRule>
    <cfRule type="containsText" dxfId="1522" priority="8566" operator="containsText" text="Mon">
      <formula>NOT(ISERROR(SEARCH("Mon",D2295)))</formula>
    </cfRule>
  </conditionalFormatting>
  <conditionalFormatting sqref="A2295:B2295">
    <cfRule type="cellIs" dxfId="1521" priority="8561" operator="equal">
      <formula>0</formula>
    </cfRule>
  </conditionalFormatting>
  <conditionalFormatting sqref="E2296:K2330">
    <cfRule type="cellIs" dxfId="1520" priority="7810" operator="equal">
      <formula>0</formula>
    </cfRule>
  </conditionalFormatting>
  <conditionalFormatting sqref="D2296:D2297">
    <cfRule type="containsText" dxfId="1519" priority="7805" operator="containsText" text="Fri">
      <formula>NOT(ISERROR(SEARCH("Fri",D2296)))</formula>
    </cfRule>
    <cfRule type="containsText" dxfId="1518" priority="7806" operator="containsText" text="Thu">
      <formula>NOT(ISERROR(SEARCH("Thu",D2296)))</formula>
    </cfRule>
    <cfRule type="containsText" dxfId="1517" priority="7807" operator="containsText" text="Wed">
      <formula>NOT(ISERROR(SEARCH("Wed",D2296)))</formula>
    </cfRule>
    <cfRule type="containsText" dxfId="1516" priority="7808" operator="containsText" text="Tue">
      <formula>NOT(ISERROR(SEARCH("Tue",D2296)))</formula>
    </cfRule>
    <cfRule type="containsText" dxfId="1515" priority="7809" operator="containsText" text="Mon">
      <formula>NOT(ISERROR(SEARCH("Mon",D2296)))</formula>
    </cfRule>
  </conditionalFormatting>
  <conditionalFormatting sqref="A2296:B2297">
    <cfRule type="cellIs" dxfId="1514" priority="7804" operator="equal">
      <formula>0</formula>
    </cfRule>
  </conditionalFormatting>
  <conditionalFormatting sqref="D2298">
    <cfRule type="containsText" dxfId="1513" priority="7799" operator="containsText" text="Fri">
      <formula>NOT(ISERROR(SEARCH("Fri",D2298)))</formula>
    </cfRule>
    <cfRule type="containsText" dxfId="1512" priority="7800" operator="containsText" text="Thu">
      <formula>NOT(ISERROR(SEARCH("Thu",D2298)))</formula>
    </cfRule>
    <cfRule type="containsText" dxfId="1511" priority="7801" operator="containsText" text="Wed">
      <formula>NOT(ISERROR(SEARCH("Wed",D2298)))</formula>
    </cfRule>
    <cfRule type="containsText" dxfId="1510" priority="7802" operator="containsText" text="Tue">
      <formula>NOT(ISERROR(SEARCH("Tue",D2298)))</formula>
    </cfRule>
    <cfRule type="containsText" dxfId="1509" priority="7803" operator="containsText" text="Mon">
      <formula>NOT(ISERROR(SEARCH("Mon",D2298)))</formula>
    </cfRule>
  </conditionalFormatting>
  <conditionalFormatting sqref="A2298:B2298">
    <cfRule type="cellIs" dxfId="1508" priority="7798" operator="equal">
      <formula>0</formula>
    </cfRule>
  </conditionalFormatting>
  <conditionalFormatting sqref="D2299">
    <cfRule type="containsText" dxfId="1507" priority="7793" operator="containsText" text="Fri">
      <formula>NOT(ISERROR(SEARCH("Fri",D2299)))</formula>
    </cfRule>
    <cfRule type="containsText" dxfId="1506" priority="7794" operator="containsText" text="Thu">
      <formula>NOT(ISERROR(SEARCH("Thu",D2299)))</formula>
    </cfRule>
    <cfRule type="containsText" dxfId="1505" priority="7795" operator="containsText" text="Wed">
      <formula>NOT(ISERROR(SEARCH("Wed",D2299)))</formula>
    </cfRule>
    <cfRule type="containsText" dxfId="1504" priority="7796" operator="containsText" text="Tue">
      <formula>NOT(ISERROR(SEARCH("Tue",D2299)))</formula>
    </cfRule>
    <cfRule type="containsText" dxfId="1503" priority="7797" operator="containsText" text="Mon">
      <formula>NOT(ISERROR(SEARCH("Mon",D2299)))</formula>
    </cfRule>
  </conditionalFormatting>
  <conditionalFormatting sqref="A2299:B2299">
    <cfRule type="cellIs" dxfId="1502" priority="7792" operator="equal">
      <formula>0</formula>
    </cfRule>
  </conditionalFormatting>
  <conditionalFormatting sqref="D2300">
    <cfRule type="containsText" dxfId="1501" priority="7787" operator="containsText" text="Fri">
      <formula>NOT(ISERROR(SEARCH("Fri",D2300)))</formula>
    </cfRule>
    <cfRule type="containsText" dxfId="1500" priority="7788" operator="containsText" text="Thu">
      <formula>NOT(ISERROR(SEARCH("Thu",D2300)))</formula>
    </cfRule>
    <cfRule type="containsText" dxfId="1499" priority="7789" operator="containsText" text="Wed">
      <formula>NOT(ISERROR(SEARCH("Wed",D2300)))</formula>
    </cfRule>
    <cfRule type="containsText" dxfId="1498" priority="7790" operator="containsText" text="Tue">
      <formula>NOT(ISERROR(SEARCH("Tue",D2300)))</formula>
    </cfRule>
    <cfRule type="containsText" dxfId="1497" priority="7791" operator="containsText" text="Mon">
      <formula>NOT(ISERROR(SEARCH("Mon",D2300)))</formula>
    </cfRule>
  </conditionalFormatting>
  <conditionalFormatting sqref="A2300:B2300">
    <cfRule type="cellIs" dxfId="1496" priority="7786" operator="equal">
      <formula>0</formula>
    </cfRule>
  </conditionalFormatting>
  <conditionalFormatting sqref="D2301">
    <cfRule type="containsText" dxfId="1495" priority="7781" operator="containsText" text="Fri">
      <formula>NOT(ISERROR(SEARCH("Fri",D2301)))</formula>
    </cfRule>
    <cfRule type="containsText" dxfId="1494" priority="7782" operator="containsText" text="Thu">
      <formula>NOT(ISERROR(SEARCH("Thu",D2301)))</formula>
    </cfRule>
    <cfRule type="containsText" dxfId="1493" priority="7783" operator="containsText" text="Wed">
      <formula>NOT(ISERROR(SEARCH("Wed",D2301)))</formula>
    </cfRule>
    <cfRule type="containsText" dxfId="1492" priority="7784" operator="containsText" text="Tue">
      <formula>NOT(ISERROR(SEARCH("Tue",D2301)))</formula>
    </cfRule>
    <cfRule type="containsText" dxfId="1491" priority="7785" operator="containsText" text="Mon">
      <formula>NOT(ISERROR(SEARCH("Mon",D2301)))</formula>
    </cfRule>
  </conditionalFormatting>
  <conditionalFormatting sqref="A2301:B2301">
    <cfRule type="cellIs" dxfId="1490" priority="7780" operator="equal">
      <formula>0</formula>
    </cfRule>
  </conditionalFormatting>
  <conditionalFormatting sqref="D2302">
    <cfRule type="containsText" dxfId="1489" priority="7775" operator="containsText" text="Fri">
      <formula>NOT(ISERROR(SEARCH("Fri",D2302)))</formula>
    </cfRule>
    <cfRule type="containsText" dxfId="1488" priority="7776" operator="containsText" text="Thu">
      <formula>NOT(ISERROR(SEARCH("Thu",D2302)))</formula>
    </cfRule>
    <cfRule type="containsText" dxfId="1487" priority="7777" operator="containsText" text="Wed">
      <formula>NOT(ISERROR(SEARCH("Wed",D2302)))</formula>
    </cfRule>
    <cfRule type="containsText" dxfId="1486" priority="7778" operator="containsText" text="Tue">
      <formula>NOT(ISERROR(SEARCH("Tue",D2302)))</formula>
    </cfRule>
    <cfRule type="containsText" dxfId="1485" priority="7779" operator="containsText" text="Mon">
      <formula>NOT(ISERROR(SEARCH("Mon",D2302)))</formula>
    </cfRule>
  </conditionalFormatting>
  <conditionalFormatting sqref="A2302:B2303">
    <cfRule type="cellIs" dxfId="1484" priority="7774" operator="equal">
      <formula>0</formula>
    </cfRule>
  </conditionalFormatting>
  <conditionalFormatting sqref="D2303">
    <cfRule type="containsText" dxfId="1483" priority="7769" operator="containsText" text="Fri">
      <formula>NOT(ISERROR(SEARCH("Fri",D2303)))</formula>
    </cfRule>
    <cfRule type="containsText" dxfId="1482" priority="7770" operator="containsText" text="Thu">
      <formula>NOT(ISERROR(SEARCH("Thu",D2303)))</formula>
    </cfRule>
    <cfRule type="containsText" dxfId="1481" priority="7771" operator="containsText" text="Wed">
      <formula>NOT(ISERROR(SEARCH("Wed",D2303)))</formula>
    </cfRule>
    <cfRule type="containsText" dxfId="1480" priority="7772" operator="containsText" text="Tue">
      <formula>NOT(ISERROR(SEARCH("Tue",D2303)))</formula>
    </cfRule>
    <cfRule type="containsText" dxfId="1479" priority="7773" operator="containsText" text="Mon">
      <formula>NOT(ISERROR(SEARCH("Mon",D2303)))</formula>
    </cfRule>
  </conditionalFormatting>
  <conditionalFormatting sqref="D2304:D2305">
    <cfRule type="containsText" dxfId="1478" priority="7764" operator="containsText" text="Fri">
      <formula>NOT(ISERROR(SEARCH("Fri",D2304)))</formula>
    </cfRule>
    <cfRule type="containsText" dxfId="1477" priority="7765" operator="containsText" text="Thu">
      <formula>NOT(ISERROR(SEARCH("Thu",D2304)))</formula>
    </cfRule>
    <cfRule type="containsText" dxfId="1476" priority="7766" operator="containsText" text="Wed">
      <formula>NOT(ISERROR(SEARCH("Wed",D2304)))</formula>
    </cfRule>
    <cfRule type="containsText" dxfId="1475" priority="7767" operator="containsText" text="Tue">
      <formula>NOT(ISERROR(SEARCH("Tue",D2304)))</formula>
    </cfRule>
    <cfRule type="containsText" dxfId="1474" priority="7768" operator="containsText" text="Mon">
      <formula>NOT(ISERROR(SEARCH("Mon",D2304)))</formula>
    </cfRule>
  </conditionalFormatting>
  <conditionalFormatting sqref="A2304:B2305">
    <cfRule type="cellIs" dxfId="1473" priority="7763" operator="equal">
      <formula>0</formula>
    </cfRule>
  </conditionalFormatting>
  <conditionalFormatting sqref="D2306">
    <cfRule type="containsText" dxfId="1472" priority="7758" operator="containsText" text="Fri">
      <formula>NOT(ISERROR(SEARCH("Fri",D2306)))</formula>
    </cfRule>
    <cfRule type="containsText" dxfId="1471" priority="7759" operator="containsText" text="Thu">
      <formula>NOT(ISERROR(SEARCH("Thu",D2306)))</formula>
    </cfRule>
    <cfRule type="containsText" dxfId="1470" priority="7760" operator="containsText" text="Wed">
      <formula>NOT(ISERROR(SEARCH("Wed",D2306)))</formula>
    </cfRule>
    <cfRule type="containsText" dxfId="1469" priority="7761" operator="containsText" text="Tue">
      <formula>NOT(ISERROR(SEARCH("Tue",D2306)))</formula>
    </cfRule>
    <cfRule type="containsText" dxfId="1468" priority="7762" operator="containsText" text="Mon">
      <formula>NOT(ISERROR(SEARCH("Mon",D2306)))</formula>
    </cfRule>
  </conditionalFormatting>
  <conditionalFormatting sqref="A2306:B2306">
    <cfRule type="cellIs" dxfId="1467" priority="7757" operator="equal">
      <formula>0</formula>
    </cfRule>
  </conditionalFormatting>
  <conditionalFormatting sqref="D2307">
    <cfRule type="containsText" dxfId="1466" priority="7752" operator="containsText" text="Fri">
      <formula>NOT(ISERROR(SEARCH("Fri",D2307)))</formula>
    </cfRule>
    <cfRule type="containsText" dxfId="1465" priority="7753" operator="containsText" text="Thu">
      <formula>NOT(ISERROR(SEARCH("Thu",D2307)))</formula>
    </cfRule>
    <cfRule type="containsText" dxfId="1464" priority="7754" operator="containsText" text="Wed">
      <formula>NOT(ISERROR(SEARCH("Wed",D2307)))</formula>
    </cfRule>
    <cfRule type="containsText" dxfId="1463" priority="7755" operator="containsText" text="Tue">
      <formula>NOT(ISERROR(SEARCH("Tue",D2307)))</formula>
    </cfRule>
    <cfRule type="containsText" dxfId="1462" priority="7756" operator="containsText" text="Mon">
      <formula>NOT(ISERROR(SEARCH("Mon",D2307)))</formula>
    </cfRule>
  </conditionalFormatting>
  <conditionalFormatting sqref="A2307:B2307">
    <cfRule type="cellIs" dxfId="1461" priority="7751" operator="equal">
      <formula>0</formula>
    </cfRule>
  </conditionalFormatting>
  <conditionalFormatting sqref="D2308">
    <cfRule type="containsText" dxfId="1460" priority="7746" operator="containsText" text="Fri">
      <formula>NOT(ISERROR(SEARCH("Fri",D2308)))</formula>
    </cfRule>
    <cfRule type="containsText" dxfId="1459" priority="7747" operator="containsText" text="Thu">
      <formula>NOT(ISERROR(SEARCH("Thu",D2308)))</formula>
    </cfRule>
    <cfRule type="containsText" dxfId="1458" priority="7748" operator="containsText" text="Wed">
      <formula>NOT(ISERROR(SEARCH("Wed",D2308)))</formula>
    </cfRule>
    <cfRule type="containsText" dxfId="1457" priority="7749" operator="containsText" text="Tue">
      <formula>NOT(ISERROR(SEARCH("Tue",D2308)))</formula>
    </cfRule>
    <cfRule type="containsText" dxfId="1456" priority="7750" operator="containsText" text="Mon">
      <formula>NOT(ISERROR(SEARCH("Mon",D2308)))</formula>
    </cfRule>
  </conditionalFormatting>
  <conditionalFormatting sqref="A2308:B2309">
    <cfRule type="cellIs" dxfId="1455" priority="7745" operator="equal">
      <formula>0</formula>
    </cfRule>
  </conditionalFormatting>
  <conditionalFormatting sqref="D2309">
    <cfRule type="containsText" dxfId="1454" priority="7740" operator="containsText" text="Fri">
      <formula>NOT(ISERROR(SEARCH("Fri",D2309)))</formula>
    </cfRule>
    <cfRule type="containsText" dxfId="1453" priority="7741" operator="containsText" text="Thu">
      <formula>NOT(ISERROR(SEARCH("Thu",D2309)))</formula>
    </cfRule>
    <cfRule type="containsText" dxfId="1452" priority="7742" operator="containsText" text="Wed">
      <formula>NOT(ISERROR(SEARCH("Wed",D2309)))</formula>
    </cfRule>
    <cfRule type="containsText" dxfId="1451" priority="7743" operator="containsText" text="Tue">
      <formula>NOT(ISERROR(SEARCH("Tue",D2309)))</formula>
    </cfRule>
    <cfRule type="containsText" dxfId="1450" priority="7744" operator="containsText" text="Mon">
      <formula>NOT(ISERROR(SEARCH("Mon",D2309)))</formula>
    </cfRule>
  </conditionalFormatting>
  <conditionalFormatting sqref="D2310">
    <cfRule type="containsText" dxfId="1449" priority="7735" operator="containsText" text="Fri">
      <formula>NOT(ISERROR(SEARCH("Fri",D2310)))</formula>
    </cfRule>
    <cfRule type="containsText" dxfId="1448" priority="7736" operator="containsText" text="Thu">
      <formula>NOT(ISERROR(SEARCH("Thu",D2310)))</formula>
    </cfRule>
    <cfRule type="containsText" dxfId="1447" priority="7737" operator="containsText" text="Wed">
      <formula>NOT(ISERROR(SEARCH("Wed",D2310)))</formula>
    </cfRule>
    <cfRule type="containsText" dxfId="1446" priority="7738" operator="containsText" text="Tue">
      <formula>NOT(ISERROR(SEARCH("Tue",D2310)))</formula>
    </cfRule>
    <cfRule type="containsText" dxfId="1445" priority="7739" operator="containsText" text="Mon">
      <formula>NOT(ISERROR(SEARCH("Mon",D2310)))</formula>
    </cfRule>
  </conditionalFormatting>
  <conditionalFormatting sqref="A2310:B2311">
    <cfRule type="cellIs" dxfId="1444" priority="7734" operator="equal">
      <formula>0</formula>
    </cfRule>
  </conditionalFormatting>
  <conditionalFormatting sqref="D2311">
    <cfRule type="containsText" dxfId="1443" priority="7729" operator="containsText" text="Fri">
      <formula>NOT(ISERROR(SEARCH("Fri",D2311)))</formula>
    </cfRule>
    <cfRule type="containsText" dxfId="1442" priority="7730" operator="containsText" text="Thu">
      <formula>NOT(ISERROR(SEARCH("Thu",D2311)))</formula>
    </cfRule>
    <cfRule type="containsText" dxfId="1441" priority="7731" operator="containsText" text="Wed">
      <formula>NOT(ISERROR(SEARCH("Wed",D2311)))</formula>
    </cfRule>
    <cfRule type="containsText" dxfId="1440" priority="7732" operator="containsText" text="Tue">
      <formula>NOT(ISERROR(SEARCH("Tue",D2311)))</formula>
    </cfRule>
    <cfRule type="containsText" dxfId="1439" priority="7733" operator="containsText" text="Mon">
      <formula>NOT(ISERROR(SEARCH("Mon",D2311)))</formula>
    </cfRule>
  </conditionalFormatting>
  <conditionalFormatting sqref="D2312:D2314">
    <cfRule type="containsText" dxfId="1438" priority="7724" operator="containsText" text="Fri">
      <formula>NOT(ISERROR(SEARCH("Fri",D2312)))</formula>
    </cfRule>
    <cfRule type="containsText" dxfId="1437" priority="7725" operator="containsText" text="Thu">
      <formula>NOT(ISERROR(SEARCH("Thu",D2312)))</formula>
    </cfRule>
    <cfRule type="containsText" dxfId="1436" priority="7726" operator="containsText" text="Wed">
      <formula>NOT(ISERROR(SEARCH("Wed",D2312)))</formula>
    </cfRule>
    <cfRule type="containsText" dxfId="1435" priority="7727" operator="containsText" text="Tue">
      <formula>NOT(ISERROR(SEARCH("Tue",D2312)))</formula>
    </cfRule>
    <cfRule type="containsText" dxfId="1434" priority="7728" operator="containsText" text="Mon">
      <formula>NOT(ISERROR(SEARCH("Mon",D2312)))</formula>
    </cfRule>
  </conditionalFormatting>
  <conditionalFormatting sqref="A2312:B2314">
    <cfRule type="cellIs" dxfId="1433" priority="7723" operator="equal">
      <formula>0</formula>
    </cfRule>
  </conditionalFormatting>
  <conditionalFormatting sqref="D2315">
    <cfRule type="containsText" dxfId="1432" priority="7718" operator="containsText" text="Fri">
      <formula>NOT(ISERROR(SEARCH("Fri",D2315)))</formula>
    </cfRule>
    <cfRule type="containsText" dxfId="1431" priority="7719" operator="containsText" text="Thu">
      <formula>NOT(ISERROR(SEARCH("Thu",D2315)))</formula>
    </cfRule>
    <cfRule type="containsText" dxfId="1430" priority="7720" operator="containsText" text="Wed">
      <formula>NOT(ISERROR(SEARCH("Wed",D2315)))</formula>
    </cfRule>
    <cfRule type="containsText" dxfId="1429" priority="7721" operator="containsText" text="Tue">
      <formula>NOT(ISERROR(SEARCH("Tue",D2315)))</formula>
    </cfRule>
    <cfRule type="containsText" dxfId="1428" priority="7722" operator="containsText" text="Mon">
      <formula>NOT(ISERROR(SEARCH("Mon",D2315)))</formula>
    </cfRule>
  </conditionalFormatting>
  <conditionalFormatting sqref="A2315:B2315">
    <cfRule type="cellIs" dxfId="1427" priority="7717" operator="equal">
      <formula>0</formula>
    </cfRule>
  </conditionalFormatting>
  <conditionalFormatting sqref="D2316">
    <cfRule type="containsText" dxfId="1426" priority="7712" operator="containsText" text="Fri">
      <formula>NOT(ISERROR(SEARCH("Fri",D2316)))</formula>
    </cfRule>
    <cfRule type="containsText" dxfId="1425" priority="7713" operator="containsText" text="Thu">
      <formula>NOT(ISERROR(SEARCH("Thu",D2316)))</formula>
    </cfRule>
    <cfRule type="containsText" dxfId="1424" priority="7714" operator="containsText" text="Wed">
      <formula>NOT(ISERROR(SEARCH("Wed",D2316)))</formula>
    </cfRule>
    <cfRule type="containsText" dxfId="1423" priority="7715" operator="containsText" text="Tue">
      <formula>NOT(ISERROR(SEARCH("Tue",D2316)))</formula>
    </cfRule>
    <cfRule type="containsText" dxfId="1422" priority="7716" operator="containsText" text="Mon">
      <formula>NOT(ISERROR(SEARCH("Mon",D2316)))</formula>
    </cfRule>
  </conditionalFormatting>
  <conditionalFormatting sqref="A2316:B2318">
    <cfRule type="cellIs" dxfId="1421" priority="7711" operator="equal">
      <formula>0</formula>
    </cfRule>
  </conditionalFormatting>
  <conditionalFormatting sqref="D2317:D2318">
    <cfRule type="containsText" dxfId="1420" priority="7706" operator="containsText" text="Fri">
      <formula>NOT(ISERROR(SEARCH("Fri",D2317)))</formula>
    </cfRule>
    <cfRule type="containsText" dxfId="1419" priority="7707" operator="containsText" text="Thu">
      <formula>NOT(ISERROR(SEARCH("Thu",D2317)))</formula>
    </cfRule>
    <cfRule type="containsText" dxfId="1418" priority="7708" operator="containsText" text="Wed">
      <formula>NOT(ISERROR(SEARCH("Wed",D2317)))</formula>
    </cfRule>
    <cfRule type="containsText" dxfId="1417" priority="7709" operator="containsText" text="Tue">
      <formula>NOT(ISERROR(SEARCH("Tue",D2317)))</formula>
    </cfRule>
    <cfRule type="containsText" dxfId="1416" priority="7710" operator="containsText" text="Mon">
      <formula>NOT(ISERROR(SEARCH("Mon",D2317)))</formula>
    </cfRule>
  </conditionalFormatting>
  <conditionalFormatting sqref="D2319:D2321">
    <cfRule type="containsText" dxfId="1415" priority="7701" operator="containsText" text="Fri">
      <formula>NOT(ISERROR(SEARCH("Fri",D2319)))</formula>
    </cfRule>
    <cfRule type="containsText" dxfId="1414" priority="7702" operator="containsText" text="Thu">
      <formula>NOT(ISERROR(SEARCH("Thu",D2319)))</formula>
    </cfRule>
    <cfRule type="containsText" dxfId="1413" priority="7703" operator="containsText" text="Wed">
      <formula>NOT(ISERROR(SEARCH("Wed",D2319)))</formula>
    </cfRule>
    <cfRule type="containsText" dxfId="1412" priority="7704" operator="containsText" text="Tue">
      <formula>NOT(ISERROR(SEARCH("Tue",D2319)))</formula>
    </cfRule>
    <cfRule type="containsText" dxfId="1411" priority="7705" operator="containsText" text="Mon">
      <formula>NOT(ISERROR(SEARCH("Mon",D2319)))</formula>
    </cfRule>
  </conditionalFormatting>
  <conditionalFormatting sqref="A2319:B2321">
    <cfRule type="cellIs" dxfId="1410" priority="7700" operator="equal">
      <formula>0</formula>
    </cfRule>
  </conditionalFormatting>
  <conditionalFormatting sqref="D2322">
    <cfRule type="containsText" dxfId="1409" priority="7695" operator="containsText" text="Fri">
      <formula>NOT(ISERROR(SEARCH("Fri",D2322)))</formula>
    </cfRule>
    <cfRule type="containsText" dxfId="1408" priority="7696" operator="containsText" text="Thu">
      <formula>NOT(ISERROR(SEARCH("Thu",D2322)))</formula>
    </cfRule>
    <cfRule type="containsText" dxfId="1407" priority="7697" operator="containsText" text="Wed">
      <formula>NOT(ISERROR(SEARCH("Wed",D2322)))</formula>
    </cfRule>
    <cfRule type="containsText" dxfId="1406" priority="7698" operator="containsText" text="Tue">
      <formula>NOT(ISERROR(SEARCH("Tue",D2322)))</formula>
    </cfRule>
    <cfRule type="containsText" dxfId="1405" priority="7699" operator="containsText" text="Mon">
      <formula>NOT(ISERROR(SEARCH("Mon",D2322)))</formula>
    </cfRule>
  </conditionalFormatting>
  <conditionalFormatting sqref="D2323:D2324">
    <cfRule type="containsText" dxfId="1404" priority="7690" operator="containsText" text="Fri">
      <formula>NOT(ISERROR(SEARCH("Fri",D2323)))</formula>
    </cfRule>
    <cfRule type="containsText" dxfId="1403" priority="7691" operator="containsText" text="Thu">
      <formula>NOT(ISERROR(SEARCH("Thu",D2323)))</formula>
    </cfRule>
    <cfRule type="containsText" dxfId="1402" priority="7692" operator="containsText" text="Wed">
      <formula>NOT(ISERROR(SEARCH("Wed",D2323)))</formula>
    </cfRule>
    <cfRule type="containsText" dxfId="1401" priority="7693" operator="containsText" text="Tue">
      <formula>NOT(ISERROR(SEARCH("Tue",D2323)))</formula>
    </cfRule>
    <cfRule type="containsText" dxfId="1400" priority="7694" operator="containsText" text="Mon">
      <formula>NOT(ISERROR(SEARCH("Mon",D2323)))</formula>
    </cfRule>
  </conditionalFormatting>
  <conditionalFormatting sqref="A2322:B2324">
    <cfRule type="cellIs" dxfId="1399" priority="7689" operator="equal">
      <formula>0</formula>
    </cfRule>
  </conditionalFormatting>
  <conditionalFormatting sqref="D2325:D2326">
    <cfRule type="containsText" dxfId="1398" priority="7684" operator="containsText" text="Fri">
      <formula>NOT(ISERROR(SEARCH("Fri",D2325)))</formula>
    </cfRule>
    <cfRule type="containsText" dxfId="1397" priority="7685" operator="containsText" text="Thu">
      <formula>NOT(ISERROR(SEARCH("Thu",D2325)))</formula>
    </cfRule>
    <cfRule type="containsText" dxfId="1396" priority="7686" operator="containsText" text="Wed">
      <formula>NOT(ISERROR(SEARCH("Wed",D2325)))</formula>
    </cfRule>
    <cfRule type="containsText" dxfId="1395" priority="7687" operator="containsText" text="Tue">
      <formula>NOT(ISERROR(SEARCH("Tue",D2325)))</formula>
    </cfRule>
    <cfRule type="containsText" dxfId="1394" priority="7688" operator="containsText" text="Mon">
      <formula>NOT(ISERROR(SEARCH("Mon",D2325)))</formula>
    </cfRule>
  </conditionalFormatting>
  <conditionalFormatting sqref="A2325:B2326">
    <cfRule type="cellIs" dxfId="1393" priority="7683" operator="equal">
      <formula>0</formula>
    </cfRule>
  </conditionalFormatting>
  <conditionalFormatting sqref="D2327">
    <cfRule type="containsText" dxfId="1392" priority="7678" operator="containsText" text="Fri">
      <formula>NOT(ISERROR(SEARCH("Fri",D2327)))</formula>
    </cfRule>
    <cfRule type="containsText" dxfId="1391" priority="7679" operator="containsText" text="Thu">
      <formula>NOT(ISERROR(SEARCH("Thu",D2327)))</formula>
    </cfRule>
    <cfRule type="containsText" dxfId="1390" priority="7680" operator="containsText" text="Wed">
      <formula>NOT(ISERROR(SEARCH("Wed",D2327)))</formula>
    </cfRule>
    <cfRule type="containsText" dxfId="1389" priority="7681" operator="containsText" text="Tue">
      <formula>NOT(ISERROR(SEARCH("Tue",D2327)))</formula>
    </cfRule>
    <cfRule type="containsText" dxfId="1388" priority="7682" operator="containsText" text="Mon">
      <formula>NOT(ISERROR(SEARCH("Mon",D2327)))</formula>
    </cfRule>
  </conditionalFormatting>
  <conditionalFormatting sqref="A2327:B2327">
    <cfRule type="cellIs" dxfId="1387" priority="7677" operator="equal">
      <formula>0</formula>
    </cfRule>
  </conditionalFormatting>
  <conditionalFormatting sqref="D2328">
    <cfRule type="containsText" dxfId="1386" priority="7672" operator="containsText" text="Fri">
      <formula>NOT(ISERROR(SEARCH("Fri",D2328)))</formula>
    </cfRule>
    <cfRule type="containsText" dxfId="1385" priority="7673" operator="containsText" text="Thu">
      <formula>NOT(ISERROR(SEARCH("Thu",D2328)))</formula>
    </cfRule>
    <cfRule type="containsText" dxfId="1384" priority="7674" operator="containsText" text="Wed">
      <formula>NOT(ISERROR(SEARCH("Wed",D2328)))</formula>
    </cfRule>
    <cfRule type="containsText" dxfId="1383" priority="7675" operator="containsText" text="Tue">
      <formula>NOT(ISERROR(SEARCH("Tue",D2328)))</formula>
    </cfRule>
    <cfRule type="containsText" dxfId="1382" priority="7676" operator="containsText" text="Mon">
      <formula>NOT(ISERROR(SEARCH("Mon",D2328)))</formula>
    </cfRule>
  </conditionalFormatting>
  <conditionalFormatting sqref="A2328:B2328">
    <cfRule type="cellIs" dxfId="1381" priority="7671" operator="equal">
      <formula>0</formula>
    </cfRule>
  </conditionalFormatting>
  <conditionalFormatting sqref="D2329">
    <cfRule type="containsText" dxfId="1380" priority="7666" operator="containsText" text="Fri">
      <formula>NOT(ISERROR(SEARCH("Fri",D2329)))</formula>
    </cfRule>
    <cfRule type="containsText" dxfId="1379" priority="7667" operator="containsText" text="Thu">
      <formula>NOT(ISERROR(SEARCH("Thu",D2329)))</formula>
    </cfRule>
    <cfRule type="containsText" dxfId="1378" priority="7668" operator="containsText" text="Wed">
      <formula>NOT(ISERROR(SEARCH("Wed",D2329)))</formula>
    </cfRule>
    <cfRule type="containsText" dxfId="1377" priority="7669" operator="containsText" text="Tue">
      <formula>NOT(ISERROR(SEARCH("Tue",D2329)))</formula>
    </cfRule>
    <cfRule type="containsText" dxfId="1376" priority="7670" operator="containsText" text="Mon">
      <formula>NOT(ISERROR(SEARCH("Mon",D2329)))</formula>
    </cfRule>
  </conditionalFormatting>
  <conditionalFormatting sqref="A2329:B2329">
    <cfRule type="cellIs" dxfId="1375" priority="7665" operator="equal">
      <formula>0</formula>
    </cfRule>
  </conditionalFormatting>
  <conditionalFormatting sqref="D2330">
    <cfRule type="containsText" dxfId="1374" priority="7660" operator="containsText" text="Fri">
      <formula>NOT(ISERROR(SEARCH("Fri",D2330)))</formula>
    </cfRule>
    <cfRule type="containsText" dxfId="1373" priority="7661" operator="containsText" text="Thu">
      <formula>NOT(ISERROR(SEARCH("Thu",D2330)))</formula>
    </cfRule>
    <cfRule type="containsText" dxfId="1372" priority="7662" operator="containsText" text="Wed">
      <formula>NOT(ISERROR(SEARCH("Wed",D2330)))</formula>
    </cfRule>
    <cfRule type="containsText" dxfId="1371" priority="7663" operator="containsText" text="Tue">
      <formula>NOT(ISERROR(SEARCH("Tue",D2330)))</formula>
    </cfRule>
    <cfRule type="containsText" dxfId="1370" priority="7664" operator="containsText" text="Mon">
      <formula>NOT(ISERROR(SEARCH("Mon",D2330)))</formula>
    </cfRule>
  </conditionalFormatting>
  <conditionalFormatting sqref="A2330:B2330">
    <cfRule type="cellIs" dxfId="1369" priority="7659" operator="equal">
      <formula>0</formula>
    </cfRule>
  </conditionalFormatting>
  <conditionalFormatting sqref="D2331:D2339">
    <cfRule type="containsText" dxfId="1368" priority="6646" operator="containsText" text="Fri">
      <formula>NOT(ISERROR(SEARCH("Fri",D2331)))</formula>
    </cfRule>
    <cfRule type="containsText" dxfId="1367" priority="6647" operator="containsText" text="Thu">
      <formula>NOT(ISERROR(SEARCH("Thu",D2331)))</formula>
    </cfRule>
    <cfRule type="containsText" dxfId="1366" priority="6648" operator="containsText" text="Wed">
      <formula>NOT(ISERROR(SEARCH("Wed",D2331)))</formula>
    </cfRule>
    <cfRule type="containsText" dxfId="1365" priority="6649" operator="containsText" text="Tue">
      <formula>NOT(ISERROR(SEARCH("Tue",D2331)))</formula>
    </cfRule>
    <cfRule type="containsText" dxfId="1364" priority="6650" operator="containsText" text="Mon">
      <formula>NOT(ISERROR(SEARCH("Mon",D2331)))</formula>
    </cfRule>
  </conditionalFormatting>
  <conditionalFormatting sqref="E2331:K2413">
    <cfRule type="cellIs" dxfId="1363" priority="6645" operator="equal">
      <formula>0</formula>
    </cfRule>
  </conditionalFormatting>
  <conditionalFormatting sqref="A2331:B2340">
    <cfRule type="cellIs" dxfId="1362" priority="6644" operator="equal">
      <formula>0</formula>
    </cfRule>
  </conditionalFormatting>
  <conditionalFormatting sqref="D2340">
    <cfRule type="containsText" dxfId="1361" priority="6639" operator="containsText" text="Fri">
      <formula>NOT(ISERROR(SEARCH("Fri",D2340)))</formula>
    </cfRule>
    <cfRule type="containsText" dxfId="1360" priority="6640" operator="containsText" text="Thu">
      <formula>NOT(ISERROR(SEARCH("Thu",D2340)))</formula>
    </cfRule>
    <cfRule type="containsText" dxfId="1359" priority="6641" operator="containsText" text="Wed">
      <formula>NOT(ISERROR(SEARCH("Wed",D2340)))</formula>
    </cfRule>
    <cfRule type="containsText" dxfId="1358" priority="6642" operator="containsText" text="Tue">
      <formula>NOT(ISERROR(SEARCH("Tue",D2340)))</formula>
    </cfRule>
    <cfRule type="containsText" dxfId="1357" priority="6643" operator="containsText" text="Mon">
      <formula>NOT(ISERROR(SEARCH("Mon",D2340)))</formula>
    </cfRule>
  </conditionalFormatting>
  <conditionalFormatting sqref="D2341:D2352">
    <cfRule type="containsText" dxfId="1356" priority="6634" operator="containsText" text="Fri">
      <formula>NOT(ISERROR(SEARCH("Fri",D2341)))</formula>
    </cfRule>
    <cfRule type="containsText" dxfId="1355" priority="6635" operator="containsText" text="Thu">
      <formula>NOT(ISERROR(SEARCH("Thu",D2341)))</formula>
    </cfRule>
    <cfRule type="containsText" dxfId="1354" priority="6636" operator="containsText" text="Wed">
      <formula>NOT(ISERROR(SEARCH("Wed",D2341)))</formula>
    </cfRule>
    <cfRule type="containsText" dxfId="1353" priority="6637" operator="containsText" text="Tue">
      <formula>NOT(ISERROR(SEARCH("Tue",D2341)))</formula>
    </cfRule>
    <cfRule type="containsText" dxfId="1352" priority="6638" operator="containsText" text="Mon">
      <formula>NOT(ISERROR(SEARCH("Mon",D2341)))</formula>
    </cfRule>
  </conditionalFormatting>
  <conditionalFormatting sqref="A2341:B2352">
    <cfRule type="cellIs" dxfId="1351" priority="6633" operator="equal">
      <formula>0</formula>
    </cfRule>
  </conditionalFormatting>
  <conditionalFormatting sqref="D2353:D2360">
    <cfRule type="containsText" dxfId="1350" priority="6628" operator="containsText" text="Fri">
      <formula>NOT(ISERROR(SEARCH("Fri",D2353)))</formula>
    </cfRule>
    <cfRule type="containsText" dxfId="1349" priority="6629" operator="containsText" text="Thu">
      <formula>NOT(ISERROR(SEARCH("Thu",D2353)))</formula>
    </cfRule>
    <cfRule type="containsText" dxfId="1348" priority="6630" operator="containsText" text="Wed">
      <formula>NOT(ISERROR(SEARCH("Wed",D2353)))</formula>
    </cfRule>
    <cfRule type="containsText" dxfId="1347" priority="6631" operator="containsText" text="Tue">
      <formula>NOT(ISERROR(SEARCH("Tue",D2353)))</formula>
    </cfRule>
    <cfRule type="containsText" dxfId="1346" priority="6632" operator="containsText" text="Mon">
      <formula>NOT(ISERROR(SEARCH("Mon",D2353)))</formula>
    </cfRule>
  </conditionalFormatting>
  <conditionalFormatting sqref="A2353:B2363">
    <cfRule type="cellIs" dxfId="1345" priority="6627" operator="equal">
      <formula>0</formula>
    </cfRule>
  </conditionalFormatting>
  <conditionalFormatting sqref="D2361:D2363">
    <cfRule type="containsText" dxfId="1344" priority="6622" operator="containsText" text="Fri">
      <formula>NOT(ISERROR(SEARCH("Fri",D2361)))</formula>
    </cfRule>
    <cfRule type="containsText" dxfId="1343" priority="6623" operator="containsText" text="Thu">
      <formula>NOT(ISERROR(SEARCH("Thu",D2361)))</formula>
    </cfRule>
    <cfRule type="containsText" dxfId="1342" priority="6624" operator="containsText" text="Wed">
      <formula>NOT(ISERROR(SEARCH("Wed",D2361)))</formula>
    </cfRule>
    <cfRule type="containsText" dxfId="1341" priority="6625" operator="containsText" text="Tue">
      <formula>NOT(ISERROR(SEARCH("Tue",D2361)))</formula>
    </cfRule>
    <cfRule type="containsText" dxfId="1340" priority="6626" operator="containsText" text="Mon">
      <formula>NOT(ISERROR(SEARCH("Mon",D2361)))</formula>
    </cfRule>
  </conditionalFormatting>
  <conditionalFormatting sqref="D2364:D2375">
    <cfRule type="containsText" dxfId="1339" priority="6617" operator="containsText" text="Fri">
      <formula>NOT(ISERROR(SEARCH("Fri",D2364)))</formula>
    </cfRule>
    <cfRule type="containsText" dxfId="1338" priority="6618" operator="containsText" text="Thu">
      <formula>NOT(ISERROR(SEARCH("Thu",D2364)))</formula>
    </cfRule>
    <cfRule type="containsText" dxfId="1337" priority="6619" operator="containsText" text="Wed">
      <formula>NOT(ISERROR(SEARCH("Wed",D2364)))</formula>
    </cfRule>
    <cfRule type="containsText" dxfId="1336" priority="6620" operator="containsText" text="Tue">
      <formula>NOT(ISERROR(SEARCH("Tue",D2364)))</formula>
    </cfRule>
    <cfRule type="containsText" dxfId="1335" priority="6621" operator="containsText" text="Mon">
      <formula>NOT(ISERROR(SEARCH("Mon",D2364)))</formula>
    </cfRule>
  </conditionalFormatting>
  <conditionalFormatting sqref="A2364:B2375">
    <cfRule type="cellIs" dxfId="1334" priority="6616" operator="equal">
      <formula>0</formula>
    </cfRule>
  </conditionalFormatting>
  <conditionalFormatting sqref="D2383:D2384 D2376:D2381">
    <cfRule type="containsText" dxfId="1333" priority="6611" operator="containsText" text="Fri">
      <formula>NOT(ISERROR(SEARCH("Fri",D2376)))</formula>
    </cfRule>
    <cfRule type="containsText" dxfId="1332" priority="6612" operator="containsText" text="Thu">
      <formula>NOT(ISERROR(SEARCH("Thu",D2376)))</formula>
    </cfRule>
    <cfRule type="containsText" dxfId="1331" priority="6613" operator="containsText" text="Wed">
      <formula>NOT(ISERROR(SEARCH("Wed",D2376)))</formula>
    </cfRule>
    <cfRule type="containsText" dxfId="1330" priority="6614" operator="containsText" text="Tue">
      <formula>NOT(ISERROR(SEARCH("Tue",D2376)))</formula>
    </cfRule>
    <cfRule type="containsText" dxfId="1329" priority="6615" operator="containsText" text="Mon">
      <formula>NOT(ISERROR(SEARCH("Mon",D2376)))</formula>
    </cfRule>
  </conditionalFormatting>
  <conditionalFormatting sqref="A2376:B2388">
    <cfRule type="cellIs" dxfId="1328" priority="6610" operator="equal">
      <formula>0</formula>
    </cfRule>
  </conditionalFormatting>
  <conditionalFormatting sqref="D2382">
    <cfRule type="containsText" dxfId="1327" priority="6605" operator="containsText" text="Fri">
      <formula>NOT(ISERROR(SEARCH("Fri",D2382)))</formula>
    </cfRule>
    <cfRule type="containsText" dxfId="1326" priority="6606" operator="containsText" text="Thu">
      <formula>NOT(ISERROR(SEARCH("Thu",D2382)))</formula>
    </cfRule>
    <cfRule type="containsText" dxfId="1325" priority="6607" operator="containsText" text="Wed">
      <formula>NOT(ISERROR(SEARCH("Wed",D2382)))</formula>
    </cfRule>
    <cfRule type="containsText" dxfId="1324" priority="6608" operator="containsText" text="Tue">
      <formula>NOT(ISERROR(SEARCH("Tue",D2382)))</formula>
    </cfRule>
    <cfRule type="containsText" dxfId="1323" priority="6609" operator="containsText" text="Mon">
      <formula>NOT(ISERROR(SEARCH("Mon",D2382)))</formula>
    </cfRule>
  </conditionalFormatting>
  <conditionalFormatting sqref="D2385:D2388">
    <cfRule type="containsText" dxfId="1322" priority="6600" operator="containsText" text="Fri">
      <formula>NOT(ISERROR(SEARCH("Fri",D2385)))</formula>
    </cfRule>
    <cfRule type="containsText" dxfId="1321" priority="6601" operator="containsText" text="Thu">
      <formula>NOT(ISERROR(SEARCH("Thu",D2385)))</formula>
    </cfRule>
    <cfRule type="containsText" dxfId="1320" priority="6602" operator="containsText" text="Wed">
      <formula>NOT(ISERROR(SEARCH("Wed",D2385)))</formula>
    </cfRule>
    <cfRule type="containsText" dxfId="1319" priority="6603" operator="containsText" text="Tue">
      <formula>NOT(ISERROR(SEARCH("Tue",D2385)))</formula>
    </cfRule>
    <cfRule type="containsText" dxfId="1318" priority="6604" operator="containsText" text="Mon">
      <formula>NOT(ISERROR(SEARCH("Mon",D2385)))</formula>
    </cfRule>
  </conditionalFormatting>
  <conditionalFormatting sqref="D2389">
    <cfRule type="containsText" dxfId="1317" priority="6595" operator="containsText" text="Fri">
      <formula>NOT(ISERROR(SEARCH("Fri",D2389)))</formula>
    </cfRule>
    <cfRule type="containsText" dxfId="1316" priority="6596" operator="containsText" text="Thu">
      <formula>NOT(ISERROR(SEARCH("Thu",D2389)))</formula>
    </cfRule>
    <cfRule type="containsText" dxfId="1315" priority="6597" operator="containsText" text="Wed">
      <formula>NOT(ISERROR(SEARCH("Wed",D2389)))</formula>
    </cfRule>
    <cfRule type="containsText" dxfId="1314" priority="6598" operator="containsText" text="Tue">
      <formula>NOT(ISERROR(SEARCH("Tue",D2389)))</formula>
    </cfRule>
    <cfRule type="containsText" dxfId="1313" priority="6599" operator="containsText" text="Mon">
      <formula>NOT(ISERROR(SEARCH("Mon",D2389)))</formula>
    </cfRule>
  </conditionalFormatting>
  <conditionalFormatting sqref="A2389:B2389">
    <cfRule type="cellIs" dxfId="1312" priority="6594" operator="equal">
      <formula>0</formula>
    </cfRule>
  </conditionalFormatting>
  <conditionalFormatting sqref="D2390">
    <cfRule type="containsText" dxfId="1311" priority="6589" operator="containsText" text="Fri">
      <formula>NOT(ISERROR(SEARCH("Fri",D2390)))</formula>
    </cfRule>
    <cfRule type="containsText" dxfId="1310" priority="6590" operator="containsText" text="Thu">
      <formula>NOT(ISERROR(SEARCH("Thu",D2390)))</formula>
    </cfRule>
    <cfRule type="containsText" dxfId="1309" priority="6591" operator="containsText" text="Wed">
      <formula>NOT(ISERROR(SEARCH("Wed",D2390)))</formula>
    </cfRule>
    <cfRule type="containsText" dxfId="1308" priority="6592" operator="containsText" text="Tue">
      <formula>NOT(ISERROR(SEARCH("Tue",D2390)))</formula>
    </cfRule>
    <cfRule type="containsText" dxfId="1307" priority="6593" operator="containsText" text="Mon">
      <formula>NOT(ISERROR(SEARCH("Mon",D2390)))</formula>
    </cfRule>
  </conditionalFormatting>
  <conditionalFormatting sqref="A2390:B2390">
    <cfRule type="cellIs" dxfId="1306" priority="6588" operator="equal">
      <formula>0</formula>
    </cfRule>
  </conditionalFormatting>
  <conditionalFormatting sqref="D2391:D2392">
    <cfRule type="containsText" dxfId="1305" priority="6583" operator="containsText" text="Fri">
      <formula>NOT(ISERROR(SEARCH("Fri",D2391)))</formula>
    </cfRule>
    <cfRule type="containsText" dxfId="1304" priority="6584" operator="containsText" text="Thu">
      <formula>NOT(ISERROR(SEARCH("Thu",D2391)))</formula>
    </cfRule>
    <cfRule type="containsText" dxfId="1303" priority="6585" operator="containsText" text="Wed">
      <formula>NOT(ISERROR(SEARCH("Wed",D2391)))</formula>
    </cfRule>
    <cfRule type="containsText" dxfId="1302" priority="6586" operator="containsText" text="Tue">
      <formula>NOT(ISERROR(SEARCH("Tue",D2391)))</formula>
    </cfRule>
    <cfRule type="containsText" dxfId="1301" priority="6587" operator="containsText" text="Mon">
      <formula>NOT(ISERROR(SEARCH("Mon",D2391)))</formula>
    </cfRule>
  </conditionalFormatting>
  <conditionalFormatting sqref="A2391:B2392">
    <cfRule type="cellIs" dxfId="1300" priority="6582" operator="equal">
      <formula>0</formula>
    </cfRule>
  </conditionalFormatting>
  <conditionalFormatting sqref="D2393">
    <cfRule type="containsText" dxfId="1299" priority="6577" operator="containsText" text="Fri">
      <formula>NOT(ISERROR(SEARCH("Fri",D2393)))</formula>
    </cfRule>
    <cfRule type="containsText" dxfId="1298" priority="6578" operator="containsText" text="Thu">
      <formula>NOT(ISERROR(SEARCH("Thu",D2393)))</formula>
    </cfRule>
    <cfRule type="containsText" dxfId="1297" priority="6579" operator="containsText" text="Wed">
      <formula>NOT(ISERROR(SEARCH("Wed",D2393)))</formula>
    </cfRule>
    <cfRule type="containsText" dxfId="1296" priority="6580" operator="containsText" text="Tue">
      <formula>NOT(ISERROR(SEARCH("Tue",D2393)))</formula>
    </cfRule>
    <cfRule type="containsText" dxfId="1295" priority="6581" operator="containsText" text="Mon">
      <formula>NOT(ISERROR(SEARCH("Mon",D2393)))</formula>
    </cfRule>
  </conditionalFormatting>
  <conditionalFormatting sqref="A2393:B2393">
    <cfRule type="cellIs" dxfId="1294" priority="6576" operator="equal">
      <formula>0</formula>
    </cfRule>
  </conditionalFormatting>
  <conditionalFormatting sqref="D2394">
    <cfRule type="containsText" dxfId="1293" priority="6571" operator="containsText" text="Fri">
      <formula>NOT(ISERROR(SEARCH("Fri",D2394)))</formula>
    </cfRule>
    <cfRule type="containsText" dxfId="1292" priority="6572" operator="containsText" text="Thu">
      <formula>NOT(ISERROR(SEARCH("Thu",D2394)))</formula>
    </cfRule>
    <cfRule type="containsText" dxfId="1291" priority="6573" operator="containsText" text="Wed">
      <formula>NOT(ISERROR(SEARCH("Wed",D2394)))</formula>
    </cfRule>
    <cfRule type="containsText" dxfId="1290" priority="6574" operator="containsText" text="Tue">
      <formula>NOT(ISERROR(SEARCH("Tue",D2394)))</formula>
    </cfRule>
    <cfRule type="containsText" dxfId="1289" priority="6575" operator="containsText" text="Mon">
      <formula>NOT(ISERROR(SEARCH("Mon",D2394)))</formula>
    </cfRule>
  </conditionalFormatting>
  <conditionalFormatting sqref="A2394:B2394">
    <cfRule type="cellIs" dxfId="1288" priority="6570" operator="equal">
      <formula>0</formula>
    </cfRule>
  </conditionalFormatting>
  <conditionalFormatting sqref="D2395">
    <cfRule type="containsText" dxfId="1287" priority="6565" operator="containsText" text="Fri">
      <formula>NOT(ISERROR(SEARCH("Fri",D2395)))</formula>
    </cfRule>
    <cfRule type="containsText" dxfId="1286" priority="6566" operator="containsText" text="Thu">
      <formula>NOT(ISERROR(SEARCH("Thu",D2395)))</formula>
    </cfRule>
    <cfRule type="containsText" dxfId="1285" priority="6567" operator="containsText" text="Wed">
      <formula>NOT(ISERROR(SEARCH("Wed",D2395)))</formula>
    </cfRule>
    <cfRule type="containsText" dxfId="1284" priority="6568" operator="containsText" text="Tue">
      <formula>NOT(ISERROR(SEARCH("Tue",D2395)))</formula>
    </cfRule>
    <cfRule type="containsText" dxfId="1283" priority="6569" operator="containsText" text="Mon">
      <formula>NOT(ISERROR(SEARCH("Mon",D2395)))</formula>
    </cfRule>
  </conditionalFormatting>
  <conditionalFormatting sqref="A2395:B2395">
    <cfRule type="cellIs" dxfId="1282" priority="6564" operator="equal">
      <formula>0</formula>
    </cfRule>
  </conditionalFormatting>
  <conditionalFormatting sqref="D2396">
    <cfRule type="containsText" dxfId="1281" priority="6559" operator="containsText" text="Fri">
      <formula>NOT(ISERROR(SEARCH("Fri",D2396)))</formula>
    </cfRule>
    <cfRule type="containsText" dxfId="1280" priority="6560" operator="containsText" text="Thu">
      <formula>NOT(ISERROR(SEARCH("Thu",D2396)))</formula>
    </cfRule>
    <cfRule type="containsText" dxfId="1279" priority="6561" operator="containsText" text="Wed">
      <formula>NOT(ISERROR(SEARCH("Wed",D2396)))</formula>
    </cfRule>
    <cfRule type="containsText" dxfId="1278" priority="6562" operator="containsText" text="Tue">
      <formula>NOT(ISERROR(SEARCH("Tue",D2396)))</formula>
    </cfRule>
    <cfRule type="containsText" dxfId="1277" priority="6563" operator="containsText" text="Mon">
      <formula>NOT(ISERROR(SEARCH("Mon",D2396)))</formula>
    </cfRule>
  </conditionalFormatting>
  <conditionalFormatting sqref="A2396:B2396">
    <cfRule type="cellIs" dxfId="1276" priority="6558" operator="equal">
      <formula>0</formula>
    </cfRule>
  </conditionalFormatting>
  <conditionalFormatting sqref="D2397:D2399">
    <cfRule type="containsText" dxfId="1275" priority="6553" operator="containsText" text="Fri">
      <formula>NOT(ISERROR(SEARCH("Fri",D2397)))</formula>
    </cfRule>
    <cfRule type="containsText" dxfId="1274" priority="6554" operator="containsText" text="Thu">
      <formula>NOT(ISERROR(SEARCH("Thu",D2397)))</formula>
    </cfRule>
    <cfRule type="containsText" dxfId="1273" priority="6555" operator="containsText" text="Wed">
      <formula>NOT(ISERROR(SEARCH("Wed",D2397)))</formula>
    </cfRule>
    <cfRule type="containsText" dxfId="1272" priority="6556" operator="containsText" text="Tue">
      <formula>NOT(ISERROR(SEARCH("Tue",D2397)))</formula>
    </cfRule>
    <cfRule type="containsText" dxfId="1271" priority="6557" operator="containsText" text="Mon">
      <formula>NOT(ISERROR(SEARCH("Mon",D2397)))</formula>
    </cfRule>
  </conditionalFormatting>
  <conditionalFormatting sqref="A2397:B2399">
    <cfRule type="cellIs" dxfId="1270" priority="6552" operator="equal">
      <formula>0</formula>
    </cfRule>
  </conditionalFormatting>
  <conditionalFormatting sqref="D2400">
    <cfRule type="containsText" dxfId="1269" priority="6547" operator="containsText" text="Fri">
      <formula>NOT(ISERROR(SEARCH("Fri",D2400)))</formula>
    </cfRule>
    <cfRule type="containsText" dxfId="1268" priority="6548" operator="containsText" text="Thu">
      <formula>NOT(ISERROR(SEARCH("Thu",D2400)))</formula>
    </cfRule>
    <cfRule type="containsText" dxfId="1267" priority="6549" operator="containsText" text="Wed">
      <formula>NOT(ISERROR(SEARCH("Wed",D2400)))</formula>
    </cfRule>
    <cfRule type="containsText" dxfId="1266" priority="6550" operator="containsText" text="Tue">
      <formula>NOT(ISERROR(SEARCH("Tue",D2400)))</formula>
    </cfRule>
    <cfRule type="containsText" dxfId="1265" priority="6551" operator="containsText" text="Mon">
      <formula>NOT(ISERROR(SEARCH("Mon",D2400)))</formula>
    </cfRule>
  </conditionalFormatting>
  <conditionalFormatting sqref="A2400:B2401">
    <cfRule type="cellIs" dxfId="1264" priority="6546" operator="equal">
      <formula>0</formula>
    </cfRule>
  </conditionalFormatting>
  <conditionalFormatting sqref="D2401">
    <cfRule type="containsText" dxfId="1263" priority="6541" operator="containsText" text="Fri">
      <formula>NOT(ISERROR(SEARCH("Fri",D2401)))</formula>
    </cfRule>
    <cfRule type="containsText" dxfId="1262" priority="6542" operator="containsText" text="Thu">
      <formula>NOT(ISERROR(SEARCH("Thu",D2401)))</formula>
    </cfRule>
    <cfRule type="containsText" dxfId="1261" priority="6543" operator="containsText" text="Wed">
      <formula>NOT(ISERROR(SEARCH("Wed",D2401)))</formula>
    </cfRule>
    <cfRule type="containsText" dxfId="1260" priority="6544" operator="containsText" text="Tue">
      <formula>NOT(ISERROR(SEARCH("Tue",D2401)))</formula>
    </cfRule>
    <cfRule type="containsText" dxfId="1259" priority="6545" operator="containsText" text="Mon">
      <formula>NOT(ISERROR(SEARCH("Mon",D2401)))</formula>
    </cfRule>
  </conditionalFormatting>
  <conditionalFormatting sqref="D2402">
    <cfRule type="containsText" dxfId="1258" priority="6536" operator="containsText" text="Fri">
      <formula>NOT(ISERROR(SEARCH("Fri",D2402)))</formula>
    </cfRule>
    <cfRule type="containsText" dxfId="1257" priority="6537" operator="containsText" text="Thu">
      <formula>NOT(ISERROR(SEARCH("Thu",D2402)))</formula>
    </cfRule>
    <cfRule type="containsText" dxfId="1256" priority="6538" operator="containsText" text="Wed">
      <formula>NOT(ISERROR(SEARCH("Wed",D2402)))</formula>
    </cfRule>
    <cfRule type="containsText" dxfId="1255" priority="6539" operator="containsText" text="Tue">
      <formula>NOT(ISERROR(SEARCH("Tue",D2402)))</formula>
    </cfRule>
    <cfRule type="containsText" dxfId="1254" priority="6540" operator="containsText" text="Mon">
      <formula>NOT(ISERROR(SEARCH("Mon",D2402)))</formula>
    </cfRule>
  </conditionalFormatting>
  <conditionalFormatting sqref="A2402:B2402">
    <cfRule type="cellIs" dxfId="1253" priority="6535" operator="equal">
      <formula>0</formula>
    </cfRule>
  </conditionalFormatting>
  <conditionalFormatting sqref="D2403">
    <cfRule type="containsText" dxfId="1252" priority="6530" operator="containsText" text="Fri">
      <formula>NOT(ISERROR(SEARCH("Fri",D2403)))</formula>
    </cfRule>
    <cfRule type="containsText" dxfId="1251" priority="6531" operator="containsText" text="Thu">
      <formula>NOT(ISERROR(SEARCH("Thu",D2403)))</formula>
    </cfRule>
    <cfRule type="containsText" dxfId="1250" priority="6532" operator="containsText" text="Wed">
      <formula>NOT(ISERROR(SEARCH("Wed",D2403)))</formula>
    </cfRule>
    <cfRule type="containsText" dxfId="1249" priority="6533" operator="containsText" text="Tue">
      <formula>NOT(ISERROR(SEARCH("Tue",D2403)))</formula>
    </cfRule>
    <cfRule type="containsText" dxfId="1248" priority="6534" operator="containsText" text="Mon">
      <formula>NOT(ISERROR(SEARCH("Mon",D2403)))</formula>
    </cfRule>
  </conditionalFormatting>
  <conditionalFormatting sqref="D2404:D2405">
    <cfRule type="containsText" dxfId="1247" priority="6525" operator="containsText" text="Fri">
      <formula>NOT(ISERROR(SEARCH("Fri",D2404)))</formula>
    </cfRule>
    <cfRule type="containsText" dxfId="1246" priority="6526" operator="containsText" text="Thu">
      <formula>NOT(ISERROR(SEARCH("Thu",D2404)))</formula>
    </cfRule>
    <cfRule type="containsText" dxfId="1245" priority="6527" operator="containsText" text="Wed">
      <formula>NOT(ISERROR(SEARCH("Wed",D2404)))</formula>
    </cfRule>
    <cfRule type="containsText" dxfId="1244" priority="6528" operator="containsText" text="Tue">
      <formula>NOT(ISERROR(SEARCH("Tue",D2404)))</formula>
    </cfRule>
    <cfRule type="containsText" dxfId="1243" priority="6529" operator="containsText" text="Mon">
      <formula>NOT(ISERROR(SEARCH("Mon",D2404)))</formula>
    </cfRule>
  </conditionalFormatting>
  <conditionalFormatting sqref="A2403:B2405">
    <cfRule type="cellIs" dxfId="1242" priority="6524" operator="equal">
      <formula>0</formula>
    </cfRule>
  </conditionalFormatting>
  <conditionalFormatting sqref="D2406">
    <cfRule type="containsText" dxfId="1241" priority="6519" operator="containsText" text="Fri">
      <formula>NOT(ISERROR(SEARCH("Fri",D2406)))</formula>
    </cfRule>
    <cfRule type="containsText" dxfId="1240" priority="6520" operator="containsText" text="Thu">
      <formula>NOT(ISERROR(SEARCH("Thu",D2406)))</formula>
    </cfRule>
    <cfRule type="containsText" dxfId="1239" priority="6521" operator="containsText" text="Wed">
      <formula>NOT(ISERROR(SEARCH("Wed",D2406)))</formula>
    </cfRule>
    <cfRule type="containsText" dxfId="1238" priority="6522" operator="containsText" text="Tue">
      <formula>NOT(ISERROR(SEARCH("Tue",D2406)))</formula>
    </cfRule>
    <cfRule type="containsText" dxfId="1237" priority="6523" operator="containsText" text="Mon">
      <formula>NOT(ISERROR(SEARCH("Mon",D2406)))</formula>
    </cfRule>
  </conditionalFormatting>
  <conditionalFormatting sqref="D2407:D2408">
    <cfRule type="containsText" dxfId="1236" priority="6514" operator="containsText" text="Fri">
      <formula>NOT(ISERROR(SEARCH("Fri",D2407)))</formula>
    </cfRule>
    <cfRule type="containsText" dxfId="1235" priority="6515" operator="containsText" text="Thu">
      <formula>NOT(ISERROR(SEARCH("Thu",D2407)))</formula>
    </cfRule>
    <cfRule type="containsText" dxfId="1234" priority="6516" operator="containsText" text="Wed">
      <formula>NOT(ISERROR(SEARCH("Wed",D2407)))</formula>
    </cfRule>
    <cfRule type="containsText" dxfId="1233" priority="6517" operator="containsText" text="Tue">
      <formula>NOT(ISERROR(SEARCH("Tue",D2407)))</formula>
    </cfRule>
    <cfRule type="containsText" dxfId="1232" priority="6518" operator="containsText" text="Mon">
      <formula>NOT(ISERROR(SEARCH("Mon",D2407)))</formula>
    </cfRule>
  </conditionalFormatting>
  <conditionalFormatting sqref="A2406:B2408">
    <cfRule type="cellIs" dxfId="1231" priority="6513" operator="equal">
      <formula>0</formula>
    </cfRule>
  </conditionalFormatting>
  <conditionalFormatting sqref="D2409">
    <cfRule type="containsText" dxfId="1230" priority="6508" operator="containsText" text="Fri">
      <formula>NOT(ISERROR(SEARCH("Fri",D2409)))</formula>
    </cfRule>
    <cfRule type="containsText" dxfId="1229" priority="6509" operator="containsText" text="Thu">
      <formula>NOT(ISERROR(SEARCH("Thu",D2409)))</formula>
    </cfRule>
    <cfRule type="containsText" dxfId="1228" priority="6510" operator="containsText" text="Wed">
      <formula>NOT(ISERROR(SEARCH("Wed",D2409)))</formula>
    </cfRule>
    <cfRule type="containsText" dxfId="1227" priority="6511" operator="containsText" text="Tue">
      <formula>NOT(ISERROR(SEARCH("Tue",D2409)))</formula>
    </cfRule>
    <cfRule type="containsText" dxfId="1226" priority="6512" operator="containsText" text="Mon">
      <formula>NOT(ISERROR(SEARCH("Mon",D2409)))</formula>
    </cfRule>
  </conditionalFormatting>
  <conditionalFormatting sqref="D2410">
    <cfRule type="containsText" dxfId="1225" priority="6503" operator="containsText" text="Fri">
      <formula>NOT(ISERROR(SEARCH("Fri",D2410)))</formula>
    </cfRule>
    <cfRule type="containsText" dxfId="1224" priority="6504" operator="containsText" text="Thu">
      <formula>NOT(ISERROR(SEARCH("Thu",D2410)))</formula>
    </cfRule>
    <cfRule type="containsText" dxfId="1223" priority="6505" operator="containsText" text="Wed">
      <formula>NOT(ISERROR(SEARCH("Wed",D2410)))</formula>
    </cfRule>
    <cfRule type="containsText" dxfId="1222" priority="6506" operator="containsText" text="Tue">
      <formula>NOT(ISERROR(SEARCH("Tue",D2410)))</formula>
    </cfRule>
    <cfRule type="containsText" dxfId="1221" priority="6507" operator="containsText" text="Mon">
      <formula>NOT(ISERROR(SEARCH("Mon",D2410)))</formula>
    </cfRule>
  </conditionalFormatting>
  <conditionalFormatting sqref="A2409:B2410">
    <cfRule type="cellIs" dxfId="1220" priority="6502" operator="equal">
      <formula>0</formula>
    </cfRule>
  </conditionalFormatting>
  <conditionalFormatting sqref="D2411">
    <cfRule type="containsText" dxfId="1219" priority="6497" operator="containsText" text="Fri">
      <formula>NOT(ISERROR(SEARCH("Fri",D2411)))</formula>
    </cfRule>
    <cfRule type="containsText" dxfId="1218" priority="6498" operator="containsText" text="Thu">
      <formula>NOT(ISERROR(SEARCH("Thu",D2411)))</formula>
    </cfRule>
    <cfRule type="containsText" dxfId="1217" priority="6499" operator="containsText" text="Wed">
      <formula>NOT(ISERROR(SEARCH("Wed",D2411)))</formula>
    </cfRule>
    <cfRule type="containsText" dxfId="1216" priority="6500" operator="containsText" text="Tue">
      <formula>NOT(ISERROR(SEARCH("Tue",D2411)))</formula>
    </cfRule>
    <cfRule type="containsText" dxfId="1215" priority="6501" operator="containsText" text="Mon">
      <formula>NOT(ISERROR(SEARCH("Mon",D2411)))</formula>
    </cfRule>
  </conditionalFormatting>
  <conditionalFormatting sqref="A2411:B2413">
    <cfRule type="cellIs" dxfId="1214" priority="6496" operator="equal">
      <formula>0</formula>
    </cfRule>
  </conditionalFormatting>
  <conditionalFormatting sqref="D2412:D2413">
    <cfRule type="containsText" dxfId="1213" priority="6491" operator="containsText" text="Fri">
      <formula>NOT(ISERROR(SEARCH("Fri",D2412)))</formula>
    </cfRule>
    <cfRule type="containsText" dxfId="1212" priority="6492" operator="containsText" text="Thu">
      <formula>NOT(ISERROR(SEARCH("Thu",D2412)))</formula>
    </cfRule>
    <cfRule type="containsText" dxfId="1211" priority="6493" operator="containsText" text="Wed">
      <formula>NOT(ISERROR(SEARCH("Wed",D2412)))</formula>
    </cfRule>
    <cfRule type="containsText" dxfId="1210" priority="6494" operator="containsText" text="Tue">
      <formula>NOT(ISERROR(SEARCH("Tue",D2412)))</formula>
    </cfRule>
    <cfRule type="containsText" dxfId="1209" priority="6495" operator="containsText" text="Mon">
      <formula>NOT(ISERROR(SEARCH("Mon",D2412)))</formula>
    </cfRule>
  </conditionalFormatting>
  <conditionalFormatting sqref="D2414:D2417">
    <cfRule type="containsText" dxfId="1208" priority="5949" operator="containsText" text="Fri">
      <formula>NOT(ISERROR(SEARCH("Fri",D2414)))</formula>
    </cfRule>
    <cfRule type="containsText" dxfId="1207" priority="5950" operator="containsText" text="Thu">
      <formula>NOT(ISERROR(SEARCH("Thu",D2414)))</formula>
    </cfRule>
    <cfRule type="containsText" dxfId="1206" priority="5951" operator="containsText" text="Wed">
      <formula>NOT(ISERROR(SEARCH("Wed",D2414)))</formula>
    </cfRule>
    <cfRule type="containsText" dxfId="1205" priority="5952" operator="containsText" text="Tue">
      <formula>NOT(ISERROR(SEARCH("Tue",D2414)))</formula>
    </cfRule>
    <cfRule type="containsText" dxfId="1204" priority="5953" operator="containsText" text="Mon">
      <formula>NOT(ISERROR(SEARCH("Mon",D2414)))</formula>
    </cfRule>
  </conditionalFormatting>
  <conditionalFormatting sqref="E2414:K2461">
    <cfRule type="cellIs" dxfId="1203" priority="5948" operator="equal">
      <formula>0</formula>
    </cfRule>
  </conditionalFormatting>
  <conditionalFormatting sqref="A2414:B2417">
    <cfRule type="cellIs" dxfId="1202" priority="5947" operator="equal">
      <formula>0</formula>
    </cfRule>
  </conditionalFormatting>
  <conditionalFormatting sqref="D2418:D2420">
    <cfRule type="containsText" dxfId="1201" priority="5942" operator="containsText" text="Fri">
      <formula>NOT(ISERROR(SEARCH("Fri",D2418)))</formula>
    </cfRule>
    <cfRule type="containsText" dxfId="1200" priority="5943" operator="containsText" text="Thu">
      <formula>NOT(ISERROR(SEARCH("Thu",D2418)))</formula>
    </cfRule>
    <cfRule type="containsText" dxfId="1199" priority="5944" operator="containsText" text="Wed">
      <formula>NOT(ISERROR(SEARCH("Wed",D2418)))</formula>
    </cfRule>
    <cfRule type="containsText" dxfId="1198" priority="5945" operator="containsText" text="Tue">
      <formula>NOT(ISERROR(SEARCH("Tue",D2418)))</formula>
    </cfRule>
    <cfRule type="containsText" dxfId="1197" priority="5946" operator="containsText" text="Mon">
      <formula>NOT(ISERROR(SEARCH("Mon",D2418)))</formula>
    </cfRule>
  </conditionalFormatting>
  <conditionalFormatting sqref="A2418:B2420">
    <cfRule type="cellIs" dxfId="1196" priority="5941" operator="equal">
      <formula>0</formula>
    </cfRule>
  </conditionalFormatting>
  <conditionalFormatting sqref="D2421">
    <cfRule type="containsText" dxfId="1195" priority="5936" operator="containsText" text="Fri">
      <formula>NOT(ISERROR(SEARCH("Fri",D2421)))</formula>
    </cfRule>
    <cfRule type="containsText" dxfId="1194" priority="5937" operator="containsText" text="Thu">
      <formula>NOT(ISERROR(SEARCH("Thu",D2421)))</formula>
    </cfRule>
    <cfRule type="containsText" dxfId="1193" priority="5938" operator="containsText" text="Wed">
      <formula>NOT(ISERROR(SEARCH("Wed",D2421)))</formula>
    </cfRule>
    <cfRule type="containsText" dxfId="1192" priority="5939" operator="containsText" text="Tue">
      <formula>NOT(ISERROR(SEARCH("Tue",D2421)))</formula>
    </cfRule>
    <cfRule type="containsText" dxfId="1191" priority="5940" operator="containsText" text="Mon">
      <formula>NOT(ISERROR(SEARCH("Mon",D2421)))</formula>
    </cfRule>
  </conditionalFormatting>
  <conditionalFormatting sqref="A2421:B2421">
    <cfRule type="cellIs" dxfId="1190" priority="5935" operator="equal">
      <formula>0</formula>
    </cfRule>
  </conditionalFormatting>
  <conditionalFormatting sqref="D2422">
    <cfRule type="containsText" dxfId="1189" priority="5930" operator="containsText" text="Fri">
      <formula>NOT(ISERROR(SEARCH("Fri",D2422)))</formula>
    </cfRule>
    <cfRule type="containsText" dxfId="1188" priority="5931" operator="containsText" text="Thu">
      <formula>NOT(ISERROR(SEARCH("Thu",D2422)))</formula>
    </cfRule>
    <cfRule type="containsText" dxfId="1187" priority="5932" operator="containsText" text="Wed">
      <formula>NOT(ISERROR(SEARCH("Wed",D2422)))</formula>
    </cfRule>
    <cfRule type="containsText" dxfId="1186" priority="5933" operator="containsText" text="Tue">
      <formula>NOT(ISERROR(SEARCH("Tue",D2422)))</formula>
    </cfRule>
    <cfRule type="containsText" dxfId="1185" priority="5934" operator="containsText" text="Mon">
      <formula>NOT(ISERROR(SEARCH("Mon",D2422)))</formula>
    </cfRule>
  </conditionalFormatting>
  <conditionalFormatting sqref="A2422:B2422">
    <cfRule type="cellIs" dxfId="1184" priority="5929" operator="equal">
      <formula>0</formula>
    </cfRule>
  </conditionalFormatting>
  <conditionalFormatting sqref="D2423">
    <cfRule type="containsText" dxfId="1183" priority="5924" operator="containsText" text="Fri">
      <formula>NOT(ISERROR(SEARCH("Fri",D2423)))</formula>
    </cfRule>
    <cfRule type="containsText" dxfId="1182" priority="5925" operator="containsText" text="Thu">
      <formula>NOT(ISERROR(SEARCH("Thu",D2423)))</formula>
    </cfRule>
    <cfRule type="containsText" dxfId="1181" priority="5926" operator="containsText" text="Wed">
      <formula>NOT(ISERROR(SEARCH("Wed",D2423)))</formula>
    </cfRule>
    <cfRule type="containsText" dxfId="1180" priority="5927" operator="containsText" text="Tue">
      <formula>NOT(ISERROR(SEARCH("Tue",D2423)))</formula>
    </cfRule>
    <cfRule type="containsText" dxfId="1179" priority="5928" operator="containsText" text="Mon">
      <formula>NOT(ISERROR(SEARCH("Mon",D2423)))</formula>
    </cfRule>
  </conditionalFormatting>
  <conditionalFormatting sqref="A2423:B2423">
    <cfRule type="cellIs" dxfId="1178" priority="5923" operator="equal">
      <formula>0</formula>
    </cfRule>
  </conditionalFormatting>
  <conditionalFormatting sqref="D2424:D2434">
    <cfRule type="containsText" dxfId="1177" priority="5918" operator="containsText" text="Fri">
      <formula>NOT(ISERROR(SEARCH("Fri",D2424)))</formula>
    </cfRule>
    <cfRule type="containsText" dxfId="1176" priority="5919" operator="containsText" text="Thu">
      <formula>NOT(ISERROR(SEARCH("Thu",D2424)))</formula>
    </cfRule>
    <cfRule type="containsText" dxfId="1175" priority="5920" operator="containsText" text="Wed">
      <formula>NOT(ISERROR(SEARCH("Wed",D2424)))</formula>
    </cfRule>
    <cfRule type="containsText" dxfId="1174" priority="5921" operator="containsText" text="Tue">
      <formula>NOT(ISERROR(SEARCH("Tue",D2424)))</formula>
    </cfRule>
    <cfRule type="containsText" dxfId="1173" priority="5922" operator="containsText" text="Mon">
      <formula>NOT(ISERROR(SEARCH("Mon",D2424)))</formula>
    </cfRule>
  </conditionalFormatting>
  <conditionalFormatting sqref="A2424:B2434">
    <cfRule type="cellIs" dxfId="1172" priority="5917" operator="equal">
      <formula>0</formula>
    </cfRule>
  </conditionalFormatting>
  <conditionalFormatting sqref="D2443 D2435:D2441">
    <cfRule type="containsText" dxfId="1171" priority="5912" operator="containsText" text="Fri">
      <formula>NOT(ISERROR(SEARCH("Fri",D2435)))</formula>
    </cfRule>
    <cfRule type="containsText" dxfId="1170" priority="5913" operator="containsText" text="Thu">
      <formula>NOT(ISERROR(SEARCH("Thu",D2435)))</formula>
    </cfRule>
    <cfRule type="containsText" dxfId="1169" priority="5914" operator="containsText" text="Wed">
      <formula>NOT(ISERROR(SEARCH("Wed",D2435)))</formula>
    </cfRule>
    <cfRule type="containsText" dxfId="1168" priority="5915" operator="containsText" text="Tue">
      <formula>NOT(ISERROR(SEARCH("Tue",D2435)))</formula>
    </cfRule>
    <cfRule type="containsText" dxfId="1167" priority="5916" operator="containsText" text="Mon">
      <formula>NOT(ISERROR(SEARCH("Mon",D2435)))</formula>
    </cfRule>
  </conditionalFormatting>
  <conditionalFormatting sqref="D2442">
    <cfRule type="containsText" dxfId="1166" priority="5907" operator="containsText" text="Fri">
      <formula>NOT(ISERROR(SEARCH("Fri",D2442)))</formula>
    </cfRule>
    <cfRule type="containsText" dxfId="1165" priority="5908" operator="containsText" text="Thu">
      <formula>NOT(ISERROR(SEARCH("Thu",D2442)))</formula>
    </cfRule>
    <cfRule type="containsText" dxfId="1164" priority="5909" operator="containsText" text="Wed">
      <formula>NOT(ISERROR(SEARCH("Wed",D2442)))</formula>
    </cfRule>
    <cfRule type="containsText" dxfId="1163" priority="5910" operator="containsText" text="Tue">
      <formula>NOT(ISERROR(SEARCH("Tue",D2442)))</formula>
    </cfRule>
    <cfRule type="containsText" dxfId="1162" priority="5911" operator="containsText" text="Mon">
      <formula>NOT(ISERROR(SEARCH("Mon",D2442)))</formula>
    </cfRule>
  </conditionalFormatting>
  <conditionalFormatting sqref="A2435:B2444">
    <cfRule type="cellIs" dxfId="1161" priority="5906" operator="equal">
      <formula>0</formula>
    </cfRule>
  </conditionalFormatting>
  <conditionalFormatting sqref="D2444">
    <cfRule type="containsText" dxfId="1160" priority="5901" operator="containsText" text="Fri">
      <formula>NOT(ISERROR(SEARCH("Fri",D2444)))</formula>
    </cfRule>
    <cfRule type="containsText" dxfId="1159" priority="5902" operator="containsText" text="Thu">
      <formula>NOT(ISERROR(SEARCH("Thu",D2444)))</formula>
    </cfRule>
    <cfRule type="containsText" dxfId="1158" priority="5903" operator="containsText" text="Wed">
      <formula>NOT(ISERROR(SEARCH("Wed",D2444)))</formula>
    </cfRule>
    <cfRule type="containsText" dxfId="1157" priority="5904" operator="containsText" text="Tue">
      <formula>NOT(ISERROR(SEARCH("Tue",D2444)))</formula>
    </cfRule>
    <cfRule type="containsText" dxfId="1156" priority="5905" operator="containsText" text="Mon">
      <formula>NOT(ISERROR(SEARCH("Mon",D2444)))</formula>
    </cfRule>
  </conditionalFormatting>
  <conditionalFormatting sqref="D2445:D2446">
    <cfRule type="containsText" dxfId="1155" priority="5896" operator="containsText" text="Fri">
      <formula>NOT(ISERROR(SEARCH("Fri",D2445)))</formula>
    </cfRule>
    <cfRule type="containsText" dxfId="1154" priority="5897" operator="containsText" text="Thu">
      <formula>NOT(ISERROR(SEARCH("Thu",D2445)))</formula>
    </cfRule>
    <cfRule type="containsText" dxfId="1153" priority="5898" operator="containsText" text="Wed">
      <formula>NOT(ISERROR(SEARCH("Wed",D2445)))</formula>
    </cfRule>
    <cfRule type="containsText" dxfId="1152" priority="5899" operator="containsText" text="Tue">
      <formula>NOT(ISERROR(SEARCH("Tue",D2445)))</formula>
    </cfRule>
    <cfRule type="containsText" dxfId="1151" priority="5900" operator="containsText" text="Mon">
      <formula>NOT(ISERROR(SEARCH("Mon",D2445)))</formula>
    </cfRule>
  </conditionalFormatting>
  <conditionalFormatting sqref="A2445:B2446">
    <cfRule type="cellIs" dxfId="1150" priority="5895" operator="equal">
      <formula>0</formula>
    </cfRule>
  </conditionalFormatting>
  <conditionalFormatting sqref="D2447:D2448">
    <cfRule type="containsText" dxfId="1149" priority="5890" operator="containsText" text="Fri">
      <formula>NOT(ISERROR(SEARCH("Fri",D2447)))</formula>
    </cfRule>
    <cfRule type="containsText" dxfId="1148" priority="5891" operator="containsText" text="Thu">
      <formula>NOT(ISERROR(SEARCH("Thu",D2447)))</formula>
    </cfRule>
    <cfRule type="containsText" dxfId="1147" priority="5892" operator="containsText" text="Wed">
      <formula>NOT(ISERROR(SEARCH("Wed",D2447)))</formula>
    </cfRule>
    <cfRule type="containsText" dxfId="1146" priority="5893" operator="containsText" text="Tue">
      <formula>NOT(ISERROR(SEARCH("Tue",D2447)))</formula>
    </cfRule>
    <cfRule type="containsText" dxfId="1145" priority="5894" operator="containsText" text="Mon">
      <formula>NOT(ISERROR(SEARCH("Mon",D2447)))</formula>
    </cfRule>
  </conditionalFormatting>
  <conditionalFormatting sqref="A2447:B2448">
    <cfRule type="cellIs" dxfId="1144" priority="5889" operator="equal">
      <formula>0</formula>
    </cfRule>
  </conditionalFormatting>
  <conditionalFormatting sqref="D2449:D2450">
    <cfRule type="containsText" dxfId="1143" priority="5884" operator="containsText" text="Fri">
      <formula>NOT(ISERROR(SEARCH("Fri",D2449)))</formula>
    </cfRule>
    <cfRule type="containsText" dxfId="1142" priority="5885" operator="containsText" text="Thu">
      <formula>NOT(ISERROR(SEARCH("Thu",D2449)))</formula>
    </cfRule>
    <cfRule type="containsText" dxfId="1141" priority="5886" operator="containsText" text="Wed">
      <formula>NOT(ISERROR(SEARCH("Wed",D2449)))</formula>
    </cfRule>
    <cfRule type="containsText" dxfId="1140" priority="5887" operator="containsText" text="Tue">
      <formula>NOT(ISERROR(SEARCH("Tue",D2449)))</formula>
    </cfRule>
    <cfRule type="containsText" dxfId="1139" priority="5888" operator="containsText" text="Mon">
      <formula>NOT(ISERROR(SEARCH("Mon",D2449)))</formula>
    </cfRule>
  </conditionalFormatting>
  <conditionalFormatting sqref="A2449:B2450">
    <cfRule type="cellIs" dxfId="1138" priority="5883" operator="equal">
      <formula>0</formula>
    </cfRule>
  </conditionalFormatting>
  <conditionalFormatting sqref="D2451:D2452">
    <cfRule type="containsText" dxfId="1137" priority="5878" operator="containsText" text="Fri">
      <formula>NOT(ISERROR(SEARCH("Fri",D2451)))</formula>
    </cfRule>
    <cfRule type="containsText" dxfId="1136" priority="5879" operator="containsText" text="Thu">
      <formula>NOT(ISERROR(SEARCH("Thu",D2451)))</formula>
    </cfRule>
    <cfRule type="containsText" dxfId="1135" priority="5880" operator="containsText" text="Wed">
      <formula>NOT(ISERROR(SEARCH("Wed",D2451)))</formula>
    </cfRule>
    <cfRule type="containsText" dxfId="1134" priority="5881" operator="containsText" text="Tue">
      <formula>NOT(ISERROR(SEARCH("Tue",D2451)))</formula>
    </cfRule>
    <cfRule type="containsText" dxfId="1133" priority="5882" operator="containsText" text="Mon">
      <formula>NOT(ISERROR(SEARCH("Mon",D2451)))</formula>
    </cfRule>
  </conditionalFormatting>
  <conditionalFormatting sqref="A2451:B2452">
    <cfRule type="cellIs" dxfId="1132" priority="5877" operator="equal">
      <formula>0</formula>
    </cfRule>
  </conditionalFormatting>
  <conditionalFormatting sqref="D2453:D2454">
    <cfRule type="containsText" dxfId="1131" priority="5872" operator="containsText" text="Fri">
      <formula>NOT(ISERROR(SEARCH("Fri",D2453)))</formula>
    </cfRule>
    <cfRule type="containsText" dxfId="1130" priority="5873" operator="containsText" text="Thu">
      <formula>NOT(ISERROR(SEARCH("Thu",D2453)))</formula>
    </cfRule>
    <cfRule type="containsText" dxfId="1129" priority="5874" operator="containsText" text="Wed">
      <formula>NOT(ISERROR(SEARCH("Wed",D2453)))</formula>
    </cfRule>
    <cfRule type="containsText" dxfId="1128" priority="5875" operator="containsText" text="Tue">
      <formula>NOT(ISERROR(SEARCH("Tue",D2453)))</formula>
    </cfRule>
    <cfRule type="containsText" dxfId="1127" priority="5876" operator="containsText" text="Mon">
      <formula>NOT(ISERROR(SEARCH("Mon",D2453)))</formula>
    </cfRule>
  </conditionalFormatting>
  <conditionalFormatting sqref="A2453:B2454">
    <cfRule type="cellIs" dxfId="1126" priority="5871" operator="equal">
      <formula>0</formula>
    </cfRule>
  </conditionalFormatting>
  <conditionalFormatting sqref="D2455">
    <cfRule type="containsText" dxfId="1125" priority="5866" operator="containsText" text="Fri">
      <formula>NOT(ISERROR(SEARCH("Fri",D2455)))</formula>
    </cfRule>
    <cfRule type="containsText" dxfId="1124" priority="5867" operator="containsText" text="Thu">
      <formula>NOT(ISERROR(SEARCH("Thu",D2455)))</formula>
    </cfRule>
    <cfRule type="containsText" dxfId="1123" priority="5868" operator="containsText" text="Wed">
      <formula>NOT(ISERROR(SEARCH("Wed",D2455)))</formula>
    </cfRule>
    <cfRule type="containsText" dxfId="1122" priority="5869" operator="containsText" text="Tue">
      <formula>NOT(ISERROR(SEARCH("Tue",D2455)))</formula>
    </cfRule>
    <cfRule type="containsText" dxfId="1121" priority="5870" operator="containsText" text="Mon">
      <formula>NOT(ISERROR(SEARCH("Mon",D2455)))</formula>
    </cfRule>
  </conditionalFormatting>
  <conditionalFormatting sqref="A2455:B2455">
    <cfRule type="cellIs" dxfId="1120" priority="5865" operator="equal">
      <formula>0</formula>
    </cfRule>
  </conditionalFormatting>
  <conditionalFormatting sqref="D2456:D2457">
    <cfRule type="containsText" dxfId="1119" priority="5860" operator="containsText" text="Fri">
      <formula>NOT(ISERROR(SEARCH("Fri",D2456)))</formula>
    </cfRule>
    <cfRule type="containsText" dxfId="1118" priority="5861" operator="containsText" text="Thu">
      <formula>NOT(ISERROR(SEARCH("Thu",D2456)))</formula>
    </cfRule>
    <cfRule type="containsText" dxfId="1117" priority="5862" operator="containsText" text="Wed">
      <formula>NOT(ISERROR(SEARCH("Wed",D2456)))</formula>
    </cfRule>
    <cfRule type="containsText" dxfId="1116" priority="5863" operator="containsText" text="Tue">
      <formula>NOT(ISERROR(SEARCH("Tue",D2456)))</formula>
    </cfRule>
    <cfRule type="containsText" dxfId="1115" priority="5864" operator="containsText" text="Mon">
      <formula>NOT(ISERROR(SEARCH("Mon",D2456)))</formula>
    </cfRule>
  </conditionalFormatting>
  <conditionalFormatting sqref="A2456:B2457">
    <cfRule type="cellIs" dxfId="1114" priority="5859" operator="equal">
      <formula>0</formula>
    </cfRule>
  </conditionalFormatting>
  <conditionalFormatting sqref="D2458:D2459">
    <cfRule type="containsText" dxfId="1113" priority="5854" operator="containsText" text="Fri">
      <formula>NOT(ISERROR(SEARCH("Fri",D2458)))</formula>
    </cfRule>
    <cfRule type="containsText" dxfId="1112" priority="5855" operator="containsText" text="Thu">
      <formula>NOT(ISERROR(SEARCH("Thu",D2458)))</formula>
    </cfRule>
    <cfRule type="containsText" dxfId="1111" priority="5856" operator="containsText" text="Wed">
      <formula>NOT(ISERROR(SEARCH("Wed",D2458)))</formula>
    </cfRule>
    <cfRule type="containsText" dxfId="1110" priority="5857" operator="containsText" text="Tue">
      <formula>NOT(ISERROR(SEARCH("Tue",D2458)))</formula>
    </cfRule>
    <cfRule type="containsText" dxfId="1109" priority="5858" operator="containsText" text="Mon">
      <formula>NOT(ISERROR(SEARCH("Mon",D2458)))</formula>
    </cfRule>
  </conditionalFormatting>
  <conditionalFormatting sqref="A2458:B2459">
    <cfRule type="cellIs" dxfId="1108" priority="5853" operator="equal">
      <formula>0</formula>
    </cfRule>
  </conditionalFormatting>
  <conditionalFormatting sqref="D2460:D2461">
    <cfRule type="containsText" dxfId="1107" priority="5848" operator="containsText" text="Fri">
      <formula>NOT(ISERROR(SEARCH("Fri",D2460)))</formula>
    </cfRule>
    <cfRule type="containsText" dxfId="1106" priority="5849" operator="containsText" text="Thu">
      <formula>NOT(ISERROR(SEARCH("Thu",D2460)))</formula>
    </cfRule>
    <cfRule type="containsText" dxfId="1105" priority="5850" operator="containsText" text="Wed">
      <formula>NOT(ISERROR(SEARCH("Wed",D2460)))</formula>
    </cfRule>
    <cfRule type="containsText" dxfId="1104" priority="5851" operator="containsText" text="Tue">
      <formula>NOT(ISERROR(SEARCH("Tue",D2460)))</formula>
    </cfRule>
    <cfRule type="containsText" dxfId="1103" priority="5852" operator="containsText" text="Mon">
      <formula>NOT(ISERROR(SEARCH("Mon",D2460)))</formula>
    </cfRule>
  </conditionalFormatting>
  <conditionalFormatting sqref="A2460:B2461">
    <cfRule type="cellIs" dxfId="1102" priority="5847" operator="equal">
      <formula>0</formula>
    </cfRule>
  </conditionalFormatting>
  <conditionalFormatting sqref="D2462:D2471">
    <cfRule type="containsText" dxfId="1101" priority="4178" operator="containsText" text="Fri">
      <formula>NOT(ISERROR(SEARCH("Fri",D2462)))</formula>
    </cfRule>
    <cfRule type="containsText" dxfId="1100" priority="4179" operator="containsText" text="Thu">
      <formula>NOT(ISERROR(SEARCH("Thu",D2462)))</formula>
    </cfRule>
    <cfRule type="containsText" dxfId="1099" priority="4180" operator="containsText" text="Wed">
      <formula>NOT(ISERROR(SEARCH("Wed",D2462)))</formula>
    </cfRule>
    <cfRule type="containsText" dxfId="1098" priority="4181" operator="containsText" text="Tue">
      <formula>NOT(ISERROR(SEARCH("Tue",D2462)))</formula>
    </cfRule>
    <cfRule type="containsText" dxfId="1097" priority="4182" operator="containsText" text="Mon">
      <formula>NOT(ISERROR(SEARCH("Mon",D2462)))</formula>
    </cfRule>
  </conditionalFormatting>
  <conditionalFormatting sqref="E2462:K2558">
    <cfRule type="cellIs" dxfId="1096" priority="4177" operator="equal">
      <formula>0</formula>
    </cfRule>
  </conditionalFormatting>
  <conditionalFormatting sqref="A2462:B2471">
    <cfRule type="cellIs" dxfId="1095" priority="4176" operator="equal">
      <formula>0</formula>
    </cfRule>
  </conditionalFormatting>
  <conditionalFormatting sqref="D2472">
    <cfRule type="containsText" dxfId="1094" priority="4171" operator="containsText" text="Fri">
      <formula>NOT(ISERROR(SEARCH("Fri",D2472)))</formula>
    </cfRule>
    <cfRule type="containsText" dxfId="1093" priority="4172" operator="containsText" text="Thu">
      <formula>NOT(ISERROR(SEARCH("Thu",D2472)))</formula>
    </cfRule>
    <cfRule type="containsText" dxfId="1092" priority="4173" operator="containsText" text="Wed">
      <formula>NOT(ISERROR(SEARCH("Wed",D2472)))</formula>
    </cfRule>
    <cfRule type="containsText" dxfId="1091" priority="4174" operator="containsText" text="Tue">
      <formula>NOT(ISERROR(SEARCH("Tue",D2472)))</formula>
    </cfRule>
    <cfRule type="containsText" dxfId="1090" priority="4175" operator="containsText" text="Mon">
      <formula>NOT(ISERROR(SEARCH("Mon",D2472)))</formula>
    </cfRule>
  </conditionalFormatting>
  <conditionalFormatting sqref="A2472:B2473">
    <cfRule type="cellIs" dxfId="1089" priority="4170" operator="equal">
      <formula>0</formula>
    </cfRule>
  </conditionalFormatting>
  <conditionalFormatting sqref="D2473">
    <cfRule type="containsText" dxfId="1088" priority="4165" operator="containsText" text="Fri">
      <formula>NOT(ISERROR(SEARCH("Fri",D2473)))</formula>
    </cfRule>
    <cfRule type="containsText" dxfId="1087" priority="4166" operator="containsText" text="Thu">
      <formula>NOT(ISERROR(SEARCH("Thu",D2473)))</formula>
    </cfRule>
    <cfRule type="containsText" dxfId="1086" priority="4167" operator="containsText" text="Wed">
      <formula>NOT(ISERROR(SEARCH("Wed",D2473)))</formula>
    </cfRule>
    <cfRule type="containsText" dxfId="1085" priority="4168" operator="containsText" text="Tue">
      <formula>NOT(ISERROR(SEARCH("Tue",D2473)))</formula>
    </cfRule>
    <cfRule type="containsText" dxfId="1084" priority="4169" operator="containsText" text="Mon">
      <formula>NOT(ISERROR(SEARCH("Mon",D2473)))</formula>
    </cfRule>
  </conditionalFormatting>
  <conditionalFormatting sqref="D2474:D2475">
    <cfRule type="containsText" dxfId="1083" priority="4160" operator="containsText" text="Fri">
      <formula>NOT(ISERROR(SEARCH("Fri",D2474)))</formula>
    </cfRule>
    <cfRule type="containsText" dxfId="1082" priority="4161" operator="containsText" text="Thu">
      <formula>NOT(ISERROR(SEARCH("Thu",D2474)))</formula>
    </cfRule>
    <cfRule type="containsText" dxfId="1081" priority="4162" operator="containsText" text="Wed">
      <formula>NOT(ISERROR(SEARCH("Wed",D2474)))</formula>
    </cfRule>
    <cfRule type="containsText" dxfId="1080" priority="4163" operator="containsText" text="Tue">
      <formula>NOT(ISERROR(SEARCH("Tue",D2474)))</formula>
    </cfRule>
    <cfRule type="containsText" dxfId="1079" priority="4164" operator="containsText" text="Mon">
      <formula>NOT(ISERROR(SEARCH("Mon",D2474)))</formula>
    </cfRule>
  </conditionalFormatting>
  <conditionalFormatting sqref="A2474:B2475">
    <cfRule type="cellIs" dxfId="1078" priority="4159" operator="equal">
      <formula>0</formula>
    </cfRule>
  </conditionalFormatting>
  <conditionalFormatting sqref="D2476:D2477">
    <cfRule type="containsText" dxfId="1077" priority="4154" operator="containsText" text="Fri">
      <formula>NOT(ISERROR(SEARCH("Fri",D2476)))</formula>
    </cfRule>
    <cfRule type="containsText" dxfId="1076" priority="4155" operator="containsText" text="Thu">
      <formula>NOT(ISERROR(SEARCH("Thu",D2476)))</formula>
    </cfRule>
    <cfRule type="containsText" dxfId="1075" priority="4156" operator="containsText" text="Wed">
      <formula>NOT(ISERROR(SEARCH("Wed",D2476)))</formula>
    </cfRule>
    <cfRule type="containsText" dxfId="1074" priority="4157" operator="containsText" text="Tue">
      <formula>NOT(ISERROR(SEARCH("Tue",D2476)))</formula>
    </cfRule>
    <cfRule type="containsText" dxfId="1073" priority="4158" operator="containsText" text="Mon">
      <formula>NOT(ISERROR(SEARCH("Mon",D2476)))</formula>
    </cfRule>
  </conditionalFormatting>
  <conditionalFormatting sqref="A2476:B2477">
    <cfRule type="cellIs" dxfId="1072" priority="4153" operator="equal">
      <formula>0</formula>
    </cfRule>
  </conditionalFormatting>
  <conditionalFormatting sqref="D2478:D2479">
    <cfRule type="containsText" dxfId="1071" priority="4148" operator="containsText" text="Fri">
      <formula>NOT(ISERROR(SEARCH("Fri",D2478)))</formula>
    </cfRule>
    <cfRule type="containsText" dxfId="1070" priority="4149" operator="containsText" text="Thu">
      <formula>NOT(ISERROR(SEARCH("Thu",D2478)))</formula>
    </cfRule>
    <cfRule type="containsText" dxfId="1069" priority="4150" operator="containsText" text="Wed">
      <formula>NOT(ISERROR(SEARCH("Wed",D2478)))</formula>
    </cfRule>
    <cfRule type="containsText" dxfId="1068" priority="4151" operator="containsText" text="Tue">
      <formula>NOT(ISERROR(SEARCH("Tue",D2478)))</formula>
    </cfRule>
    <cfRule type="containsText" dxfId="1067" priority="4152" operator="containsText" text="Mon">
      <formula>NOT(ISERROR(SEARCH("Mon",D2478)))</formula>
    </cfRule>
  </conditionalFormatting>
  <conditionalFormatting sqref="A2478:B2479">
    <cfRule type="cellIs" dxfId="1066" priority="4147" operator="equal">
      <formula>0</formula>
    </cfRule>
  </conditionalFormatting>
  <conditionalFormatting sqref="D2480:D2481">
    <cfRule type="containsText" dxfId="1065" priority="4142" operator="containsText" text="Fri">
      <formula>NOT(ISERROR(SEARCH("Fri",D2480)))</formula>
    </cfRule>
    <cfRule type="containsText" dxfId="1064" priority="4143" operator="containsText" text="Thu">
      <formula>NOT(ISERROR(SEARCH("Thu",D2480)))</formula>
    </cfRule>
    <cfRule type="containsText" dxfId="1063" priority="4144" operator="containsText" text="Wed">
      <formula>NOT(ISERROR(SEARCH("Wed",D2480)))</formula>
    </cfRule>
    <cfRule type="containsText" dxfId="1062" priority="4145" operator="containsText" text="Tue">
      <formula>NOT(ISERROR(SEARCH("Tue",D2480)))</formula>
    </cfRule>
    <cfRule type="containsText" dxfId="1061" priority="4146" operator="containsText" text="Mon">
      <formula>NOT(ISERROR(SEARCH("Mon",D2480)))</formula>
    </cfRule>
  </conditionalFormatting>
  <conditionalFormatting sqref="A2480:B2481">
    <cfRule type="cellIs" dxfId="1060" priority="4141" operator="equal">
      <formula>0</formula>
    </cfRule>
  </conditionalFormatting>
  <conditionalFormatting sqref="D2482">
    <cfRule type="containsText" dxfId="1059" priority="4136" operator="containsText" text="Fri">
      <formula>NOT(ISERROR(SEARCH("Fri",D2482)))</formula>
    </cfRule>
    <cfRule type="containsText" dxfId="1058" priority="4137" operator="containsText" text="Thu">
      <formula>NOT(ISERROR(SEARCH("Thu",D2482)))</formula>
    </cfRule>
    <cfRule type="containsText" dxfId="1057" priority="4138" operator="containsText" text="Wed">
      <formula>NOT(ISERROR(SEARCH("Wed",D2482)))</formula>
    </cfRule>
    <cfRule type="containsText" dxfId="1056" priority="4139" operator="containsText" text="Tue">
      <formula>NOT(ISERROR(SEARCH("Tue",D2482)))</formula>
    </cfRule>
    <cfRule type="containsText" dxfId="1055" priority="4140" operator="containsText" text="Mon">
      <formula>NOT(ISERROR(SEARCH("Mon",D2482)))</formula>
    </cfRule>
  </conditionalFormatting>
  <conditionalFormatting sqref="A2482:B2482">
    <cfRule type="cellIs" dxfId="1054" priority="4135" operator="equal">
      <formula>0</formula>
    </cfRule>
  </conditionalFormatting>
  <conditionalFormatting sqref="D2483:D2486">
    <cfRule type="containsText" dxfId="1053" priority="4130" operator="containsText" text="Fri">
      <formula>NOT(ISERROR(SEARCH("Fri",D2483)))</formula>
    </cfRule>
    <cfRule type="containsText" dxfId="1052" priority="4131" operator="containsText" text="Thu">
      <formula>NOT(ISERROR(SEARCH("Thu",D2483)))</formula>
    </cfRule>
    <cfRule type="containsText" dxfId="1051" priority="4132" operator="containsText" text="Wed">
      <formula>NOT(ISERROR(SEARCH("Wed",D2483)))</formula>
    </cfRule>
    <cfRule type="containsText" dxfId="1050" priority="4133" operator="containsText" text="Tue">
      <formula>NOT(ISERROR(SEARCH("Tue",D2483)))</formula>
    </cfRule>
    <cfRule type="containsText" dxfId="1049" priority="4134" operator="containsText" text="Mon">
      <formula>NOT(ISERROR(SEARCH("Mon",D2483)))</formula>
    </cfRule>
  </conditionalFormatting>
  <conditionalFormatting sqref="A2483:B2487">
    <cfRule type="cellIs" dxfId="1048" priority="4129" operator="equal">
      <formula>0</formula>
    </cfRule>
  </conditionalFormatting>
  <conditionalFormatting sqref="D2487">
    <cfRule type="containsText" dxfId="1047" priority="4124" operator="containsText" text="Fri">
      <formula>NOT(ISERROR(SEARCH("Fri",D2487)))</formula>
    </cfRule>
    <cfRule type="containsText" dxfId="1046" priority="4125" operator="containsText" text="Thu">
      <formula>NOT(ISERROR(SEARCH("Thu",D2487)))</formula>
    </cfRule>
    <cfRule type="containsText" dxfId="1045" priority="4126" operator="containsText" text="Wed">
      <formula>NOT(ISERROR(SEARCH("Wed",D2487)))</formula>
    </cfRule>
    <cfRule type="containsText" dxfId="1044" priority="4127" operator="containsText" text="Tue">
      <formula>NOT(ISERROR(SEARCH("Tue",D2487)))</formula>
    </cfRule>
    <cfRule type="containsText" dxfId="1043" priority="4128" operator="containsText" text="Mon">
      <formula>NOT(ISERROR(SEARCH("Mon",D2487)))</formula>
    </cfRule>
  </conditionalFormatting>
  <conditionalFormatting sqref="D2488:D2492">
    <cfRule type="containsText" dxfId="1042" priority="4119" operator="containsText" text="Fri">
      <formula>NOT(ISERROR(SEARCH("Fri",D2488)))</formula>
    </cfRule>
    <cfRule type="containsText" dxfId="1041" priority="4120" operator="containsText" text="Thu">
      <formula>NOT(ISERROR(SEARCH("Thu",D2488)))</formula>
    </cfRule>
    <cfRule type="containsText" dxfId="1040" priority="4121" operator="containsText" text="Wed">
      <formula>NOT(ISERROR(SEARCH("Wed",D2488)))</formula>
    </cfRule>
    <cfRule type="containsText" dxfId="1039" priority="4122" operator="containsText" text="Tue">
      <formula>NOT(ISERROR(SEARCH("Tue",D2488)))</formula>
    </cfRule>
    <cfRule type="containsText" dxfId="1038" priority="4123" operator="containsText" text="Mon">
      <formula>NOT(ISERROR(SEARCH("Mon",D2488)))</formula>
    </cfRule>
  </conditionalFormatting>
  <conditionalFormatting sqref="A2488:B2492">
    <cfRule type="cellIs" dxfId="1037" priority="4118" operator="equal">
      <formula>0</formula>
    </cfRule>
  </conditionalFormatting>
  <conditionalFormatting sqref="D2493:D2496">
    <cfRule type="containsText" dxfId="1036" priority="4113" operator="containsText" text="Fri">
      <formula>NOT(ISERROR(SEARCH("Fri",D2493)))</formula>
    </cfRule>
    <cfRule type="containsText" dxfId="1035" priority="4114" operator="containsText" text="Thu">
      <formula>NOT(ISERROR(SEARCH("Thu",D2493)))</formula>
    </cfRule>
    <cfRule type="containsText" dxfId="1034" priority="4115" operator="containsText" text="Wed">
      <formula>NOT(ISERROR(SEARCH("Wed",D2493)))</formula>
    </cfRule>
    <cfRule type="containsText" dxfId="1033" priority="4116" operator="containsText" text="Tue">
      <formula>NOT(ISERROR(SEARCH("Tue",D2493)))</formula>
    </cfRule>
    <cfRule type="containsText" dxfId="1032" priority="4117" operator="containsText" text="Mon">
      <formula>NOT(ISERROR(SEARCH("Mon",D2493)))</formula>
    </cfRule>
  </conditionalFormatting>
  <conditionalFormatting sqref="A2493:B2496">
    <cfRule type="cellIs" dxfId="1031" priority="4112" operator="equal">
      <formula>0</formula>
    </cfRule>
  </conditionalFormatting>
  <conditionalFormatting sqref="D2497:D2502">
    <cfRule type="containsText" dxfId="1030" priority="4107" operator="containsText" text="Fri">
      <formula>NOT(ISERROR(SEARCH("Fri",D2497)))</formula>
    </cfRule>
    <cfRule type="containsText" dxfId="1029" priority="4108" operator="containsText" text="Thu">
      <formula>NOT(ISERROR(SEARCH("Thu",D2497)))</formula>
    </cfRule>
    <cfRule type="containsText" dxfId="1028" priority="4109" operator="containsText" text="Wed">
      <formula>NOT(ISERROR(SEARCH("Wed",D2497)))</formula>
    </cfRule>
    <cfRule type="containsText" dxfId="1027" priority="4110" operator="containsText" text="Tue">
      <formula>NOT(ISERROR(SEARCH("Tue",D2497)))</formula>
    </cfRule>
    <cfRule type="containsText" dxfId="1026" priority="4111" operator="containsText" text="Mon">
      <formula>NOT(ISERROR(SEARCH("Mon",D2497)))</formula>
    </cfRule>
  </conditionalFormatting>
  <conditionalFormatting sqref="A2497:B2502">
    <cfRule type="cellIs" dxfId="1025" priority="4106" operator="equal">
      <formula>0</formula>
    </cfRule>
  </conditionalFormatting>
  <conditionalFormatting sqref="D2503:D2505">
    <cfRule type="containsText" dxfId="1024" priority="4101" operator="containsText" text="Fri">
      <formula>NOT(ISERROR(SEARCH("Fri",D2503)))</formula>
    </cfRule>
    <cfRule type="containsText" dxfId="1023" priority="4102" operator="containsText" text="Thu">
      <formula>NOT(ISERROR(SEARCH("Thu",D2503)))</formula>
    </cfRule>
    <cfRule type="containsText" dxfId="1022" priority="4103" operator="containsText" text="Wed">
      <formula>NOT(ISERROR(SEARCH("Wed",D2503)))</formula>
    </cfRule>
    <cfRule type="containsText" dxfId="1021" priority="4104" operator="containsText" text="Tue">
      <formula>NOT(ISERROR(SEARCH("Tue",D2503)))</formula>
    </cfRule>
    <cfRule type="containsText" dxfId="1020" priority="4105" operator="containsText" text="Mon">
      <formula>NOT(ISERROR(SEARCH("Mon",D2503)))</formula>
    </cfRule>
  </conditionalFormatting>
  <conditionalFormatting sqref="A2503:B2506">
    <cfRule type="cellIs" dxfId="1019" priority="4100" operator="equal">
      <formula>0</formula>
    </cfRule>
  </conditionalFormatting>
  <conditionalFormatting sqref="D2506">
    <cfRule type="containsText" dxfId="1018" priority="4095" operator="containsText" text="Fri">
      <formula>NOT(ISERROR(SEARCH("Fri",D2506)))</formula>
    </cfRule>
    <cfRule type="containsText" dxfId="1017" priority="4096" operator="containsText" text="Thu">
      <formula>NOT(ISERROR(SEARCH("Thu",D2506)))</formula>
    </cfRule>
    <cfRule type="containsText" dxfId="1016" priority="4097" operator="containsText" text="Wed">
      <formula>NOT(ISERROR(SEARCH("Wed",D2506)))</formula>
    </cfRule>
    <cfRule type="containsText" dxfId="1015" priority="4098" operator="containsText" text="Tue">
      <formula>NOT(ISERROR(SEARCH("Tue",D2506)))</formula>
    </cfRule>
    <cfRule type="containsText" dxfId="1014" priority="4099" operator="containsText" text="Mon">
      <formula>NOT(ISERROR(SEARCH("Mon",D2506)))</formula>
    </cfRule>
  </conditionalFormatting>
  <conditionalFormatting sqref="D2507:D2510">
    <cfRule type="containsText" dxfId="1013" priority="4090" operator="containsText" text="Fri">
      <formula>NOT(ISERROR(SEARCH("Fri",D2507)))</formula>
    </cfRule>
    <cfRule type="containsText" dxfId="1012" priority="4091" operator="containsText" text="Thu">
      <formula>NOT(ISERROR(SEARCH("Thu",D2507)))</formula>
    </cfRule>
    <cfRule type="containsText" dxfId="1011" priority="4092" operator="containsText" text="Wed">
      <formula>NOT(ISERROR(SEARCH("Wed",D2507)))</formula>
    </cfRule>
    <cfRule type="containsText" dxfId="1010" priority="4093" operator="containsText" text="Tue">
      <formula>NOT(ISERROR(SEARCH("Tue",D2507)))</formula>
    </cfRule>
    <cfRule type="containsText" dxfId="1009" priority="4094" operator="containsText" text="Mon">
      <formula>NOT(ISERROR(SEARCH("Mon",D2507)))</formula>
    </cfRule>
  </conditionalFormatting>
  <conditionalFormatting sqref="A2507:B2512">
    <cfRule type="cellIs" dxfId="1008" priority="4089" operator="equal">
      <formula>0</formula>
    </cfRule>
  </conditionalFormatting>
  <conditionalFormatting sqref="D2511:D2512">
    <cfRule type="containsText" dxfId="1007" priority="4084" operator="containsText" text="Fri">
      <formula>NOT(ISERROR(SEARCH("Fri",D2511)))</formula>
    </cfRule>
    <cfRule type="containsText" dxfId="1006" priority="4085" operator="containsText" text="Thu">
      <formula>NOT(ISERROR(SEARCH("Thu",D2511)))</formula>
    </cfRule>
    <cfRule type="containsText" dxfId="1005" priority="4086" operator="containsText" text="Wed">
      <formula>NOT(ISERROR(SEARCH("Wed",D2511)))</formula>
    </cfRule>
    <cfRule type="containsText" dxfId="1004" priority="4087" operator="containsText" text="Tue">
      <formula>NOT(ISERROR(SEARCH("Tue",D2511)))</formula>
    </cfRule>
    <cfRule type="containsText" dxfId="1003" priority="4088" operator="containsText" text="Mon">
      <formula>NOT(ISERROR(SEARCH("Mon",D2511)))</formula>
    </cfRule>
  </conditionalFormatting>
  <conditionalFormatting sqref="D2513:D2517">
    <cfRule type="containsText" dxfId="1002" priority="4079" operator="containsText" text="Fri">
      <formula>NOT(ISERROR(SEARCH("Fri",D2513)))</formula>
    </cfRule>
    <cfRule type="containsText" dxfId="1001" priority="4080" operator="containsText" text="Thu">
      <formula>NOT(ISERROR(SEARCH("Thu",D2513)))</formula>
    </cfRule>
    <cfRule type="containsText" dxfId="1000" priority="4081" operator="containsText" text="Wed">
      <formula>NOT(ISERROR(SEARCH("Wed",D2513)))</formula>
    </cfRule>
    <cfRule type="containsText" dxfId="999" priority="4082" operator="containsText" text="Tue">
      <formula>NOT(ISERROR(SEARCH("Tue",D2513)))</formula>
    </cfRule>
    <cfRule type="containsText" dxfId="998" priority="4083" operator="containsText" text="Mon">
      <formula>NOT(ISERROR(SEARCH("Mon",D2513)))</formula>
    </cfRule>
  </conditionalFormatting>
  <conditionalFormatting sqref="A2513:B2517">
    <cfRule type="cellIs" dxfId="997" priority="4078" operator="equal">
      <formula>0</formula>
    </cfRule>
  </conditionalFormatting>
  <conditionalFormatting sqref="D2518:D2521">
    <cfRule type="containsText" dxfId="996" priority="4073" operator="containsText" text="Fri">
      <formula>NOT(ISERROR(SEARCH("Fri",D2518)))</formula>
    </cfRule>
    <cfRule type="containsText" dxfId="995" priority="4074" operator="containsText" text="Thu">
      <formula>NOT(ISERROR(SEARCH("Thu",D2518)))</formula>
    </cfRule>
    <cfRule type="containsText" dxfId="994" priority="4075" operator="containsText" text="Wed">
      <formula>NOT(ISERROR(SEARCH("Wed",D2518)))</formula>
    </cfRule>
    <cfRule type="containsText" dxfId="993" priority="4076" operator="containsText" text="Tue">
      <formula>NOT(ISERROR(SEARCH("Tue",D2518)))</formula>
    </cfRule>
    <cfRule type="containsText" dxfId="992" priority="4077" operator="containsText" text="Mon">
      <formula>NOT(ISERROR(SEARCH("Mon",D2518)))</formula>
    </cfRule>
  </conditionalFormatting>
  <conditionalFormatting sqref="A2518:B2525">
    <cfRule type="cellIs" dxfId="991" priority="4072" operator="equal">
      <formula>0</formula>
    </cfRule>
  </conditionalFormatting>
  <conditionalFormatting sqref="D2522:D2525">
    <cfRule type="containsText" dxfId="990" priority="4067" operator="containsText" text="Fri">
      <formula>NOT(ISERROR(SEARCH("Fri",D2522)))</formula>
    </cfRule>
    <cfRule type="containsText" dxfId="989" priority="4068" operator="containsText" text="Thu">
      <formula>NOT(ISERROR(SEARCH("Thu",D2522)))</formula>
    </cfRule>
    <cfRule type="containsText" dxfId="988" priority="4069" operator="containsText" text="Wed">
      <formula>NOT(ISERROR(SEARCH("Wed",D2522)))</formula>
    </cfRule>
    <cfRule type="containsText" dxfId="987" priority="4070" operator="containsText" text="Tue">
      <formula>NOT(ISERROR(SEARCH("Tue",D2522)))</formula>
    </cfRule>
    <cfRule type="containsText" dxfId="986" priority="4071" operator="containsText" text="Mon">
      <formula>NOT(ISERROR(SEARCH("Mon",D2522)))</formula>
    </cfRule>
  </conditionalFormatting>
  <conditionalFormatting sqref="D2526:D2530">
    <cfRule type="containsText" dxfId="985" priority="4062" operator="containsText" text="Fri">
      <formula>NOT(ISERROR(SEARCH("Fri",D2526)))</formula>
    </cfRule>
    <cfRule type="containsText" dxfId="984" priority="4063" operator="containsText" text="Thu">
      <formula>NOT(ISERROR(SEARCH("Thu",D2526)))</formula>
    </cfRule>
    <cfRule type="containsText" dxfId="983" priority="4064" operator="containsText" text="Wed">
      <formula>NOT(ISERROR(SEARCH("Wed",D2526)))</formula>
    </cfRule>
    <cfRule type="containsText" dxfId="982" priority="4065" operator="containsText" text="Tue">
      <formula>NOT(ISERROR(SEARCH("Tue",D2526)))</formula>
    </cfRule>
    <cfRule type="containsText" dxfId="981" priority="4066" operator="containsText" text="Mon">
      <formula>NOT(ISERROR(SEARCH("Mon",D2526)))</formula>
    </cfRule>
  </conditionalFormatting>
  <conditionalFormatting sqref="A2526:B2530">
    <cfRule type="cellIs" dxfId="980" priority="4061" operator="equal">
      <formula>0</formula>
    </cfRule>
  </conditionalFormatting>
  <conditionalFormatting sqref="D2531:D2533">
    <cfRule type="containsText" dxfId="979" priority="4056" operator="containsText" text="Fri">
      <formula>NOT(ISERROR(SEARCH("Fri",D2531)))</formula>
    </cfRule>
    <cfRule type="containsText" dxfId="978" priority="4057" operator="containsText" text="Thu">
      <formula>NOT(ISERROR(SEARCH("Thu",D2531)))</formula>
    </cfRule>
    <cfRule type="containsText" dxfId="977" priority="4058" operator="containsText" text="Wed">
      <formula>NOT(ISERROR(SEARCH("Wed",D2531)))</formula>
    </cfRule>
    <cfRule type="containsText" dxfId="976" priority="4059" operator="containsText" text="Tue">
      <formula>NOT(ISERROR(SEARCH("Tue",D2531)))</formula>
    </cfRule>
    <cfRule type="containsText" dxfId="975" priority="4060" operator="containsText" text="Mon">
      <formula>NOT(ISERROR(SEARCH("Mon",D2531)))</formula>
    </cfRule>
  </conditionalFormatting>
  <conditionalFormatting sqref="A2531:B2535">
    <cfRule type="cellIs" dxfId="974" priority="4055" operator="equal">
      <formula>0</formula>
    </cfRule>
  </conditionalFormatting>
  <conditionalFormatting sqref="D2534:D2535">
    <cfRule type="containsText" dxfId="973" priority="4050" operator="containsText" text="Fri">
      <formula>NOT(ISERROR(SEARCH("Fri",D2534)))</formula>
    </cfRule>
    <cfRule type="containsText" dxfId="972" priority="4051" operator="containsText" text="Thu">
      <formula>NOT(ISERROR(SEARCH("Thu",D2534)))</formula>
    </cfRule>
    <cfRule type="containsText" dxfId="971" priority="4052" operator="containsText" text="Wed">
      <formula>NOT(ISERROR(SEARCH("Wed",D2534)))</formula>
    </cfRule>
    <cfRule type="containsText" dxfId="970" priority="4053" operator="containsText" text="Tue">
      <formula>NOT(ISERROR(SEARCH("Tue",D2534)))</formula>
    </cfRule>
    <cfRule type="containsText" dxfId="969" priority="4054" operator="containsText" text="Mon">
      <formula>NOT(ISERROR(SEARCH("Mon",D2534)))</formula>
    </cfRule>
  </conditionalFormatting>
  <conditionalFormatting sqref="D2536:D2538">
    <cfRule type="containsText" dxfId="968" priority="4045" operator="containsText" text="Fri">
      <formula>NOT(ISERROR(SEARCH("Fri",D2536)))</formula>
    </cfRule>
    <cfRule type="containsText" dxfId="967" priority="4046" operator="containsText" text="Thu">
      <formula>NOT(ISERROR(SEARCH("Thu",D2536)))</formula>
    </cfRule>
    <cfRule type="containsText" dxfId="966" priority="4047" operator="containsText" text="Wed">
      <formula>NOT(ISERROR(SEARCH("Wed",D2536)))</formula>
    </cfRule>
    <cfRule type="containsText" dxfId="965" priority="4048" operator="containsText" text="Tue">
      <formula>NOT(ISERROR(SEARCH("Tue",D2536)))</formula>
    </cfRule>
    <cfRule type="containsText" dxfId="964" priority="4049" operator="containsText" text="Mon">
      <formula>NOT(ISERROR(SEARCH("Mon",D2536)))</formula>
    </cfRule>
  </conditionalFormatting>
  <conditionalFormatting sqref="A2536:B2538">
    <cfRule type="cellIs" dxfId="963" priority="4044" operator="equal">
      <formula>0</formula>
    </cfRule>
  </conditionalFormatting>
  <conditionalFormatting sqref="D2539">
    <cfRule type="containsText" dxfId="962" priority="4039" operator="containsText" text="Fri">
      <formula>NOT(ISERROR(SEARCH("Fri",D2539)))</formula>
    </cfRule>
    <cfRule type="containsText" dxfId="961" priority="4040" operator="containsText" text="Thu">
      <formula>NOT(ISERROR(SEARCH("Thu",D2539)))</formula>
    </cfRule>
    <cfRule type="containsText" dxfId="960" priority="4041" operator="containsText" text="Wed">
      <formula>NOT(ISERROR(SEARCH("Wed",D2539)))</formula>
    </cfRule>
    <cfRule type="containsText" dxfId="959" priority="4042" operator="containsText" text="Tue">
      <formula>NOT(ISERROR(SEARCH("Tue",D2539)))</formula>
    </cfRule>
    <cfRule type="containsText" dxfId="958" priority="4043" operator="containsText" text="Mon">
      <formula>NOT(ISERROR(SEARCH("Mon",D2539)))</formula>
    </cfRule>
  </conditionalFormatting>
  <conditionalFormatting sqref="A2539:B2540">
    <cfRule type="cellIs" dxfId="957" priority="4038" operator="equal">
      <formula>0</formula>
    </cfRule>
  </conditionalFormatting>
  <conditionalFormatting sqref="D2540">
    <cfRule type="containsText" dxfId="956" priority="4033" operator="containsText" text="Fri">
      <formula>NOT(ISERROR(SEARCH("Fri",D2540)))</formula>
    </cfRule>
    <cfRule type="containsText" dxfId="955" priority="4034" operator="containsText" text="Thu">
      <formula>NOT(ISERROR(SEARCH("Thu",D2540)))</formula>
    </cfRule>
    <cfRule type="containsText" dxfId="954" priority="4035" operator="containsText" text="Wed">
      <formula>NOT(ISERROR(SEARCH("Wed",D2540)))</formula>
    </cfRule>
    <cfRule type="containsText" dxfId="953" priority="4036" operator="containsText" text="Tue">
      <formula>NOT(ISERROR(SEARCH("Tue",D2540)))</formula>
    </cfRule>
    <cfRule type="containsText" dxfId="952" priority="4037" operator="containsText" text="Mon">
      <formula>NOT(ISERROR(SEARCH("Mon",D2540)))</formula>
    </cfRule>
  </conditionalFormatting>
  <conditionalFormatting sqref="D2541">
    <cfRule type="containsText" dxfId="951" priority="4028" operator="containsText" text="Fri">
      <formula>NOT(ISERROR(SEARCH("Fri",D2541)))</formula>
    </cfRule>
    <cfRule type="containsText" dxfId="950" priority="4029" operator="containsText" text="Thu">
      <formula>NOT(ISERROR(SEARCH("Thu",D2541)))</formula>
    </cfRule>
    <cfRule type="containsText" dxfId="949" priority="4030" operator="containsText" text="Wed">
      <formula>NOT(ISERROR(SEARCH("Wed",D2541)))</formula>
    </cfRule>
    <cfRule type="containsText" dxfId="948" priority="4031" operator="containsText" text="Tue">
      <formula>NOT(ISERROR(SEARCH("Tue",D2541)))</formula>
    </cfRule>
    <cfRule type="containsText" dxfId="947" priority="4032" operator="containsText" text="Mon">
      <formula>NOT(ISERROR(SEARCH("Mon",D2541)))</formula>
    </cfRule>
  </conditionalFormatting>
  <conditionalFormatting sqref="A2541:B2543">
    <cfRule type="cellIs" dxfId="946" priority="4027" operator="equal">
      <formula>0</formula>
    </cfRule>
  </conditionalFormatting>
  <conditionalFormatting sqref="D2542:D2543">
    <cfRule type="containsText" dxfId="945" priority="4022" operator="containsText" text="Fri">
      <formula>NOT(ISERROR(SEARCH("Fri",D2542)))</formula>
    </cfRule>
    <cfRule type="containsText" dxfId="944" priority="4023" operator="containsText" text="Thu">
      <formula>NOT(ISERROR(SEARCH("Thu",D2542)))</formula>
    </cfRule>
    <cfRule type="containsText" dxfId="943" priority="4024" operator="containsText" text="Wed">
      <formula>NOT(ISERROR(SEARCH("Wed",D2542)))</formula>
    </cfRule>
    <cfRule type="containsText" dxfId="942" priority="4025" operator="containsText" text="Tue">
      <formula>NOT(ISERROR(SEARCH("Tue",D2542)))</formula>
    </cfRule>
    <cfRule type="containsText" dxfId="941" priority="4026" operator="containsText" text="Mon">
      <formula>NOT(ISERROR(SEARCH("Mon",D2542)))</formula>
    </cfRule>
  </conditionalFormatting>
  <conditionalFormatting sqref="D2544">
    <cfRule type="containsText" dxfId="940" priority="4017" operator="containsText" text="Fri">
      <formula>NOT(ISERROR(SEARCH("Fri",D2544)))</formula>
    </cfRule>
    <cfRule type="containsText" dxfId="939" priority="4018" operator="containsText" text="Thu">
      <formula>NOT(ISERROR(SEARCH("Thu",D2544)))</formula>
    </cfRule>
    <cfRule type="containsText" dxfId="938" priority="4019" operator="containsText" text="Wed">
      <formula>NOT(ISERROR(SEARCH("Wed",D2544)))</formula>
    </cfRule>
    <cfRule type="containsText" dxfId="937" priority="4020" operator="containsText" text="Tue">
      <formula>NOT(ISERROR(SEARCH("Tue",D2544)))</formula>
    </cfRule>
    <cfRule type="containsText" dxfId="936" priority="4021" operator="containsText" text="Mon">
      <formula>NOT(ISERROR(SEARCH("Mon",D2544)))</formula>
    </cfRule>
  </conditionalFormatting>
  <conditionalFormatting sqref="A2544:B2545">
    <cfRule type="cellIs" dxfId="935" priority="4016" operator="equal">
      <formula>0</formula>
    </cfRule>
  </conditionalFormatting>
  <conditionalFormatting sqref="D2545">
    <cfRule type="containsText" dxfId="934" priority="4011" operator="containsText" text="Fri">
      <formula>NOT(ISERROR(SEARCH("Fri",D2545)))</formula>
    </cfRule>
    <cfRule type="containsText" dxfId="933" priority="4012" operator="containsText" text="Thu">
      <formula>NOT(ISERROR(SEARCH("Thu",D2545)))</formula>
    </cfRule>
    <cfRule type="containsText" dxfId="932" priority="4013" operator="containsText" text="Wed">
      <formula>NOT(ISERROR(SEARCH("Wed",D2545)))</formula>
    </cfRule>
    <cfRule type="containsText" dxfId="931" priority="4014" operator="containsText" text="Tue">
      <formula>NOT(ISERROR(SEARCH("Tue",D2545)))</formula>
    </cfRule>
    <cfRule type="containsText" dxfId="930" priority="4015" operator="containsText" text="Mon">
      <formula>NOT(ISERROR(SEARCH("Mon",D2545)))</formula>
    </cfRule>
  </conditionalFormatting>
  <conditionalFormatting sqref="D2546">
    <cfRule type="containsText" dxfId="929" priority="4006" operator="containsText" text="Fri">
      <formula>NOT(ISERROR(SEARCH("Fri",D2546)))</formula>
    </cfRule>
    <cfRule type="containsText" dxfId="928" priority="4007" operator="containsText" text="Thu">
      <formula>NOT(ISERROR(SEARCH("Thu",D2546)))</formula>
    </cfRule>
    <cfRule type="containsText" dxfId="927" priority="4008" operator="containsText" text="Wed">
      <formula>NOT(ISERROR(SEARCH("Wed",D2546)))</formula>
    </cfRule>
    <cfRule type="containsText" dxfId="926" priority="4009" operator="containsText" text="Tue">
      <formula>NOT(ISERROR(SEARCH("Tue",D2546)))</formula>
    </cfRule>
    <cfRule type="containsText" dxfId="925" priority="4010" operator="containsText" text="Mon">
      <formula>NOT(ISERROR(SEARCH("Mon",D2546)))</formula>
    </cfRule>
  </conditionalFormatting>
  <conditionalFormatting sqref="A2546:B2548">
    <cfRule type="cellIs" dxfId="924" priority="4005" operator="equal">
      <formula>0</formula>
    </cfRule>
  </conditionalFormatting>
  <conditionalFormatting sqref="D2547:D2548">
    <cfRule type="containsText" dxfId="923" priority="4000" operator="containsText" text="Fri">
      <formula>NOT(ISERROR(SEARCH("Fri",D2547)))</formula>
    </cfRule>
    <cfRule type="containsText" dxfId="922" priority="4001" operator="containsText" text="Thu">
      <formula>NOT(ISERROR(SEARCH("Thu",D2547)))</formula>
    </cfRule>
    <cfRule type="containsText" dxfId="921" priority="4002" operator="containsText" text="Wed">
      <formula>NOT(ISERROR(SEARCH("Wed",D2547)))</formula>
    </cfRule>
    <cfRule type="containsText" dxfId="920" priority="4003" operator="containsText" text="Tue">
      <formula>NOT(ISERROR(SEARCH("Tue",D2547)))</formula>
    </cfRule>
    <cfRule type="containsText" dxfId="919" priority="4004" operator="containsText" text="Mon">
      <formula>NOT(ISERROR(SEARCH("Mon",D2547)))</formula>
    </cfRule>
  </conditionalFormatting>
  <conditionalFormatting sqref="D2549:D2556">
    <cfRule type="containsText" dxfId="918" priority="3995" operator="containsText" text="Fri">
      <formula>NOT(ISERROR(SEARCH("Fri",D2549)))</formula>
    </cfRule>
    <cfRule type="containsText" dxfId="917" priority="3996" operator="containsText" text="Thu">
      <formula>NOT(ISERROR(SEARCH("Thu",D2549)))</formula>
    </cfRule>
    <cfRule type="containsText" dxfId="916" priority="3997" operator="containsText" text="Wed">
      <formula>NOT(ISERROR(SEARCH("Wed",D2549)))</formula>
    </cfRule>
    <cfRule type="containsText" dxfId="915" priority="3998" operator="containsText" text="Tue">
      <formula>NOT(ISERROR(SEARCH("Tue",D2549)))</formula>
    </cfRule>
    <cfRule type="containsText" dxfId="914" priority="3999" operator="containsText" text="Mon">
      <formula>NOT(ISERROR(SEARCH("Mon",D2549)))</formula>
    </cfRule>
  </conditionalFormatting>
  <conditionalFormatting sqref="A2549:B2558">
    <cfRule type="cellIs" dxfId="913" priority="3994" operator="equal">
      <formula>0</formula>
    </cfRule>
  </conditionalFormatting>
  <conditionalFormatting sqref="D2557:D2558">
    <cfRule type="containsText" dxfId="912" priority="3989" operator="containsText" text="Fri">
      <formula>NOT(ISERROR(SEARCH("Fri",D2557)))</formula>
    </cfRule>
    <cfRule type="containsText" dxfId="911" priority="3990" operator="containsText" text="Thu">
      <formula>NOT(ISERROR(SEARCH("Thu",D2557)))</formula>
    </cfRule>
    <cfRule type="containsText" dxfId="910" priority="3991" operator="containsText" text="Wed">
      <formula>NOT(ISERROR(SEARCH("Wed",D2557)))</formula>
    </cfRule>
    <cfRule type="containsText" dxfId="909" priority="3992" operator="containsText" text="Tue">
      <formula>NOT(ISERROR(SEARCH("Tue",D2557)))</formula>
    </cfRule>
    <cfRule type="containsText" dxfId="908" priority="3993" operator="containsText" text="Mon">
      <formula>NOT(ISERROR(SEARCH("Mon",D2557)))</formula>
    </cfRule>
  </conditionalFormatting>
  <conditionalFormatting sqref="D2559:D2578">
    <cfRule type="containsText" dxfId="907" priority="3330" operator="containsText" text="Fri">
      <formula>NOT(ISERROR(SEARCH("Fri",D2559)))</formula>
    </cfRule>
    <cfRule type="containsText" dxfId="906" priority="3331" operator="containsText" text="Thu">
      <formula>NOT(ISERROR(SEARCH("Thu",D2559)))</formula>
    </cfRule>
    <cfRule type="containsText" dxfId="905" priority="3332" operator="containsText" text="Wed">
      <formula>NOT(ISERROR(SEARCH("Wed",D2559)))</formula>
    </cfRule>
    <cfRule type="containsText" dxfId="904" priority="3333" operator="containsText" text="Tue">
      <formula>NOT(ISERROR(SEARCH("Tue",D2559)))</formula>
    </cfRule>
    <cfRule type="containsText" dxfId="903" priority="3334" operator="containsText" text="Mon">
      <formula>NOT(ISERROR(SEARCH("Mon",D2559)))</formula>
    </cfRule>
  </conditionalFormatting>
  <conditionalFormatting sqref="E2559:K2628">
    <cfRule type="cellIs" dxfId="902" priority="3329" operator="equal">
      <formula>0</formula>
    </cfRule>
  </conditionalFormatting>
  <conditionalFormatting sqref="A2559:B2569">
    <cfRule type="cellIs" dxfId="901" priority="3328" operator="equal">
      <formula>0</formula>
    </cfRule>
  </conditionalFormatting>
  <conditionalFormatting sqref="D2579:D2581">
    <cfRule type="containsText" dxfId="900" priority="3323" operator="containsText" text="Fri">
      <formula>NOT(ISERROR(SEARCH("Fri",D2579)))</formula>
    </cfRule>
    <cfRule type="containsText" dxfId="899" priority="3324" operator="containsText" text="Thu">
      <formula>NOT(ISERROR(SEARCH("Thu",D2579)))</formula>
    </cfRule>
    <cfRule type="containsText" dxfId="898" priority="3325" operator="containsText" text="Wed">
      <formula>NOT(ISERROR(SEARCH("Wed",D2579)))</formula>
    </cfRule>
    <cfRule type="containsText" dxfId="897" priority="3326" operator="containsText" text="Tue">
      <formula>NOT(ISERROR(SEARCH("Tue",D2579)))</formula>
    </cfRule>
    <cfRule type="containsText" dxfId="896" priority="3327" operator="containsText" text="Mon">
      <formula>NOT(ISERROR(SEARCH("Mon",D2579)))</formula>
    </cfRule>
  </conditionalFormatting>
  <conditionalFormatting sqref="A2570:B2581">
    <cfRule type="cellIs" dxfId="895" priority="3322" operator="equal">
      <formula>0</formula>
    </cfRule>
  </conditionalFormatting>
  <conditionalFormatting sqref="D2582:D2592">
    <cfRule type="containsText" dxfId="894" priority="3317" operator="containsText" text="Fri">
      <formula>NOT(ISERROR(SEARCH("Fri",D2582)))</formula>
    </cfRule>
    <cfRule type="containsText" dxfId="893" priority="3318" operator="containsText" text="Thu">
      <formula>NOT(ISERROR(SEARCH("Thu",D2582)))</formula>
    </cfRule>
    <cfRule type="containsText" dxfId="892" priority="3319" operator="containsText" text="Wed">
      <formula>NOT(ISERROR(SEARCH("Wed",D2582)))</formula>
    </cfRule>
    <cfRule type="containsText" dxfId="891" priority="3320" operator="containsText" text="Tue">
      <formula>NOT(ISERROR(SEARCH("Tue",D2582)))</formula>
    </cfRule>
    <cfRule type="containsText" dxfId="890" priority="3321" operator="containsText" text="Mon">
      <formula>NOT(ISERROR(SEARCH("Mon",D2582)))</formula>
    </cfRule>
  </conditionalFormatting>
  <conditionalFormatting sqref="A2582:B2592">
    <cfRule type="cellIs" dxfId="889" priority="3316" operator="equal">
      <formula>0</formula>
    </cfRule>
  </conditionalFormatting>
  <conditionalFormatting sqref="D2593">
    <cfRule type="containsText" dxfId="888" priority="3311" operator="containsText" text="Fri">
      <formula>NOT(ISERROR(SEARCH("Fri",D2593)))</formula>
    </cfRule>
    <cfRule type="containsText" dxfId="887" priority="3312" operator="containsText" text="Thu">
      <formula>NOT(ISERROR(SEARCH("Thu",D2593)))</formula>
    </cfRule>
    <cfRule type="containsText" dxfId="886" priority="3313" operator="containsText" text="Wed">
      <formula>NOT(ISERROR(SEARCH("Wed",D2593)))</formula>
    </cfRule>
    <cfRule type="containsText" dxfId="885" priority="3314" operator="containsText" text="Tue">
      <formula>NOT(ISERROR(SEARCH("Tue",D2593)))</formula>
    </cfRule>
    <cfRule type="containsText" dxfId="884" priority="3315" operator="containsText" text="Mon">
      <formula>NOT(ISERROR(SEARCH("Mon",D2593)))</formula>
    </cfRule>
  </conditionalFormatting>
  <conditionalFormatting sqref="D2594:D2597">
    <cfRule type="containsText" dxfId="883" priority="3306" operator="containsText" text="Fri">
      <formula>NOT(ISERROR(SEARCH("Fri",D2594)))</formula>
    </cfRule>
    <cfRule type="containsText" dxfId="882" priority="3307" operator="containsText" text="Thu">
      <formula>NOT(ISERROR(SEARCH("Thu",D2594)))</formula>
    </cfRule>
    <cfRule type="containsText" dxfId="881" priority="3308" operator="containsText" text="Wed">
      <formula>NOT(ISERROR(SEARCH("Wed",D2594)))</formula>
    </cfRule>
    <cfRule type="containsText" dxfId="880" priority="3309" operator="containsText" text="Tue">
      <formula>NOT(ISERROR(SEARCH("Tue",D2594)))</formula>
    </cfRule>
    <cfRule type="containsText" dxfId="879" priority="3310" operator="containsText" text="Mon">
      <formula>NOT(ISERROR(SEARCH("Mon",D2594)))</formula>
    </cfRule>
  </conditionalFormatting>
  <conditionalFormatting sqref="A2593:B2597">
    <cfRule type="cellIs" dxfId="878" priority="3305" operator="equal">
      <formula>0</formula>
    </cfRule>
  </conditionalFormatting>
  <conditionalFormatting sqref="D2598:D2601">
    <cfRule type="containsText" dxfId="877" priority="3300" operator="containsText" text="Fri">
      <formula>NOT(ISERROR(SEARCH("Fri",D2598)))</formula>
    </cfRule>
    <cfRule type="containsText" dxfId="876" priority="3301" operator="containsText" text="Thu">
      <formula>NOT(ISERROR(SEARCH("Thu",D2598)))</formula>
    </cfRule>
    <cfRule type="containsText" dxfId="875" priority="3302" operator="containsText" text="Wed">
      <formula>NOT(ISERROR(SEARCH("Wed",D2598)))</formula>
    </cfRule>
    <cfRule type="containsText" dxfId="874" priority="3303" operator="containsText" text="Tue">
      <formula>NOT(ISERROR(SEARCH("Tue",D2598)))</formula>
    </cfRule>
    <cfRule type="containsText" dxfId="873" priority="3304" operator="containsText" text="Mon">
      <formula>NOT(ISERROR(SEARCH("Mon",D2598)))</formula>
    </cfRule>
  </conditionalFormatting>
  <conditionalFormatting sqref="A2598:B2601">
    <cfRule type="cellIs" dxfId="872" priority="3299" operator="equal">
      <formula>0</formula>
    </cfRule>
  </conditionalFormatting>
  <conditionalFormatting sqref="D2602">
    <cfRule type="containsText" dxfId="871" priority="3294" operator="containsText" text="Fri">
      <formula>NOT(ISERROR(SEARCH("Fri",D2602)))</formula>
    </cfRule>
    <cfRule type="containsText" dxfId="870" priority="3295" operator="containsText" text="Thu">
      <formula>NOT(ISERROR(SEARCH("Thu",D2602)))</formula>
    </cfRule>
    <cfRule type="containsText" dxfId="869" priority="3296" operator="containsText" text="Wed">
      <formula>NOT(ISERROR(SEARCH("Wed",D2602)))</formula>
    </cfRule>
    <cfRule type="containsText" dxfId="868" priority="3297" operator="containsText" text="Tue">
      <formula>NOT(ISERROR(SEARCH("Tue",D2602)))</formula>
    </cfRule>
    <cfRule type="containsText" dxfId="867" priority="3298" operator="containsText" text="Mon">
      <formula>NOT(ISERROR(SEARCH("Mon",D2602)))</formula>
    </cfRule>
  </conditionalFormatting>
  <conditionalFormatting sqref="A2602:B2602">
    <cfRule type="cellIs" dxfId="866" priority="3293" operator="equal">
      <formula>0</formula>
    </cfRule>
  </conditionalFormatting>
  <conditionalFormatting sqref="D2603">
    <cfRule type="containsText" dxfId="865" priority="3288" operator="containsText" text="Fri">
      <formula>NOT(ISERROR(SEARCH("Fri",D2603)))</formula>
    </cfRule>
    <cfRule type="containsText" dxfId="864" priority="3289" operator="containsText" text="Thu">
      <formula>NOT(ISERROR(SEARCH("Thu",D2603)))</formula>
    </cfRule>
    <cfRule type="containsText" dxfId="863" priority="3290" operator="containsText" text="Wed">
      <formula>NOT(ISERROR(SEARCH("Wed",D2603)))</formula>
    </cfRule>
    <cfRule type="containsText" dxfId="862" priority="3291" operator="containsText" text="Tue">
      <formula>NOT(ISERROR(SEARCH("Tue",D2603)))</formula>
    </cfRule>
    <cfRule type="containsText" dxfId="861" priority="3292" operator="containsText" text="Mon">
      <formula>NOT(ISERROR(SEARCH("Mon",D2603)))</formula>
    </cfRule>
  </conditionalFormatting>
  <conditionalFormatting sqref="A2603:B2603">
    <cfRule type="cellIs" dxfId="860" priority="3287" operator="equal">
      <formula>0</formula>
    </cfRule>
  </conditionalFormatting>
  <conditionalFormatting sqref="D2604">
    <cfRule type="containsText" dxfId="859" priority="3282" operator="containsText" text="Fri">
      <formula>NOT(ISERROR(SEARCH("Fri",D2604)))</formula>
    </cfRule>
    <cfRule type="containsText" dxfId="858" priority="3283" operator="containsText" text="Thu">
      <formula>NOT(ISERROR(SEARCH("Thu",D2604)))</formula>
    </cfRule>
    <cfRule type="containsText" dxfId="857" priority="3284" operator="containsText" text="Wed">
      <formula>NOT(ISERROR(SEARCH("Wed",D2604)))</formula>
    </cfRule>
    <cfRule type="containsText" dxfId="856" priority="3285" operator="containsText" text="Tue">
      <formula>NOT(ISERROR(SEARCH("Tue",D2604)))</formula>
    </cfRule>
    <cfRule type="containsText" dxfId="855" priority="3286" operator="containsText" text="Mon">
      <formula>NOT(ISERROR(SEARCH("Mon",D2604)))</formula>
    </cfRule>
  </conditionalFormatting>
  <conditionalFormatting sqref="A2604:B2604">
    <cfRule type="cellIs" dxfId="854" priority="3281" operator="equal">
      <formula>0</formula>
    </cfRule>
  </conditionalFormatting>
  <conditionalFormatting sqref="D2605">
    <cfRule type="containsText" dxfId="853" priority="3276" operator="containsText" text="Fri">
      <formula>NOT(ISERROR(SEARCH("Fri",D2605)))</formula>
    </cfRule>
    <cfRule type="containsText" dxfId="852" priority="3277" operator="containsText" text="Thu">
      <formula>NOT(ISERROR(SEARCH("Thu",D2605)))</formula>
    </cfRule>
    <cfRule type="containsText" dxfId="851" priority="3278" operator="containsText" text="Wed">
      <formula>NOT(ISERROR(SEARCH("Wed",D2605)))</formula>
    </cfRule>
    <cfRule type="containsText" dxfId="850" priority="3279" operator="containsText" text="Tue">
      <formula>NOT(ISERROR(SEARCH("Tue",D2605)))</formula>
    </cfRule>
    <cfRule type="containsText" dxfId="849" priority="3280" operator="containsText" text="Mon">
      <formula>NOT(ISERROR(SEARCH("Mon",D2605)))</formula>
    </cfRule>
  </conditionalFormatting>
  <conditionalFormatting sqref="A2605:B2605">
    <cfRule type="cellIs" dxfId="848" priority="3275" operator="equal">
      <formula>0</formula>
    </cfRule>
  </conditionalFormatting>
  <conditionalFormatting sqref="D2606">
    <cfRule type="containsText" dxfId="847" priority="3270" operator="containsText" text="Fri">
      <formula>NOT(ISERROR(SEARCH("Fri",D2606)))</formula>
    </cfRule>
    <cfRule type="containsText" dxfId="846" priority="3271" operator="containsText" text="Thu">
      <formula>NOT(ISERROR(SEARCH("Thu",D2606)))</formula>
    </cfRule>
    <cfRule type="containsText" dxfId="845" priority="3272" operator="containsText" text="Wed">
      <formula>NOT(ISERROR(SEARCH("Wed",D2606)))</formula>
    </cfRule>
    <cfRule type="containsText" dxfId="844" priority="3273" operator="containsText" text="Tue">
      <formula>NOT(ISERROR(SEARCH("Tue",D2606)))</formula>
    </cfRule>
    <cfRule type="containsText" dxfId="843" priority="3274" operator="containsText" text="Mon">
      <formula>NOT(ISERROR(SEARCH("Mon",D2606)))</formula>
    </cfRule>
  </conditionalFormatting>
  <conditionalFormatting sqref="A2606:B2606">
    <cfRule type="cellIs" dxfId="842" priority="3269" operator="equal">
      <formula>0</formula>
    </cfRule>
  </conditionalFormatting>
  <conditionalFormatting sqref="D2607">
    <cfRule type="containsText" dxfId="841" priority="3264" operator="containsText" text="Fri">
      <formula>NOT(ISERROR(SEARCH("Fri",D2607)))</formula>
    </cfRule>
    <cfRule type="containsText" dxfId="840" priority="3265" operator="containsText" text="Thu">
      <formula>NOT(ISERROR(SEARCH("Thu",D2607)))</formula>
    </cfRule>
    <cfRule type="containsText" dxfId="839" priority="3266" operator="containsText" text="Wed">
      <formula>NOT(ISERROR(SEARCH("Wed",D2607)))</formula>
    </cfRule>
    <cfRule type="containsText" dxfId="838" priority="3267" operator="containsText" text="Tue">
      <formula>NOT(ISERROR(SEARCH("Tue",D2607)))</formula>
    </cfRule>
    <cfRule type="containsText" dxfId="837" priority="3268" operator="containsText" text="Mon">
      <formula>NOT(ISERROR(SEARCH("Mon",D2607)))</formula>
    </cfRule>
  </conditionalFormatting>
  <conditionalFormatting sqref="D2608">
    <cfRule type="containsText" dxfId="836" priority="3259" operator="containsText" text="Fri">
      <formula>NOT(ISERROR(SEARCH("Fri",D2608)))</formula>
    </cfRule>
    <cfRule type="containsText" dxfId="835" priority="3260" operator="containsText" text="Thu">
      <formula>NOT(ISERROR(SEARCH("Thu",D2608)))</formula>
    </cfRule>
    <cfRule type="containsText" dxfId="834" priority="3261" operator="containsText" text="Wed">
      <formula>NOT(ISERROR(SEARCH("Wed",D2608)))</formula>
    </cfRule>
    <cfRule type="containsText" dxfId="833" priority="3262" operator="containsText" text="Tue">
      <formula>NOT(ISERROR(SEARCH("Tue",D2608)))</formula>
    </cfRule>
    <cfRule type="containsText" dxfId="832" priority="3263" operator="containsText" text="Mon">
      <formula>NOT(ISERROR(SEARCH("Mon",D2608)))</formula>
    </cfRule>
  </conditionalFormatting>
  <conditionalFormatting sqref="A2607:B2608">
    <cfRule type="cellIs" dxfId="831" priority="3258" operator="equal">
      <formula>0</formula>
    </cfRule>
  </conditionalFormatting>
  <conditionalFormatting sqref="D2609">
    <cfRule type="containsText" dxfId="830" priority="3253" operator="containsText" text="Fri">
      <formula>NOT(ISERROR(SEARCH("Fri",D2609)))</formula>
    </cfRule>
    <cfRule type="containsText" dxfId="829" priority="3254" operator="containsText" text="Thu">
      <formula>NOT(ISERROR(SEARCH("Thu",D2609)))</formula>
    </cfRule>
    <cfRule type="containsText" dxfId="828" priority="3255" operator="containsText" text="Wed">
      <formula>NOT(ISERROR(SEARCH("Wed",D2609)))</formula>
    </cfRule>
    <cfRule type="containsText" dxfId="827" priority="3256" operator="containsText" text="Tue">
      <formula>NOT(ISERROR(SEARCH("Tue",D2609)))</formula>
    </cfRule>
    <cfRule type="containsText" dxfId="826" priority="3257" operator="containsText" text="Mon">
      <formula>NOT(ISERROR(SEARCH("Mon",D2609)))</formula>
    </cfRule>
  </conditionalFormatting>
  <conditionalFormatting sqref="A2609:B2609">
    <cfRule type="cellIs" dxfId="825" priority="3252" operator="equal">
      <formula>0</formula>
    </cfRule>
  </conditionalFormatting>
  <conditionalFormatting sqref="D2610">
    <cfRule type="containsText" dxfId="824" priority="3247" operator="containsText" text="Fri">
      <formula>NOT(ISERROR(SEARCH("Fri",D2610)))</formula>
    </cfRule>
    <cfRule type="containsText" dxfId="823" priority="3248" operator="containsText" text="Thu">
      <formula>NOT(ISERROR(SEARCH("Thu",D2610)))</formula>
    </cfRule>
    <cfRule type="containsText" dxfId="822" priority="3249" operator="containsText" text="Wed">
      <formula>NOT(ISERROR(SEARCH("Wed",D2610)))</formula>
    </cfRule>
    <cfRule type="containsText" dxfId="821" priority="3250" operator="containsText" text="Tue">
      <formula>NOT(ISERROR(SEARCH("Tue",D2610)))</formula>
    </cfRule>
    <cfRule type="containsText" dxfId="820" priority="3251" operator="containsText" text="Mon">
      <formula>NOT(ISERROR(SEARCH("Mon",D2610)))</formula>
    </cfRule>
  </conditionalFormatting>
  <conditionalFormatting sqref="A2610:B2610">
    <cfRule type="cellIs" dxfId="819" priority="3246" operator="equal">
      <formula>0</formula>
    </cfRule>
  </conditionalFormatting>
  <conditionalFormatting sqref="D2611">
    <cfRule type="containsText" dxfId="818" priority="3241" operator="containsText" text="Fri">
      <formula>NOT(ISERROR(SEARCH("Fri",D2611)))</formula>
    </cfRule>
    <cfRule type="containsText" dxfId="817" priority="3242" operator="containsText" text="Thu">
      <formula>NOT(ISERROR(SEARCH("Thu",D2611)))</formula>
    </cfRule>
    <cfRule type="containsText" dxfId="816" priority="3243" operator="containsText" text="Wed">
      <formula>NOT(ISERROR(SEARCH("Wed",D2611)))</formula>
    </cfRule>
    <cfRule type="containsText" dxfId="815" priority="3244" operator="containsText" text="Tue">
      <formula>NOT(ISERROR(SEARCH("Tue",D2611)))</formula>
    </cfRule>
    <cfRule type="containsText" dxfId="814" priority="3245" operator="containsText" text="Mon">
      <formula>NOT(ISERROR(SEARCH("Mon",D2611)))</formula>
    </cfRule>
  </conditionalFormatting>
  <conditionalFormatting sqref="A2611:B2611">
    <cfRule type="cellIs" dxfId="813" priority="3240" operator="equal">
      <formula>0</formula>
    </cfRule>
  </conditionalFormatting>
  <conditionalFormatting sqref="D2612">
    <cfRule type="containsText" dxfId="812" priority="3235" operator="containsText" text="Fri">
      <formula>NOT(ISERROR(SEARCH("Fri",D2612)))</formula>
    </cfRule>
    <cfRule type="containsText" dxfId="811" priority="3236" operator="containsText" text="Thu">
      <formula>NOT(ISERROR(SEARCH("Thu",D2612)))</formula>
    </cfRule>
    <cfRule type="containsText" dxfId="810" priority="3237" operator="containsText" text="Wed">
      <formula>NOT(ISERROR(SEARCH("Wed",D2612)))</formula>
    </cfRule>
    <cfRule type="containsText" dxfId="809" priority="3238" operator="containsText" text="Tue">
      <formula>NOT(ISERROR(SEARCH("Tue",D2612)))</formula>
    </cfRule>
    <cfRule type="containsText" dxfId="808" priority="3239" operator="containsText" text="Mon">
      <formula>NOT(ISERROR(SEARCH("Mon",D2612)))</formula>
    </cfRule>
  </conditionalFormatting>
  <conditionalFormatting sqref="A2612:B2612">
    <cfRule type="cellIs" dxfId="807" priority="3234" operator="equal">
      <formula>0</formula>
    </cfRule>
  </conditionalFormatting>
  <conditionalFormatting sqref="D2613:D2615">
    <cfRule type="containsText" dxfId="806" priority="3229" operator="containsText" text="Fri">
      <formula>NOT(ISERROR(SEARCH("Fri",D2613)))</formula>
    </cfRule>
    <cfRule type="containsText" dxfId="805" priority="3230" operator="containsText" text="Thu">
      <formula>NOT(ISERROR(SEARCH("Thu",D2613)))</formula>
    </cfRule>
    <cfRule type="containsText" dxfId="804" priority="3231" operator="containsText" text="Wed">
      <formula>NOT(ISERROR(SEARCH("Wed",D2613)))</formula>
    </cfRule>
    <cfRule type="containsText" dxfId="803" priority="3232" operator="containsText" text="Tue">
      <formula>NOT(ISERROR(SEARCH("Tue",D2613)))</formula>
    </cfRule>
    <cfRule type="containsText" dxfId="802" priority="3233" operator="containsText" text="Mon">
      <formula>NOT(ISERROR(SEARCH("Mon",D2613)))</formula>
    </cfRule>
  </conditionalFormatting>
  <conditionalFormatting sqref="A2613:B2615">
    <cfRule type="cellIs" dxfId="801" priority="3228" operator="equal">
      <formula>0</formula>
    </cfRule>
  </conditionalFormatting>
  <conditionalFormatting sqref="D2616">
    <cfRule type="containsText" dxfId="800" priority="3223" operator="containsText" text="Fri">
      <formula>NOT(ISERROR(SEARCH("Fri",D2616)))</formula>
    </cfRule>
    <cfRule type="containsText" dxfId="799" priority="3224" operator="containsText" text="Thu">
      <formula>NOT(ISERROR(SEARCH("Thu",D2616)))</formula>
    </cfRule>
    <cfRule type="containsText" dxfId="798" priority="3225" operator="containsText" text="Wed">
      <formula>NOT(ISERROR(SEARCH("Wed",D2616)))</formula>
    </cfRule>
    <cfRule type="containsText" dxfId="797" priority="3226" operator="containsText" text="Tue">
      <formula>NOT(ISERROR(SEARCH("Tue",D2616)))</formula>
    </cfRule>
    <cfRule type="containsText" dxfId="796" priority="3227" operator="containsText" text="Mon">
      <formula>NOT(ISERROR(SEARCH("Mon",D2616)))</formula>
    </cfRule>
  </conditionalFormatting>
  <conditionalFormatting sqref="A2616:B2618">
    <cfRule type="cellIs" dxfId="795" priority="3222" operator="equal">
      <formula>0</formula>
    </cfRule>
  </conditionalFormatting>
  <conditionalFormatting sqref="D2617:D2618">
    <cfRule type="containsText" dxfId="794" priority="3217" operator="containsText" text="Fri">
      <formula>NOT(ISERROR(SEARCH("Fri",D2617)))</formula>
    </cfRule>
    <cfRule type="containsText" dxfId="793" priority="3218" operator="containsText" text="Thu">
      <formula>NOT(ISERROR(SEARCH("Thu",D2617)))</formula>
    </cfRule>
    <cfRule type="containsText" dxfId="792" priority="3219" operator="containsText" text="Wed">
      <formula>NOT(ISERROR(SEARCH("Wed",D2617)))</formula>
    </cfRule>
    <cfRule type="containsText" dxfId="791" priority="3220" operator="containsText" text="Tue">
      <formula>NOT(ISERROR(SEARCH("Tue",D2617)))</formula>
    </cfRule>
    <cfRule type="containsText" dxfId="790" priority="3221" operator="containsText" text="Mon">
      <formula>NOT(ISERROR(SEARCH("Mon",D2617)))</formula>
    </cfRule>
  </conditionalFormatting>
  <conditionalFormatting sqref="D2619:D2624 D2626:D2627">
    <cfRule type="containsText" dxfId="789" priority="3212" operator="containsText" text="Fri">
      <formula>NOT(ISERROR(SEARCH("Fri",D2619)))</formula>
    </cfRule>
    <cfRule type="containsText" dxfId="788" priority="3213" operator="containsText" text="Thu">
      <formula>NOT(ISERROR(SEARCH("Thu",D2619)))</formula>
    </cfRule>
    <cfRule type="containsText" dxfId="787" priority="3214" operator="containsText" text="Wed">
      <formula>NOT(ISERROR(SEARCH("Wed",D2619)))</formula>
    </cfRule>
    <cfRule type="containsText" dxfId="786" priority="3215" operator="containsText" text="Tue">
      <formula>NOT(ISERROR(SEARCH("Tue",D2619)))</formula>
    </cfRule>
    <cfRule type="containsText" dxfId="785" priority="3216" operator="containsText" text="Mon">
      <formula>NOT(ISERROR(SEARCH("Mon",D2619)))</formula>
    </cfRule>
  </conditionalFormatting>
  <conditionalFormatting sqref="D2625">
    <cfRule type="containsText" dxfId="784" priority="3207" operator="containsText" text="Fri">
      <formula>NOT(ISERROR(SEARCH("Fri",D2625)))</formula>
    </cfRule>
    <cfRule type="containsText" dxfId="783" priority="3208" operator="containsText" text="Thu">
      <formula>NOT(ISERROR(SEARCH("Thu",D2625)))</formula>
    </cfRule>
    <cfRule type="containsText" dxfId="782" priority="3209" operator="containsText" text="Wed">
      <formula>NOT(ISERROR(SEARCH("Wed",D2625)))</formula>
    </cfRule>
    <cfRule type="containsText" dxfId="781" priority="3210" operator="containsText" text="Tue">
      <formula>NOT(ISERROR(SEARCH("Tue",D2625)))</formula>
    </cfRule>
    <cfRule type="containsText" dxfId="780" priority="3211" operator="containsText" text="Mon">
      <formula>NOT(ISERROR(SEARCH("Mon",D2625)))</formula>
    </cfRule>
  </conditionalFormatting>
  <conditionalFormatting sqref="A2619:B2628">
    <cfRule type="cellIs" dxfId="779" priority="3206" operator="equal">
      <formula>0</formula>
    </cfRule>
  </conditionalFormatting>
  <conditionalFormatting sqref="D2628">
    <cfRule type="containsText" dxfId="778" priority="3201" operator="containsText" text="Fri">
      <formula>NOT(ISERROR(SEARCH("Fri",D2628)))</formula>
    </cfRule>
    <cfRule type="containsText" dxfId="777" priority="3202" operator="containsText" text="Thu">
      <formula>NOT(ISERROR(SEARCH("Thu",D2628)))</formula>
    </cfRule>
    <cfRule type="containsText" dxfId="776" priority="3203" operator="containsText" text="Wed">
      <formula>NOT(ISERROR(SEARCH("Wed",D2628)))</formula>
    </cfRule>
    <cfRule type="containsText" dxfId="775" priority="3204" operator="containsText" text="Tue">
      <formula>NOT(ISERROR(SEARCH("Tue",D2628)))</formula>
    </cfRule>
    <cfRule type="containsText" dxfId="774" priority="3205" operator="containsText" text="Mon">
      <formula>NOT(ISERROR(SEARCH("Mon",D2628)))</formula>
    </cfRule>
  </conditionalFormatting>
  <conditionalFormatting sqref="D2629:D2637">
    <cfRule type="containsText" dxfId="773" priority="1985" operator="containsText" text="Fri">
      <formula>NOT(ISERROR(SEARCH("Fri",D2629)))</formula>
    </cfRule>
    <cfRule type="containsText" dxfId="772" priority="1986" operator="containsText" text="Thu">
      <formula>NOT(ISERROR(SEARCH("Thu",D2629)))</formula>
    </cfRule>
    <cfRule type="containsText" dxfId="771" priority="1987" operator="containsText" text="Wed">
      <formula>NOT(ISERROR(SEARCH("Wed",D2629)))</formula>
    </cfRule>
    <cfRule type="containsText" dxfId="770" priority="1988" operator="containsText" text="Tue">
      <formula>NOT(ISERROR(SEARCH("Tue",D2629)))</formula>
    </cfRule>
    <cfRule type="containsText" dxfId="769" priority="1989" operator="containsText" text="Mon">
      <formula>NOT(ISERROR(SEARCH("Mon",D2629)))</formula>
    </cfRule>
  </conditionalFormatting>
  <conditionalFormatting sqref="E2629:K2689">
    <cfRule type="cellIs" dxfId="768" priority="1984" operator="equal">
      <formula>0</formula>
    </cfRule>
  </conditionalFormatting>
  <conditionalFormatting sqref="D2638">
    <cfRule type="containsText" dxfId="767" priority="1979" operator="containsText" text="Fri">
      <formula>NOT(ISERROR(SEARCH("Fri",D2638)))</formula>
    </cfRule>
    <cfRule type="containsText" dxfId="766" priority="1980" operator="containsText" text="Thu">
      <formula>NOT(ISERROR(SEARCH("Thu",D2638)))</formula>
    </cfRule>
    <cfRule type="containsText" dxfId="765" priority="1981" operator="containsText" text="Wed">
      <formula>NOT(ISERROR(SEARCH("Wed",D2638)))</formula>
    </cfRule>
    <cfRule type="containsText" dxfId="764" priority="1982" operator="containsText" text="Tue">
      <formula>NOT(ISERROR(SEARCH("Tue",D2638)))</formula>
    </cfRule>
    <cfRule type="containsText" dxfId="763" priority="1983" operator="containsText" text="Mon">
      <formula>NOT(ISERROR(SEARCH("Mon",D2638)))</formula>
    </cfRule>
  </conditionalFormatting>
  <conditionalFormatting sqref="A2629:B2638">
    <cfRule type="cellIs" dxfId="762" priority="1978" operator="equal">
      <formula>0</formula>
    </cfRule>
  </conditionalFormatting>
  <conditionalFormatting sqref="D2639:D2649">
    <cfRule type="containsText" dxfId="761" priority="1973" operator="containsText" text="Fri">
      <formula>NOT(ISERROR(SEARCH("Fri",D2639)))</formula>
    </cfRule>
    <cfRule type="containsText" dxfId="760" priority="1974" operator="containsText" text="Thu">
      <formula>NOT(ISERROR(SEARCH("Thu",D2639)))</formula>
    </cfRule>
    <cfRule type="containsText" dxfId="759" priority="1975" operator="containsText" text="Wed">
      <formula>NOT(ISERROR(SEARCH("Wed",D2639)))</formula>
    </cfRule>
    <cfRule type="containsText" dxfId="758" priority="1976" operator="containsText" text="Tue">
      <formula>NOT(ISERROR(SEARCH("Tue",D2639)))</formula>
    </cfRule>
    <cfRule type="containsText" dxfId="757" priority="1977" operator="containsText" text="Mon">
      <formula>NOT(ISERROR(SEARCH("Mon",D2639)))</formula>
    </cfRule>
  </conditionalFormatting>
  <conditionalFormatting sqref="A2639:B2649">
    <cfRule type="cellIs" dxfId="756" priority="1972" operator="equal">
      <formula>0</formula>
    </cfRule>
  </conditionalFormatting>
  <conditionalFormatting sqref="D2650">
    <cfRule type="containsText" dxfId="755" priority="1967" operator="containsText" text="Fri">
      <formula>NOT(ISERROR(SEARCH("Fri",D2650)))</formula>
    </cfRule>
    <cfRule type="containsText" dxfId="754" priority="1968" operator="containsText" text="Thu">
      <formula>NOT(ISERROR(SEARCH("Thu",D2650)))</formula>
    </cfRule>
    <cfRule type="containsText" dxfId="753" priority="1969" operator="containsText" text="Wed">
      <formula>NOT(ISERROR(SEARCH("Wed",D2650)))</formula>
    </cfRule>
    <cfRule type="containsText" dxfId="752" priority="1970" operator="containsText" text="Tue">
      <formula>NOT(ISERROR(SEARCH("Tue",D2650)))</formula>
    </cfRule>
    <cfRule type="containsText" dxfId="751" priority="1971" operator="containsText" text="Mon">
      <formula>NOT(ISERROR(SEARCH("Mon",D2650)))</formula>
    </cfRule>
  </conditionalFormatting>
  <conditionalFormatting sqref="A2650:B2650">
    <cfRule type="cellIs" dxfId="750" priority="1966" operator="equal">
      <formula>0</formula>
    </cfRule>
  </conditionalFormatting>
  <conditionalFormatting sqref="D2651">
    <cfRule type="containsText" dxfId="749" priority="1961" operator="containsText" text="Fri">
      <formula>NOT(ISERROR(SEARCH("Fri",D2651)))</formula>
    </cfRule>
    <cfRule type="containsText" dxfId="748" priority="1962" operator="containsText" text="Thu">
      <formula>NOT(ISERROR(SEARCH("Thu",D2651)))</formula>
    </cfRule>
    <cfRule type="containsText" dxfId="747" priority="1963" operator="containsText" text="Wed">
      <formula>NOT(ISERROR(SEARCH("Wed",D2651)))</formula>
    </cfRule>
    <cfRule type="containsText" dxfId="746" priority="1964" operator="containsText" text="Tue">
      <formula>NOT(ISERROR(SEARCH("Tue",D2651)))</formula>
    </cfRule>
    <cfRule type="containsText" dxfId="745" priority="1965" operator="containsText" text="Mon">
      <formula>NOT(ISERROR(SEARCH("Mon",D2651)))</formula>
    </cfRule>
  </conditionalFormatting>
  <conditionalFormatting sqref="A2651:B2651">
    <cfRule type="cellIs" dxfId="744" priority="1960" operator="equal">
      <formula>0</formula>
    </cfRule>
  </conditionalFormatting>
  <conditionalFormatting sqref="D2652">
    <cfRule type="containsText" dxfId="743" priority="1955" operator="containsText" text="Fri">
      <formula>NOT(ISERROR(SEARCH("Fri",D2652)))</formula>
    </cfRule>
    <cfRule type="containsText" dxfId="742" priority="1956" operator="containsText" text="Thu">
      <formula>NOT(ISERROR(SEARCH("Thu",D2652)))</formula>
    </cfRule>
    <cfRule type="containsText" dxfId="741" priority="1957" operator="containsText" text="Wed">
      <formula>NOT(ISERROR(SEARCH("Wed",D2652)))</formula>
    </cfRule>
    <cfRule type="containsText" dxfId="740" priority="1958" operator="containsText" text="Tue">
      <formula>NOT(ISERROR(SEARCH("Tue",D2652)))</formula>
    </cfRule>
    <cfRule type="containsText" dxfId="739" priority="1959" operator="containsText" text="Mon">
      <formula>NOT(ISERROR(SEARCH("Mon",D2652)))</formula>
    </cfRule>
  </conditionalFormatting>
  <conditionalFormatting sqref="A2652:B2652">
    <cfRule type="cellIs" dxfId="738" priority="1954" operator="equal">
      <formula>0</formula>
    </cfRule>
  </conditionalFormatting>
  <conditionalFormatting sqref="D2653:D2654">
    <cfRule type="containsText" dxfId="737" priority="1949" operator="containsText" text="Fri">
      <formula>NOT(ISERROR(SEARCH("Fri",D2653)))</formula>
    </cfRule>
    <cfRule type="containsText" dxfId="736" priority="1950" operator="containsText" text="Thu">
      <formula>NOT(ISERROR(SEARCH("Thu",D2653)))</formula>
    </cfRule>
    <cfRule type="containsText" dxfId="735" priority="1951" operator="containsText" text="Wed">
      <formula>NOT(ISERROR(SEARCH("Wed",D2653)))</formula>
    </cfRule>
    <cfRule type="containsText" dxfId="734" priority="1952" operator="containsText" text="Tue">
      <formula>NOT(ISERROR(SEARCH("Tue",D2653)))</formula>
    </cfRule>
    <cfRule type="containsText" dxfId="733" priority="1953" operator="containsText" text="Mon">
      <formula>NOT(ISERROR(SEARCH("Mon",D2653)))</formula>
    </cfRule>
  </conditionalFormatting>
  <conditionalFormatting sqref="A2653:B2654">
    <cfRule type="cellIs" dxfId="732" priority="1948" operator="equal">
      <formula>0</formula>
    </cfRule>
  </conditionalFormatting>
  <conditionalFormatting sqref="D2655">
    <cfRule type="containsText" dxfId="731" priority="1943" operator="containsText" text="Fri">
      <formula>NOT(ISERROR(SEARCH("Fri",D2655)))</formula>
    </cfRule>
    <cfRule type="containsText" dxfId="730" priority="1944" operator="containsText" text="Thu">
      <formula>NOT(ISERROR(SEARCH("Thu",D2655)))</formula>
    </cfRule>
    <cfRule type="containsText" dxfId="729" priority="1945" operator="containsText" text="Wed">
      <formula>NOT(ISERROR(SEARCH("Wed",D2655)))</formula>
    </cfRule>
    <cfRule type="containsText" dxfId="728" priority="1946" operator="containsText" text="Tue">
      <formula>NOT(ISERROR(SEARCH("Tue",D2655)))</formula>
    </cfRule>
    <cfRule type="containsText" dxfId="727" priority="1947" operator="containsText" text="Mon">
      <formula>NOT(ISERROR(SEARCH("Mon",D2655)))</formula>
    </cfRule>
  </conditionalFormatting>
  <conditionalFormatting sqref="A2655:B2656">
    <cfRule type="cellIs" dxfId="726" priority="1942" operator="equal">
      <formula>0</formula>
    </cfRule>
  </conditionalFormatting>
  <conditionalFormatting sqref="D2656">
    <cfRule type="containsText" dxfId="725" priority="1937" operator="containsText" text="Fri">
      <formula>NOT(ISERROR(SEARCH("Fri",D2656)))</formula>
    </cfRule>
    <cfRule type="containsText" dxfId="724" priority="1938" operator="containsText" text="Thu">
      <formula>NOT(ISERROR(SEARCH("Thu",D2656)))</formula>
    </cfRule>
    <cfRule type="containsText" dxfId="723" priority="1939" operator="containsText" text="Wed">
      <formula>NOT(ISERROR(SEARCH("Wed",D2656)))</formula>
    </cfRule>
    <cfRule type="containsText" dxfId="722" priority="1940" operator="containsText" text="Tue">
      <formula>NOT(ISERROR(SEARCH("Tue",D2656)))</formula>
    </cfRule>
    <cfRule type="containsText" dxfId="721" priority="1941" operator="containsText" text="Mon">
      <formula>NOT(ISERROR(SEARCH("Mon",D2656)))</formula>
    </cfRule>
  </conditionalFormatting>
  <conditionalFormatting sqref="D2657:D2658">
    <cfRule type="containsText" dxfId="720" priority="1932" operator="containsText" text="Fri">
      <formula>NOT(ISERROR(SEARCH("Fri",D2657)))</formula>
    </cfRule>
    <cfRule type="containsText" dxfId="719" priority="1933" operator="containsText" text="Thu">
      <formula>NOT(ISERROR(SEARCH("Thu",D2657)))</formula>
    </cfRule>
    <cfRule type="containsText" dxfId="718" priority="1934" operator="containsText" text="Wed">
      <formula>NOT(ISERROR(SEARCH("Wed",D2657)))</formula>
    </cfRule>
    <cfRule type="containsText" dxfId="717" priority="1935" operator="containsText" text="Tue">
      <formula>NOT(ISERROR(SEARCH("Tue",D2657)))</formula>
    </cfRule>
    <cfRule type="containsText" dxfId="716" priority="1936" operator="containsText" text="Mon">
      <formula>NOT(ISERROR(SEARCH("Mon",D2657)))</formula>
    </cfRule>
  </conditionalFormatting>
  <conditionalFormatting sqref="A2657:B2658">
    <cfRule type="cellIs" dxfId="715" priority="1931" operator="equal">
      <formula>0</formula>
    </cfRule>
  </conditionalFormatting>
  <conditionalFormatting sqref="D2659">
    <cfRule type="containsText" dxfId="714" priority="1926" operator="containsText" text="Fri">
      <formula>NOT(ISERROR(SEARCH("Fri",D2659)))</formula>
    </cfRule>
    <cfRule type="containsText" dxfId="713" priority="1927" operator="containsText" text="Thu">
      <formula>NOT(ISERROR(SEARCH("Thu",D2659)))</formula>
    </cfRule>
    <cfRule type="containsText" dxfId="712" priority="1928" operator="containsText" text="Wed">
      <formula>NOT(ISERROR(SEARCH("Wed",D2659)))</formula>
    </cfRule>
    <cfRule type="containsText" dxfId="711" priority="1929" operator="containsText" text="Tue">
      <formula>NOT(ISERROR(SEARCH("Tue",D2659)))</formula>
    </cfRule>
    <cfRule type="containsText" dxfId="710" priority="1930" operator="containsText" text="Mon">
      <formula>NOT(ISERROR(SEARCH("Mon",D2659)))</formula>
    </cfRule>
  </conditionalFormatting>
  <conditionalFormatting sqref="A2659:B2660">
    <cfRule type="cellIs" dxfId="709" priority="1925" operator="equal">
      <formula>0</formula>
    </cfRule>
  </conditionalFormatting>
  <conditionalFormatting sqref="D2660">
    <cfRule type="containsText" dxfId="708" priority="1920" operator="containsText" text="Fri">
      <formula>NOT(ISERROR(SEARCH("Fri",D2660)))</formula>
    </cfRule>
    <cfRule type="containsText" dxfId="707" priority="1921" operator="containsText" text="Thu">
      <formula>NOT(ISERROR(SEARCH("Thu",D2660)))</formula>
    </cfRule>
    <cfRule type="containsText" dxfId="706" priority="1922" operator="containsText" text="Wed">
      <formula>NOT(ISERROR(SEARCH("Wed",D2660)))</formula>
    </cfRule>
    <cfRule type="containsText" dxfId="705" priority="1923" operator="containsText" text="Tue">
      <formula>NOT(ISERROR(SEARCH("Tue",D2660)))</formula>
    </cfRule>
    <cfRule type="containsText" dxfId="704" priority="1924" operator="containsText" text="Mon">
      <formula>NOT(ISERROR(SEARCH("Mon",D2660)))</formula>
    </cfRule>
  </conditionalFormatting>
  <conditionalFormatting sqref="D2661">
    <cfRule type="containsText" dxfId="703" priority="1915" operator="containsText" text="Fri">
      <formula>NOT(ISERROR(SEARCH("Fri",D2661)))</formula>
    </cfRule>
    <cfRule type="containsText" dxfId="702" priority="1916" operator="containsText" text="Thu">
      <formula>NOT(ISERROR(SEARCH("Thu",D2661)))</formula>
    </cfRule>
    <cfRule type="containsText" dxfId="701" priority="1917" operator="containsText" text="Wed">
      <formula>NOT(ISERROR(SEARCH("Wed",D2661)))</formula>
    </cfRule>
    <cfRule type="containsText" dxfId="700" priority="1918" operator="containsText" text="Tue">
      <formula>NOT(ISERROR(SEARCH("Tue",D2661)))</formula>
    </cfRule>
    <cfRule type="containsText" dxfId="699" priority="1919" operator="containsText" text="Mon">
      <formula>NOT(ISERROR(SEARCH("Mon",D2661)))</formula>
    </cfRule>
  </conditionalFormatting>
  <conditionalFormatting sqref="A2661:B2661">
    <cfRule type="cellIs" dxfId="698" priority="1914" operator="equal">
      <formula>0</formula>
    </cfRule>
  </conditionalFormatting>
  <conditionalFormatting sqref="D2662">
    <cfRule type="containsText" dxfId="697" priority="1909" operator="containsText" text="Fri">
      <formula>NOT(ISERROR(SEARCH("Fri",D2662)))</formula>
    </cfRule>
    <cfRule type="containsText" dxfId="696" priority="1910" operator="containsText" text="Thu">
      <formula>NOT(ISERROR(SEARCH("Thu",D2662)))</formula>
    </cfRule>
    <cfRule type="containsText" dxfId="695" priority="1911" operator="containsText" text="Wed">
      <formula>NOT(ISERROR(SEARCH("Wed",D2662)))</formula>
    </cfRule>
    <cfRule type="containsText" dxfId="694" priority="1912" operator="containsText" text="Tue">
      <formula>NOT(ISERROR(SEARCH("Tue",D2662)))</formula>
    </cfRule>
    <cfRule type="containsText" dxfId="693" priority="1913" operator="containsText" text="Mon">
      <formula>NOT(ISERROR(SEARCH("Mon",D2662)))</formula>
    </cfRule>
  </conditionalFormatting>
  <conditionalFormatting sqref="A2662:B2662">
    <cfRule type="cellIs" dxfId="692" priority="1908" operator="equal">
      <formula>0</formula>
    </cfRule>
  </conditionalFormatting>
  <conditionalFormatting sqref="D2663">
    <cfRule type="containsText" dxfId="691" priority="1903" operator="containsText" text="Fri">
      <formula>NOT(ISERROR(SEARCH("Fri",D2663)))</formula>
    </cfRule>
    <cfRule type="containsText" dxfId="690" priority="1904" operator="containsText" text="Thu">
      <formula>NOT(ISERROR(SEARCH("Thu",D2663)))</formula>
    </cfRule>
    <cfRule type="containsText" dxfId="689" priority="1905" operator="containsText" text="Wed">
      <formula>NOT(ISERROR(SEARCH("Wed",D2663)))</formula>
    </cfRule>
    <cfRule type="containsText" dxfId="688" priority="1906" operator="containsText" text="Tue">
      <formula>NOT(ISERROR(SEARCH("Tue",D2663)))</formula>
    </cfRule>
    <cfRule type="containsText" dxfId="687" priority="1907" operator="containsText" text="Mon">
      <formula>NOT(ISERROR(SEARCH("Mon",D2663)))</formula>
    </cfRule>
  </conditionalFormatting>
  <conditionalFormatting sqref="A2663:B2663">
    <cfRule type="cellIs" dxfId="686" priority="1902" operator="equal">
      <formula>0</formula>
    </cfRule>
  </conditionalFormatting>
  <conditionalFormatting sqref="D2664">
    <cfRule type="containsText" dxfId="685" priority="1897" operator="containsText" text="Fri">
      <formula>NOT(ISERROR(SEARCH("Fri",D2664)))</formula>
    </cfRule>
    <cfRule type="containsText" dxfId="684" priority="1898" operator="containsText" text="Thu">
      <formula>NOT(ISERROR(SEARCH("Thu",D2664)))</formula>
    </cfRule>
    <cfRule type="containsText" dxfId="683" priority="1899" operator="containsText" text="Wed">
      <formula>NOT(ISERROR(SEARCH("Wed",D2664)))</formula>
    </cfRule>
    <cfRule type="containsText" dxfId="682" priority="1900" operator="containsText" text="Tue">
      <formula>NOT(ISERROR(SEARCH("Tue",D2664)))</formula>
    </cfRule>
    <cfRule type="containsText" dxfId="681" priority="1901" operator="containsText" text="Mon">
      <formula>NOT(ISERROR(SEARCH("Mon",D2664)))</formula>
    </cfRule>
  </conditionalFormatting>
  <conditionalFormatting sqref="A2664:B2664">
    <cfRule type="cellIs" dxfId="680" priority="1896" operator="equal">
      <formula>0</formula>
    </cfRule>
  </conditionalFormatting>
  <conditionalFormatting sqref="D2665">
    <cfRule type="containsText" dxfId="679" priority="1891" operator="containsText" text="Fri">
      <formula>NOT(ISERROR(SEARCH("Fri",D2665)))</formula>
    </cfRule>
    <cfRule type="containsText" dxfId="678" priority="1892" operator="containsText" text="Thu">
      <formula>NOT(ISERROR(SEARCH("Thu",D2665)))</formula>
    </cfRule>
    <cfRule type="containsText" dxfId="677" priority="1893" operator="containsText" text="Wed">
      <formula>NOT(ISERROR(SEARCH("Wed",D2665)))</formula>
    </cfRule>
    <cfRule type="containsText" dxfId="676" priority="1894" operator="containsText" text="Tue">
      <formula>NOT(ISERROR(SEARCH("Tue",D2665)))</formula>
    </cfRule>
    <cfRule type="containsText" dxfId="675" priority="1895" operator="containsText" text="Mon">
      <formula>NOT(ISERROR(SEARCH("Mon",D2665)))</formula>
    </cfRule>
  </conditionalFormatting>
  <conditionalFormatting sqref="A2665:B2665">
    <cfRule type="cellIs" dxfId="674" priority="1890" operator="equal">
      <formula>0</formula>
    </cfRule>
  </conditionalFormatting>
  <conditionalFormatting sqref="D2666:D2667">
    <cfRule type="containsText" dxfId="673" priority="1885" operator="containsText" text="Fri">
      <formula>NOT(ISERROR(SEARCH("Fri",D2666)))</formula>
    </cfRule>
    <cfRule type="containsText" dxfId="672" priority="1886" operator="containsText" text="Thu">
      <formula>NOT(ISERROR(SEARCH("Thu",D2666)))</formula>
    </cfRule>
    <cfRule type="containsText" dxfId="671" priority="1887" operator="containsText" text="Wed">
      <formula>NOT(ISERROR(SEARCH("Wed",D2666)))</formula>
    </cfRule>
    <cfRule type="containsText" dxfId="670" priority="1888" operator="containsText" text="Tue">
      <formula>NOT(ISERROR(SEARCH("Tue",D2666)))</formula>
    </cfRule>
    <cfRule type="containsText" dxfId="669" priority="1889" operator="containsText" text="Mon">
      <formula>NOT(ISERROR(SEARCH("Mon",D2666)))</formula>
    </cfRule>
  </conditionalFormatting>
  <conditionalFormatting sqref="A2666:B2667">
    <cfRule type="cellIs" dxfId="668" priority="1884" operator="equal">
      <formula>0</formula>
    </cfRule>
  </conditionalFormatting>
  <conditionalFormatting sqref="D2668">
    <cfRule type="containsText" dxfId="667" priority="1879" operator="containsText" text="Fri">
      <formula>NOT(ISERROR(SEARCH("Fri",D2668)))</formula>
    </cfRule>
    <cfRule type="containsText" dxfId="666" priority="1880" operator="containsText" text="Thu">
      <formula>NOT(ISERROR(SEARCH("Thu",D2668)))</formula>
    </cfRule>
    <cfRule type="containsText" dxfId="665" priority="1881" operator="containsText" text="Wed">
      <formula>NOT(ISERROR(SEARCH("Wed",D2668)))</formula>
    </cfRule>
    <cfRule type="containsText" dxfId="664" priority="1882" operator="containsText" text="Tue">
      <formula>NOT(ISERROR(SEARCH("Tue",D2668)))</formula>
    </cfRule>
    <cfRule type="containsText" dxfId="663" priority="1883" operator="containsText" text="Mon">
      <formula>NOT(ISERROR(SEARCH("Mon",D2668)))</formula>
    </cfRule>
  </conditionalFormatting>
  <conditionalFormatting sqref="A2668:B2669">
    <cfRule type="cellIs" dxfId="662" priority="1878" operator="equal">
      <formula>0</formula>
    </cfRule>
  </conditionalFormatting>
  <conditionalFormatting sqref="D2669">
    <cfRule type="containsText" dxfId="661" priority="1873" operator="containsText" text="Fri">
      <formula>NOT(ISERROR(SEARCH("Fri",D2669)))</formula>
    </cfRule>
    <cfRule type="containsText" dxfId="660" priority="1874" operator="containsText" text="Thu">
      <formula>NOT(ISERROR(SEARCH("Thu",D2669)))</formula>
    </cfRule>
    <cfRule type="containsText" dxfId="659" priority="1875" operator="containsText" text="Wed">
      <formula>NOT(ISERROR(SEARCH("Wed",D2669)))</formula>
    </cfRule>
    <cfRule type="containsText" dxfId="658" priority="1876" operator="containsText" text="Tue">
      <formula>NOT(ISERROR(SEARCH("Tue",D2669)))</formula>
    </cfRule>
    <cfRule type="containsText" dxfId="657" priority="1877" operator="containsText" text="Mon">
      <formula>NOT(ISERROR(SEARCH("Mon",D2669)))</formula>
    </cfRule>
  </conditionalFormatting>
  <conditionalFormatting sqref="D2670">
    <cfRule type="containsText" dxfId="656" priority="1868" operator="containsText" text="Fri">
      <formula>NOT(ISERROR(SEARCH("Fri",D2670)))</formula>
    </cfRule>
    <cfRule type="containsText" dxfId="655" priority="1869" operator="containsText" text="Thu">
      <formula>NOT(ISERROR(SEARCH("Thu",D2670)))</formula>
    </cfRule>
    <cfRule type="containsText" dxfId="654" priority="1870" operator="containsText" text="Wed">
      <formula>NOT(ISERROR(SEARCH("Wed",D2670)))</formula>
    </cfRule>
    <cfRule type="containsText" dxfId="653" priority="1871" operator="containsText" text="Tue">
      <formula>NOT(ISERROR(SEARCH("Tue",D2670)))</formula>
    </cfRule>
    <cfRule type="containsText" dxfId="652" priority="1872" operator="containsText" text="Mon">
      <formula>NOT(ISERROR(SEARCH("Mon",D2670)))</formula>
    </cfRule>
  </conditionalFormatting>
  <conditionalFormatting sqref="A2670:B2671">
    <cfRule type="cellIs" dxfId="651" priority="1867" operator="equal">
      <formula>0</formula>
    </cfRule>
  </conditionalFormatting>
  <conditionalFormatting sqref="D2671">
    <cfRule type="containsText" dxfId="650" priority="1862" operator="containsText" text="Fri">
      <formula>NOT(ISERROR(SEARCH("Fri",D2671)))</formula>
    </cfRule>
    <cfRule type="containsText" dxfId="649" priority="1863" operator="containsText" text="Thu">
      <formula>NOT(ISERROR(SEARCH("Thu",D2671)))</formula>
    </cfRule>
    <cfRule type="containsText" dxfId="648" priority="1864" operator="containsText" text="Wed">
      <formula>NOT(ISERROR(SEARCH("Wed",D2671)))</formula>
    </cfRule>
    <cfRule type="containsText" dxfId="647" priority="1865" operator="containsText" text="Tue">
      <formula>NOT(ISERROR(SEARCH("Tue",D2671)))</formula>
    </cfRule>
    <cfRule type="containsText" dxfId="646" priority="1866" operator="containsText" text="Mon">
      <formula>NOT(ISERROR(SEARCH("Mon",D2671)))</formula>
    </cfRule>
  </conditionalFormatting>
  <conditionalFormatting sqref="D2672">
    <cfRule type="containsText" dxfId="645" priority="1857" operator="containsText" text="Fri">
      <formula>NOT(ISERROR(SEARCH("Fri",D2672)))</formula>
    </cfRule>
    <cfRule type="containsText" dxfId="644" priority="1858" operator="containsText" text="Thu">
      <formula>NOT(ISERROR(SEARCH("Thu",D2672)))</formula>
    </cfRule>
    <cfRule type="containsText" dxfId="643" priority="1859" operator="containsText" text="Wed">
      <formula>NOT(ISERROR(SEARCH("Wed",D2672)))</formula>
    </cfRule>
    <cfRule type="containsText" dxfId="642" priority="1860" operator="containsText" text="Tue">
      <formula>NOT(ISERROR(SEARCH("Tue",D2672)))</formula>
    </cfRule>
    <cfRule type="containsText" dxfId="641" priority="1861" operator="containsText" text="Mon">
      <formula>NOT(ISERROR(SEARCH("Mon",D2672)))</formula>
    </cfRule>
  </conditionalFormatting>
  <conditionalFormatting sqref="A2672:B2674">
    <cfRule type="cellIs" dxfId="640" priority="1856" operator="equal">
      <formula>0</formula>
    </cfRule>
  </conditionalFormatting>
  <conditionalFormatting sqref="D2673:D2674">
    <cfRule type="containsText" dxfId="639" priority="1851" operator="containsText" text="Fri">
      <formula>NOT(ISERROR(SEARCH("Fri",D2673)))</formula>
    </cfRule>
    <cfRule type="containsText" dxfId="638" priority="1852" operator="containsText" text="Thu">
      <formula>NOT(ISERROR(SEARCH("Thu",D2673)))</formula>
    </cfRule>
    <cfRule type="containsText" dxfId="637" priority="1853" operator="containsText" text="Wed">
      <formula>NOT(ISERROR(SEARCH("Wed",D2673)))</formula>
    </cfRule>
    <cfRule type="containsText" dxfId="636" priority="1854" operator="containsText" text="Tue">
      <formula>NOT(ISERROR(SEARCH("Tue",D2673)))</formula>
    </cfRule>
    <cfRule type="containsText" dxfId="635" priority="1855" operator="containsText" text="Mon">
      <formula>NOT(ISERROR(SEARCH("Mon",D2673)))</formula>
    </cfRule>
  </conditionalFormatting>
  <conditionalFormatting sqref="D2675">
    <cfRule type="containsText" dxfId="634" priority="1846" operator="containsText" text="Fri">
      <formula>NOT(ISERROR(SEARCH("Fri",D2675)))</formula>
    </cfRule>
    <cfRule type="containsText" dxfId="633" priority="1847" operator="containsText" text="Thu">
      <formula>NOT(ISERROR(SEARCH("Thu",D2675)))</formula>
    </cfRule>
    <cfRule type="containsText" dxfId="632" priority="1848" operator="containsText" text="Wed">
      <formula>NOT(ISERROR(SEARCH("Wed",D2675)))</formula>
    </cfRule>
    <cfRule type="containsText" dxfId="631" priority="1849" operator="containsText" text="Tue">
      <formula>NOT(ISERROR(SEARCH("Tue",D2675)))</formula>
    </cfRule>
    <cfRule type="containsText" dxfId="630" priority="1850" operator="containsText" text="Mon">
      <formula>NOT(ISERROR(SEARCH("Mon",D2675)))</formula>
    </cfRule>
  </conditionalFormatting>
  <conditionalFormatting sqref="A2675:B2677">
    <cfRule type="cellIs" dxfId="629" priority="1845" operator="equal">
      <formula>0</formula>
    </cfRule>
  </conditionalFormatting>
  <conditionalFormatting sqref="D2676:D2677">
    <cfRule type="containsText" dxfId="628" priority="1840" operator="containsText" text="Fri">
      <formula>NOT(ISERROR(SEARCH("Fri",D2676)))</formula>
    </cfRule>
    <cfRule type="containsText" dxfId="627" priority="1841" operator="containsText" text="Thu">
      <formula>NOT(ISERROR(SEARCH("Thu",D2676)))</formula>
    </cfRule>
    <cfRule type="containsText" dxfId="626" priority="1842" operator="containsText" text="Wed">
      <formula>NOT(ISERROR(SEARCH("Wed",D2676)))</formula>
    </cfRule>
    <cfRule type="containsText" dxfId="625" priority="1843" operator="containsText" text="Tue">
      <formula>NOT(ISERROR(SEARCH("Tue",D2676)))</formula>
    </cfRule>
    <cfRule type="containsText" dxfId="624" priority="1844" operator="containsText" text="Mon">
      <formula>NOT(ISERROR(SEARCH("Mon",D2676)))</formula>
    </cfRule>
  </conditionalFormatting>
  <conditionalFormatting sqref="D2678">
    <cfRule type="containsText" dxfId="623" priority="1835" operator="containsText" text="Fri">
      <formula>NOT(ISERROR(SEARCH("Fri",D2678)))</formula>
    </cfRule>
    <cfRule type="containsText" dxfId="622" priority="1836" operator="containsText" text="Thu">
      <formula>NOT(ISERROR(SEARCH("Thu",D2678)))</formula>
    </cfRule>
    <cfRule type="containsText" dxfId="621" priority="1837" operator="containsText" text="Wed">
      <formula>NOT(ISERROR(SEARCH("Wed",D2678)))</formula>
    </cfRule>
    <cfRule type="containsText" dxfId="620" priority="1838" operator="containsText" text="Tue">
      <formula>NOT(ISERROR(SEARCH("Tue",D2678)))</formula>
    </cfRule>
    <cfRule type="containsText" dxfId="619" priority="1839" operator="containsText" text="Mon">
      <formula>NOT(ISERROR(SEARCH("Mon",D2678)))</formula>
    </cfRule>
  </conditionalFormatting>
  <conditionalFormatting sqref="A2678:B2679">
    <cfRule type="cellIs" dxfId="618" priority="1834" operator="equal">
      <formula>0</formula>
    </cfRule>
  </conditionalFormatting>
  <conditionalFormatting sqref="D2679">
    <cfRule type="containsText" dxfId="617" priority="1829" operator="containsText" text="Fri">
      <formula>NOT(ISERROR(SEARCH("Fri",D2679)))</formula>
    </cfRule>
    <cfRule type="containsText" dxfId="616" priority="1830" operator="containsText" text="Thu">
      <formula>NOT(ISERROR(SEARCH("Thu",D2679)))</formula>
    </cfRule>
    <cfRule type="containsText" dxfId="615" priority="1831" operator="containsText" text="Wed">
      <formula>NOT(ISERROR(SEARCH("Wed",D2679)))</formula>
    </cfRule>
    <cfRule type="containsText" dxfId="614" priority="1832" operator="containsText" text="Tue">
      <formula>NOT(ISERROR(SEARCH("Tue",D2679)))</formula>
    </cfRule>
    <cfRule type="containsText" dxfId="613" priority="1833" operator="containsText" text="Mon">
      <formula>NOT(ISERROR(SEARCH("Mon",D2679)))</formula>
    </cfRule>
  </conditionalFormatting>
  <conditionalFormatting sqref="D2680:D2685 D2687:D2688">
    <cfRule type="containsText" dxfId="612" priority="1824" operator="containsText" text="Fri">
      <formula>NOT(ISERROR(SEARCH("Fri",D2680)))</formula>
    </cfRule>
    <cfRule type="containsText" dxfId="611" priority="1825" operator="containsText" text="Thu">
      <formula>NOT(ISERROR(SEARCH("Thu",D2680)))</formula>
    </cfRule>
    <cfRule type="containsText" dxfId="610" priority="1826" operator="containsText" text="Wed">
      <formula>NOT(ISERROR(SEARCH("Wed",D2680)))</formula>
    </cfRule>
    <cfRule type="containsText" dxfId="609" priority="1827" operator="containsText" text="Tue">
      <formula>NOT(ISERROR(SEARCH("Tue",D2680)))</formula>
    </cfRule>
    <cfRule type="containsText" dxfId="608" priority="1828" operator="containsText" text="Mon">
      <formula>NOT(ISERROR(SEARCH("Mon",D2680)))</formula>
    </cfRule>
  </conditionalFormatting>
  <conditionalFormatting sqref="D2686">
    <cfRule type="containsText" dxfId="607" priority="1819" operator="containsText" text="Fri">
      <formula>NOT(ISERROR(SEARCH("Fri",D2686)))</formula>
    </cfRule>
    <cfRule type="containsText" dxfId="606" priority="1820" operator="containsText" text="Thu">
      <formula>NOT(ISERROR(SEARCH("Thu",D2686)))</formula>
    </cfRule>
    <cfRule type="containsText" dxfId="605" priority="1821" operator="containsText" text="Wed">
      <formula>NOT(ISERROR(SEARCH("Wed",D2686)))</formula>
    </cfRule>
    <cfRule type="containsText" dxfId="604" priority="1822" operator="containsText" text="Tue">
      <formula>NOT(ISERROR(SEARCH("Tue",D2686)))</formula>
    </cfRule>
    <cfRule type="containsText" dxfId="603" priority="1823" operator="containsText" text="Mon">
      <formula>NOT(ISERROR(SEARCH("Mon",D2686)))</formula>
    </cfRule>
  </conditionalFormatting>
  <conditionalFormatting sqref="A2680:B2689">
    <cfRule type="cellIs" dxfId="602" priority="1818" operator="equal">
      <formula>0</formula>
    </cfRule>
  </conditionalFormatting>
  <conditionalFormatting sqref="D2689">
    <cfRule type="containsText" dxfId="601" priority="1813" operator="containsText" text="Fri">
      <formula>NOT(ISERROR(SEARCH("Fri",D2689)))</formula>
    </cfRule>
    <cfRule type="containsText" dxfId="600" priority="1814" operator="containsText" text="Thu">
      <formula>NOT(ISERROR(SEARCH("Thu",D2689)))</formula>
    </cfRule>
    <cfRule type="containsText" dxfId="599" priority="1815" operator="containsText" text="Wed">
      <formula>NOT(ISERROR(SEARCH("Wed",D2689)))</formula>
    </cfRule>
    <cfRule type="containsText" dxfId="598" priority="1816" operator="containsText" text="Tue">
      <formula>NOT(ISERROR(SEARCH("Tue",D2689)))</formula>
    </cfRule>
    <cfRule type="containsText" dxfId="597" priority="1817" operator="containsText" text="Mon">
      <formula>NOT(ISERROR(SEARCH("Mon",D2689)))</formula>
    </cfRule>
  </conditionalFormatting>
  <conditionalFormatting sqref="E2690:K2737">
    <cfRule type="cellIs" dxfId="596" priority="840" operator="equal">
      <formula>0</formula>
    </cfRule>
  </conditionalFormatting>
  <conditionalFormatting sqref="D2690:D2699">
    <cfRule type="containsText" dxfId="595" priority="835" operator="containsText" text="Fri">
      <formula>NOT(ISERROR(SEARCH("Fri",D2690)))</formula>
    </cfRule>
    <cfRule type="containsText" dxfId="594" priority="836" operator="containsText" text="Thu">
      <formula>NOT(ISERROR(SEARCH("Thu",D2690)))</formula>
    </cfRule>
    <cfRule type="containsText" dxfId="593" priority="837" operator="containsText" text="Wed">
      <formula>NOT(ISERROR(SEARCH("Wed",D2690)))</formula>
    </cfRule>
    <cfRule type="containsText" dxfId="592" priority="838" operator="containsText" text="Tue">
      <formula>NOT(ISERROR(SEARCH("Tue",D2690)))</formula>
    </cfRule>
    <cfRule type="containsText" dxfId="591" priority="839" operator="containsText" text="Mon">
      <formula>NOT(ISERROR(SEARCH("Mon",D2690)))</formula>
    </cfRule>
  </conditionalFormatting>
  <conditionalFormatting sqref="A2690:B2699">
    <cfRule type="cellIs" dxfId="590" priority="834" operator="equal">
      <formula>0</formula>
    </cfRule>
  </conditionalFormatting>
  <conditionalFormatting sqref="D2700">
    <cfRule type="containsText" dxfId="589" priority="829" operator="containsText" text="Fri">
      <formula>NOT(ISERROR(SEARCH("Fri",D2700)))</formula>
    </cfRule>
    <cfRule type="containsText" dxfId="588" priority="830" operator="containsText" text="Thu">
      <formula>NOT(ISERROR(SEARCH("Thu",D2700)))</formula>
    </cfRule>
    <cfRule type="containsText" dxfId="587" priority="831" operator="containsText" text="Wed">
      <formula>NOT(ISERROR(SEARCH("Wed",D2700)))</formula>
    </cfRule>
    <cfRule type="containsText" dxfId="586" priority="832" operator="containsText" text="Tue">
      <formula>NOT(ISERROR(SEARCH("Tue",D2700)))</formula>
    </cfRule>
    <cfRule type="containsText" dxfId="585" priority="833" operator="containsText" text="Mon">
      <formula>NOT(ISERROR(SEARCH("Mon",D2700)))</formula>
    </cfRule>
  </conditionalFormatting>
  <conditionalFormatting sqref="D2701">
    <cfRule type="containsText" dxfId="584" priority="824" operator="containsText" text="Fri">
      <formula>NOT(ISERROR(SEARCH("Fri",D2701)))</formula>
    </cfRule>
    <cfRule type="containsText" dxfId="583" priority="825" operator="containsText" text="Thu">
      <formula>NOT(ISERROR(SEARCH("Thu",D2701)))</formula>
    </cfRule>
    <cfRule type="containsText" dxfId="582" priority="826" operator="containsText" text="Wed">
      <formula>NOT(ISERROR(SEARCH("Wed",D2701)))</formula>
    </cfRule>
    <cfRule type="containsText" dxfId="581" priority="827" operator="containsText" text="Tue">
      <formula>NOT(ISERROR(SEARCH("Tue",D2701)))</formula>
    </cfRule>
    <cfRule type="containsText" dxfId="580" priority="828" operator="containsText" text="Mon">
      <formula>NOT(ISERROR(SEARCH("Mon",D2701)))</formula>
    </cfRule>
  </conditionalFormatting>
  <conditionalFormatting sqref="A2700:B2701">
    <cfRule type="cellIs" dxfId="579" priority="823" operator="equal">
      <formula>0</formula>
    </cfRule>
  </conditionalFormatting>
  <conditionalFormatting sqref="D2702:D2703">
    <cfRule type="containsText" dxfId="578" priority="818" operator="containsText" text="Fri">
      <formula>NOT(ISERROR(SEARCH("Fri",D2702)))</formula>
    </cfRule>
    <cfRule type="containsText" dxfId="577" priority="819" operator="containsText" text="Thu">
      <formula>NOT(ISERROR(SEARCH("Thu",D2702)))</formula>
    </cfRule>
    <cfRule type="containsText" dxfId="576" priority="820" operator="containsText" text="Wed">
      <formula>NOT(ISERROR(SEARCH("Wed",D2702)))</formula>
    </cfRule>
    <cfRule type="containsText" dxfId="575" priority="821" operator="containsText" text="Tue">
      <formula>NOT(ISERROR(SEARCH("Tue",D2702)))</formula>
    </cfRule>
    <cfRule type="containsText" dxfId="574" priority="822" operator="containsText" text="Mon">
      <formula>NOT(ISERROR(SEARCH("Mon",D2702)))</formula>
    </cfRule>
  </conditionalFormatting>
  <conditionalFormatting sqref="A2702:B2703">
    <cfRule type="cellIs" dxfId="573" priority="817" operator="equal">
      <formula>0</formula>
    </cfRule>
  </conditionalFormatting>
  <conditionalFormatting sqref="D2704">
    <cfRule type="containsText" dxfId="572" priority="812" operator="containsText" text="Fri">
      <formula>NOT(ISERROR(SEARCH("Fri",D2704)))</formula>
    </cfRule>
    <cfRule type="containsText" dxfId="571" priority="813" operator="containsText" text="Thu">
      <formula>NOT(ISERROR(SEARCH("Thu",D2704)))</formula>
    </cfRule>
    <cfRule type="containsText" dxfId="570" priority="814" operator="containsText" text="Wed">
      <formula>NOT(ISERROR(SEARCH("Wed",D2704)))</formula>
    </cfRule>
    <cfRule type="containsText" dxfId="569" priority="815" operator="containsText" text="Tue">
      <formula>NOT(ISERROR(SEARCH("Tue",D2704)))</formula>
    </cfRule>
    <cfRule type="containsText" dxfId="568" priority="816" operator="containsText" text="Mon">
      <formula>NOT(ISERROR(SEARCH("Mon",D2704)))</formula>
    </cfRule>
  </conditionalFormatting>
  <conditionalFormatting sqref="A2704:B2704">
    <cfRule type="cellIs" dxfId="567" priority="811" operator="equal">
      <formula>0</formula>
    </cfRule>
  </conditionalFormatting>
  <conditionalFormatting sqref="D2705">
    <cfRule type="containsText" dxfId="566" priority="806" operator="containsText" text="Fri">
      <formula>NOT(ISERROR(SEARCH("Fri",D2705)))</formula>
    </cfRule>
    <cfRule type="containsText" dxfId="565" priority="807" operator="containsText" text="Thu">
      <formula>NOT(ISERROR(SEARCH("Thu",D2705)))</formula>
    </cfRule>
    <cfRule type="containsText" dxfId="564" priority="808" operator="containsText" text="Wed">
      <formula>NOT(ISERROR(SEARCH("Wed",D2705)))</formula>
    </cfRule>
    <cfRule type="containsText" dxfId="563" priority="809" operator="containsText" text="Tue">
      <formula>NOT(ISERROR(SEARCH("Tue",D2705)))</formula>
    </cfRule>
    <cfRule type="containsText" dxfId="562" priority="810" operator="containsText" text="Mon">
      <formula>NOT(ISERROR(SEARCH("Mon",D2705)))</formula>
    </cfRule>
  </conditionalFormatting>
  <conditionalFormatting sqref="A2705:B2705">
    <cfRule type="cellIs" dxfId="561" priority="805" operator="equal">
      <formula>0</formula>
    </cfRule>
  </conditionalFormatting>
  <conditionalFormatting sqref="D2706">
    <cfRule type="containsText" dxfId="560" priority="800" operator="containsText" text="Fri">
      <formula>NOT(ISERROR(SEARCH("Fri",D2706)))</formula>
    </cfRule>
    <cfRule type="containsText" dxfId="559" priority="801" operator="containsText" text="Thu">
      <formula>NOT(ISERROR(SEARCH("Thu",D2706)))</formula>
    </cfRule>
    <cfRule type="containsText" dxfId="558" priority="802" operator="containsText" text="Wed">
      <formula>NOT(ISERROR(SEARCH("Wed",D2706)))</formula>
    </cfRule>
    <cfRule type="containsText" dxfId="557" priority="803" operator="containsText" text="Tue">
      <formula>NOT(ISERROR(SEARCH("Tue",D2706)))</formula>
    </cfRule>
    <cfRule type="containsText" dxfId="556" priority="804" operator="containsText" text="Mon">
      <formula>NOT(ISERROR(SEARCH("Mon",D2706)))</formula>
    </cfRule>
  </conditionalFormatting>
  <conditionalFormatting sqref="A2706:B2706">
    <cfRule type="cellIs" dxfId="555" priority="799" operator="equal">
      <formula>0</formula>
    </cfRule>
  </conditionalFormatting>
  <conditionalFormatting sqref="D2707">
    <cfRule type="containsText" dxfId="554" priority="794" operator="containsText" text="Fri">
      <formula>NOT(ISERROR(SEARCH("Fri",D2707)))</formula>
    </cfRule>
    <cfRule type="containsText" dxfId="553" priority="795" operator="containsText" text="Thu">
      <formula>NOT(ISERROR(SEARCH("Thu",D2707)))</formula>
    </cfRule>
    <cfRule type="containsText" dxfId="552" priority="796" operator="containsText" text="Wed">
      <formula>NOT(ISERROR(SEARCH("Wed",D2707)))</formula>
    </cfRule>
    <cfRule type="containsText" dxfId="551" priority="797" operator="containsText" text="Tue">
      <formula>NOT(ISERROR(SEARCH("Tue",D2707)))</formula>
    </cfRule>
    <cfRule type="containsText" dxfId="550" priority="798" operator="containsText" text="Mon">
      <formula>NOT(ISERROR(SEARCH("Mon",D2707)))</formula>
    </cfRule>
  </conditionalFormatting>
  <conditionalFormatting sqref="A2707:B2707">
    <cfRule type="cellIs" dxfId="549" priority="793" operator="equal">
      <formula>0</formula>
    </cfRule>
  </conditionalFormatting>
  <conditionalFormatting sqref="D2708:D2710">
    <cfRule type="containsText" dxfId="548" priority="788" operator="containsText" text="Fri">
      <formula>NOT(ISERROR(SEARCH("Fri",D2708)))</formula>
    </cfRule>
    <cfRule type="containsText" dxfId="547" priority="789" operator="containsText" text="Thu">
      <formula>NOT(ISERROR(SEARCH("Thu",D2708)))</formula>
    </cfRule>
    <cfRule type="containsText" dxfId="546" priority="790" operator="containsText" text="Wed">
      <formula>NOT(ISERROR(SEARCH("Wed",D2708)))</formula>
    </cfRule>
    <cfRule type="containsText" dxfId="545" priority="791" operator="containsText" text="Tue">
      <formula>NOT(ISERROR(SEARCH("Tue",D2708)))</formula>
    </cfRule>
    <cfRule type="containsText" dxfId="544" priority="792" operator="containsText" text="Mon">
      <formula>NOT(ISERROR(SEARCH("Mon",D2708)))</formula>
    </cfRule>
  </conditionalFormatting>
  <conditionalFormatting sqref="A2708:B2710">
    <cfRule type="cellIs" dxfId="543" priority="787" operator="equal">
      <formula>0</formula>
    </cfRule>
  </conditionalFormatting>
  <conditionalFormatting sqref="D2711">
    <cfRule type="containsText" dxfId="542" priority="782" operator="containsText" text="Fri">
      <formula>NOT(ISERROR(SEARCH("Fri",D2711)))</formula>
    </cfRule>
    <cfRule type="containsText" dxfId="541" priority="783" operator="containsText" text="Thu">
      <formula>NOT(ISERROR(SEARCH("Thu",D2711)))</formula>
    </cfRule>
    <cfRule type="containsText" dxfId="540" priority="784" operator="containsText" text="Wed">
      <formula>NOT(ISERROR(SEARCH("Wed",D2711)))</formula>
    </cfRule>
    <cfRule type="containsText" dxfId="539" priority="785" operator="containsText" text="Tue">
      <formula>NOT(ISERROR(SEARCH("Tue",D2711)))</formula>
    </cfRule>
    <cfRule type="containsText" dxfId="538" priority="786" operator="containsText" text="Mon">
      <formula>NOT(ISERROR(SEARCH("Mon",D2711)))</formula>
    </cfRule>
  </conditionalFormatting>
  <conditionalFormatting sqref="D2712:D2713">
    <cfRule type="containsText" dxfId="537" priority="777" operator="containsText" text="Fri">
      <formula>NOT(ISERROR(SEARCH("Fri",D2712)))</formula>
    </cfRule>
    <cfRule type="containsText" dxfId="536" priority="778" operator="containsText" text="Thu">
      <formula>NOT(ISERROR(SEARCH("Thu",D2712)))</formula>
    </cfRule>
    <cfRule type="containsText" dxfId="535" priority="779" operator="containsText" text="Wed">
      <formula>NOT(ISERROR(SEARCH("Wed",D2712)))</formula>
    </cfRule>
    <cfRule type="containsText" dxfId="534" priority="780" operator="containsText" text="Tue">
      <formula>NOT(ISERROR(SEARCH("Tue",D2712)))</formula>
    </cfRule>
    <cfRule type="containsText" dxfId="533" priority="781" operator="containsText" text="Mon">
      <formula>NOT(ISERROR(SEARCH("Mon",D2712)))</formula>
    </cfRule>
  </conditionalFormatting>
  <conditionalFormatting sqref="A2711:B2713">
    <cfRule type="cellIs" dxfId="532" priority="776" operator="equal">
      <formula>0</formula>
    </cfRule>
  </conditionalFormatting>
  <conditionalFormatting sqref="D2714">
    <cfRule type="containsText" dxfId="531" priority="771" operator="containsText" text="Fri">
      <formula>NOT(ISERROR(SEARCH("Fri",D2714)))</formula>
    </cfRule>
    <cfRule type="containsText" dxfId="530" priority="772" operator="containsText" text="Thu">
      <formula>NOT(ISERROR(SEARCH("Thu",D2714)))</formula>
    </cfRule>
    <cfRule type="containsText" dxfId="529" priority="773" operator="containsText" text="Wed">
      <formula>NOT(ISERROR(SEARCH("Wed",D2714)))</formula>
    </cfRule>
    <cfRule type="containsText" dxfId="528" priority="774" operator="containsText" text="Tue">
      <formula>NOT(ISERROR(SEARCH("Tue",D2714)))</formula>
    </cfRule>
    <cfRule type="containsText" dxfId="527" priority="775" operator="containsText" text="Mon">
      <formula>NOT(ISERROR(SEARCH("Mon",D2714)))</formula>
    </cfRule>
  </conditionalFormatting>
  <conditionalFormatting sqref="A2714:B2714">
    <cfRule type="cellIs" dxfId="526" priority="770" operator="equal">
      <formula>0</formula>
    </cfRule>
  </conditionalFormatting>
  <conditionalFormatting sqref="D2715">
    <cfRule type="containsText" dxfId="525" priority="765" operator="containsText" text="Fri">
      <formula>NOT(ISERROR(SEARCH("Fri",D2715)))</formula>
    </cfRule>
    <cfRule type="containsText" dxfId="524" priority="766" operator="containsText" text="Thu">
      <formula>NOT(ISERROR(SEARCH("Thu",D2715)))</formula>
    </cfRule>
    <cfRule type="containsText" dxfId="523" priority="767" operator="containsText" text="Wed">
      <formula>NOT(ISERROR(SEARCH("Wed",D2715)))</formula>
    </cfRule>
    <cfRule type="containsText" dxfId="522" priority="768" operator="containsText" text="Tue">
      <formula>NOT(ISERROR(SEARCH("Tue",D2715)))</formula>
    </cfRule>
    <cfRule type="containsText" dxfId="521" priority="769" operator="containsText" text="Mon">
      <formula>NOT(ISERROR(SEARCH("Mon",D2715)))</formula>
    </cfRule>
  </conditionalFormatting>
  <conditionalFormatting sqref="A2715:B2715">
    <cfRule type="cellIs" dxfId="520" priority="764" operator="equal">
      <formula>0</formula>
    </cfRule>
  </conditionalFormatting>
  <conditionalFormatting sqref="D2716:D2717">
    <cfRule type="containsText" dxfId="519" priority="759" operator="containsText" text="Fri">
      <formula>NOT(ISERROR(SEARCH("Fri",D2716)))</formula>
    </cfRule>
    <cfRule type="containsText" dxfId="518" priority="760" operator="containsText" text="Thu">
      <formula>NOT(ISERROR(SEARCH("Thu",D2716)))</formula>
    </cfRule>
    <cfRule type="containsText" dxfId="517" priority="761" operator="containsText" text="Wed">
      <formula>NOT(ISERROR(SEARCH("Wed",D2716)))</formula>
    </cfRule>
    <cfRule type="containsText" dxfId="516" priority="762" operator="containsText" text="Tue">
      <formula>NOT(ISERROR(SEARCH("Tue",D2716)))</formula>
    </cfRule>
    <cfRule type="containsText" dxfId="515" priority="763" operator="containsText" text="Mon">
      <formula>NOT(ISERROR(SEARCH("Mon",D2716)))</formula>
    </cfRule>
  </conditionalFormatting>
  <conditionalFormatting sqref="A2716:B2717">
    <cfRule type="cellIs" dxfId="514" priority="758" operator="equal">
      <formula>0</formula>
    </cfRule>
  </conditionalFormatting>
  <conditionalFormatting sqref="D2718:D2719">
    <cfRule type="containsText" dxfId="513" priority="753" operator="containsText" text="Fri">
      <formula>NOT(ISERROR(SEARCH("Fri",D2718)))</formula>
    </cfRule>
    <cfRule type="containsText" dxfId="512" priority="754" operator="containsText" text="Thu">
      <formula>NOT(ISERROR(SEARCH("Thu",D2718)))</formula>
    </cfRule>
    <cfRule type="containsText" dxfId="511" priority="755" operator="containsText" text="Wed">
      <formula>NOT(ISERROR(SEARCH("Wed",D2718)))</formula>
    </cfRule>
    <cfRule type="containsText" dxfId="510" priority="756" operator="containsText" text="Tue">
      <formula>NOT(ISERROR(SEARCH("Tue",D2718)))</formula>
    </cfRule>
    <cfRule type="containsText" dxfId="509" priority="757" operator="containsText" text="Mon">
      <formula>NOT(ISERROR(SEARCH("Mon",D2718)))</formula>
    </cfRule>
  </conditionalFormatting>
  <conditionalFormatting sqref="A2718:B2719">
    <cfRule type="cellIs" dxfId="508" priority="752" operator="equal">
      <formula>0</formula>
    </cfRule>
  </conditionalFormatting>
  <conditionalFormatting sqref="D2720:D2721">
    <cfRule type="containsText" dxfId="507" priority="747" operator="containsText" text="Fri">
      <formula>NOT(ISERROR(SEARCH("Fri",D2720)))</formula>
    </cfRule>
    <cfRule type="containsText" dxfId="506" priority="748" operator="containsText" text="Thu">
      <formula>NOT(ISERROR(SEARCH("Thu",D2720)))</formula>
    </cfRule>
    <cfRule type="containsText" dxfId="505" priority="749" operator="containsText" text="Wed">
      <formula>NOT(ISERROR(SEARCH("Wed",D2720)))</formula>
    </cfRule>
    <cfRule type="containsText" dxfId="504" priority="750" operator="containsText" text="Tue">
      <formula>NOT(ISERROR(SEARCH("Tue",D2720)))</formula>
    </cfRule>
    <cfRule type="containsText" dxfId="503" priority="751" operator="containsText" text="Mon">
      <formula>NOT(ISERROR(SEARCH("Mon",D2720)))</formula>
    </cfRule>
  </conditionalFormatting>
  <conditionalFormatting sqref="A2720:B2721">
    <cfRule type="cellIs" dxfId="502" priority="746" operator="equal">
      <formula>0</formula>
    </cfRule>
  </conditionalFormatting>
  <conditionalFormatting sqref="D2722">
    <cfRule type="containsText" dxfId="501" priority="741" operator="containsText" text="Fri">
      <formula>NOT(ISERROR(SEARCH("Fri",D2722)))</formula>
    </cfRule>
    <cfRule type="containsText" dxfId="500" priority="742" operator="containsText" text="Thu">
      <formula>NOT(ISERROR(SEARCH("Thu",D2722)))</formula>
    </cfRule>
    <cfRule type="containsText" dxfId="499" priority="743" operator="containsText" text="Wed">
      <formula>NOT(ISERROR(SEARCH("Wed",D2722)))</formula>
    </cfRule>
    <cfRule type="containsText" dxfId="498" priority="744" operator="containsText" text="Tue">
      <formula>NOT(ISERROR(SEARCH("Tue",D2722)))</formula>
    </cfRule>
    <cfRule type="containsText" dxfId="497" priority="745" operator="containsText" text="Mon">
      <formula>NOT(ISERROR(SEARCH("Mon",D2722)))</formula>
    </cfRule>
  </conditionalFormatting>
  <conditionalFormatting sqref="A2722:B2722">
    <cfRule type="cellIs" dxfId="496" priority="740" operator="equal">
      <formula>0</formula>
    </cfRule>
  </conditionalFormatting>
  <conditionalFormatting sqref="D2723">
    <cfRule type="containsText" dxfId="495" priority="735" operator="containsText" text="Fri">
      <formula>NOT(ISERROR(SEARCH("Fri",D2723)))</formula>
    </cfRule>
    <cfRule type="containsText" dxfId="494" priority="736" operator="containsText" text="Thu">
      <formula>NOT(ISERROR(SEARCH("Thu",D2723)))</formula>
    </cfRule>
    <cfRule type="containsText" dxfId="493" priority="737" operator="containsText" text="Wed">
      <formula>NOT(ISERROR(SEARCH("Wed",D2723)))</formula>
    </cfRule>
    <cfRule type="containsText" dxfId="492" priority="738" operator="containsText" text="Tue">
      <formula>NOT(ISERROR(SEARCH("Tue",D2723)))</formula>
    </cfRule>
    <cfRule type="containsText" dxfId="491" priority="739" operator="containsText" text="Mon">
      <formula>NOT(ISERROR(SEARCH("Mon",D2723)))</formula>
    </cfRule>
  </conditionalFormatting>
  <conditionalFormatting sqref="D2724">
    <cfRule type="containsText" dxfId="490" priority="730" operator="containsText" text="Fri">
      <formula>NOT(ISERROR(SEARCH("Fri",D2724)))</formula>
    </cfRule>
    <cfRule type="containsText" dxfId="489" priority="731" operator="containsText" text="Thu">
      <formula>NOT(ISERROR(SEARCH("Thu",D2724)))</formula>
    </cfRule>
    <cfRule type="containsText" dxfId="488" priority="732" operator="containsText" text="Wed">
      <formula>NOT(ISERROR(SEARCH("Wed",D2724)))</formula>
    </cfRule>
    <cfRule type="containsText" dxfId="487" priority="733" operator="containsText" text="Tue">
      <formula>NOT(ISERROR(SEARCH("Tue",D2724)))</formula>
    </cfRule>
    <cfRule type="containsText" dxfId="486" priority="734" operator="containsText" text="Mon">
      <formula>NOT(ISERROR(SEARCH("Mon",D2724)))</formula>
    </cfRule>
  </conditionalFormatting>
  <conditionalFormatting sqref="A2723:B2724">
    <cfRule type="cellIs" dxfId="485" priority="729" operator="equal">
      <formula>0</formula>
    </cfRule>
  </conditionalFormatting>
  <conditionalFormatting sqref="D2725:D2730 D2732:D2733">
    <cfRule type="containsText" dxfId="484" priority="724" operator="containsText" text="Fri">
      <formula>NOT(ISERROR(SEARCH("Fri",D2725)))</formula>
    </cfRule>
    <cfRule type="containsText" dxfId="483" priority="725" operator="containsText" text="Thu">
      <formula>NOT(ISERROR(SEARCH("Thu",D2725)))</formula>
    </cfRule>
    <cfRule type="containsText" dxfId="482" priority="726" operator="containsText" text="Wed">
      <formula>NOT(ISERROR(SEARCH("Wed",D2725)))</formula>
    </cfRule>
    <cfRule type="containsText" dxfId="481" priority="727" operator="containsText" text="Tue">
      <formula>NOT(ISERROR(SEARCH("Tue",D2725)))</formula>
    </cfRule>
    <cfRule type="containsText" dxfId="480" priority="728" operator="containsText" text="Mon">
      <formula>NOT(ISERROR(SEARCH("Mon",D2725)))</formula>
    </cfRule>
  </conditionalFormatting>
  <conditionalFormatting sqref="D2731">
    <cfRule type="containsText" dxfId="479" priority="719" operator="containsText" text="Fri">
      <formula>NOT(ISERROR(SEARCH("Fri",D2731)))</formula>
    </cfRule>
    <cfRule type="containsText" dxfId="478" priority="720" operator="containsText" text="Thu">
      <formula>NOT(ISERROR(SEARCH("Thu",D2731)))</formula>
    </cfRule>
    <cfRule type="containsText" dxfId="477" priority="721" operator="containsText" text="Wed">
      <formula>NOT(ISERROR(SEARCH("Wed",D2731)))</formula>
    </cfRule>
    <cfRule type="containsText" dxfId="476" priority="722" operator="containsText" text="Tue">
      <formula>NOT(ISERROR(SEARCH("Tue",D2731)))</formula>
    </cfRule>
    <cfRule type="containsText" dxfId="475" priority="723" operator="containsText" text="Mon">
      <formula>NOT(ISERROR(SEARCH("Mon",D2731)))</formula>
    </cfRule>
  </conditionalFormatting>
  <conditionalFormatting sqref="D2734:D2737">
    <cfRule type="containsText" dxfId="474" priority="714" operator="containsText" text="Fri">
      <formula>NOT(ISERROR(SEARCH("Fri",D2734)))</formula>
    </cfRule>
    <cfRule type="containsText" dxfId="473" priority="715" operator="containsText" text="Thu">
      <formula>NOT(ISERROR(SEARCH("Thu",D2734)))</formula>
    </cfRule>
    <cfRule type="containsText" dxfId="472" priority="716" operator="containsText" text="Wed">
      <formula>NOT(ISERROR(SEARCH("Wed",D2734)))</formula>
    </cfRule>
    <cfRule type="containsText" dxfId="471" priority="717" operator="containsText" text="Tue">
      <formula>NOT(ISERROR(SEARCH("Tue",D2734)))</formula>
    </cfRule>
    <cfRule type="containsText" dxfId="470" priority="718" operator="containsText" text="Mon">
      <formula>NOT(ISERROR(SEARCH("Mon",D2734)))</formula>
    </cfRule>
  </conditionalFormatting>
  <conditionalFormatting sqref="A2725:B2737">
    <cfRule type="cellIs" dxfId="469" priority="713" operator="equal">
      <formula>0</formula>
    </cfRule>
  </conditionalFormatting>
  <conditionalFormatting sqref="D2738:D2757">
    <cfRule type="containsText" dxfId="468" priority="174" operator="containsText" text="Fri">
      <formula>NOT(ISERROR(SEARCH("Fri",D2738)))</formula>
    </cfRule>
    <cfRule type="containsText" dxfId="467" priority="175" operator="containsText" text="Thu">
      <formula>NOT(ISERROR(SEARCH("Thu",D2738)))</formula>
    </cfRule>
    <cfRule type="containsText" dxfId="466" priority="176" operator="containsText" text="Wed">
      <formula>NOT(ISERROR(SEARCH("Wed",D2738)))</formula>
    </cfRule>
    <cfRule type="containsText" dxfId="465" priority="177" operator="containsText" text="Tue">
      <formula>NOT(ISERROR(SEARCH("Tue",D2738)))</formula>
    </cfRule>
    <cfRule type="containsText" dxfId="464" priority="178" operator="containsText" text="Mon">
      <formula>NOT(ISERROR(SEARCH("Mon",D2738)))</formula>
    </cfRule>
  </conditionalFormatting>
  <conditionalFormatting sqref="E2738:K2841">
    <cfRule type="cellIs" dxfId="463" priority="173" operator="equal">
      <formula>0</formula>
    </cfRule>
  </conditionalFormatting>
  <conditionalFormatting sqref="A2738:B2748">
    <cfRule type="cellIs" dxfId="462" priority="172" operator="equal">
      <formula>0</formula>
    </cfRule>
  </conditionalFormatting>
  <conditionalFormatting sqref="D2758:D2759">
    <cfRule type="containsText" dxfId="461" priority="167" operator="containsText" text="Fri">
      <formula>NOT(ISERROR(SEARCH("Fri",D2758)))</formula>
    </cfRule>
    <cfRule type="containsText" dxfId="460" priority="168" operator="containsText" text="Thu">
      <formula>NOT(ISERROR(SEARCH("Thu",D2758)))</formula>
    </cfRule>
    <cfRule type="containsText" dxfId="459" priority="169" operator="containsText" text="Wed">
      <formula>NOT(ISERROR(SEARCH("Wed",D2758)))</formula>
    </cfRule>
    <cfRule type="containsText" dxfId="458" priority="170" operator="containsText" text="Tue">
      <formula>NOT(ISERROR(SEARCH("Tue",D2758)))</formula>
    </cfRule>
    <cfRule type="containsText" dxfId="457" priority="171" operator="containsText" text="Mon">
      <formula>NOT(ISERROR(SEARCH("Mon",D2758)))</formula>
    </cfRule>
  </conditionalFormatting>
  <conditionalFormatting sqref="A2749:B2759">
    <cfRule type="cellIs" dxfId="456" priority="166" operator="equal">
      <formula>0</formula>
    </cfRule>
  </conditionalFormatting>
  <conditionalFormatting sqref="D2760:D2770">
    <cfRule type="containsText" dxfId="455" priority="161" operator="containsText" text="Fri">
      <formula>NOT(ISERROR(SEARCH("Fri",D2760)))</formula>
    </cfRule>
    <cfRule type="containsText" dxfId="454" priority="162" operator="containsText" text="Thu">
      <formula>NOT(ISERROR(SEARCH("Thu",D2760)))</formula>
    </cfRule>
    <cfRule type="containsText" dxfId="453" priority="163" operator="containsText" text="Wed">
      <formula>NOT(ISERROR(SEARCH("Wed",D2760)))</formula>
    </cfRule>
    <cfRule type="containsText" dxfId="452" priority="164" operator="containsText" text="Tue">
      <formula>NOT(ISERROR(SEARCH("Tue",D2760)))</formula>
    </cfRule>
    <cfRule type="containsText" dxfId="451" priority="165" operator="containsText" text="Mon">
      <formula>NOT(ISERROR(SEARCH("Mon",D2760)))</formula>
    </cfRule>
  </conditionalFormatting>
  <conditionalFormatting sqref="A2760:B2770">
    <cfRule type="cellIs" dxfId="450" priority="160" operator="equal">
      <formula>0</formula>
    </cfRule>
  </conditionalFormatting>
  <conditionalFormatting sqref="D2771:D2776 D2778:D2779">
    <cfRule type="containsText" dxfId="449" priority="155" operator="containsText" text="Fri">
      <formula>NOT(ISERROR(SEARCH("Fri",D2771)))</formula>
    </cfRule>
    <cfRule type="containsText" dxfId="448" priority="156" operator="containsText" text="Thu">
      <formula>NOT(ISERROR(SEARCH("Thu",D2771)))</formula>
    </cfRule>
    <cfRule type="containsText" dxfId="447" priority="157" operator="containsText" text="Wed">
      <formula>NOT(ISERROR(SEARCH("Wed",D2771)))</formula>
    </cfRule>
    <cfRule type="containsText" dxfId="446" priority="158" operator="containsText" text="Tue">
      <formula>NOT(ISERROR(SEARCH("Tue",D2771)))</formula>
    </cfRule>
    <cfRule type="containsText" dxfId="445" priority="159" operator="containsText" text="Mon">
      <formula>NOT(ISERROR(SEARCH("Mon",D2771)))</formula>
    </cfRule>
  </conditionalFormatting>
  <conditionalFormatting sqref="D2777">
    <cfRule type="containsText" dxfId="444" priority="150" operator="containsText" text="Fri">
      <formula>NOT(ISERROR(SEARCH("Fri",D2777)))</formula>
    </cfRule>
    <cfRule type="containsText" dxfId="443" priority="151" operator="containsText" text="Thu">
      <formula>NOT(ISERROR(SEARCH("Thu",D2777)))</formula>
    </cfRule>
    <cfRule type="containsText" dxfId="442" priority="152" operator="containsText" text="Wed">
      <formula>NOT(ISERROR(SEARCH("Wed",D2777)))</formula>
    </cfRule>
    <cfRule type="containsText" dxfId="441" priority="153" operator="containsText" text="Tue">
      <formula>NOT(ISERROR(SEARCH("Tue",D2777)))</formula>
    </cfRule>
    <cfRule type="containsText" dxfId="440" priority="154" operator="containsText" text="Mon">
      <formula>NOT(ISERROR(SEARCH("Mon",D2777)))</formula>
    </cfRule>
  </conditionalFormatting>
  <conditionalFormatting sqref="D2780:D2781">
    <cfRule type="containsText" dxfId="439" priority="145" operator="containsText" text="Fri">
      <formula>NOT(ISERROR(SEARCH("Fri",D2780)))</formula>
    </cfRule>
    <cfRule type="containsText" dxfId="438" priority="146" operator="containsText" text="Thu">
      <formula>NOT(ISERROR(SEARCH("Thu",D2780)))</formula>
    </cfRule>
    <cfRule type="containsText" dxfId="437" priority="147" operator="containsText" text="Wed">
      <formula>NOT(ISERROR(SEARCH("Wed",D2780)))</formula>
    </cfRule>
    <cfRule type="containsText" dxfId="436" priority="148" operator="containsText" text="Tue">
      <formula>NOT(ISERROR(SEARCH("Tue",D2780)))</formula>
    </cfRule>
    <cfRule type="containsText" dxfId="435" priority="149" operator="containsText" text="Mon">
      <formula>NOT(ISERROR(SEARCH("Mon",D2780)))</formula>
    </cfRule>
  </conditionalFormatting>
  <conditionalFormatting sqref="A2771:B2781">
    <cfRule type="cellIs" dxfId="434" priority="144" operator="equal">
      <formula>0</formula>
    </cfRule>
  </conditionalFormatting>
  <conditionalFormatting sqref="D2782:D2794">
    <cfRule type="containsText" dxfId="433" priority="139" operator="containsText" text="Fri">
      <formula>NOT(ISERROR(SEARCH("Fri",D2782)))</formula>
    </cfRule>
    <cfRule type="containsText" dxfId="432" priority="140" operator="containsText" text="Thu">
      <formula>NOT(ISERROR(SEARCH("Thu",D2782)))</formula>
    </cfRule>
    <cfRule type="containsText" dxfId="431" priority="141" operator="containsText" text="Wed">
      <formula>NOT(ISERROR(SEARCH("Wed",D2782)))</formula>
    </cfRule>
    <cfRule type="containsText" dxfId="430" priority="142" operator="containsText" text="Tue">
      <formula>NOT(ISERROR(SEARCH("Tue",D2782)))</formula>
    </cfRule>
    <cfRule type="containsText" dxfId="429" priority="143" operator="containsText" text="Mon">
      <formula>NOT(ISERROR(SEARCH("Mon",D2782)))</formula>
    </cfRule>
  </conditionalFormatting>
  <conditionalFormatting sqref="A2782:B2794">
    <cfRule type="cellIs" dxfId="428" priority="138" operator="equal">
      <formula>0</formula>
    </cfRule>
  </conditionalFormatting>
  <conditionalFormatting sqref="D2795">
    <cfRule type="containsText" dxfId="427" priority="133" operator="containsText" text="Fri">
      <formula>NOT(ISERROR(SEARCH("Fri",D2795)))</formula>
    </cfRule>
    <cfRule type="containsText" dxfId="426" priority="134" operator="containsText" text="Thu">
      <formula>NOT(ISERROR(SEARCH("Thu",D2795)))</formula>
    </cfRule>
    <cfRule type="containsText" dxfId="425" priority="135" operator="containsText" text="Wed">
      <formula>NOT(ISERROR(SEARCH("Wed",D2795)))</formula>
    </cfRule>
    <cfRule type="containsText" dxfId="424" priority="136" operator="containsText" text="Tue">
      <formula>NOT(ISERROR(SEARCH("Tue",D2795)))</formula>
    </cfRule>
    <cfRule type="containsText" dxfId="423" priority="137" operator="containsText" text="Mon">
      <formula>NOT(ISERROR(SEARCH("Mon",D2795)))</formula>
    </cfRule>
  </conditionalFormatting>
  <conditionalFormatting sqref="A2795:B2795">
    <cfRule type="cellIs" dxfId="422" priority="132" operator="equal">
      <formula>0</formula>
    </cfRule>
  </conditionalFormatting>
  <conditionalFormatting sqref="D2796">
    <cfRule type="containsText" dxfId="421" priority="127" operator="containsText" text="Fri">
      <formula>NOT(ISERROR(SEARCH("Fri",D2796)))</formula>
    </cfRule>
    <cfRule type="containsText" dxfId="420" priority="128" operator="containsText" text="Thu">
      <formula>NOT(ISERROR(SEARCH("Thu",D2796)))</formula>
    </cfRule>
    <cfRule type="containsText" dxfId="419" priority="129" operator="containsText" text="Wed">
      <formula>NOT(ISERROR(SEARCH("Wed",D2796)))</formula>
    </cfRule>
    <cfRule type="containsText" dxfId="418" priority="130" operator="containsText" text="Tue">
      <formula>NOT(ISERROR(SEARCH("Tue",D2796)))</formula>
    </cfRule>
    <cfRule type="containsText" dxfId="417" priority="131" operator="containsText" text="Mon">
      <formula>NOT(ISERROR(SEARCH("Mon",D2796)))</formula>
    </cfRule>
  </conditionalFormatting>
  <conditionalFormatting sqref="A2796:B2796">
    <cfRule type="cellIs" dxfId="416" priority="126" operator="equal">
      <formula>0</formula>
    </cfRule>
  </conditionalFormatting>
  <conditionalFormatting sqref="D2797">
    <cfRule type="containsText" dxfId="415" priority="121" operator="containsText" text="Fri">
      <formula>NOT(ISERROR(SEARCH("Fri",D2797)))</formula>
    </cfRule>
    <cfRule type="containsText" dxfId="414" priority="122" operator="containsText" text="Thu">
      <formula>NOT(ISERROR(SEARCH("Thu",D2797)))</formula>
    </cfRule>
    <cfRule type="containsText" dxfId="413" priority="123" operator="containsText" text="Wed">
      <formula>NOT(ISERROR(SEARCH("Wed",D2797)))</formula>
    </cfRule>
    <cfRule type="containsText" dxfId="412" priority="124" operator="containsText" text="Tue">
      <formula>NOT(ISERROR(SEARCH("Tue",D2797)))</formula>
    </cfRule>
    <cfRule type="containsText" dxfId="411" priority="125" operator="containsText" text="Mon">
      <formula>NOT(ISERROR(SEARCH("Mon",D2797)))</formula>
    </cfRule>
  </conditionalFormatting>
  <conditionalFormatting sqref="A2797:B2797">
    <cfRule type="cellIs" dxfId="410" priority="120" operator="equal">
      <formula>0</formula>
    </cfRule>
  </conditionalFormatting>
  <conditionalFormatting sqref="D2798">
    <cfRule type="containsText" dxfId="409" priority="115" operator="containsText" text="Fri">
      <formula>NOT(ISERROR(SEARCH("Fri",D2798)))</formula>
    </cfRule>
    <cfRule type="containsText" dxfId="408" priority="116" operator="containsText" text="Thu">
      <formula>NOT(ISERROR(SEARCH("Thu",D2798)))</formula>
    </cfRule>
    <cfRule type="containsText" dxfId="407" priority="117" operator="containsText" text="Wed">
      <formula>NOT(ISERROR(SEARCH("Wed",D2798)))</formula>
    </cfRule>
    <cfRule type="containsText" dxfId="406" priority="118" operator="containsText" text="Tue">
      <formula>NOT(ISERROR(SEARCH("Tue",D2798)))</formula>
    </cfRule>
    <cfRule type="containsText" dxfId="405" priority="119" operator="containsText" text="Mon">
      <formula>NOT(ISERROR(SEARCH("Mon",D2798)))</formula>
    </cfRule>
  </conditionalFormatting>
  <conditionalFormatting sqref="A2798:B2798">
    <cfRule type="cellIs" dxfId="404" priority="114" operator="equal">
      <formula>0</formula>
    </cfRule>
  </conditionalFormatting>
  <conditionalFormatting sqref="D2799">
    <cfRule type="containsText" dxfId="403" priority="109" operator="containsText" text="Fri">
      <formula>NOT(ISERROR(SEARCH("Fri",D2799)))</formula>
    </cfRule>
    <cfRule type="containsText" dxfId="402" priority="110" operator="containsText" text="Thu">
      <formula>NOT(ISERROR(SEARCH("Thu",D2799)))</formula>
    </cfRule>
    <cfRule type="containsText" dxfId="401" priority="111" operator="containsText" text="Wed">
      <formula>NOT(ISERROR(SEARCH("Wed",D2799)))</formula>
    </cfRule>
    <cfRule type="containsText" dxfId="400" priority="112" operator="containsText" text="Tue">
      <formula>NOT(ISERROR(SEARCH("Tue",D2799)))</formula>
    </cfRule>
    <cfRule type="containsText" dxfId="399" priority="113" operator="containsText" text="Mon">
      <formula>NOT(ISERROR(SEARCH("Mon",D2799)))</formula>
    </cfRule>
  </conditionalFormatting>
  <conditionalFormatting sqref="A2799:B2799">
    <cfRule type="cellIs" dxfId="398" priority="108" operator="equal">
      <formula>0</formula>
    </cfRule>
  </conditionalFormatting>
  <conditionalFormatting sqref="D2800:D2801">
    <cfRule type="containsText" dxfId="397" priority="103" operator="containsText" text="Fri">
      <formula>NOT(ISERROR(SEARCH("Fri",D2800)))</formula>
    </cfRule>
    <cfRule type="containsText" dxfId="396" priority="104" operator="containsText" text="Thu">
      <formula>NOT(ISERROR(SEARCH("Thu",D2800)))</formula>
    </cfRule>
    <cfRule type="containsText" dxfId="395" priority="105" operator="containsText" text="Wed">
      <formula>NOT(ISERROR(SEARCH("Wed",D2800)))</formula>
    </cfRule>
    <cfRule type="containsText" dxfId="394" priority="106" operator="containsText" text="Tue">
      <formula>NOT(ISERROR(SEARCH("Tue",D2800)))</formula>
    </cfRule>
    <cfRule type="containsText" dxfId="393" priority="107" operator="containsText" text="Mon">
      <formula>NOT(ISERROR(SEARCH("Mon",D2800)))</formula>
    </cfRule>
  </conditionalFormatting>
  <conditionalFormatting sqref="A2800:B2801">
    <cfRule type="cellIs" dxfId="392" priority="102" operator="equal">
      <formula>0</formula>
    </cfRule>
  </conditionalFormatting>
  <conditionalFormatting sqref="D2802:D2803">
    <cfRule type="containsText" dxfId="391" priority="97" operator="containsText" text="Fri">
      <formula>NOT(ISERROR(SEARCH("Fri",D2802)))</formula>
    </cfRule>
    <cfRule type="containsText" dxfId="390" priority="98" operator="containsText" text="Thu">
      <formula>NOT(ISERROR(SEARCH("Thu",D2802)))</formula>
    </cfRule>
    <cfRule type="containsText" dxfId="389" priority="99" operator="containsText" text="Wed">
      <formula>NOT(ISERROR(SEARCH("Wed",D2802)))</formula>
    </cfRule>
    <cfRule type="containsText" dxfId="388" priority="100" operator="containsText" text="Tue">
      <formula>NOT(ISERROR(SEARCH("Tue",D2802)))</formula>
    </cfRule>
    <cfRule type="containsText" dxfId="387" priority="101" operator="containsText" text="Mon">
      <formula>NOT(ISERROR(SEARCH("Mon",D2802)))</formula>
    </cfRule>
  </conditionalFormatting>
  <conditionalFormatting sqref="A2802:B2803">
    <cfRule type="cellIs" dxfId="386" priority="96" operator="equal">
      <formula>0</formula>
    </cfRule>
  </conditionalFormatting>
  <conditionalFormatting sqref="D2804">
    <cfRule type="containsText" dxfId="385" priority="91" operator="containsText" text="Fri">
      <formula>NOT(ISERROR(SEARCH("Fri",D2804)))</formula>
    </cfRule>
    <cfRule type="containsText" dxfId="384" priority="92" operator="containsText" text="Thu">
      <formula>NOT(ISERROR(SEARCH("Thu",D2804)))</formula>
    </cfRule>
    <cfRule type="containsText" dxfId="383" priority="93" operator="containsText" text="Wed">
      <formula>NOT(ISERROR(SEARCH("Wed",D2804)))</formula>
    </cfRule>
    <cfRule type="containsText" dxfId="382" priority="94" operator="containsText" text="Tue">
      <formula>NOT(ISERROR(SEARCH("Tue",D2804)))</formula>
    </cfRule>
    <cfRule type="containsText" dxfId="381" priority="95" operator="containsText" text="Mon">
      <formula>NOT(ISERROR(SEARCH("Mon",D2804)))</formula>
    </cfRule>
  </conditionalFormatting>
  <conditionalFormatting sqref="A2804:B2805">
    <cfRule type="cellIs" dxfId="380" priority="90" operator="equal">
      <formula>0</formula>
    </cfRule>
  </conditionalFormatting>
  <conditionalFormatting sqref="D2805">
    <cfRule type="containsText" dxfId="379" priority="85" operator="containsText" text="Fri">
      <formula>NOT(ISERROR(SEARCH("Fri",D2805)))</formula>
    </cfRule>
    <cfRule type="containsText" dxfId="378" priority="86" operator="containsText" text="Thu">
      <formula>NOT(ISERROR(SEARCH("Thu",D2805)))</formula>
    </cfRule>
    <cfRule type="containsText" dxfId="377" priority="87" operator="containsText" text="Wed">
      <formula>NOT(ISERROR(SEARCH("Wed",D2805)))</formula>
    </cfRule>
    <cfRule type="containsText" dxfId="376" priority="88" operator="containsText" text="Tue">
      <formula>NOT(ISERROR(SEARCH("Tue",D2805)))</formula>
    </cfRule>
    <cfRule type="containsText" dxfId="375" priority="89" operator="containsText" text="Mon">
      <formula>NOT(ISERROR(SEARCH("Mon",D2805)))</formula>
    </cfRule>
  </conditionalFormatting>
  <conditionalFormatting sqref="D2806">
    <cfRule type="containsText" dxfId="374" priority="80" operator="containsText" text="Fri">
      <formula>NOT(ISERROR(SEARCH("Fri",D2806)))</formula>
    </cfRule>
    <cfRule type="containsText" dxfId="373" priority="81" operator="containsText" text="Thu">
      <formula>NOT(ISERROR(SEARCH("Thu",D2806)))</formula>
    </cfRule>
    <cfRule type="containsText" dxfId="372" priority="82" operator="containsText" text="Wed">
      <formula>NOT(ISERROR(SEARCH("Wed",D2806)))</formula>
    </cfRule>
    <cfRule type="containsText" dxfId="371" priority="83" operator="containsText" text="Tue">
      <formula>NOT(ISERROR(SEARCH("Tue",D2806)))</formula>
    </cfRule>
    <cfRule type="containsText" dxfId="370" priority="84" operator="containsText" text="Mon">
      <formula>NOT(ISERROR(SEARCH("Mon",D2806)))</formula>
    </cfRule>
  </conditionalFormatting>
  <conditionalFormatting sqref="A2806:B2806">
    <cfRule type="cellIs" dxfId="369" priority="79" operator="equal">
      <formula>0</formula>
    </cfRule>
  </conditionalFormatting>
  <conditionalFormatting sqref="D2807">
    <cfRule type="containsText" dxfId="368" priority="74" operator="containsText" text="Fri">
      <formula>NOT(ISERROR(SEARCH("Fri",D2807)))</formula>
    </cfRule>
    <cfRule type="containsText" dxfId="367" priority="75" operator="containsText" text="Thu">
      <formula>NOT(ISERROR(SEARCH("Thu",D2807)))</formula>
    </cfRule>
    <cfRule type="containsText" dxfId="366" priority="76" operator="containsText" text="Wed">
      <formula>NOT(ISERROR(SEARCH("Wed",D2807)))</formula>
    </cfRule>
    <cfRule type="containsText" dxfId="365" priority="77" operator="containsText" text="Tue">
      <formula>NOT(ISERROR(SEARCH("Tue",D2807)))</formula>
    </cfRule>
    <cfRule type="containsText" dxfId="364" priority="78" operator="containsText" text="Mon">
      <formula>NOT(ISERROR(SEARCH("Mon",D2807)))</formula>
    </cfRule>
  </conditionalFormatting>
  <conditionalFormatting sqref="A2807:B2807">
    <cfRule type="cellIs" dxfId="363" priority="73" operator="equal">
      <formula>0</formula>
    </cfRule>
  </conditionalFormatting>
  <conditionalFormatting sqref="D2808">
    <cfRule type="containsText" dxfId="362" priority="68" operator="containsText" text="Fri">
      <formula>NOT(ISERROR(SEARCH("Fri",D2808)))</formula>
    </cfRule>
    <cfRule type="containsText" dxfId="361" priority="69" operator="containsText" text="Thu">
      <formula>NOT(ISERROR(SEARCH("Thu",D2808)))</formula>
    </cfRule>
    <cfRule type="containsText" dxfId="360" priority="70" operator="containsText" text="Wed">
      <formula>NOT(ISERROR(SEARCH("Wed",D2808)))</formula>
    </cfRule>
    <cfRule type="containsText" dxfId="359" priority="71" operator="containsText" text="Tue">
      <formula>NOT(ISERROR(SEARCH("Tue",D2808)))</formula>
    </cfRule>
    <cfRule type="containsText" dxfId="358" priority="72" operator="containsText" text="Mon">
      <formula>NOT(ISERROR(SEARCH("Mon",D2808)))</formula>
    </cfRule>
  </conditionalFormatting>
  <conditionalFormatting sqref="A2808:B2808">
    <cfRule type="cellIs" dxfId="357" priority="67" operator="equal">
      <formula>0</formula>
    </cfRule>
  </conditionalFormatting>
  <conditionalFormatting sqref="D2809">
    <cfRule type="containsText" dxfId="356" priority="62" operator="containsText" text="Fri">
      <formula>NOT(ISERROR(SEARCH("Fri",D2809)))</formula>
    </cfRule>
    <cfRule type="containsText" dxfId="355" priority="63" operator="containsText" text="Thu">
      <formula>NOT(ISERROR(SEARCH("Thu",D2809)))</formula>
    </cfRule>
    <cfRule type="containsText" dxfId="354" priority="64" operator="containsText" text="Wed">
      <formula>NOT(ISERROR(SEARCH("Wed",D2809)))</formula>
    </cfRule>
    <cfRule type="containsText" dxfId="353" priority="65" operator="containsText" text="Tue">
      <formula>NOT(ISERROR(SEARCH("Tue",D2809)))</formula>
    </cfRule>
    <cfRule type="containsText" dxfId="352" priority="66" operator="containsText" text="Mon">
      <formula>NOT(ISERROR(SEARCH("Mon",D2809)))</formula>
    </cfRule>
  </conditionalFormatting>
  <conditionalFormatting sqref="A2809:B2809">
    <cfRule type="cellIs" dxfId="351" priority="61" operator="equal">
      <formula>0</formula>
    </cfRule>
  </conditionalFormatting>
  <conditionalFormatting sqref="D2810">
    <cfRule type="containsText" dxfId="350" priority="56" operator="containsText" text="Fri">
      <formula>NOT(ISERROR(SEARCH("Fri",D2810)))</formula>
    </cfRule>
    <cfRule type="containsText" dxfId="349" priority="57" operator="containsText" text="Thu">
      <formula>NOT(ISERROR(SEARCH("Thu",D2810)))</formula>
    </cfRule>
    <cfRule type="containsText" dxfId="348" priority="58" operator="containsText" text="Wed">
      <formula>NOT(ISERROR(SEARCH("Wed",D2810)))</formula>
    </cfRule>
    <cfRule type="containsText" dxfId="347" priority="59" operator="containsText" text="Tue">
      <formula>NOT(ISERROR(SEARCH("Tue",D2810)))</formula>
    </cfRule>
    <cfRule type="containsText" dxfId="346" priority="60" operator="containsText" text="Mon">
      <formula>NOT(ISERROR(SEARCH("Mon",D2810)))</formula>
    </cfRule>
  </conditionalFormatting>
  <conditionalFormatting sqref="A2810:B2810">
    <cfRule type="cellIs" dxfId="345" priority="55" operator="equal">
      <formula>0</formula>
    </cfRule>
  </conditionalFormatting>
  <conditionalFormatting sqref="D2811">
    <cfRule type="containsText" dxfId="344" priority="50" operator="containsText" text="Fri">
      <formula>NOT(ISERROR(SEARCH("Fri",D2811)))</formula>
    </cfRule>
    <cfRule type="containsText" dxfId="343" priority="51" operator="containsText" text="Thu">
      <formula>NOT(ISERROR(SEARCH("Thu",D2811)))</formula>
    </cfRule>
    <cfRule type="containsText" dxfId="342" priority="52" operator="containsText" text="Wed">
      <formula>NOT(ISERROR(SEARCH("Wed",D2811)))</formula>
    </cfRule>
    <cfRule type="containsText" dxfId="341" priority="53" operator="containsText" text="Tue">
      <formula>NOT(ISERROR(SEARCH("Tue",D2811)))</formula>
    </cfRule>
    <cfRule type="containsText" dxfId="340" priority="54" operator="containsText" text="Mon">
      <formula>NOT(ISERROR(SEARCH("Mon",D2811)))</formula>
    </cfRule>
  </conditionalFormatting>
  <conditionalFormatting sqref="A2811:B2811">
    <cfRule type="cellIs" dxfId="339" priority="49" operator="equal">
      <formula>0</formula>
    </cfRule>
  </conditionalFormatting>
  <conditionalFormatting sqref="D2818:D2819 D2812:D2816">
    <cfRule type="containsText" dxfId="338" priority="44" operator="containsText" text="Fri">
      <formula>NOT(ISERROR(SEARCH("Fri",D2812)))</formula>
    </cfRule>
    <cfRule type="containsText" dxfId="337" priority="45" operator="containsText" text="Thu">
      <formula>NOT(ISERROR(SEARCH("Thu",D2812)))</formula>
    </cfRule>
    <cfRule type="containsText" dxfId="336" priority="46" operator="containsText" text="Wed">
      <formula>NOT(ISERROR(SEARCH("Wed",D2812)))</formula>
    </cfRule>
    <cfRule type="containsText" dxfId="335" priority="47" operator="containsText" text="Tue">
      <formula>NOT(ISERROR(SEARCH("Tue",D2812)))</formula>
    </cfRule>
    <cfRule type="containsText" dxfId="334" priority="48" operator="containsText" text="Mon">
      <formula>NOT(ISERROR(SEARCH("Mon",D2812)))</formula>
    </cfRule>
  </conditionalFormatting>
  <conditionalFormatting sqref="A2812:B2821">
    <cfRule type="cellIs" dxfId="333" priority="43" operator="equal">
      <formula>0</formula>
    </cfRule>
  </conditionalFormatting>
  <conditionalFormatting sqref="D2817">
    <cfRule type="containsText" dxfId="332" priority="38" operator="containsText" text="Fri">
      <formula>NOT(ISERROR(SEARCH("Fri",D2817)))</formula>
    </cfRule>
    <cfRule type="containsText" dxfId="331" priority="39" operator="containsText" text="Thu">
      <formula>NOT(ISERROR(SEARCH("Thu",D2817)))</formula>
    </cfRule>
    <cfRule type="containsText" dxfId="330" priority="40" operator="containsText" text="Wed">
      <formula>NOT(ISERROR(SEARCH("Wed",D2817)))</formula>
    </cfRule>
    <cfRule type="containsText" dxfId="329" priority="41" operator="containsText" text="Tue">
      <formula>NOT(ISERROR(SEARCH("Tue",D2817)))</formula>
    </cfRule>
    <cfRule type="containsText" dxfId="328" priority="42" operator="containsText" text="Mon">
      <formula>NOT(ISERROR(SEARCH("Mon",D2817)))</formula>
    </cfRule>
  </conditionalFormatting>
  <conditionalFormatting sqref="D2820:D2821">
    <cfRule type="containsText" dxfId="327" priority="33" operator="containsText" text="Fri">
      <formula>NOT(ISERROR(SEARCH("Fri",D2820)))</formula>
    </cfRule>
    <cfRule type="containsText" dxfId="326" priority="34" operator="containsText" text="Thu">
      <formula>NOT(ISERROR(SEARCH("Thu",D2820)))</formula>
    </cfRule>
    <cfRule type="containsText" dxfId="325" priority="35" operator="containsText" text="Wed">
      <formula>NOT(ISERROR(SEARCH("Wed",D2820)))</formula>
    </cfRule>
    <cfRule type="containsText" dxfId="324" priority="36" operator="containsText" text="Tue">
      <formula>NOT(ISERROR(SEARCH("Tue",D2820)))</formula>
    </cfRule>
    <cfRule type="containsText" dxfId="323" priority="37" operator="containsText" text="Mon">
      <formula>NOT(ISERROR(SEARCH("Mon",D2820)))</formula>
    </cfRule>
  </conditionalFormatting>
  <conditionalFormatting sqref="D2828:D2829 D2822:D2826">
    <cfRule type="containsText" dxfId="322" priority="28" operator="containsText" text="Fri">
      <formula>NOT(ISERROR(SEARCH("Fri",D2822)))</formula>
    </cfRule>
    <cfRule type="containsText" dxfId="321" priority="29" operator="containsText" text="Thu">
      <formula>NOT(ISERROR(SEARCH("Thu",D2822)))</formula>
    </cfRule>
    <cfRule type="containsText" dxfId="320" priority="30" operator="containsText" text="Wed">
      <formula>NOT(ISERROR(SEARCH("Wed",D2822)))</formula>
    </cfRule>
    <cfRule type="containsText" dxfId="319" priority="31" operator="containsText" text="Tue">
      <formula>NOT(ISERROR(SEARCH("Tue",D2822)))</formula>
    </cfRule>
    <cfRule type="containsText" dxfId="318" priority="32" operator="containsText" text="Mon">
      <formula>NOT(ISERROR(SEARCH("Mon",D2822)))</formula>
    </cfRule>
  </conditionalFormatting>
  <conditionalFormatting sqref="A2822:B2831">
    <cfRule type="cellIs" dxfId="317" priority="27" operator="equal">
      <formula>0</formula>
    </cfRule>
  </conditionalFormatting>
  <conditionalFormatting sqref="D2827">
    <cfRule type="containsText" dxfId="316" priority="22" operator="containsText" text="Fri">
      <formula>NOT(ISERROR(SEARCH("Fri",D2827)))</formula>
    </cfRule>
    <cfRule type="containsText" dxfId="315" priority="23" operator="containsText" text="Thu">
      <formula>NOT(ISERROR(SEARCH("Thu",D2827)))</formula>
    </cfRule>
    <cfRule type="containsText" dxfId="314" priority="24" operator="containsText" text="Wed">
      <formula>NOT(ISERROR(SEARCH("Wed",D2827)))</formula>
    </cfRule>
    <cfRule type="containsText" dxfId="313" priority="25" operator="containsText" text="Tue">
      <formula>NOT(ISERROR(SEARCH("Tue",D2827)))</formula>
    </cfRule>
    <cfRule type="containsText" dxfId="312" priority="26" operator="containsText" text="Mon">
      <formula>NOT(ISERROR(SEARCH("Mon",D2827)))</formula>
    </cfRule>
  </conditionalFormatting>
  <conditionalFormatting sqref="D2830:D2831">
    <cfRule type="containsText" dxfId="311" priority="17" operator="containsText" text="Fri">
      <formula>NOT(ISERROR(SEARCH("Fri",D2830)))</formula>
    </cfRule>
    <cfRule type="containsText" dxfId="310" priority="18" operator="containsText" text="Thu">
      <formula>NOT(ISERROR(SEARCH("Thu",D2830)))</formula>
    </cfRule>
    <cfRule type="containsText" dxfId="309" priority="19" operator="containsText" text="Wed">
      <formula>NOT(ISERROR(SEARCH("Wed",D2830)))</formula>
    </cfRule>
    <cfRule type="containsText" dxfId="308" priority="20" operator="containsText" text="Tue">
      <formula>NOT(ISERROR(SEARCH("Tue",D2830)))</formula>
    </cfRule>
    <cfRule type="containsText" dxfId="307" priority="21" operator="containsText" text="Mon">
      <formula>NOT(ISERROR(SEARCH("Mon",D2830)))</formula>
    </cfRule>
  </conditionalFormatting>
  <conditionalFormatting sqref="D2838:D2839 D2832:D2836">
    <cfRule type="containsText" dxfId="306" priority="12" operator="containsText" text="Fri">
      <formula>NOT(ISERROR(SEARCH("Fri",D2832)))</formula>
    </cfRule>
    <cfRule type="containsText" dxfId="305" priority="13" operator="containsText" text="Thu">
      <formula>NOT(ISERROR(SEARCH("Thu",D2832)))</formula>
    </cfRule>
    <cfRule type="containsText" dxfId="304" priority="14" operator="containsText" text="Wed">
      <formula>NOT(ISERROR(SEARCH("Wed",D2832)))</formula>
    </cfRule>
    <cfRule type="containsText" dxfId="303" priority="15" operator="containsText" text="Tue">
      <formula>NOT(ISERROR(SEARCH("Tue",D2832)))</formula>
    </cfRule>
    <cfRule type="containsText" dxfId="302" priority="16" operator="containsText" text="Mon">
      <formula>NOT(ISERROR(SEARCH("Mon",D2832)))</formula>
    </cfRule>
  </conditionalFormatting>
  <conditionalFormatting sqref="A2832:B2841">
    <cfRule type="cellIs" dxfId="301" priority="11" operator="equal">
      <formula>0</formula>
    </cfRule>
  </conditionalFormatting>
  <conditionalFormatting sqref="D2837">
    <cfRule type="containsText" dxfId="300" priority="6" operator="containsText" text="Fri">
      <formula>NOT(ISERROR(SEARCH("Fri",D2837)))</formula>
    </cfRule>
    <cfRule type="containsText" dxfId="299" priority="7" operator="containsText" text="Thu">
      <formula>NOT(ISERROR(SEARCH("Thu",D2837)))</formula>
    </cfRule>
    <cfRule type="containsText" dxfId="298" priority="8" operator="containsText" text="Wed">
      <formula>NOT(ISERROR(SEARCH("Wed",D2837)))</formula>
    </cfRule>
    <cfRule type="containsText" dxfId="297" priority="9" operator="containsText" text="Tue">
      <formula>NOT(ISERROR(SEARCH("Tue",D2837)))</formula>
    </cfRule>
    <cfRule type="containsText" dxfId="296" priority="10" operator="containsText" text="Mon">
      <formula>NOT(ISERROR(SEARCH("Mon",D2837)))</formula>
    </cfRule>
  </conditionalFormatting>
  <conditionalFormatting sqref="D2840:D2841">
    <cfRule type="containsText" dxfId="295" priority="1" operator="containsText" text="Fri">
      <formula>NOT(ISERROR(SEARCH("Fri",D2840)))</formula>
    </cfRule>
    <cfRule type="containsText" dxfId="294" priority="2" operator="containsText" text="Thu">
      <formula>NOT(ISERROR(SEARCH("Thu",D2840)))</formula>
    </cfRule>
    <cfRule type="containsText" dxfId="293" priority="3" operator="containsText" text="Wed">
      <formula>NOT(ISERROR(SEARCH("Wed",D2840)))</formula>
    </cfRule>
    <cfRule type="containsText" dxfId="292" priority="4" operator="containsText" text="Tue">
      <formula>NOT(ISERROR(SEARCH("Tue",D2840)))</formula>
    </cfRule>
    <cfRule type="containsText" dxfId="291" priority="5" operator="containsText" text="Mon">
      <formula>NOT(ISERROR(SEARCH("Mon",D2840)))</formula>
    </cfRule>
  </conditionalFormatting>
  <dataValidations count="1">
    <dataValidation type="list" allowBlank="1" showInputMessage="1" showErrorMessage="1" sqref="B2:B79 B82:B150">
      <formula1>Staff_Name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9999"/>
  <sheetViews>
    <sheetView showGridLines="0" zoomScale="85" zoomScaleNormal="85" workbookViewId="0">
      <pane xSplit="1" ySplit="1" topLeftCell="K9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5.75"/>
  <cols>
    <col min="1" max="1" width="17.85546875" style="56" bestFit="1" customWidth="1"/>
    <col min="2" max="2" width="30.85546875" style="56" customWidth="1"/>
    <col min="3" max="3" width="11.85546875" style="56" bestFit="1" customWidth="1"/>
    <col min="4" max="6" width="9.140625" style="56"/>
    <col min="7" max="8" width="14.7109375" style="56" customWidth="1"/>
    <col min="9" max="9" width="17.7109375" style="56" customWidth="1"/>
    <col min="10" max="10" width="41.28515625" style="56" customWidth="1"/>
    <col min="11" max="11" width="41.7109375" style="56" customWidth="1"/>
    <col min="12" max="12" width="14.42578125" style="56" customWidth="1"/>
    <col min="13" max="16384" width="9.140625" style="56"/>
  </cols>
  <sheetData>
    <row r="1" spans="1:13" s="55" customFormat="1" ht="38.25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213</v>
      </c>
      <c r="M1" s="2" t="s">
        <v>243</v>
      </c>
    </row>
    <row r="2" spans="1:13">
      <c r="A2" s="45" t="s">
        <v>11</v>
      </c>
      <c r="B2" s="52" t="s">
        <v>912</v>
      </c>
      <c r="C2" s="46">
        <v>43647</v>
      </c>
      <c r="D2" s="47" t="s">
        <v>16</v>
      </c>
      <c r="E2" s="48">
        <v>0.72916666666666674</v>
      </c>
      <c r="F2" s="48">
        <v>0.89583333333333337</v>
      </c>
      <c r="G2" s="49">
        <v>8.0000000000000036</v>
      </c>
      <c r="H2" s="49">
        <v>3.9999999999999982</v>
      </c>
      <c r="I2" s="49">
        <v>3.9999999999999982</v>
      </c>
      <c r="J2" s="53" t="s">
        <v>30</v>
      </c>
      <c r="K2" s="51" t="s">
        <v>913</v>
      </c>
      <c r="L2" s="52">
        <v>1</v>
      </c>
      <c r="M2" s="19" t="str">
        <f>IF($C2="","",TEXT(DATE(YEAR($C2),MONTH($C2),DAY($C2)),"MMM")&amp;"_"&amp;YEAR($C2))</f>
        <v>Jul_2019</v>
      </c>
    </row>
    <row r="3" spans="1:13">
      <c r="A3" s="45" t="s">
        <v>11</v>
      </c>
      <c r="B3" s="52" t="s">
        <v>19</v>
      </c>
      <c r="C3" s="46">
        <v>43647</v>
      </c>
      <c r="D3" s="47" t="s">
        <v>16</v>
      </c>
      <c r="E3" s="48">
        <v>0.72916666666666674</v>
      </c>
      <c r="F3" s="48">
        <v>0.89583333333333337</v>
      </c>
      <c r="G3" s="49">
        <v>8.0000000000000036</v>
      </c>
      <c r="H3" s="49">
        <v>3.9999999999999982</v>
      </c>
      <c r="I3" s="49">
        <v>3.9999999999999982</v>
      </c>
      <c r="J3" s="53" t="s">
        <v>30</v>
      </c>
      <c r="K3" s="51" t="s">
        <v>913</v>
      </c>
      <c r="L3" s="52">
        <v>1</v>
      </c>
      <c r="M3" s="19" t="str">
        <f t="shared" ref="M3:M66" si="0">IF($C3="","",TEXT(DATE(YEAR($C3),MONTH($C3),DAY($C3)),"MMM")&amp;"_"&amp;YEAR($C3))</f>
        <v>Jul_2019</v>
      </c>
    </row>
    <row r="4" spans="1:13">
      <c r="A4" s="45" t="s">
        <v>11</v>
      </c>
      <c r="B4" s="52" t="s">
        <v>149</v>
      </c>
      <c r="C4" s="46">
        <v>43647</v>
      </c>
      <c r="D4" s="47" t="s">
        <v>16</v>
      </c>
      <c r="E4" s="48">
        <v>0.72916666666666674</v>
      </c>
      <c r="F4" s="48">
        <v>0.89583333333333337</v>
      </c>
      <c r="G4" s="49">
        <v>8.0000000000000036</v>
      </c>
      <c r="H4" s="49">
        <v>3.9999999999999982</v>
      </c>
      <c r="I4" s="49">
        <v>3.9999999999999982</v>
      </c>
      <c r="J4" s="53" t="s">
        <v>30</v>
      </c>
      <c r="K4" s="51" t="s">
        <v>913</v>
      </c>
      <c r="L4" s="52">
        <v>1</v>
      </c>
      <c r="M4" s="19" t="str">
        <f t="shared" si="0"/>
        <v>Jul_2019</v>
      </c>
    </row>
    <row r="5" spans="1:13">
      <c r="A5" s="45" t="s">
        <v>11</v>
      </c>
      <c r="B5" s="52" t="s">
        <v>161</v>
      </c>
      <c r="C5" s="46">
        <v>43647</v>
      </c>
      <c r="D5" s="47" t="s">
        <v>16</v>
      </c>
      <c r="E5" s="48">
        <v>0.72916666666666674</v>
      </c>
      <c r="F5" s="48">
        <v>0.89583333333333337</v>
      </c>
      <c r="G5" s="49">
        <v>8.0000000000000036</v>
      </c>
      <c r="H5" s="49">
        <v>3.9999999999999982</v>
      </c>
      <c r="I5" s="49">
        <v>3.9999999999999982</v>
      </c>
      <c r="J5" s="53" t="s">
        <v>30</v>
      </c>
      <c r="K5" s="51" t="s">
        <v>913</v>
      </c>
      <c r="L5" s="52">
        <v>1</v>
      </c>
      <c r="M5" s="19" t="str">
        <f t="shared" si="0"/>
        <v>Jul_2019</v>
      </c>
    </row>
    <row r="6" spans="1:13">
      <c r="A6" s="45" t="s">
        <v>11</v>
      </c>
      <c r="B6" s="52" t="s">
        <v>542</v>
      </c>
      <c r="C6" s="46">
        <v>43647</v>
      </c>
      <c r="D6" s="47" t="s">
        <v>16</v>
      </c>
      <c r="E6" s="48">
        <v>0.6875</v>
      </c>
      <c r="F6" s="48">
        <v>0.85416666666666663</v>
      </c>
      <c r="G6" s="49">
        <v>8.0000000000000036</v>
      </c>
      <c r="H6" s="49">
        <v>3.9999999999999964</v>
      </c>
      <c r="I6" s="49">
        <v>3.9999999999999964</v>
      </c>
      <c r="J6" s="53" t="s">
        <v>30</v>
      </c>
      <c r="K6" s="51" t="s">
        <v>913</v>
      </c>
      <c r="L6" s="52">
        <v>1</v>
      </c>
      <c r="M6" s="19" t="str">
        <f t="shared" si="0"/>
        <v>Jul_2019</v>
      </c>
    </row>
    <row r="7" spans="1:13">
      <c r="A7" s="45" t="s">
        <v>11</v>
      </c>
      <c r="B7" s="52" t="s">
        <v>547</v>
      </c>
      <c r="C7" s="46">
        <v>43647</v>
      </c>
      <c r="D7" s="47" t="s">
        <v>16</v>
      </c>
      <c r="E7" s="48">
        <v>0.72916666666666674</v>
      </c>
      <c r="F7" s="48">
        <v>0.89583333333333337</v>
      </c>
      <c r="G7" s="49">
        <v>8.0000000000000036</v>
      </c>
      <c r="H7" s="49">
        <v>3.9999999999999982</v>
      </c>
      <c r="I7" s="49">
        <v>3.9999999999999982</v>
      </c>
      <c r="J7" s="53" t="s">
        <v>30</v>
      </c>
      <c r="K7" s="51" t="s">
        <v>913</v>
      </c>
      <c r="L7" s="52">
        <v>1</v>
      </c>
      <c r="M7" s="19" t="str">
        <f t="shared" si="0"/>
        <v>Jul_2019</v>
      </c>
    </row>
    <row r="8" spans="1:13">
      <c r="A8" s="45" t="s">
        <v>11</v>
      </c>
      <c r="B8" s="52" t="s">
        <v>684</v>
      </c>
      <c r="C8" s="46">
        <v>43647</v>
      </c>
      <c r="D8" s="47" t="s">
        <v>16</v>
      </c>
      <c r="E8" s="48">
        <v>0.72916666666666674</v>
      </c>
      <c r="F8" s="48">
        <v>0.89583333333333337</v>
      </c>
      <c r="G8" s="49">
        <v>8.0000000000000036</v>
      </c>
      <c r="H8" s="49">
        <v>3.9999999999999982</v>
      </c>
      <c r="I8" s="49">
        <v>3.9999999999999982</v>
      </c>
      <c r="J8" s="53" t="s">
        <v>30</v>
      </c>
      <c r="K8" s="51" t="s">
        <v>913</v>
      </c>
      <c r="L8" s="52">
        <v>1</v>
      </c>
      <c r="M8" s="19" t="str">
        <f t="shared" si="0"/>
        <v>Jul_2019</v>
      </c>
    </row>
    <row r="9" spans="1:13">
      <c r="A9" s="45" t="s">
        <v>11</v>
      </c>
      <c r="B9" s="52" t="s">
        <v>779</v>
      </c>
      <c r="C9" s="46">
        <v>43647</v>
      </c>
      <c r="D9" s="47" t="s">
        <v>16</v>
      </c>
      <c r="E9" s="48">
        <v>0.72916666666666674</v>
      </c>
      <c r="F9" s="48">
        <v>0.89583333333333337</v>
      </c>
      <c r="G9" s="49">
        <v>8.0000000000000036</v>
      </c>
      <c r="H9" s="49">
        <v>3.9999999999999982</v>
      </c>
      <c r="I9" s="49">
        <v>3.9999999999999982</v>
      </c>
      <c r="J9" s="53" t="s">
        <v>30</v>
      </c>
      <c r="K9" s="51" t="s">
        <v>913</v>
      </c>
      <c r="L9" s="52">
        <v>1</v>
      </c>
      <c r="M9" s="19" t="str">
        <f t="shared" si="0"/>
        <v>Jul_2019</v>
      </c>
    </row>
    <row r="10" spans="1:13">
      <c r="A10" s="45" t="s">
        <v>11</v>
      </c>
      <c r="B10" s="52" t="s">
        <v>811</v>
      </c>
      <c r="C10" s="46">
        <v>43647</v>
      </c>
      <c r="D10" s="47" t="s">
        <v>16</v>
      </c>
      <c r="E10" s="48">
        <v>0.72916666666666674</v>
      </c>
      <c r="F10" s="48">
        <v>0.89583333333333337</v>
      </c>
      <c r="G10" s="49">
        <v>8.0000000000000036</v>
      </c>
      <c r="H10" s="49">
        <v>3.9999999999999982</v>
      </c>
      <c r="I10" s="49">
        <v>3.9999999999999982</v>
      </c>
      <c r="J10" s="53" t="s">
        <v>30</v>
      </c>
      <c r="K10" s="51" t="s">
        <v>913</v>
      </c>
      <c r="L10" s="52">
        <v>1</v>
      </c>
      <c r="M10" s="19" t="str">
        <f t="shared" si="0"/>
        <v>Jul_2019</v>
      </c>
    </row>
    <row r="11" spans="1:13">
      <c r="A11" s="45" t="s">
        <v>11</v>
      </c>
      <c r="B11" s="52" t="s">
        <v>910</v>
      </c>
      <c r="C11" s="46">
        <v>43647</v>
      </c>
      <c r="D11" s="47" t="s">
        <v>16</v>
      </c>
      <c r="E11" s="48">
        <v>0.72916666666666674</v>
      </c>
      <c r="F11" s="48">
        <v>0.89583333333333337</v>
      </c>
      <c r="G11" s="49">
        <v>8.0000000000000036</v>
      </c>
      <c r="H11" s="49">
        <v>3.9999999999999982</v>
      </c>
      <c r="I11" s="49">
        <v>3.9999999999999982</v>
      </c>
      <c r="J11" s="53" t="s">
        <v>30</v>
      </c>
      <c r="K11" s="51" t="s">
        <v>913</v>
      </c>
      <c r="L11" s="52">
        <v>1</v>
      </c>
      <c r="M11" s="19" t="str">
        <f t="shared" si="0"/>
        <v>Jul_2019</v>
      </c>
    </row>
    <row r="12" spans="1:13">
      <c r="A12" s="45" t="s">
        <v>22</v>
      </c>
      <c r="B12" s="69" t="s">
        <v>662</v>
      </c>
      <c r="C12" s="46">
        <v>43647</v>
      </c>
      <c r="D12" s="46" t="s">
        <v>16</v>
      </c>
      <c r="E12" s="48">
        <v>0.35416666666666669</v>
      </c>
      <c r="F12" s="48">
        <v>0.89583333333333337</v>
      </c>
      <c r="G12" s="49">
        <v>0</v>
      </c>
      <c r="H12" s="49">
        <v>12.000000000000002</v>
      </c>
      <c r="I12" s="49">
        <v>12.000000000000002</v>
      </c>
      <c r="J12" s="53" t="s">
        <v>30</v>
      </c>
      <c r="K12" s="51" t="s">
        <v>913</v>
      </c>
      <c r="L12" s="52" t="s">
        <v>281</v>
      </c>
      <c r="M12" s="19" t="str">
        <f t="shared" si="0"/>
        <v>Jul_2019</v>
      </c>
    </row>
    <row r="13" spans="1:13">
      <c r="A13" s="45" t="s">
        <v>11</v>
      </c>
      <c r="B13" s="52" t="s">
        <v>912</v>
      </c>
      <c r="C13" s="46">
        <v>43648</v>
      </c>
      <c r="D13" s="47" t="s">
        <v>14</v>
      </c>
      <c r="E13" s="48">
        <v>0.72916666666666674</v>
      </c>
      <c r="F13" s="48">
        <v>0.89583333333333337</v>
      </c>
      <c r="G13" s="49">
        <v>8.0000000000000036</v>
      </c>
      <c r="H13" s="49">
        <v>3.9999999999999982</v>
      </c>
      <c r="I13" s="49">
        <v>3.9999999999999982</v>
      </c>
      <c r="J13" s="53" t="s">
        <v>30</v>
      </c>
      <c r="K13" s="51" t="s">
        <v>914</v>
      </c>
      <c r="L13" s="52">
        <v>1</v>
      </c>
      <c r="M13" s="19" t="str">
        <f t="shared" si="0"/>
        <v>Jul_2019</v>
      </c>
    </row>
    <row r="14" spans="1:13">
      <c r="A14" s="45" t="s">
        <v>11</v>
      </c>
      <c r="B14" s="52" t="s">
        <v>19</v>
      </c>
      <c r="C14" s="46">
        <v>43648</v>
      </c>
      <c r="D14" s="47" t="s">
        <v>14</v>
      </c>
      <c r="E14" s="48">
        <v>0.72916666666666674</v>
      </c>
      <c r="F14" s="48">
        <v>0.89583333333333337</v>
      </c>
      <c r="G14" s="49">
        <v>8.0000000000000036</v>
      </c>
      <c r="H14" s="49">
        <v>3.9999999999999982</v>
      </c>
      <c r="I14" s="49">
        <v>3.9999999999999982</v>
      </c>
      <c r="J14" s="53" t="s">
        <v>30</v>
      </c>
      <c r="K14" s="51" t="s">
        <v>914</v>
      </c>
      <c r="L14" s="52">
        <v>1</v>
      </c>
      <c r="M14" s="19" t="str">
        <f t="shared" si="0"/>
        <v>Jul_2019</v>
      </c>
    </row>
    <row r="15" spans="1:13">
      <c r="A15" s="45" t="s">
        <v>11</v>
      </c>
      <c r="B15" s="52" t="s">
        <v>149</v>
      </c>
      <c r="C15" s="46">
        <v>43648</v>
      </c>
      <c r="D15" s="47" t="s">
        <v>14</v>
      </c>
      <c r="E15" s="48">
        <v>0.72916666666666674</v>
      </c>
      <c r="F15" s="48">
        <v>0.89583333333333337</v>
      </c>
      <c r="G15" s="49">
        <v>8.0000000000000036</v>
      </c>
      <c r="H15" s="49">
        <v>3.9999999999999982</v>
      </c>
      <c r="I15" s="49">
        <v>3.9999999999999982</v>
      </c>
      <c r="J15" s="53" t="s">
        <v>30</v>
      </c>
      <c r="K15" s="51" t="s">
        <v>914</v>
      </c>
      <c r="L15" s="52">
        <v>1</v>
      </c>
      <c r="M15" s="19" t="str">
        <f t="shared" si="0"/>
        <v>Jul_2019</v>
      </c>
    </row>
    <row r="16" spans="1:13">
      <c r="A16" s="45" t="s">
        <v>11</v>
      </c>
      <c r="B16" s="52" t="s">
        <v>161</v>
      </c>
      <c r="C16" s="46">
        <v>43648</v>
      </c>
      <c r="D16" s="47" t="s">
        <v>14</v>
      </c>
      <c r="E16" s="48">
        <v>0.6875</v>
      </c>
      <c r="F16" s="48">
        <v>0.85416666666666663</v>
      </c>
      <c r="G16" s="49">
        <v>8.0000000000000036</v>
      </c>
      <c r="H16" s="49">
        <v>3.9999999999999964</v>
      </c>
      <c r="I16" s="49">
        <v>3.9999999999999964</v>
      </c>
      <c r="J16" s="53" t="s">
        <v>30</v>
      </c>
      <c r="K16" s="51" t="s">
        <v>914</v>
      </c>
      <c r="L16" s="52">
        <v>1</v>
      </c>
      <c r="M16" s="19" t="str">
        <f t="shared" si="0"/>
        <v>Jul_2019</v>
      </c>
    </row>
    <row r="17" spans="1:13">
      <c r="A17" s="45" t="s">
        <v>11</v>
      </c>
      <c r="B17" s="52" t="s">
        <v>542</v>
      </c>
      <c r="C17" s="46">
        <v>43648</v>
      </c>
      <c r="D17" s="47" t="s">
        <v>14</v>
      </c>
      <c r="E17" s="48">
        <v>0.72916666666666674</v>
      </c>
      <c r="F17" s="48">
        <v>0.89583333333333337</v>
      </c>
      <c r="G17" s="49">
        <v>8.0000000000000036</v>
      </c>
      <c r="H17" s="49">
        <v>3.9999999999999982</v>
      </c>
      <c r="I17" s="49">
        <v>3.9999999999999982</v>
      </c>
      <c r="J17" s="53" t="s">
        <v>30</v>
      </c>
      <c r="K17" s="51" t="s">
        <v>914</v>
      </c>
      <c r="L17" s="52">
        <v>1</v>
      </c>
      <c r="M17" s="19" t="str">
        <f t="shared" si="0"/>
        <v>Jul_2019</v>
      </c>
    </row>
    <row r="18" spans="1:13">
      <c r="A18" s="45" t="s">
        <v>11</v>
      </c>
      <c r="B18" s="52" t="s">
        <v>547</v>
      </c>
      <c r="C18" s="46">
        <v>43648</v>
      </c>
      <c r="D18" s="47" t="s">
        <v>14</v>
      </c>
      <c r="E18" s="48">
        <v>0.72916666666666674</v>
      </c>
      <c r="F18" s="48">
        <v>0.89583333333333337</v>
      </c>
      <c r="G18" s="49">
        <v>8.0000000000000036</v>
      </c>
      <c r="H18" s="49">
        <v>3.9999999999999982</v>
      </c>
      <c r="I18" s="49">
        <v>3.9999999999999982</v>
      </c>
      <c r="J18" s="53" t="s">
        <v>30</v>
      </c>
      <c r="K18" s="51" t="s">
        <v>914</v>
      </c>
      <c r="L18" s="52">
        <v>1</v>
      </c>
      <c r="M18" s="19" t="str">
        <f t="shared" si="0"/>
        <v>Jul_2019</v>
      </c>
    </row>
    <row r="19" spans="1:13">
      <c r="A19" s="45" t="s">
        <v>11</v>
      </c>
      <c r="B19" s="52" t="s">
        <v>684</v>
      </c>
      <c r="C19" s="46">
        <v>43648</v>
      </c>
      <c r="D19" s="47" t="s">
        <v>14</v>
      </c>
      <c r="E19" s="48">
        <v>0.72916666666666674</v>
      </c>
      <c r="F19" s="48">
        <v>0.89583333333333337</v>
      </c>
      <c r="G19" s="49">
        <v>8.0000000000000036</v>
      </c>
      <c r="H19" s="49">
        <v>3.9999999999999982</v>
      </c>
      <c r="I19" s="49">
        <v>3.9999999999999982</v>
      </c>
      <c r="J19" s="53" t="s">
        <v>30</v>
      </c>
      <c r="K19" s="51" t="s">
        <v>914</v>
      </c>
      <c r="L19" s="52">
        <v>1</v>
      </c>
      <c r="M19" s="19" t="str">
        <f t="shared" si="0"/>
        <v>Jul_2019</v>
      </c>
    </row>
    <row r="20" spans="1:13">
      <c r="A20" s="45" t="s">
        <v>11</v>
      </c>
      <c r="B20" s="52" t="s">
        <v>779</v>
      </c>
      <c r="C20" s="46">
        <v>43648</v>
      </c>
      <c r="D20" s="47" t="s">
        <v>14</v>
      </c>
      <c r="E20" s="48">
        <v>0.72916666666666674</v>
      </c>
      <c r="F20" s="48">
        <v>0.89583333333333337</v>
      </c>
      <c r="G20" s="49">
        <v>8.0000000000000036</v>
      </c>
      <c r="H20" s="49">
        <v>3.9999999999999982</v>
      </c>
      <c r="I20" s="49">
        <v>3.9999999999999982</v>
      </c>
      <c r="J20" s="53" t="s">
        <v>30</v>
      </c>
      <c r="K20" s="51" t="s">
        <v>914</v>
      </c>
      <c r="L20" s="52">
        <v>1</v>
      </c>
      <c r="M20" s="19" t="str">
        <f t="shared" si="0"/>
        <v>Jul_2019</v>
      </c>
    </row>
    <row r="21" spans="1:13">
      <c r="A21" s="45" t="s">
        <v>11</v>
      </c>
      <c r="B21" s="52" t="s">
        <v>811</v>
      </c>
      <c r="C21" s="46">
        <v>43648</v>
      </c>
      <c r="D21" s="47" t="s">
        <v>14</v>
      </c>
      <c r="E21" s="48">
        <v>0.72916666666666674</v>
      </c>
      <c r="F21" s="48">
        <v>0.89583333333333337</v>
      </c>
      <c r="G21" s="49">
        <v>8.0000000000000036</v>
      </c>
      <c r="H21" s="49">
        <v>3.9999999999999982</v>
      </c>
      <c r="I21" s="49">
        <v>3.9999999999999982</v>
      </c>
      <c r="J21" s="53" t="s">
        <v>30</v>
      </c>
      <c r="K21" s="51" t="s">
        <v>914</v>
      </c>
      <c r="L21" s="52">
        <v>1</v>
      </c>
      <c r="M21" s="19" t="str">
        <f t="shared" si="0"/>
        <v>Jul_2019</v>
      </c>
    </row>
    <row r="22" spans="1:13">
      <c r="A22" s="45" t="s">
        <v>11</v>
      </c>
      <c r="B22" s="52" t="s">
        <v>910</v>
      </c>
      <c r="C22" s="46">
        <v>43648</v>
      </c>
      <c r="D22" s="47" t="s">
        <v>14</v>
      </c>
      <c r="E22" s="48">
        <v>0.72916666666666674</v>
      </c>
      <c r="F22" s="48">
        <v>0.89583333333333337</v>
      </c>
      <c r="G22" s="49">
        <v>8.0000000000000036</v>
      </c>
      <c r="H22" s="49">
        <v>3.9999999999999982</v>
      </c>
      <c r="I22" s="49">
        <v>3.9999999999999982</v>
      </c>
      <c r="J22" s="53" t="s">
        <v>30</v>
      </c>
      <c r="K22" s="51" t="s">
        <v>914</v>
      </c>
      <c r="L22" s="52">
        <v>1</v>
      </c>
      <c r="M22" s="19" t="str">
        <f t="shared" si="0"/>
        <v>Jul_2019</v>
      </c>
    </row>
    <row r="23" spans="1:13">
      <c r="A23" s="45" t="s">
        <v>22</v>
      </c>
      <c r="B23" s="52" t="s">
        <v>662</v>
      </c>
      <c r="C23" s="46">
        <v>43648</v>
      </c>
      <c r="D23" s="47" t="s">
        <v>14</v>
      </c>
      <c r="E23" s="48">
        <v>0.35416666666666669</v>
      </c>
      <c r="F23" s="48">
        <v>0.89583333333333337</v>
      </c>
      <c r="G23" s="49">
        <v>0</v>
      </c>
      <c r="H23" s="49">
        <v>12.000000000000002</v>
      </c>
      <c r="I23" s="49">
        <v>12.000000000000002</v>
      </c>
      <c r="J23" s="53" t="s">
        <v>30</v>
      </c>
      <c r="K23" s="51" t="s">
        <v>914</v>
      </c>
      <c r="L23" s="52" t="s">
        <v>281</v>
      </c>
      <c r="M23" s="19" t="str">
        <f t="shared" si="0"/>
        <v>Jul_2019</v>
      </c>
    </row>
    <row r="24" spans="1:13">
      <c r="A24" s="45" t="s">
        <v>11</v>
      </c>
      <c r="B24" s="52" t="s">
        <v>912</v>
      </c>
      <c r="C24" s="46">
        <v>43649</v>
      </c>
      <c r="D24" s="47" t="s">
        <v>15</v>
      </c>
      <c r="E24" s="48">
        <v>0.72916666666666674</v>
      </c>
      <c r="F24" s="48">
        <v>0.89583333333333337</v>
      </c>
      <c r="G24" s="49">
        <v>8.0000000000000036</v>
      </c>
      <c r="H24" s="49">
        <v>3.9999999999999982</v>
      </c>
      <c r="I24" s="49">
        <v>3.9999999999999982</v>
      </c>
      <c r="J24" s="53" t="s">
        <v>30</v>
      </c>
      <c r="K24" s="51" t="s">
        <v>915</v>
      </c>
      <c r="L24" s="52">
        <v>1</v>
      </c>
      <c r="M24" s="19" t="str">
        <f t="shared" si="0"/>
        <v>Jul_2019</v>
      </c>
    </row>
    <row r="25" spans="1:13">
      <c r="A25" s="45" t="s">
        <v>11</v>
      </c>
      <c r="B25" s="52" t="s">
        <v>19</v>
      </c>
      <c r="C25" s="46">
        <v>43649</v>
      </c>
      <c r="D25" s="47" t="s">
        <v>15</v>
      </c>
      <c r="E25" s="48">
        <v>0.72916666666666674</v>
      </c>
      <c r="F25" s="48">
        <v>0.89583333333333337</v>
      </c>
      <c r="G25" s="49">
        <v>8.0000000000000036</v>
      </c>
      <c r="H25" s="49">
        <v>3.9999999999999982</v>
      </c>
      <c r="I25" s="49">
        <v>3.9999999999999982</v>
      </c>
      <c r="J25" s="53" t="s">
        <v>30</v>
      </c>
      <c r="K25" s="51" t="s">
        <v>915</v>
      </c>
      <c r="L25" s="52">
        <v>1</v>
      </c>
      <c r="M25" s="19" t="str">
        <f t="shared" si="0"/>
        <v>Jul_2019</v>
      </c>
    </row>
    <row r="26" spans="1:13">
      <c r="A26" s="45" t="s">
        <v>11</v>
      </c>
      <c r="B26" s="52" t="s">
        <v>149</v>
      </c>
      <c r="C26" s="46">
        <v>43649</v>
      </c>
      <c r="D26" s="47" t="s">
        <v>15</v>
      </c>
      <c r="E26" s="48">
        <v>0.72916666666666674</v>
      </c>
      <c r="F26" s="48">
        <v>0.89583333333333337</v>
      </c>
      <c r="G26" s="49">
        <v>8.0000000000000036</v>
      </c>
      <c r="H26" s="49">
        <v>3.9999999999999982</v>
      </c>
      <c r="I26" s="49">
        <v>3.9999999999999982</v>
      </c>
      <c r="J26" s="53" t="s">
        <v>30</v>
      </c>
      <c r="K26" s="51" t="s">
        <v>915</v>
      </c>
      <c r="L26" s="52">
        <v>1</v>
      </c>
      <c r="M26" s="19" t="str">
        <f t="shared" si="0"/>
        <v>Jul_2019</v>
      </c>
    </row>
    <row r="27" spans="1:13">
      <c r="A27" s="45" t="s">
        <v>11</v>
      </c>
      <c r="B27" s="52" t="s">
        <v>161</v>
      </c>
      <c r="C27" s="46">
        <v>43649</v>
      </c>
      <c r="D27" s="47" t="s">
        <v>15</v>
      </c>
      <c r="E27" s="48">
        <v>0.72916666666666674</v>
      </c>
      <c r="F27" s="48">
        <v>0.89583333333333337</v>
      </c>
      <c r="G27" s="49">
        <v>8.0000000000000036</v>
      </c>
      <c r="H27" s="49">
        <v>3.9999999999999982</v>
      </c>
      <c r="I27" s="49">
        <v>3.9999999999999982</v>
      </c>
      <c r="J27" s="53" t="s">
        <v>30</v>
      </c>
      <c r="K27" s="51" t="s">
        <v>915</v>
      </c>
      <c r="L27" s="52">
        <v>1</v>
      </c>
      <c r="M27" s="19" t="str">
        <f t="shared" si="0"/>
        <v>Jul_2019</v>
      </c>
    </row>
    <row r="28" spans="1:13">
      <c r="A28" s="45" t="s">
        <v>11</v>
      </c>
      <c r="B28" s="52" t="s">
        <v>542</v>
      </c>
      <c r="C28" s="46">
        <v>43649</v>
      </c>
      <c r="D28" s="47" t="s">
        <v>15</v>
      </c>
      <c r="E28" s="48">
        <v>0.72916666666666674</v>
      </c>
      <c r="F28" s="48">
        <v>0.89583333333333337</v>
      </c>
      <c r="G28" s="49">
        <v>8.0000000000000036</v>
      </c>
      <c r="H28" s="49">
        <v>3.9999999999999982</v>
      </c>
      <c r="I28" s="49">
        <v>3.9999999999999982</v>
      </c>
      <c r="J28" s="53" t="s">
        <v>30</v>
      </c>
      <c r="K28" s="51" t="s">
        <v>915</v>
      </c>
      <c r="L28" s="52">
        <v>1</v>
      </c>
      <c r="M28" s="19" t="str">
        <f t="shared" si="0"/>
        <v>Jul_2019</v>
      </c>
    </row>
    <row r="29" spans="1:13">
      <c r="A29" s="45" t="s">
        <v>11</v>
      </c>
      <c r="B29" s="52" t="s">
        <v>547</v>
      </c>
      <c r="C29" s="46">
        <v>43649</v>
      </c>
      <c r="D29" s="47" t="s">
        <v>15</v>
      </c>
      <c r="E29" s="48">
        <v>0.72916666666666674</v>
      </c>
      <c r="F29" s="48">
        <v>0.89583333333333337</v>
      </c>
      <c r="G29" s="49">
        <v>8.0000000000000036</v>
      </c>
      <c r="H29" s="49">
        <v>3.9999999999999982</v>
      </c>
      <c r="I29" s="49">
        <v>3.9999999999999982</v>
      </c>
      <c r="J29" s="53" t="s">
        <v>30</v>
      </c>
      <c r="K29" s="51" t="s">
        <v>915</v>
      </c>
      <c r="L29" s="52">
        <v>1</v>
      </c>
      <c r="M29" s="19" t="str">
        <f t="shared" si="0"/>
        <v>Jul_2019</v>
      </c>
    </row>
    <row r="30" spans="1:13">
      <c r="A30" s="45" t="s">
        <v>11</v>
      </c>
      <c r="B30" s="52" t="s">
        <v>684</v>
      </c>
      <c r="C30" s="46">
        <v>43649</v>
      </c>
      <c r="D30" s="47" t="s">
        <v>15</v>
      </c>
      <c r="E30" s="48">
        <v>0.64583333333333326</v>
      </c>
      <c r="F30" s="48">
        <v>0.89583333333333337</v>
      </c>
      <c r="G30" s="49">
        <v>8.0000000000000036</v>
      </c>
      <c r="H30" s="49">
        <v>5.9999999999999964</v>
      </c>
      <c r="I30" s="49">
        <v>5.9999999999999964</v>
      </c>
      <c r="J30" s="53" t="s">
        <v>30</v>
      </c>
      <c r="K30" s="51" t="s">
        <v>915</v>
      </c>
      <c r="L30" s="52">
        <v>1</v>
      </c>
      <c r="M30" s="19" t="str">
        <f t="shared" si="0"/>
        <v>Jul_2019</v>
      </c>
    </row>
    <row r="31" spans="1:13">
      <c r="A31" s="45" t="s">
        <v>11</v>
      </c>
      <c r="B31" s="52" t="s">
        <v>779</v>
      </c>
      <c r="C31" s="46">
        <v>43649</v>
      </c>
      <c r="D31" s="47" t="s">
        <v>15</v>
      </c>
      <c r="E31" s="48">
        <v>0.72916666666666674</v>
      </c>
      <c r="F31" s="48">
        <v>0.89583333333333337</v>
      </c>
      <c r="G31" s="49">
        <v>8.0000000000000036</v>
      </c>
      <c r="H31" s="49">
        <v>3.9999999999999982</v>
      </c>
      <c r="I31" s="49">
        <v>3.9999999999999982</v>
      </c>
      <c r="J31" s="53" t="s">
        <v>30</v>
      </c>
      <c r="K31" s="51" t="s">
        <v>915</v>
      </c>
      <c r="L31" s="52">
        <v>1</v>
      </c>
      <c r="M31" s="19" t="str">
        <f t="shared" si="0"/>
        <v>Jul_2019</v>
      </c>
    </row>
    <row r="32" spans="1:13">
      <c r="A32" s="45" t="s">
        <v>11</v>
      </c>
      <c r="B32" s="52" t="s">
        <v>811</v>
      </c>
      <c r="C32" s="46">
        <v>43649</v>
      </c>
      <c r="D32" s="47" t="s">
        <v>15</v>
      </c>
      <c r="E32" s="48">
        <v>0.72916666666666674</v>
      </c>
      <c r="F32" s="48">
        <v>0.89583333333333337</v>
      </c>
      <c r="G32" s="49">
        <v>8.0000000000000036</v>
      </c>
      <c r="H32" s="49">
        <v>3.9999999999999982</v>
      </c>
      <c r="I32" s="49">
        <v>3.9999999999999982</v>
      </c>
      <c r="J32" s="53" t="s">
        <v>30</v>
      </c>
      <c r="K32" s="51" t="s">
        <v>915</v>
      </c>
      <c r="L32" s="52">
        <v>1</v>
      </c>
      <c r="M32" s="19" t="str">
        <f t="shared" si="0"/>
        <v>Jul_2019</v>
      </c>
    </row>
    <row r="33" spans="1:13">
      <c r="A33" s="45" t="s">
        <v>22</v>
      </c>
      <c r="B33" s="52" t="s">
        <v>662</v>
      </c>
      <c r="C33" s="46">
        <v>43649</v>
      </c>
      <c r="D33" s="47" t="s">
        <v>15</v>
      </c>
      <c r="E33" s="48">
        <v>0.35416666666666669</v>
      </c>
      <c r="F33" s="48">
        <v>0.89583333333333337</v>
      </c>
      <c r="G33" s="49">
        <v>0</v>
      </c>
      <c r="H33" s="49">
        <v>12.000000000000002</v>
      </c>
      <c r="I33" s="49">
        <v>12.000000000000002</v>
      </c>
      <c r="J33" s="53" t="s">
        <v>30</v>
      </c>
      <c r="K33" s="51" t="s">
        <v>915</v>
      </c>
      <c r="L33" s="52" t="s">
        <v>281</v>
      </c>
      <c r="M33" s="19" t="str">
        <f t="shared" si="0"/>
        <v>Jul_2019</v>
      </c>
    </row>
    <row r="34" spans="1:13">
      <c r="A34" s="45" t="s">
        <v>22</v>
      </c>
      <c r="B34" s="52" t="s">
        <v>679</v>
      </c>
      <c r="C34" s="46">
        <v>43649</v>
      </c>
      <c r="D34" s="47" t="s">
        <v>15</v>
      </c>
      <c r="E34" s="48">
        <v>0.54166666666666663</v>
      </c>
      <c r="F34" s="48">
        <v>0.89583333333333337</v>
      </c>
      <c r="G34" s="49">
        <v>0</v>
      </c>
      <c r="H34" s="49">
        <v>7.5000000000000018</v>
      </c>
      <c r="I34" s="49">
        <v>7.5000000000000018</v>
      </c>
      <c r="J34" s="53" t="s">
        <v>30</v>
      </c>
      <c r="K34" s="51" t="s">
        <v>915</v>
      </c>
      <c r="L34" s="52" t="s">
        <v>281</v>
      </c>
      <c r="M34" s="19" t="str">
        <f t="shared" si="0"/>
        <v>Jul_2019</v>
      </c>
    </row>
    <row r="35" spans="1:13">
      <c r="A35" s="45" t="s">
        <v>11</v>
      </c>
      <c r="B35" s="52" t="s">
        <v>912</v>
      </c>
      <c r="C35" s="46">
        <v>43650</v>
      </c>
      <c r="D35" s="47" t="s">
        <v>25</v>
      </c>
      <c r="E35" s="48">
        <v>0.72916666666666674</v>
      </c>
      <c r="F35" s="48">
        <v>0.89583333333333337</v>
      </c>
      <c r="G35" s="49">
        <v>8.0000000000000036</v>
      </c>
      <c r="H35" s="49">
        <v>3.9999999999999982</v>
      </c>
      <c r="I35" s="49">
        <v>3.9999999999999982</v>
      </c>
      <c r="J35" s="53" t="s">
        <v>30</v>
      </c>
      <c r="K35" s="51" t="s">
        <v>916</v>
      </c>
      <c r="L35" s="52">
        <v>1</v>
      </c>
      <c r="M35" s="19" t="str">
        <f t="shared" si="0"/>
        <v>Jul_2019</v>
      </c>
    </row>
    <row r="36" spans="1:13">
      <c r="A36" s="45" t="s">
        <v>11</v>
      </c>
      <c r="B36" s="52" t="s">
        <v>19</v>
      </c>
      <c r="C36" s="46">
        <v>43650</v>
      </c>
      <c r="D36" s="47" t="s">
        <v>25</v>
      </c>
      <c r="E36" s="48">
        <v>0.72916666666666674</v>
      </c>
      <c r="F36" s="48">
        <v>0.89583333333333337</v>
      </c>
      <c r="G36" s="49">
        <v>8.0000000000000036</v>
      </c>
      <c r="H36" s="49">
        <v>3.9999999999999982</v>
      </c>
      <c r="I36" s="49">
        <v>3.9999999999999982</v>
      </c>
      <c r="J36" s="53" t="s">
        <v>30</v>
      </c>
      <c r="K36" s="51" t="s">
        <v>916</v>
      </c>
      <c r="L36" s="52">
        <v>1</v>
      </c>
      <c r="M36" s="19" t="str">
        <f t="shared" si="0"/>
        <v>Jul_2019</v>
      </c>
    </row>
    <row r="37" spans="1:13">
      <c r="A37" s="45" t="s">
        <v>11</v>
      </c>
      <c r="B37" s="52" t="s">
        <v>149</v>
      </c>
      <c r="C37" s="46">
        <v>43650</v>
      </c>
      <c r="D37" s="47" t="s">
        <v>25</v>
      </c>
      <c r="E37" s="48">
        <v>0.72916666666666674</v>
      </c>
      <c r="F37" s="48">
        <v>0.89583333333333337</v>
      </c>
      <c r="G37" s="49">
        <v>8.0000000000000036</v>
      </c>
      <c r="H37" s="49">
        <v>3.9999999999999982</v>
      </c>
      <c r="I37" s="49">
        <v>3.9999999999999982</v>
      </c>
      <c r="J37" s="53" t="s">
        <v>30</v>
      </c>
      <c r="K37" s="51" t="s">
        <v>916</v>
      </c>
      <c r="L37" s="52">
        <v>1</v>
      </c>
      <c r="M37" s="19" t="str">
        <f t="shared" si="0"/>
        <v>Jul_2019</v>
      </c>
    </row>
    <row r="38" spans="1:13">
      <c r="A38" s="45" t="s">
        <v>11</v>
      </c>
      <c r="B38" s="52" t="s">
        <v>161</v>
      </c>
      <c r="C38" s="46">
        <v>43650</v>
      </c>
      <c r="D38" s="47" t="s">
        <v>25</v>
      </c>
      <c r="E38" s="48">
        <v>0.72916666666666674</v>
      </c>
      <c r="F38" s="48">
        <v>0.89583333333333337</v>
      </c>
      <c r="G38" s="49">
        <v>8.0000000000000036</v>
      </c>
      <c r="H38" s="49">
        <v>3.9999999999999982</v>
      </c>
      <c r="I38" s="49">
        <v>3.9999999999999982</v>
      </c>
      <c r="J38" s="53" t="s">
        <v>30</v>
      </c>
      <c r="K38" s="51" t="s">
        <v>916</v>
      </c>
      <c r="L38" s="52">
        <v>1</v>
      </c>
      <c r="M38" s="19" t="str">
        <f t="shared" si="0"/>
        <v>Jul_2019</v>
      </c>
    </row>
    <row r="39" spans="1:13">
      <c r="A39" s="45" t="s">
        <v>11</v>
      </c>
      <c r="B39" s="52" t="s">
        <v>542</v>
      </c>
      <c r="C39" s="46">
        <v>43650</v>
      </c>
      <c r="D39" s="47" t="s">
        <v>25</v>
      </c>
      <c r="E39" s="48">
        <v>0.6875</v>
      </c>
      <c r="F39" s="48">
        <v>0.85416666666666663</v>
      </c>
      <c r="G39" s="49">
        <v>8.0000000000000036</v>
      </c>
      <c r="H39" s="49">
        <v>3.9999999999999964</v>
      </c>
      <c r="I39" s="49">
        <v>3.9999999999999964</v>
      </c>
      <c r="J39" s="53" t="s">
        <v>30</v>
      </c>
      <c r="K39" s="51" t="s">
        <v>916</v>
      </c>
      <c r="L39" s="52">
        <v>1</v>
      </c>
      <c r="M39" s="19" t="str">
        <f t="shared" si="0"/>
        <v>Jul_2019</v>
      </c>
    </row>
    <row r="40" spans="1:13">
      <c r="A40" s="45" t="s">
        <v>11</v>
      </c>
      <c r="B40" s="52" t="s">
        <v>547</v>
      </c>
      <c r="C40" s="46">
        <v>43650</v>
      </c>
      <c r="D40" s="47" t="s">
        <v>25</v>
      </c>
      <c r="E40" s="48">
        <v>0.72916666666666674</v>
      </c>
      <c r="F40" s="48">
        <v>0.89583333333333337</v>
      </c>
      <c r="G40" s="49">
        <v>8.0000000000000036</v>
      </c>
      <c r="H40" s="49">
        <v>3.9999999999999982</v>
      </c>
      <c r="I40" s="49">
        <v>3.9999999999999982</v>
      </c>
      <c r="J40" s="53" t="s">
        <v>30</v>
      </c>
      <c r="K40" s="51" t="s">
        <v>916</v>
      </c>
      <c r="L40" s="52">
        <v>1</v>
      </c>
      <c r="M40" s="19" t="str">
        <f t="shared" si="0"/>
        <v>Jul_2019</v>
      </c>
    </row>
    <row r="41" spans="1:13">
      <c r="A41" s="45" t="s">
        <v>11</v>
      </c>
      <c r="B41" s="52" t="s">
        <v>684</v>
      </c>
      <c r="C41" s="46">
        <v>43650</v>
      </c>
      <c r="D41" s="47" t="s">
        <v>25</v>
      </c>
      <c r="E41" s="48">
        <v>0.72916666666666674</v>
      </c>
      <c r="F41" s="48">
        <v>0.89583333333333337</v>
      </c>
      <c r="G41" s="49">
        <v>8.0000000000000036</v>
      </c>
      <c r="H41" s="49">
        <v>3.9999999999999982</v>
      </c>
      <c r="I41" s="49">
        <v>3.9999999999999982</v>
      </c>
      <c r="J41" s="53" t="s">
        <v>30</v>
      </c>
      <c r="K41" s="51" t="s">
        <v>916</v>
      </c>
      <c r="L41" s="52">
        <v>1</v>
      </c>
      <c r="M41" s="19" t="str">
        <f t="shared" si="0"/>
        <v>Jul_2019</v>
      </c>
    </row>
    <row r="42" spans="1:13">
      <c r="A42" s="45" t="s">
        <v>11</v>
      </c>
      <c r="B42" s="52" t="s">
        <v>779</v>
      </c>
      <c r="C42" s="46">
        <v>43650</v>
      </c>
      <c r="D42" s="47" t="s">
        <v>25</v>
      </c>
      <c r="E42" s="48">
        <v>0.72916666666666674</v>
      </c>
      <c r="F42" s="48">
        <v>0.89583333333333337</v>
      </c>
      <c r="G42" s="49">
        <v>8.0000000000000036</v>
      </c>
      <c r="H42" s="49">
        <v>3.9999999999999982</v>
      </c>
      <c r="I42" s="49">
        <v>3.9999999999999982</v>
      </c>
      <c r="J42" s="53" t="s">
        <v>30</v>
      </c>
      <c r="K42" s="51" t="s">
        <v>916</v>
      </c>
      <c r="L42" s="52">
        <v>1</v>
      </c>
      <c r="M42" s="19" t="str">
        <f t="shared" si="0"/>
        <v>Jul_2019</v>
      </c>
    </row>
    <row r="43" spans="1:13">
      <c r="A43" s="45" t="s">
        <v>11</v>
      </c>
      <c r="B43" s="52" t="s">
        <v>811</v>
      </c>
      <c r="C43" s="46">
        <v>43650</v>
      </c>
      <c r="D43" s="47" t="s">
        <v>25</v>
      </c>
      <c r="E43" s="48">
        <v>0.72916666666666674</v>
      </c>
      <c r="F43" s="48">
        <v>0.89583333333333337</v>
      </c>
      <c r="G43" s="49">
        <v>8.0000000000000036</v>
      </c>
      <c r="H43" s="49">
        <v>3.9999999999999982</v>
      </c>
      <c r="I43" s="49">
        <v>3.9999999999999982</v>
      </c>
      <c r="J43" s="53" t="s">
        <v>30</v>
      </c>
      <c r="K43" s="51" t="s">
        <v>916</v>
      </c>
      <c r="L43" s="52">
        <v>1</v>
      </c>
      <c r="M43" s="19" t="str">
        <f t="shared" si="0"/>
        <v>Jul_2019</v>
      </c>
    </row>
    <row r="44" spans="1:13">
      <c r="A44" s="45" t="s">
        <v>11</v>
      </c>
      <c r="B44" s="52" t="s">
        <v>910</v>
      </c>
      <c r="C44" s="46">
        <v>43650</v>
      </c>
      <c r="D44" s="47" t="s">
        <v>25</v>
      </c>
      <c r="E44" s="48">
        <v>0.72916666666666674</v>
      </c>
      <c r="F44" s="48">
        <v>0.89583333333333337</v>
      </c>
      <c r="G44" s="49">
        <v>8.0000000000000036</v>
      </c>
      <c r="H44" s="49">
        <v>3.9999999999999982</v>
      </c>
      <c r="I44" s="49">
        <v>3.9999999999999982</v>
      </c>
      <c r="J44" s="53" t="s">
        <v>30</v>
      </c>
      <c r="K44" s="51" t="s">
        <v>916</v>
      </c>
      <c r="L44" s="52">
        <v>1</v>
      </c>
      <c r="M44" s="19" t="str">
        <f t="shared" si="0"/>
        <v>Jul_2019</v>
      </c>
    </row>
    <row r="45" spans="1:13">
      <c r="A45" s="45" t="s">
        <v>22</v>
      </c>
      <c r="B45" s="52" t="s">
        <v>662</v>
      </c>
      <c r="C45" s="46">
        <v>43650</v>
      </c>
      <c r="D45" s="47" t="s">
        <v>25</v>
      </c>
      <c r="E45" s="48">
        <v>0.35416666666666669</v>
      </c>
      <c r="F45" s="48">
        <v>0.89583333333333337</v>
      </c>
      <c r="G45" s="49">
        <v>0</v>
      </c>
      <c r="H45" s="49">
        <v>12.000000000000002</v>
      </c>
      <c r="I45" s="49">
        <v>12.000000000000002</v>
      </c>
      <c r="J45" s="53" t="s">
        <v>30</v>
      </c>
      <c r="K45" s="51" t="s">
        <v>916</v>
      </c>
      <c r="L45" s="52" t="s">
        <v>281</v>
      </c>
      <c r="M45" s="19" t="str">
        <f t="shared" si="0"/>
        <v>Jul_2019</v>
      </c>
    </row>
    <row r="46" spans="1:13">
      <c r="A46" s="45" t="s">
        <v>11</v>
      </c>
      <c r="B46" s="52" t="s">
        <v>912</v>
      </c>
      <c r="C46" s="46">
        <v>43651</v>
      </c>
      <c r="D46" s="47" t="s">
        <v>17</v>
      </c>
      <c r="E46" s="48">
        <v>0.72916666666666674</v>
      </c>
      <c r="F46" s="48">
        <v>0.91666666666666663</v>
      </c>
      <c r="G46" s="49">
        <v>8.0000000000000036</v>
      </c>
      <c r="H46" s="49">
        <v>4.4999999999999964</v>
      </c>
      <c r="I46" s="49">
        <v>4.4999999999999964</v>
      </c>
      <c r="J46" s="53" t="s">
        <v>30</v>
      </c>
      <c r="K46" s="51" t="s">
        <v>917</v>
      </c>
      <c r="L46" s="52">
        <v>1</v>
      </c>
      <c r="M46" s="19" t="str">
        <f t="shared" si="0"/>
        <v>Jul_2019</v>
      </c>
    </row>
    <row r="47" spans="1:13">
      <c r="A47" s="45" t="s">
        <v>11</v>
      </c>
      <c r="B47" s="52" t="s">
        <v>19</v>
      </c>
      <c r="C47" s="46">
        <v>43651</v>
      </c>
      <c r="D47" s="47" t="s">
        <v>17</v>
      </c>
      <c r="E47" s="48">
        <v>0.72916666666666674</v>
      </c>
      <c r="F47" s="48">
        <v>0.91666666666666663</v>
      </c>
      <c r="G47" s="49">
        <v>8.0000000000000036</v>
      </c>
      <c r="H47" s="49">
        <v>4.4999999999999964</v>
      </c>
      <c r="I47" s="49">
        <v>4.4999999999999964</v>
      </c>
      <c r="J47" s="53" t="s">
        <v>30</v>
      </c>
      <c r="K47" s="51" t="s">
        <v>917</v>
      </c>
      <c r="L47" s="52">
        <v>1</v>
      </c>
      <c r="M47" s="19" t="str">
        <f t="shared" si="0"/>
        <v>Jul_2019</v>
      </c>
    </row>
    <row r="48" spans="1:13">
      <c r="A48" s="45" t="s">
        <v>11</v>
      </c>
      <c r="B48" s="52" t="s">
        <v>149</v>
      </c>
      <c r="C48" s="46">
        <v>43651</v>
      </c>
      <c r="D48" s="47" t="s">
        <v>17</v>
      </c>
      <c r="E48" s="48">
        <v>0.72916666666666674</v>
      </c>
      <c r="F48" s="48">
        <v>0.91666666666666663</v>
      </c>
      <c r="G48" s="49">
        <v>8.0000000000000036</v>
      </c>
      <c r="H48" s="49">
        <v>4.4999999999999964</v>
      </c>
      <c r="I48" s="49">
        <v>4.4999999999999964</v>
      </c>
      <c r="J48" s="53" t="s">
        <v>30</v>
      </c>
      <c r="K48" s="51" t="s">
        <v>917</v>
      </c>
      <c r="L48" s="52">
        <v>1</v>
      </c>
      <c r="M48" s="19" t="str">
        <f t="shared" si="0"/>
        <v>Jul_2019</v>
      </c>
    </row>
    <row r="49" spans="1:13">
      <c r="A49" s="45" t="s">
        <v>11</v>
      </c>
      <c r="B49" s="52" t="s">
        <v>161</v>
      </c>
      <c r="C49" s="46">
        <v>43651</v>
      </c>
      <c r="D49" s="47" t="s">
        <v>17</v>
      </c>
      <c r="E49" s="48">
        <v>0.6875</v>
      </c>
      <c r="F49" s="48">
        <v>0.85416666666666663</v>
      </c>
      <c r="G49" s="49">
        <v>8.0000000000000036</v>
      </c>
      <c r="H49" s="49">
        <v>3.9999999999999964</v>
      </c>
      <c r="I49" s="49">
        <v>3.9999999999999964</v>
      </c>
      <c r="J49" s="53" t="s">
        <v>30</v>
      </c>
      <c r="K49" s="51" t="s">
        <v>917</v>
      </c>
      <c r="L49" s="52">
        <v>1</v>
      </c>
      <c r="M49" s="19" t="str">
        <f t="shared" si="0"/>
        <v>Jul_2019</v>
      </c>
    </row>
    <row r="50" spans="1:13">
      <c r="A50" s="45" t="s">
        <v>11</v>
      </c>
      <c r="B50" s="52" t="s">
        <v>542</v>
      </c>
      <c r="C50" s="46">
        <v>43651</v>
      </c>
      <c r="D50" s="47" t="s">
        <v>17</v>
      </c>
      <c r="E50" s="48">
        <v>0.72916666666666674</v>
      </c>
      <c r="F50" s="48">
        <v>0.91666666666666663</v>
      </c>
      <c r="G50" s="49">
        <v>8.0000000000000036</v>
      </c>
      <c r="H50" s="49">
        <v>4.4999999999999964</v>
      </c>
      <c r="I50" s="49">
        <v>4.4999999999999964</v>
      </c>
      <c r="J50" s="53" t="s">
        <v>30</v>
      </c>
      <c r="K50" s="51" t="s">
        <v>917</v>
      </c>
      <c r="L50" s="52">
        <v>1</v>
      </c>
      <c r="M50" s="19" t="str">
        <f t="shared" si="0"/>
        <v>Jul_2019</v>
      </c>
    </row>
    <row r="51" spans="1:13">
      <c r="A51" s="45" t="s">
        <v>11</v>
      </c>
      <c r="B51" s="52" t="s">
        <v>547</v>
      </c>
      <c r="C51" s="46">
        <v>43651</v>
      </c>
      <c r="D51" s="47" t="s">
        <v>17</v>
      </c>
      <c r="E51" s="48">
        <v>0.72916666666666674</v>
      </c>
      <c r="F51" s="48">
        <v>0.89583333333333337</v>
      </c>
      <c r="G51" s="49">
        <v>8.0000000000000036</v>
      </c>
      <c r="H51" s="49">
        <v>3.9999999999999982</v>
      </c>
      <c r="I51" s="49">
        <v>3.9999999999999982</v>
      </c>
      <c r="J51" s="53" t="s">
        <v>30</v>
      </c>
      <c r="K51" s="51" t="s">
        <v>917</v>
      </c>
      <c r="L51" s="52">
        <v>1</v>
      </c>
      <c r="M51" s="19" t="str">
        <f t="shared" si="0"/>
        <v>Jul_2019</v>
      </c>
    </row>
    <row r="52" spans="1:13">
      <c r="A52" s="45" t="s">
        <v>11</v>
      </c>
      <c r="B52" s="52" t="s">
        <v>684</v>
      </c>
      <c r="C52" s="46">
        <v>43651</v>
      </c>
      <c r="D52" s="47" t="s">
        <v>17</v>
      </c>
      <c r="E52" s="48">
        <v>0.72916666666666674</v>
      </c>
      <c r="F52" s="48">
        <v>0.89583333333333337</v>
      </c>
      <c r="G52" s="49">
        <v>8.0000000000000036</v>
      </c>
      <c r="H52" s="49">
        <v>3.9999999999999982</v>
      </c>
      <c r="I52" s="49">
        <v>3.9999999999999982</v>
      </c>
      <c r="J52" s="53" t="s">
        <v>30</v>
      </c>
      <c r="K52" s="51" t="s">
        <v>917</v>
      </c>
      <c r="L52" s="52">
        <v>1</v>
      </c>
      <c r="M52" s="19" t="str">
        <f t="shared" si="0"/>
        <v>Jul_2019</v>
      </c>
    </row>
    <row r="53" spans="1:13">
      <c r="A53" s="45" t="s">
        <v>11</v>
      </c>
      <c r="B53" s="52" t="s">
        <v>779</v>
      </c>
      <c r="C53" s="46">
        <v>43651</v>
      </c>
      <c r="D53" s="47" t="s">
        <v>17</v>
      </c>
      <c r="E53" s="48">
        <v>0.72916666666666674</v>
      </c>
      <c r="F53" s="48">
        <v>0.91666666666666663</v>
      </c>
      <c r="G53" s="49">
        <v>8.0000000000000036</v>
      </c>
      <c r="H53" s="49">
        <v>4.4999999999999964</v>
      </c>
      <c r="I53" s="49">
        <v>4.4999999999999964</v>
      </c>
      <c r="J53" s="53" t="s">
        <v>30</v>
      </c>
      <c r="K53" s="51" t="s">
        <v>917</v>
      </c>
      <c r="L53" s="52">
        <v>1</v>
      </c>
      <c r="M53" s="19" t="str">
        <f t="shared" si="0"/>
        <v>Jul_2019</v>
      </c>
    </row>
    <row r="54" spans="1:13">
      <c r="A54" s="45" t="s">
        <v>11</v>
      </c>
      <c r="B54" s="52" t="s">
        <v>811</v>
      </c>
      <c r="C54" s="46">
        <v>43651</v>
      </c>
      <c r="D54" s="47" t="s">
        <v>17</v>
      </c>
      <c r="E54" s="48">
        <v>0.72916666666666674</v>
      </c>
      <c r="F54" s="48">
        <v>0.89583333333333337</v>
      </c>
      <c r="G54" s="49">
        <v>8.0000000000000036</v>
      </c>
      <c r="H54" s="49">
        <v>3.9999999999999982</v>
      </c>
      <c r="I54" s="49">
        <v>3.9999999999999982</v>
      </c>
      <c r="J54" s="53" t="s">
        <v>30</v>
      </c>
      <c r="K54" s="51" t="s">
        <v>917</v>
      </c>
      <c r="L54" s="52">
        <v>1</v>
      </c>
      <c r="M54" s="19" t="str">
        <f t="shared" si="0"/>
        <v>Jul_2019</v>
      </c>
    </row>
    <row r="55" spans="1:13">
      <c r="A55" s="45" t="s">
        <v>22</v>
      </c>
      <c r="B55" s="52" t="s">
        <v>662</v>
      </c>
      <c r="C55" s="46">
        <v>43651</v>
      </c>
      <c r="D55" s="47" t="s">
        <v>17</v>
      </c>
      <c r="E55" s="48">
        <v>0.35416666666666669</v>
      </c>
      <c r="F55" s="48">
        <v>0.89583333333333337</v>
      </c>
      <c r="G55" s="49">
        <v>0</v>
      </c>
      <c r="H55" s="49">
        <v>12.000000000000002</v>
      </c>
      <c r="I55" s="49">
        <v>12.000000000000002</v>
      </c>
      <c r="J55" s="53" t="s">
        <v>30</v>
      </c>
      <c r="K55" s="51" t="s">
        <v>917</v>
      </c>
      <c r="L55" s="52" t="s">
        <v>281</v>
      </c>
      <c r="M55" s="19" t="str">
        <f t="shared" si="0"/>
        <v>Jul_2019</v>
      </c>
    </row>
    <row r="56" spans="1:13">
      <c r="A56" s="45" t="s">
        <v>22</v>
      </c>
      <c r="B56" s="52" t="s">
        <v>26</v>
      </c>
      <c r="C56" s="46">
        <v>43651</v>
      </c>
      <c r="D56" s="47" t="s">
        <v>17</v>
      </c>
      <c r="E56" s="48">
        <v>0.35416666666666669</v>
      </c>
      <c r="F56" s="48">
        <v>0.91666666666666663</v>
      </c>
      <c r="G56" s="49">
        <v>0</v>
      </c>
      <c r="H56" s="49">
        <v>12.5</v>
      </c>
      <c r="I56" s="49">
        <v>12.5</v>
      </c>
      <c r="J56" s="53" t="s">
        <v>30</v>
      </c>
      <c r="K56" s="51" t="s">
        <v>917</v>
      </c>
      <c r="L56" s="52" t="s">
        <v>281</v>
      </c>
      <c r="M56" s="19" t="str">
        <f t="shared" si="0"/>
        <v>Jul_2019</v>
      </c>
    </row>
    <row r="57" spans="1:13">
      <c r="A57" s="45" t="s">
        <v>22</v>
      </c>
      <c r="B57" s="52" t="s">
        <v>897</v>
      </c>
      <c r="C57" s="46">
        <v>43651</v>
      </c>
      <c r="D57" s="47" t="s">
        <v>17</v>
      </c>
      <c r="E57" s="48">
        <v>0.58333333333333337</v>
      </c>
      <c r="F57" s="48">
        <v>0.89583333333333337</v>
      </c>
      <c r="G57" s="49">
        <v>0</v>
      </c>
      <c r="H57" s="49">
        <v>6.5</v>
      </c>
      <c r="I57" s="49">
        <v>6.5</v>
      </c>
      <c r="J57" s="53" t="s">
        <v>30</v>
      </c>
      <c r="K57" s="51" t="s">
        <v>917</v>
      </c>
      <c r="L57" s="52" t="s">
        <v>281</v>
      </c>
      <c r="M57" s="19" t="str">
        <f t="shared" si="0"/>
        <v>Jul_2019</v>
      </c>
    </row>
    <row r="58" spans="1:13">
      <c r="A58" s="45" t="s">
        <v>22</v>
      </c>
      <c r="B58" s="52" t="s">
        <v>679</v>
      </c>
      <c r="C58" s="46">
        <v>43651</v>
      </c>
      <c r="D58" s="47" t="s">
        <v>17</v>
      </c>
      <c r="E58" s="48">
        <v>0.5</v>
      </c>
      <c r="F58" s="48">
        <v>0.89583333333333337</v>
      </c>
      <c r="G58" s="49">
        <v>0</v>
      </c>
      <c r="H58" s="49">
        <v>8.5</v>
      </c>
      <c r="I58" s="49">
        <v>8.5</v>
      </c>
      <c r="J58" s="53" t="s">
        <v>30</v>
      </c>
      <c r="K58" s="51" t="s">
        <v>917</v>
      </c>
      <c r="L58" s="52" t="s">
        <v>281</v>
      </c>
      <c r="M58" s="19" t="str">
        <f t="shared" si="0"/>
        <v>Jul_2019</v>
      </c>
    </row>
    <row r="59" spans="1:13">
      <c r="A59" s="45" t="s">
        <v>22</v>
      </c>
      <c r="B59" s="52" t="s">
        <v>662</v>
      </c>
      <c r="C59" s="46">
        <v>43654</v>
      </c>
      <c r="D59" s="47" t="s">
        <v>16</v>
      </c>
      <c r="E59" s="48">
        <v>0.35416666666666669</v>
      </c>
      <c r="F59" s="48">
        <v>0.72916666666666663</v>
      </c>
      <c r="G59" s="49">
        <v>0</v>
      </c>
      <c r="H59" s="49">
        <v>7.9999999999999982</v>
      </c>
      <c r="I59" s="49">
        <v>7.9999999999999982</v>
      </c>
      <c r="J59" s="53" t="s">
        <v>30</v>
      </c>
      <c r="K59" s="51" t="s">
        <v>918</v>
      </c>
      <c r="L59" s="52" t="s">
        <v>281</v>
      </c>
      <c r="M59" s="19" t="str">
        <f t="shared" si="0"/>
        <v>Jul_2019</v>
      </c>
    </row>
    <row r="60" spans="1:13">
      <c r="A60" s="45" t="s">
        <v>22</v>
      </c>
      <c r="B60" s="52" t="s">
        <v>662</v>
      </c>
      <c r="C60" s="46">
        <v>43655</v>
      </c>
      <c r="D60" s="47" t="s">
        <v>14</v>
      </c>
      <c r="E60" s="48">
        <v>0.35416666666666669</v>
      </c>
      <c r="F60" s="48">
        <v>0.72916666666666663</v>
      </c>
      <c r="G60" s="49">
        <v>0</v>
      </c>
      <c r="H60" s="49">
        <v>7.9999999999999982</v>
      </c>
      <c r="I60" s="49">
        <v>7.9999999999999982</v>
      </c>
      <c r="J60" s="53" t="s">
        <v>30</v>
      </c>
      <c r="K60" s="51" t="s">
        <v>866</v>
      </c>
      <c r="L60" s="52" t="s">
        <v>281</v>
      </c>
      <c r="M60" s="19" t="str">
        <f t="shared" si="0"/>
        <v>Jul_2019</v>
      </c>
    </row>
    <row r="61" spans="1:13">
      <c r="A61" s="45" t="s">
        <v>22</v>
      </c>
      <c r="B61" s="52" t="s">
        <v>662</v>
      </c>
      <c r="C61" s="46">
        <v>43656</v>
      </c>
      <c r="D61" s="47" t="s">
        <v>15</v>
      </c>
      <c r="E61" s="48">
        <v>0.35416666666666669</v>
      </c>
      <c r="F61" s="48">
        <v>0.72916666666666663</v>
      </c>
      <c r="G61" s="49">
        <v>0</v>
      </c>
      <c r="H61" s="49">
        <v>7.9999999999999982</v>
      </c>
      <c r="I61" s="49">
        <v>7.9999999999999982</v>
      </c>
      <c r="J61" s="53" t="s">
        <v>30</v>
      </c>
      <c r="K61" s="51" t="s">
        <v>919</v>
      </c>
      <c r="L61" s="52" t="s">
        <v>281</v>
      </c>
      <c r="M61" s="19" t="str">
        <f t="shared" si="0"/>
        <v>Jul_2019</v>
      </c>
    </row>
    <row r="62" spans="1:13">
      <c r="A62" s="45" t="s">
        <v>22</v>
      </c>
      <c r="B62" s="52" t="s">
        <v>662</v>
      </c>
      <c r="C62" s="46">
        <v>43657</v>
      </c>
      <c r="D62" s="47" t="s">
        <v>25</v>
      </c>
      <c r="E62" s="48">
        <v>0.35416666666666669</v>
      </c>
      <c r="F62" s="48">
        <v>0.72916666666666663</v>
      </c>
      <c r="G62" s="49">
        <v>0</v>
      </c>
      <c r="H62" s="49">
        <v>7.9999999999999982</v>
      </c>
      <c r="I62" s="49">
        <v>7.9999999999999982</v>
      </c>
      <c r="J62" s="53" t="s">
        <v>30</v>
      </c>
      <c r="K62" s="51" t="s">
        <v>920</v>
      </c>
      <c r="L62" s="52" t="s">
        <v>281</v>
      </c>
      <c r="M62" s="19" t="str">
        <f t="shared" si="0"/>
        <v>Jul_2019</v>
      </c>
    </row>
    <row r="63" spans="1:13">
      <c r="A63" s="45" t="s">
        <v>22</v>
      </c>
      <c r="B63" s="52" t="s">
        <v>662</v>
      </c>
      <c r="C63" s="46">
        <v>43658</v>
      </c>
      <c r="D63" s="47" t="s">
        <v>17</v>
      </c>
      <c r="E63" s="48">
        <v>0.35416666666666669</v>
      </c>
      <c r="F63" s="48">
        <v>0.72916666666666663</v>
      </c>
      <c r="G63" s="49">
        <v>0</v>
      </c>
      <c r="H63" s="49">
        <v>7.9999999999999982</v>
      </c>
      <c r="I63" s="49">
        <v>7.9999999999999982</v>
      </c>
      <c r="J63" s="53" t="s">
        <v>30</v>
      </c>
      <c r="K63" s="51" t="s">
        <v>921</v>
      </c>
      <c r="L63" s="52" t="s">
        <v>281</v>
      </c>
      <c r="M63" s="19" t="str">
        <f t="shared" si="0"/>
        <v>Jul_2019</v>
      </c>
    </row>
    <row r="64" spans="1:13">
      <c r="A64" s="45" t="s">
        <v>22</v>
      </c>
      <c r="B64" s="52" t="s">
        <v>662</v>
      </c>
      <c r="C64" s="46">
        <v>43661</v>
      </c>
      <c r="D64" s="47" t="s">
        <v>16</v>
      </c>
      <c r="E64" s="48">
        <v>0.35416666666666669</v>
      </c>
      <c r="F64" s="48">
        <v>0.72916666666666663</v>
      </c>
      <c r="G64" s="49">
        <v>0</v>
      </c>
      <c r="H64" s="49">
        <v>7.9999999999999982</v>
      </c>
      <c r="I64" s="49">
        <v>7.9999999999999982</v>
      </c>
      <c r="J64" s="53" t="s">
        <v>30</v>
      </c>
      <c r="K64" s="51" t="s">
        <v>864</v>
      </c>
      <c r="L64" s="52" t="s">
        <v>281</v>
      </c>
      <c r="M64" s="19" t="str">
        <f t="shared" si="0"/>
        <v>Jul_2019</v>
      </c>
    </row>
    <row r="65" spans="1:13">
      <c r="A65" s="45" t="s">
        <v>22</v>
      </c>
      <c r="B65" s="52" t="s">
        <v>26</v>
      </c>
      <c r="C65" s="46">
        <v>43661</v>
      </c>
      <c r="D65" s="47" t="s">
        <v>16</v>
      </c>
      <c r="E65" s="48">
        <v>0.35416666666666669</v>
      </c>
      <c r="F65" s="48">
        <v>0.72916666666666663</v>
      </c>
      <c r="G65" s="49">
        <v>0</v>
      </c>
      <c r="H65" s="49">
        <v>7.9999999999999982</v>
      </c>
      <c r="I65" s="49">
        <v>7.9999999999999982</v>
      </c>
      <c r="J65" s="53" t="s">
        <v>30</v>
      </c>
      <c r="K65" s="51" t="s">
        <v>922</v>
      </c>
      <c r="L65" s="52" t="s">
        <v>281</v>
      </c>
      <c r="M65" s="19" t="str">
        <f t="shared" si="0"/>
        <v>Jul_2019</v>
      </c>
    </row>
    <row r="66" spans="1:13">
      <c r="A66" s="45" t="s">
        <v>22</v>
      </c>
      <c r="B66" s="52" t="s">
        <v>662</v>
      </c>
      <c r="C66" s="46">
        <v>43662</v>
      </c>
      <c r="D66" s="47" t="s">
        <v>14</v>
      </c>
      <c r="E66" s="48">
        <v>0.35416666666666669</v>
      </c>
      <c r="F66" s="48">
        <v>0.72916666666666663</v>
      </c>
      <c r="G66" s="49">
        <v>0</v>
      </c>
      <c r="H66" s="49">
        <v>7.9999999999999982</v>
      </c>
      <c r="I66" s="49">
        <v>7.9999999999999982</v>
      </c>
      <c r="J66" s="53" t="s">
        <v>30</v>
      </c>
      <c r="K66" s="51" t="s">
        <v>923</v>
      </c>
      <c r="L66" s="52" t="s">
        <v>281</v>
      </c>
      <c r="M66" s="19" t="str">
        <f t="shared" si="0"/>
        <v>Jul_2019</v>
      </c>
    </row>
    <row r="67" spans="1:13">
      <c r="A67" s="45" t="s">
        <v>22</v>
      </c>
      <c r="B67" s="52" t="s">
        <v>26</v>
      </c>
      <c r="C67" s="46">
        <v>43662</v>
      </c>
      <c r="D67" s="47" t="s">
        <v>14</v>
      </c>
      <c r="E67" s="48">
        <v>0.35416666666666669</v>
      </c>
      <c r="F67" s="48">
        <v>0.72916666666666663</v>
      </c>
      <c r="G67" s="49">
        <v>0</v>
      </c>
      <c r="H67" s="49">
        <v>7.9999999999999982</v>
      </c>
      <c r="I67" s="49">
        <v>7.9999999999999982</v>
      </c>
      <c r="J67" s="53" t="s">
        <v>30</v>
      </c>
      <c r="K67" s="51" t="s">
        <v>924</v>
      </c>
      <c r="L67" s="52" t="s">
        <v>281</v>
      </c>
      <c r="M67" s="19" t="str">
        <f t="shared" ref="M67:M105" si="1">IF($C67="","",TEXT(DATE(YEAR($C67),MONTH($C67),DAY($C67)),"MMM")&amp;"_"&amp;YEAR($C67))</f>
        <v>Jul_2019</v>
      </c>
    </row>
    <row r="68" spans="1:13">
      <c r="A68" s="45" t="s">
        <v>22</v>
      </c>
      <c r="B68" s="52" t="s">
        <v>26</v>
      </c>
      <c r="C68" s="46">
        <v>43663</v>
      </c>
      <c r="D68" s="47" t="s">
        <v>15</v>
      </c>
      <c r="E68" s="48">
        <v>0.35416666666666669</v>
      </c>
      <c r="F68" s="48">
        <v>0.72916666666666663</v>
      </c>
      <c r="G68" s="49">
        <v>0</v>
      </c>
      <c r="H68" s="49">
        <v>7.9999999999999982</v>
      </c>
      <c r="I68" s="49">
        <v>7.9999999999999982</v>
      </c>
      <c r="J68" s="53" t="s">
        <v>30</v>
      </c>
      <c r="K68" s="51" t="s">
        <v>925</v>
      </c>
      <c r="L68" s="52" t="s">
        <v>281</v>
      </c>
      <c r="M68" s="19" t="str">
        <f t="shared" si="1"/>
        <v>Jul_2019</v>
      </c>
    </row>
    <row r="69" spans="1:13">
      <c r="A69" s="45" t="s">
        <v>22</v>
      </c>
      <c r="B69" s="52" t="s">
        <v>78</v>
      </c>
      <c r="C69" s="46">
        <v>43663</v>
      </c>
      <c r="D69" s="47" t="s">
        <v>15</v>
      </c>
      <c r="E69" s="48">
        <v>0.5</v>
      </c>
      <c r="F69" s="48">
        <v>0.72916666666666663</v>
      </c>
      <c r="G69" s="49">
        <v>0</v>
      </c>
      <c r="H69" s="49">
        <v>4.4999999999999991</v>
      </c>
      <c r="I69" s="49">
        <v>4.4999999999999991</v>
      </c>
      <c r="J69" s="53" t="s">
        <v>30</v>
      </c>
      <c r="K69" s="51" t="s">
        <v>925</v>
      </c>
      <c r="L69" s="52" t="s">
        <v>281</v>
      </c>
      <c r="M69" s="19" t="str">
        <f t="shared" si="1"/>
        <v>Jul_2019</v>
      </c>
    </row>
    <row r="70" spans="1:13">
      <c r="A70" s="45" t="s">
        <v>22</v>
      </c>
      <c r="B70" s="52" t="s">
        <v>662</v>
      </c>
      <c r="C70" s="46">
        <v>43665</v>
      </c>
      <c r="D70" s="47" t="s">
        <v>17</v>
      </c>
      <c r="E70" s="48">
        <v>0.35416666666666669</v>
      </c>
      <c r="F70" s="48">
        <v>0.72916666666666663</v>
      </c>
      <c r="G70" s="49">
        <v>0</v>
      </c>
      <c r="H70" s="49">
        <v>7.9999999999999982</v>
      </c>
      <c r="I70" s="49">
        <v>7.9999999999999982</v>
      </c>
      <c r="J70" s="53" t="s">
        <v>30</v>
      </c>
      <c r="K70" s="51" t="s">
        <v>926</v>
      </c>
      <c r="L70" s="52" t="s">
        <v>281</v>
      </c>
      <c r="M70" s="19" t="str">
        <f t="shared" si="1"/>
        <v>Jul_2019</v>
      </c>
    </row>
    <row r="71" spans="1:13">
      <c r="A71" s="45" t="s">
        <v>22</v>
      </c>
      <c r="B71" s="52" t="s">
        <v>662</v>
      </c>
      <c r="C71" s="46">
        <v>43668</v>
      </c>
      <c r="D71" s="47" t="s">
        <v>16</v>
      </c>
      <c r="E71" s="48">
        <v>0.35416666666666669</v>
      </c>
      <c r="F71" s="48">
        <v>0.72916666666666663</v>
      </c>
      <c r="G71" s="49">
        <v>0</v>
      </c>
      <c r="H71" s="49">
        <v>7.9999999999999982</v>
      </c>
      <c r="I71" s="49">
        <v>7.9999999999999982</v>
      </c>
      <c r="J71" s="53" t="s">
        <v>30</v>
      </c>
      <c r="K71" s="51" t="s">
        <v>927</v>
      </c>
      <c r="L71" s="52" t="s">
        <v>281</v>
      </c>
      <c r="M71" s="19" t="str">
        <f t="shared" si="1"/>
        <v>Jul_2019</v>
      </c>
    </row>
    <row r="72" spans="1:13">
      <c r="A72" s="45" t="s">
        <v>22</v>
      </c>
      <c r="B72" s="52" t="s">
        <v>662</v>
      </c>
      <c r="C72" s="46">
        <v>43669</v>
      </c>
      <c r="D72" s="47" t="s">
        <v>14</v>
      </c>
      <c r="E72" s="48">
        <v>0.35416666666666669</v>
      </c>
      <c r="F72" s="48">
        <v>0.72916666666666663</v>
      </c>
      <c r="G72" s="49">
        <v>0</v>
      </c>
      <c r="H72" s="49">
        <v>7.9999999999999982</v>
      </c>
      <c r="I72" s="49">
        <v>7.9999999999999982</v>
      </c>
      <c r="J72" s="53" t="s">
        <v>30</v>
      </c>
      <c r="K72" s="51" t="s">
        <v>928</v>
      </c>
      <c r="L72" s="52" t="s">
        <v>281</v>
      </c>
      <c r="M72" s="19" t="str">
        <f t="shared" si="1"/>
        <v>Jul_2019</v>
      </c>
    </row>
    <row r="73" spans="1:13">
      <c r="A73" s="45" t="s">
        <v>22</v>
      </c>
      <c r="B73" s="52" t="s">
        <v>662</v>
      </c>
      <c r="C73" s="46">
        <v>43670</v>
      </c>
      <c r="D73" s="47" t="s">
        <v>15</v>
      </c>
      <c r="E73" s="48">
        <v>0.35416666666666669</v>
      </c>
      <c r="F73" s="48">
        <v>0.72916666666666663</v>
      </c>
      <c r="G73" s="49">
        <v>0</v>
      </c>
      <c r="H73" s="49">
        <v>7.9999999999999982</v>
      </c>
      <c r="I73" s="49">
        <v>7.9999999999999982</v>
      </c>
      <c r="J73" s="53" t="s">
        <v>30</v>
      </c>
      <c r="K73" s="51" t="s">
        <v>770</v>
      </c>
      <c r="L73" s="52" t="s">
        <v>281</v>
      </c>
      <c r="M73" s="19" t="str">
        <f t="shared" si="1"/>
        <v>Jul_2019</v>
      </c>
    </row>
    <row r="74" spans="1:13">
      <c r="A74" s="45" t="s">
        <v>22</v>
      </c>
      <c r="B74" s="52" t="s">
        <v>662</v>
      </c>
      <c r="C74" s="46">
        <v>43671</v>
      </c>
      <c r="D74" s="47" t="s">
        <v>25</v>
      </c>
      <c r="E74" s="48">
        <v>0.35416666666666669</v>
      </c>
      <c r="F74" s="48">
        <v>0.72916666666666663</v>
      </c>
      <c r="G74" s="49">
        <v>0</v>
      </c>
      <c r="H74" s="49">
        <v>7.9999999999999982</v>
      </c>
      <c r="I74" s="49">
        <v>7.9999999999999982</v>
      </c>
      <c r="J74" s="53" t="s">
        <v>30</v>
      </c>
      <c r="K74" s="51" t="s">
        <v>929</v>
      </c>
      <c r="L74" s="52" t="s">
        <v>281</v>
      </c>
      <c r="M74" s="19" t="str">
        <f t="shared" si="1"/>
        <v>Jul_2019</v>
      </c>
    </row>
    <row r="75" spans="1:13">
      <c r="A75" s="45" t="s">
        <v>22</v>
      </c>
      <c r="B75" s="52" t="s">
        <v>662</v>
      </c>
      <c r="C75" s="46">
        <v>43672</v>
      </c>
      <c r="D75" s="47" t="s">
        <v>17</v>
      </c>
      <c r="E75" s="48">
        <v>0.35416666666666669</v>
      </c>
      <c r="F75" s="48">
        <v>0.72916666666666663</v>
      </c>
      <c r="G75" s="49">
        <v>0</v>
      </c>
      <c r="H75" s="49">
        <v>7.9999999999999982</v>
      </c>
      <c r="I75" s="49">
        <v>7.9999999999999982</v>
      </c>
      <c r="J75" s="53" t="s">
        <v>30</v>
      </c>
      <c r="K75" s="51" t="s">
        <v>930</v>
      </c>
      <c r="L75" s="52" t="s">
        <v>281</v>
      </c>
      <c r="M75" s="19" t="str">
        <f t="shared" si="1"/>
        <v>Jul_2019</v>
      </c>
    </row>
    <row r="76" spans="1:13">
      <c r="A76" s="45" t="s">
        <v>11</v>
      </c>
      <c r="B76" s="52" t="s">
        <v>912</v>
      </c>
      <c r="C76" s="46">
        <v>43675</v>
      </c>
      <c r="D76" s="47" t="s">
        <v>16</v>
      </c>
      <c r="E76" s="48">
        <v>0.72916666666666674</v>
      </c>
      <c r="F76" s="48">
        <v>0.89583333333333337</v>
      </c>
      <c r="G76" s="49">
        <v>8.0000000000000036</v>
      </c>
      <c r="H76" s="49">
        <v>3.9999999999999982</v>
      </c>
      <c r="I76" s="49">
        <v>3.9999999999999982</v>
      </c>
      <c r="J76" s="53" t="s">
        <v>30</v>
      </c>
      <c r="K76" s="51" t="s">
        <v>931</v>
      </c>
      <c r="L76" s="52">
        <v>1</v>
      </c>
      <c r="M76" s="19" t="str">
        <f t="shared" si="1"/>
        <v>Jul_2019</v>
      </c>
    </row>
    <row r="77" spans="1:13">
      <c r="A77" s="45" t="s">
        <v>11</v>
      </c>
      <c r="B77" s="52" t="s">
        <v>19</v>
      </c>
      <c r="C77" s="46">
        <v>43675</v>
      </c>
      <c r="D77" s="47" t="s">
        <v>16</v>
      </c>
      <c r="E77" s="48">
        <v>0.72916666666666674</v>
      </c>
      <c r="F77" s="48">
        <v>0.89583333333333337</v>
      </c>
      <c r="G77" s="49">
        <v>8.0000000000000036</v>
      </c>
      <c r="H77" s="49">
        <v>3.9999999999999982</v>
      </c>
      <c r="I77" s="49">
        <v>3.9999999999999982</v>
      </c>
      <c r="J77" s="53" t="s">
        <v>30</v>
      </c>
      <c r="K77" s="51" t="s">
        <v>931</v>
      </c>
      <c r="L77" s="52">
        <v>1</v>
      </c>
      <c r="M77" s="19" t="str">
        <f t="shared" si="1"/>
        <v>Jul_2019</v>
      </c>
    </row>
    <row r="78" spans="1:13">
      <c r="A78" s="45" t="s">
        <v>11</v>
      </c>
      <c r="B78" s="52" t="s">
        <v>149</v>
      </c>
      <c r="C78" s="46">
        <v>43675</v>
      </c>
      <c r="D78" s="47" t="s">
        <v>16</v>
      </c>
      <c r="E78" s="48">
        <v>0.72916666666666674</v>
      </c>
      <c r="F78" s="48">
        <v>0.89583333333333337</v>
      </c>
      <c r="G78" s="49">
        <v>8.0000000000000036</v>
      </c>
      <c r="H78" s="49">
        <v>3.9999999999999982</v>
      </c>
      <c r="I78" s="49">
        <v>3.9999999999999982</v>
      </c>
      <c r="J78" s="53" t="s">
        <v>30</v>
      </c>
      <c r="K78" s="51" t="s">
        <v>931</v>
      </c>
      <c r="L78" s="52">
        <v>1</v>
      </c>
      <c r="M78" s="19" t="str">
        <f t="shared" si="1"/>
        <v>Jul_2019</v>
      </c>
    </row>
    <row r="79" spans="1:13">
      <c r="A79" s="45" t="s">
        <v>11</v>
      </c>
      <c r="B79" s="52" t="s">
        <v>161</v>
      </c>
      <c r="C79" s="46">
        <v>43675</v>
      </c>
      <c r="D79" s="47" t="s">
        <v>16</v>
      </c>
      <c r="E79" s="48">
        <v>0.6875</v>
      </c>
      <c r="F79" s="48">
        <v>0.85416666666666663</v>
      </c>
      <c r="G79" s="49">
        <v>8.0000000000000036</v>
      </c>
      <c r="H79" s="49">
        <v>3.9999999999999964</v>
      </c>
      <c r="I79" s="49">
        <v>3.9999999999999964</v>
      </c>
      <c r="J79" s="53" t="s">
        <v>30</v>
      </c>
      <c r="K79" s="51" t="s">
        <v>931</v>
      </c>
      <c r="L79" s="52">
        <v>1</v>
      </c>
      <c r="M79" s="19" t="str">
        <f t="shared" si="1"/>
        <v>Jul_2019</v>
      </c>
    </row>
    <row r="80" spans="1:13">
      <c r="A80" s="45" t="s">
        <v>11</v>
      </c>
      <c r="B80" s="52" t="s">
        <v>542</v>
      </c>
      <c r="C80" s="46">
        <v>43675</v>
      </c>
      <c r="D80" s="47" t="s">
        <v>16</v>
      </c>
      <c r="E80" s="48">
        <v>0.72916666666666674</v>
      </c>
      <c r="F80" s="48">
        <v>0.89583333333333337</v>
      </c>
      <c r="G80" s="49">
        <v>8.0000000000000036</v>
      </c>
      <c r="H80" s="49">
        <v>3.9999999999999982</v>
      </c>
      <c r="I80" s="49">
        <v>3.9999999999999982</v>
      </c>
      <c r="J80" s="53" t="s">
        <v>30</v>
      </c>
      <c r="K80" s="51" t="s">
        <v>931</v>
      </c>
      <c r="L80" s="52">
        <v>1</v>
      </c>
      <c r="M80" s="19" t="str">
        <f t="shared" si="1"/>
        <v>Jul_2019</v>
      </c>
    </row>
    <row r="81" spans="1:13">
      <c r="A81" s="45" t="s">
        <v>11</v>
      </c>
      <c r="B81" s="52" t="s">
        <v>684</v>
      </c>
      <c r="C81" s="46">
        <v>43675</v>
      </c>
      <c r="D81" s="47" t="s">
        <v>16</v>
      </c>
      <c r="E81" s="48">
        <v>0.72916666666666674</v>
      </c>
      <c r="F81" s="48">
        <v>0.89583333333333337</v>
      </c>
      <c r="G81" s="49">
        <v>8.0000000000000036</v>
      </c>
      <c r="H81" s="49">
        <v>3.9999999999999982</v>
      </c>
      <c r="I81" s="49">
        <v>3.9999999999999982</v>
      </c>
      <c r="J81" s="53" t="s">
        <v>30</v>
      </c>
      <c r="K81" s="51" t="s">
        <v>931</v>
      </c>
      <c r="L81" s="52">
        <v>1</v>
      </c>
      <c r="M81" s="19" t="str">
        <f t="shared" si="1"/>
        <v>Jul_2019</v>
      </c>
    </row>
    <row r="82" spans="1:13">
      <c r="A82" s="45" t="s">
        <v>11</v>
      </c>
      <c r="B82" s="52" t="s">
        <v>779</v>
      </c>
      <c r="C82" s="46">
        <v>43675</v>
      </c>
      <c r="D82" s="47" t="s">
        <v>16</v>
      </c>
      <c r="E82" s="48">
        <v>0.72916666666666674</v>
      </c>
      <c r="F82" s="48">
        <v>0.89583333333333337</v>
      </c>
      <c r="G82" s="49">
        <v>8.0000000000000036</v>
      </c>
      <c r="H82" s="49">
        <v>3.9999999999999982</v>
      </c>
      <c r="I82" s="49">
        <v>3.9999999999999982</v>
      </c>
      <c r="J82" s="53" t="s">
        <v>30</v>
      </c>
      <c r="K82" s="51" t="s">
        <v>931</v>
      </c>
      <c r="L82" s="52">
        <v>1</v>
      </c>
      <c r="M82" s="19" t="str">
        <f t="shared" si="1"/>
        <v>Jul_2019</v>
      </c>
    </row>
    <row r="83" spans="1:13">
      <c r="A83" s="45" t="s">
        <v>11</v>
      </c>
      <c r="B83" s="52" t="s">
        <v>811</v>
      </c>
      <c r="C83" s="46">
        <v>43675</v>
      </c>
      <c r="D83" s="47" t="s">
        <v>16</v>
      </c>
      <c r="E83" s="48">
        <v>0.72916666666666674</v>
      </c>
      <c r="F83" s="48">
        <v>0.89583333333333337</v>
      </c>
      <c r="G83" s="49">
        <v>8.0000000000000036</v>
      </c>
      <c r="H83" s="49">
        <v>3.9999999999999982</v>
      </c>
      <c r="I83" s="49">
        <v>3.9999999999999982</v>
      </c>
      <c r="J83" s="53" t="s">
        <v>30</v>
      </c>
      <c r="K83" s="51" t="s">
        <v>931</v>
      </c>
      <c r="L83" s="52">
        <v>1</v>
      </c>
      <c r="M83" s="19" t="str">
        <f t="shared" si="1"/>
        <v>Jul_2019</v>
      </c>
    </row>
    <row r="84" spans="1:13">
      <c r="A84" s="45" t="s">
        <v>11</v>
      </c>
      <c r="B84" s="52" t="s">
        <v>910</v>
      </c>
      <c r="C84" s="46">
        <v>43675</v>
      </c>
      <c r="D84" s="47" t="s">
        <v>16</v>
      </c>
      <c r="E84" s="48">
        <v>0.72916666666666674</v>
      </c>
      <c r="F84" s="48">
        <v>0.89583333333333337</v>
      </c>
      <c r="G84" s="49">
        <v>8.0000000000000036</v>
      </c>
      <c r="H84" s="49">
        <v>3.9999999999999982</v>
      </c>
      <c r="I84" s="49">
        <v>3.9999999999999982</v>
      </c>
      <c r="J84" s="53" t="s">
        <v>30</v>
      </c>
      <c r="K84" s="51" t="s">
        <v>931</v>
      </c>
      <c r="L84" s="52">
        <v>1</v>
      </c>
      <c r="M84" s="19" t="str">
        <f t="shared" si="1"/>
        <v>Jul_2019</v>
      </c>
    </row>
    <row r="85" spans="1:13">
      <c r="A85" s="45" t="s">
        <v>22</v>
      </c>
      <c r="B85" s="52" t="s">
        <v>662</v>
      </c>
      <c r="C85" s="46">
        <v>43675</v>
      </c>
      <c r="D85" s="47" t="s">
        <v>16</v>
      </c>
      <c r="E85" s="48">
        <v>0.35416666666666669</v>
      </c>
      <c r="F85" s="48">
        <v>0.89583333333333337</v>
      </c>
      <c r="G85" s="49">
        <v>0</v>
      </c>
      <c r="H85" s="49">
        <v>12.000000000000002</v>
      </c>
      <c r="I85" s="49">
        <v>12.000000000000002</v>
      </c>
      <c r="J85" s="53" t="s">
        <v>30</v>
      </c>
      <c r="K85" s="51" t="s">
        <v>931</v>
      </c>
      <c r="L85" s="52" t="s">
        <v>281</v>
      </c>
      <c r="M85" s="19" t="str">
        <f t="shared" si="1"/>
        <v>Jul_2019</v>
      </c>
    </row>
    <row r="86" spans="1:13">
      <c r="A86" s="45" t="s">
        <v>11</v>
      </c>
      <c r="B86" s="52" t="s">
        <v>912</v>
      </c>
      <c r="C86" s="46">
        <v>43676</v>
      </c>
      <c r="D86" s="47" t="s">
        <v>14</v>
      </c>
      <c r="E86" s="48">
        <v>0.72916666666666674</v>
      </c>
      <c r="F86" s="48">
        <v>0.89583333333333337</v>
      </c>
      <c r="G86" s="49">
        <v>8.0000000000000036</v>
      </c>
      <c r="H86" s="49">
        <v>3.9999999999999982</v>
      </c>
      <c r="I86" s="49">
        <v>3.9999999999999982</v>
      </c>
      <c r="J86" s="53" t="s">
        <v>30</v>
      </c>
      <c r="K86" s="51" t="s">
        <v>932</v>
      </c>
      <c r="L86" s="52">
        <v>1</v>
      </c>
      <c r="M86" s="19" t="str">
        <f t="shared" si="1"/>
        <v>Jul_2019</v>
      </c>
    </row>
    <row r="87" spans="1:13">
      <c r="A87" s="45" t="s">
        <v>11</v>
      </c>
      <c r="B87" s="52" t="s">
        <v>19</v>
      </c>
      <c r="C87" s="46">
        <v>43676</v>
      </c>
      <c r="D87" s="47" t="s">
        <v>14</v>
      </c>
      <c r="E87" s="48">
        <v>0.6875</v>
      </c>
      <c r="F87" s="48">
        <v>0.85416666666666663</v>
      </c>
      <c r="G87" s="49">
        <v>8.0000000000000036</v>
      </c>
      <c r="H87" s="49">
        <v>3.9999999999999964</v>
      </c>
      <c r="I87" s="49">
        <v>3.9999999999999964</v>
      </c>
      <c r="J87" s="53" t="s">
        <v>30</v>
      </c>
      <c r="K87" s="51" t="s">
        <v>932</v>
      </c>
      <c r="L87" s="52">
        <v>1</v>
      </c>
      <c r="M87" s="19" t="str">
        <f t="shared" si="1"/>
        <v>Jul_2019</v>
      </c>
    </row>
    <row r="88" spans="1:13">
      <c r="A88" s="45" t="s">
        <v>11</v>
      </c>
      <c r="B88" s="52" t="s">
        <v>149</v>
      </c>
      <c r="C88" s="46">
        <v>43676</v>
      </c>
      <c r="D88" s="47" t="s">
        <v>14</v>
      </c>
      <c r="E88" s="48">
        <v>0.72916666666666674</v>
      </c>
      <c r="F88" s="48">
        <v>0.89583333333333337</v>
      </c>
      <c r="G88" s="49">
        <v>8.0000000000000036</v>
      </c>
      <c r="H88" s="49">
        <v>3.9999999999999982</v>
      </c>
      <c r="I88" s="49">
        <v>3.9999999999999982</v>
      </c>
      <c r="J88" s="53" t="s">
        <v>30</v>
      </c>
      <c r="K88" s="51" t="s">
        <v>932</v>
      </c>
      <c r="L88" s="52">
        <v>1</v>
      </c>
      <c r="M88" s="19" t="str">
        <f t="shared" si="1"/>
        <v>Jul_2019</v>
      </c>
    </row>
    <row r="89" spans="1:13">
      <c r="A89" s="45" t="s">
        <v>11</v>
      </c>
      <c r="B89" s="52" t="s">
        <v>161</v>
      </c>
      <c r="C89" s="46">
        <v>43676</v>
      </c>
      <c r="D89" s="47" t="s">
        <v>14</v>
      </c>
      <c r="E89" s="48">
        <v>0.72916666666666674</v>
      </c>
      <c r="F89" s="48">
        <v>0.89583333333333337</v>
      </c>
      <c r="G89" s="49">
        <v>8.0000000000000036</v>
      </c>
      <c r="H89" s="49">
        <v>3.9999999999999982</v>
      </c>
      <c r="I89" s="49">
        <v>3.9999999999999982</v>
      </c>
      <c r="J89" s="53" t="s">
        <v>30</v>
      </c>
      <c r="K89" s="51" t="s">
        <v>932</v>
      </c>
      <c r="L89" s="52">
        <v>1</v>
      </c>
      <c r="M89" s="19" t="str">
        <f t="shared" si="1"/>
        <v>Jul_2019</v>
      </c>
    </row>
    <row r="90" spans="1:13">
      <c r="A90" s="45" t="s">
        <v>11</v>
      </c>
      <c r="B90" s="52" t="s">
        <v>542</v>
      </c>
      <c r="C90" s="46">
        <v>43676</v>
      </c>
      <c r="D90" s="47" t="s">
        <v>14</v>
      </c>
      <c r="E90" s="48">
        <v>0.72916666666666674</v>
      </c>
      <c r="F90" s="48">
        <v>0.89583333333333337</v>
      </c>
      <c r="G90" s="49">
        <v>8.0000000000000036</v>
      </c>
      <c r="H90" s="49">
        <v>3.9999999999999982</v>
      </c>
      <c r="I90" s="49">
        <v>3.9999999999999982</v>
      </c>
      <c r="J90" s="53" t="s">
        <v>30</v>
      </c>
      <c r="K90" s="51" t="s">
        <v>932</v>
      </c>
      <c r="L90" s="52">
        <v>1</v>
      </c>
      <c r="M90" s="19" t="str">
        <f t="shared" si="1"/>
        <v>Jul_2019</v>
      </c>
    </row>
    <row r="91" spans="1:13">
      <c r="A91" s="45" t="s">
        <v>11</v>
      </c>
      <c r="B91" s="52" t="s">
        <v>684</v>
      </c>
      <c r="C91" s="46">
        <v>43676</v>
      </c>
      <c r="D91" s="47" t="s">
        <v>14</v>
      </c>
      <c r="E91" s="48">
        <v>0.72916666666666674</v>
      </c>
      <c r="F91" s="48">
        <v>0.89583333333333337</v>
      </c>
      <c r="G91" s="49">
        <v>8.0000000000000036</v>
      </c>
      <c r="H91" s="49">
        <v>3.9999999999999982</v>
      </c>
      <c r="I91" s="49">
        <v>3.9999999999999982</v>
      </c>
      <c r="J91" s="53" t="s">
        <v>30</v>
      </c>
      <c r="K91" s="51" t="s">
        <v>932</v>
      </c>
      <c r="L91" s="52">
        <v>1</v>
      </c>
      <c r="M91" s="19" t="str">
        <f t="shared" si="1"/>
        <v>Jul_2019</v>
      </c>
    </row>
    <row r="92" spans="1:13">
      <c r="A92" s="45" t="s">
        <v>11</v>
      </c>
      <c r="B92" s="52" t="s">
        <v>779</v>
      </c>
      <c r="C92" s="46">
        <v>43676</v>
      </c>
      <c r="D92" s="47" t="s">
        <v>14</v>
      </c>
      <c r="E92" s="48">
        <v>0.72916666666666674</v>
      </c>
      <c r="F92" s="48">
        <v>0.89583333333333337</v>
      </c>
      <c r="G92" s="49">
        <v>8.0000000000000036</v>
      </c>
      <c r="H92" s="49">
        <v>3.9999999999999982</v>
      </c>
      <c r="I92" s="49">
        <v>3.9999999999999982</v>
      </c>
      <c r="J92" s="53" t="s">
        <v>30</v>
      </c>
      <c r="K92" s="51" t="s">
        <v>932</v>
      </c>
      <c r="L92" s="52">
        <v>1</v>
      </c>
      <c r="M92" s="19" t="str">
        <f t="shared" si="1"/>
        <v>Jul_2019</v>
      </c>
    </row>
    <row r="93" spans="1:13">
      <c r="A93" s="45" t="s">
        <v>11</v>
      </c>
      <c r="B93" s="52" t="s">
        <v>811</v>
      </c>
      <c r="C93" s="46">
        <v>43676</v>
      </c>
      <c r="D93" s="47" t="s">
        <v>14</v>
      </c>
      <c r="E93" s="48">
        <v>0.72916666666666674</v>
      </c>
      <c r="F93" s="48">
        <v>0.89583333333333337</v>
      </c>
      <c r="G93" s="49">
        <v>8.0000000000000036</v>
      </c>
      <c r="H93" s="49">
        <v>3.9999999999999982</v>
      </c>
      <c r="I93" s="49">
        <v>3.9999999999999982</v>
      </c>
      <c r="J93" s="53" t="s">
        <v>30</v>
      </c>
      <c r="K93" s="51" t="s">
        <v>932</v>
      </c>
      <c r="L93" s="52">
        <v>1</v>
      </c>
      <c r="M93" s="19" t="str">
        <f t="shared" si="1"/>
        <v>Jul_2019</v>
      </c>
    </row>
    <row r="94" spans="1:13">
      <c r="A94" s="45" t="s">
        <v>11</v>
      </c>
      <c r="B94" s="52" t="s">
        <v>910</v>
      </c>
      <c r="C94" s="46">
        <v>43676</v>
      </c>
      <c r="D94" s="47" t="s">
        <v>14</v>
      </c>
      <c r="E94" s="48">
        <v>0.72916666666666674</v>
      </c>
      <c r="F94" s="48">
        <v>0.89583333333333337</v>
      </c>
      <c r="G94" s="49">
        <v>8.0000000000000036</v>
      </c>
      <c r="H94" s="49">
        <v>3.9999999999999982</v>
      </c>
      <c r="I94" s="49">
        <v>3.9999999999999982</v>
      </c>
      <c r="J94" s="53" t="s">
        <v>30</v>
      </c>
      <c r="K94" s="51" t="s">
        <v>932</v>
      </c>
      <c r="L94" s="52">
        <v>1</v>
      </c>
      <c r="M94" s="19" t="str">
        <f t="shared" si="1"/>
        <v>Jul_2019</v>
      </c>
    </row>
    <row r="95" spans="1:13">
      <c r="A95" s="45" t="s">
        <v>22</v>
      </c>
      <c r="B95" s="52" t="s">
        <v>662</v>
      </c>
      <c r="C95" s="46">
        <v>43676</v>
      </c>
      <c r="D95" s="47" t="s">
        <v>14</v>
      </c>
      <c r="E95" s="48">
        <v>0.35416666666666669</v>
      </c>
      <c r="F95" s="48">
        <v>0.89583333333333337</v>
      </c>
      <c r="G95" s="49">
        <v>0</v>
      </c>
      <c r="H95" s="49">
        <v>12.000000000000002</v>
      </c>
      <c r="I95" s="49">
        <v>12.000000000000002</v>
      </c>
      <c r="J95" s="53" t="s">
        <v>30</v>
      </c>
      <c r="K95" s="51" t="s">
        <v>932</v>
      </c>
      <c r="L95" s="52" t="s">
        <v>281</v>
      </c>
      <c r="M95" s="19" t="str">
        <f t="shared" si="1"/>
        <v>Jul_2019</v>
      </c>
    </row>
    <row r="96" spans="1:13">
      <c r="A96" s="45" t="s">
        <v>11</v>
      </c>
      <c r="B96" s="52" t="s">
        <v>912</v>
      </c>
      <c r="C96" s="46">
        <v>43677</v>
      </c>
      <c r="D96" s="47" t="s">
        <v>15</v>
      </c>
      <c r="E96" s="48">
        <v>0.72916666666666674</v>
      </c>
      <c r="F96" s="48">
        <v>0.89583333333333337</v>
      </c>
      <c r="G96" s="49">
        <v>8.0000000000000036</v>
      </c>
      <c r="H96" s="49">
        <v>3.9999999999999982</v>
      </c>
      <c r="I96" s="49">
        <v>3.9999999999999982</v>
      </c>
      <c r="J96" s="53" t="s">
        <v>30</v>
      </c>
      <c r="K96" s="51" t="s">
        <v>933</v>
      </c>
      <c r="L96" s="52">
        <v>1</v>
      </c>
      <c r="M96" s="19" t="str">
        <f t="shared" si="1"/>
        <v>Jul_2019</v>
      </c>
    </row>
    <row r="97" spans="1:13">
      <c r="A97" s="45" t="s">
        <v>11</v>
      </c>
      <c r="B97" s="52" t="s">
        <v>19</v>
      </c>
      <c r="C97" s="46">
        <v>43677</v>
      </c>
      <c r="D97" s="47" t="s">
        <v>15</v>
      </c>
      <c r="E97" s="48">
        <v>0.72916666666666674</v>
      </c>
      <c r="F97" s="48">
        <v>0.89583333333333337</v>
      </c>
      <c r="G97" s="49">
        <v>8.0000000000000036</v>
      </c>
      <c r="H97" s="49">
        <v>3.9999999999999982</v>
      </c>
      <c r="I97" s="49">
        <v>3.9999999999999982</v>
      </c>
      <c r="J97" s="53" t="s">
        <v>30</v>
      </c>
      <c r="K97" s="51" t="s">
        <v>933</v>
      </c>
      <c r="L97" s="52">
        <v>1</v>
      </c>
      <c r="M97" s="19" t="str">
        <f t="shared" si="1"/>
        <v>Jul_2019</v>
      </c>
    </row>
    <row r="98" spans="1:13">
      <c r="A98" s="45" t="s">
        <v>11</v>
      </c>
      <c r="B98" s="52" t="s">
        <v>149</v>
      </c>
      <c r="C98" s="46">
        <v>43677</v>
      </c>
      <c r="D98" s="47" t="s">
        <v>15</v>
      </c>
      <c r="E98" s="48">
        <v>0.72916666666666674</v>
      </c>
      <c r="F98" s="48">
        <v>0.89583333333333337</v>
      </c>
      <c r="G98" s="49">
        <v>8.0000000000000036</v>
      </c>
      <c r="H98" s="49">
        <v>3.9999999999999982</v>
      </c>
      <c r="I98" s="49">
        <v>3.9999999999999982</v>
      </c>
      <c r="J98" s="53" t="s">
        <v>30</v>
      </c>
      <c r="K98" s="51" t="s">
        <v>933</v>
      </c>
      <c r="L98" s="52">
        <v>1</v>
      </c>
      <c r="M98" s="19" t="str">
        <f t="shared" si="1"/>
        <v>Jul_2019</v>
      </c>
    </row>
    <row r="99" spans="1:13">
      <c r="A99" s="45" t="s">
        <v>11</v>
      </c>
      <c r="B99" s="52" t="s">
        <v>161</v>
      </c>
      <c r="C99" s="46">
        <v>43677</v>
      </c>
      <c r="D99" s="47" t="s">
        <v>15</v>
      </c>
      <c r="E99" s="48">
        <v>0.72916666666666674</v>
      </c>
      <c r="F99" s="48">
        <v>0.89583333333333337</v>
      </c>
      <c r="G99" s="49">
        <v>8.0000000000000036</v>
      </c>
      <c r="H99" s="49">
        <v>3.9999999999999982</v>
      </c>
      <c r="I99" s="49">
        <v>3.9999999999999982</v>
      </c>
      <c r="J99" s="53" t="s">
        <v>30</v>
      </c>
      <c r="K99" s="51" t="s">
        <v>933</v>
      </c>
      <c r="L99" s="52">
        <v>1</v>
      </c>
      <c r="M99" s="19" t="str">
        <f t="shared" si="1"/>
        <v>Jul_2019</v>
      </c>
    </row>
    <row r="100" spans="1:13">
      <c r="A100" s="45" t="s">
        <v>11</v>
      </c>
      <c r="B100" s="52" t="s">
        <v>542</v>
      </c>
      <c r="C100" s="46">
        <v>43677</v>
      </c>
      <c r="D100" s="47" t="s">
        <v>15</v>
      </c>
      <c r="E100" s="48">
        <v>0.72916666666666674</v>
      </c>
      <c r="F100" s="48">
        <v>0.89583333333333337</v>
      </c>
      <c r="G100" s="49">
        <v>8.0000000000000036</v>
      </c>
      <c r="H100" s="49">
        <v>3.9999999999999982</v>
      </c>
      <c r="I100" s="49">
        <v>3.9999999999999982</v>
      </c>
      <c r="J100" s="53" t="s">
        <v>30</v>
      </c>
      <c r="K100" s="51" t="s">
        <v>933</v>
      </c>
      <c r="L100" s="52">
        <v>1</v>
      </c>
      <c r="M100" s="19" t="str">
        <f t="shared" si="1"/>
        <v>Jul_2019</v>
      </c>
    </row>
    <row r="101" spans="1:13">
      <c r="A101" s="45" t="s">
        <v>11</v>
      </c>
      <c r="B101" s="52" t="s">
        <v>684</v>
      </c>
      <c r="C101" s="46">
        <v>43677</v>
      </c>
      <c r="D101" s="47" t="s">
        <v>15</v>
      </c>
      <c r="E101" s="48">
        <v>0.6875</v>
      </c>
      <c r="F101" s="48">
        <v>0.85416666666666663</v>
      </c>
      <c r="G101" s="49">
        <v>8.0000000000000036</v>
      </c>
      <c r="H101" s="49">
        <v>3.9999999999999964</v>
      </c>
      <c r="I101" s="49">
        <v>3.9999999999999964</v>
      </c>
      <c r="J101" s="53" t="s">
        <v>30</v>
      </c>
      <c r="K101" s="51" t="s">
        <v>933</v>
      </c>
      <c r="L101" s="52">
        <v>1</v>
      </c>
      <c r="M101" s="19" t="str">
        <f t="shared" si="1"/>
        <v>Jul_2019</v>
      </c>
    </row>
    <row r="102" spans="1:13">
      <c r="A102" s="45" t="s">
        <v>11</v>
      </c>
      <c r="B102" s="52" t="s">
        <v>779</v>
      </c>
      <c r="C102" s="46">
        <v>43677</v>
      </c>
      <c r="D102" s="47" t="s">
        <v>15</v>
      </c>
      <c r="E102" s="48">
        <v>0.72916666666666674</v>
      </c>
      <c r="F102" s="48">
        <v>0.89583333333333337</v>
      </c>
      <c r="G102" s="49">
        <v>8.0000000000000036</v>
      </c>
      <c r="H102" s="49">
        <v>3.9999999999999982</v>
      </c>
      <c r="I102" s="49">
        <v>3.9999999999999982</v>
      </c>
      <c r="J102" s="53" t="s">
        <v>30</v>
      </c>
      <c r="K102" s="51" t="s">
        <v>933</v>
      </c>
      <c r="L102" s="52">
        <v>1</v>
      </c>
      <c r="M102" s="19" t="str">
        <f t="shared" si="1"/>
        <v>Jul_2019</v>
      </c>
    </row>
    <row r="103" spans="1:13">
      <c r="A103" s="45" t="s">
        <v>11</v>
      </c>
      <c r="B103" s="52" t="s">
        <v>811</v>
      </c>
      <c r="C103" s="46">
        <v>43677</v>
      </c>
      <c r="D103" s="47" t="s">
        <v>15</v>
      </c>
      <c r="E103" s="48">
        <v>0.72916666666666674</v>
      </c>
      <c r="F103" s="48">
        <v>0.89583333333333337</v>
      </c>
      <c r="G103" s="49">
        <v>8.0000000000000036</v>
      </c>
      <c r="H103" s="49">
        <v>3.9999999999999982</v>
      </c>
      <c r="I103" s="49">
        <v>3.9999999999999982</v>
      </c>
      <c r="J103" s="53" t="s">
        <v>30</v>
      </c>
      <c r="K103" s="51" t="s">
        <v>933</v>
      </c>
      <c r="L103" s="52">
        <v>1</v>
      </c>
      <c r="M103" s="19" t="str">
        <f t="shared" si="1"/>
        <v>Jul_2019</v>
      </c>
    </row>
    <row r="104" spans="1:13">
      <c r="A104" s="45" t="s">
        <v>11</v>
      </c>
      <c r="B104" s="52" t="s">
        <v>910</v>
      </c>
      <c r="C104" s="46">
        <v>43677</v>
      </c>
      <c r="D104" s="47" t="s">
        <v>15</v>
      </c>
      <c r="E104" s="48">
        <v>0.72916666666666674</v>
      </c>
      <c r="F104" s="48">
        <v>0.89583333333333337</v>
      </c>
      <c r="G104" s="49">
        <v>8.0000000000000036</v>
      </c>
      <c r="H104" s="49">
        <v>3.9999999999999982</v>
      </c>
      <c r="I104" s="49">
        <v>3.9999999999999982</v>
      </c>
      <c r="J104" s="53" t="s">
        <v>30</v>
      </c>
      <c r="K104" s="51" t="s">
        <v>933</v>
      </c>
      <c r="L104" s="52">
        <v>1</v>
      </c>
      <c r="M104" s="19" t="str">
        <f t="shared" si="1"/>
        <v>Jul_2019</v>
      </c>
    </row>
    <row r="105" spans="1:13">
      <c r="A105" s="45" t="s">
        <v>22</v>
      </c>
      <c r="B105" s="52" t="s">
        <v>662</v>
      </c>
      <c r="C105" s="46">
        <v>43677</v>
      </c>
      <c r="D105" s="47" t="s">
        <v>15</v>
      </c>
      <c r="E105" s="48">
        <v>0.35416666666666669</v>
      </c>
      <c r="F105" s="48">
        <v>0.89583333333333337</v>
      </c>
      <c r="G105" s="49">
        <v>0</v>
      </c>
      <c r="H105" s="49">
        <v>12.000000000000002</v>
      </c>
      <c r="I105" s="49">
        <v>12.000000000000002</v>
      </c>
      <c r="J105" s="53" t="s">
        <v>30</v>
      </c>
      <c r="K105" s="51" t="s">
        <v>933</v>
      </c>
      <c r="L105" s="52" t="s">
        <v>281</v>
      </c>
      <c r="M105" s="19" t="str">
        <f t="shared" si="1"/>
        <v>Jul_2019</v>
      </c>
    </row>
    <row r="106" spans="1:13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>
      <c r="A213"/>
      <c r="B213"/>
      <c r="C213"/>
      <c r="D213"/>
      <c r="E213"/>
      <c r="F213"/>
      <c r="G213"/>
      <c r="H213"/>
      <c r="I213"/>
      <c r="J213"/>
      <c r="K213"/>
      <c r="L213"/>
      <c r="M213"/>
    </row>
    <row r="214" spans="1:13">
      <c r="A214"/>
      <c r="B214"/>
      <c r="C214"/>
      <c r="D214"/>
      <c r="E214"/>
      <c r="F214"/>
      <c r="G214"/>
      <c r="H214"/>
      <c r="I214"/>
      <c r="J214"/>
      <c r="K214"/>
      <c r="L214"/>
      <c r="M214"/>
    </row>
    <row r="215" spans="1:13">
      <c r="A215"/>
      <c r="B215"/>
      <c r="C215"/>
      <c r="D215"/>
      <c r="E215"/>
      <c r="F215"/>
      <c r="G215"/>
      <c r="H215"/>
      <c r="I215"/>
      <c r="J215"/>
      <c r="K215"/>
      <c r="L215"/>
      <c r="M215"/>
    </row>
    <row r="216" spans="1:13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17" spans="1:13">
      <c r="A217"/>
      <c r="B217"/>
      <c r="C217"/>
      <c r="D217"/>
      <c r="E217"/>
      <c r="F217"/>
      <c r="G217"/>
      <c r="H217"/>
      <c r="I217"/>
      <c r="J217"/>
      <c r="K217"/>
      <c r="L217"/>
      <c r="M217"/>
    </row>
    <row r="218" spans="1:13">
      <c r="A218"/>
      <c r="B218"/>
      <c r="C218"/>
      <c r="D218"/>
      <c r="E218"/>
      <c r="F218"/>
      <c r="G218"/>
      <c r="H218"/>
      <c r="I218"/>
      <c r="J218"/>
      <c r="K218"/>
      <c r="L218"/>
      <c r="M218"/>
    </row>
    <row r="219" spans="1:13">
      <c r="A219"/>
      <c r="B219"/>
      <c r="C219"/>
      <c r="D219"/>
      <c r="E219"/>
      <c r="F219"/>
      <c r="G219"/>
      <c r="H219"/>
      <c r="I219"/>
      <c r="J219"/>
      <c r="K219"/>
      <c r="L219"/>
      <c r="M219"/>
    </row>
    <row r="220" spans="1:13">
      <c r="A220"/>
      <c r="B220"/>
      <c r="C220"/>
      <c r="D220"/>
      <c r="E220"/>
      <c r="F220"/>
      <c r="G220"/>
      <c r="H220"/>
      <c r="I220"/>
      <c r="J220"/>
      <c r="K220"/>
      <c r="L220"/>
      <c r="M220"/>
    </row>
    <row r="221" spans="1:13">
      <c r="A221"/>
      <c r="B221"/>
      <c r="C221"/>
      <c r="D221"/>
      <c r="E221"/>
      <c r="F221"/>
      <c r="G221"/>
      <c r="H221"/>
      <c r="I221"/>
      <c r="J221"/>
      <c r="K221"/>
      <c r="L221"/>
      <c r="M221"/>
    </row>
    <row r="222" spans="1:13">
      <c r="A222"/>
      <c r="B222"/>
      <c r="C222"/>
      <c r="D222"/>
      <c r="E222"/>
      <c r="F222"/>
      <c r="G222"/>
      <c r="H222"/>
      <c r="I222"/>
      <c r="J222"/>
      <c r="K222"/>
      <c r="L222"/>
      <c r="M222"/>
    </row>
    <row r="223" spans="1:13">
      <c r="A223"/>
      <c r="B223"/>
      <c r="C223"/>
      <c r="D223"/>
      <c r="E223"/>
      <c r="F223"/>
      <c r="G223"/>
      <c r="H223"/>
      <c r="I223"/>
      <c r="J223"/>
      <c r="K223"/>
      <c r="L223"/>
      <c r="M223"/>
    </row>
    <row r="224" spans="1:13">
      <c r="A224"/>
      <c r="B224"/>
      <c r="C224"/>
      <c r="D224"/>
      <c r="E224"/>
      <c r="F224"/>
      <c r="G224"/>
      <c r="H224"/>
      <c r="I224"/>
      <c r="J224"/>
      <c r="K224"/>
      <c r="L224"/>
      <c r="M224"/>
    </row>
    <row r="225" spans="1:13">
      <c r="A225"/>
      <c r="B225"/>
      <c r="C225"/>
      <c r="D225"/>
      <c r="E225"/>
      <c r="F225"/>
      <c r="G225"/>
      <c r="H225"/>
      <c r="I225"/>
      <c r="J225"/>
      <c r="K225"/>
      <c r="L225"/>
      <c r="M225"/>
    </row>
    <row r="226" spans="1:13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27" spans="1:13">
      <c r="A227"/>
      <c r="B227"/>
      <c r="C227"/>
      <c r="D227"/>
      <c r="E227"/>
      <c r="F227"/>
      <c r="G227"/>
      <c r="H227"/>
      <c r="I227"/>
      <c r="J227"/>
      <c r="K227"/>
      <c r="L227"/>
      <c r="M227"/>
    </row>
    <row r="228" spans="1:13">
      <c r="A228"/>
      <c r="B228"/>
      <c r="C228"/>
      <c r="D228"/>
      <c r="E228"/>
      <c r="F228"/>
      <c r="G228"/>
      <c r="H228"/>
      <c r="I228"/>
      <c r="J228"/>
      <c r="K228"/>
      <c r="L228"/>
      <c r="M228"/>
    </row>
    <row r="229" spans="1:13">
      <c r="A229"/>
      <c r="B229"/>
      <c r="C229"/>
      <c r="D229"/>
      <c r="E229"/>
      <c r="F229"/>
      <c r="G229"/>
      <c r="H229"/>
      <c r="I229"/>
      <c r="J229"/>
      <c r="K229"/>
      <c r="L229"/>
      <c r="M229"/>
    </row>
    <row r="230" spans="1:13">
      <c r="A230"/>
      <c r="B230"/>
      <c r="C230"/>
      <c r="D230"/>
      <c r="E230"/>
      <c r="F230"/>
      <c r="G230"/>
      <c r="H230"/>
      <c r="I230"/>
      <c r="J230"/>
      <c r="K230"/>
      <c r="L230"/>
      <c r="M230"/>
    </row>
    <row r="231" spans="1:13">
      <c r="A231"/>
      <c r="B231"/>
      <c r="C231"/>
      <c r="D231"/>
      <c r="E231"/>
      <c r="F231"/>
      <c r="G231"/>
      <c r="H231"/>
      <c r="I231"/>
      <c r="J231"/>
      <c r="K231"/>
      <c r="L231"/>
      <c r="M231"/>
    </row>
    <row r="232" spans="1:13">
      <c r="A232"/>
      <c r="B232"/>
      <c r="C232"/>
      <c r="D232"/>
      <c r="E232"/>
      <c r="F232"/>
      <c r="G232"/>
      <c r="H232"/>
      <c r="I232"/>
      <c r="J232"/>
      <c r="K232"/>
      <c r="L232"/>
      <c r="M232"/>
    </row>
    <row r="233" spans="1:13">
      <c r="A233"/>
      <c r="B233"/>
      <c r="C233"/>
      <c r="D233"/>
      <c r="E233"/>
      <c r="F233"/>
      <c r="G233"/>
      <c r="H233"/>
      <c r="I233"/>
      <c r="J233"/>
      <c r="K233"/>
      <c r="L233"/>
      <c r="M233"/>
    </row>
    <row r="234" spans="1:13">
      <c r="A234"/>
      <c r="B234"/>
      <c r="C234"/>
      <c r="D234"/>
      <c r="E234"/>
      <c r="F234"/>
      <c r="G234"/>
      <c r="H234"/>
      <c r="I234"/>
      <c r="J234"/>
      <c r="K234"/>
      <c r="L234"/>
      <c r="M234"/>
    </row>
    <row r="235" spans="1:13">
      <c r="A235"/>
      <c r="B235"/>
      <c r="C235"/>
      <c r="D235"/>
      <c r="E235"/>
      <c r="F235"/>
      <c r="G235"/>
      <c r="H235"/>
      <c r="I235"/>
      <c r="J235"/>
      <c r="K235"/>
      <c r="L235"/>
      <c r="M235"/>
    </row>
    <row r="236" spans="1:13">
      <c r="A236"/>
      <c r="B236"/>
      <c r="C236"/>
      <c r="D236"/>
      <c r="E236"/>
      <c r="F236"/>
      <c r="G236"/>
      <c r="H236"/>
      <c r="I236"/>
      <c r="J236"/>
      <c r="K236"/>
      <c r="L236"/>
      <c r="M236"/>
    </row>
    <row r="237" spans="1:13">
      <c r="A237"/>
      <c r="B237"/>
      <c r="C237"/>
      <c r="D237"/>
      <c r="E237"/>
      <c r="F237"/>
      <c r="G237"/>
      <c r="H237"/>
      <c r="I237"/>
      <c r="J237"/>
      <c r="K237"/>
      <c r="L237"/>
      <c r="M237"/>
    </row>
    <row r="238" spans="1:13">
      <c r="A238"/>
      <c r="B238"/>
      <c r="C238"/>
      <c r="D238"/>
      <c r="E238"/>
      <c r="F238"/>
      <c r="G238"/>
      <c r="H238"/>
      <c r="I238"/>
      <c r="J238"/>
      <c r="K238"/>
      <c r="L238"/>
      <c r="M238"/>
    </row>
    <row r="239" spans="1:13">
      <c r="A239"/>
      <c r="B239"/>
      <c r="C239"/>
      <c r="D239"/>
      <c r="E239"/>
      <c r="F239"/>
      <c r="G239"/>
      <c r="H239"/>
      <c r="I239"/>
      <c r="J239"/>
      <c r="K239"/>
      <c r="L239"/>
      <c r="M239"/>
    </row>
    <row r="240" spans="1:13">
      <c r="A240"/>
      <c r="B240"/>
      <c r="C240"/>
      <c r="D240"/>
      <c r="E240"/>
      <c r="F240"/>
      <c r="G240"/>
      <c r="H240"/>
      <c r="I240"/>
      <c r="J240"/>
      <c r="K240"/>
      <c r="L240"/>
      <c r="M240"/>
    </row>
    <row r="241" spans="1:13">
      <c r="A241"/>
      <c r="B241"/>
      <c r="C241"/>
      <c r="D241"/>
      <c r="E241"/>
      <c r="F241"/>
      <c r="G241"/>
      <c r="H241"/>
      <c r="I241"/>
      <c r="J241"/>
      <c r="K241"/>
      <c r="L241"/>
      <c r="M241"/>
    </row>
    <row r="242" spans="1:13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3" spans="1:13">
      <c r="A243"/>
      <c r="B243"/>
      <c r="C243"/>
      <c r="D243"/>
      <c r="E243"/>
      <c r="F243"/>
      <c r="G243"/>
      <c r="H243"/>
      <c r="I243"/>
      <c r="J243"/>
      <c r="K243"/>
      <c r="L243"/>
      <c r="M243"/>
    </row>
    <row r="244" spans="1:13">
      <c r="A244"/>
      <c r="B244"/>
      <c r="C244"/>
      <c r="D244"/>
      <c r="E244"/>
      <c r="F244"/>
      <c r="G244"/>
      <c r="H244"/>
      <c r="I244"/>
      <c r="J244"/>
      <c r="K244"/>
      <c r="L244"/>
      <c r="M244"/>
    </row>
    <row r="245" spans="1:13">
      <c r="A245"/>
      <c r="B245"/>
      <c r="C245"/>
      <c r="D245"/>
      <c r="E245"/>
      <c r="F245"/>
      <c r="G245"/>
      <c r="H245"/>
      <c r="I245"/>
      <c r="J245"/>
      <c r="K245"/>
      <c r="L245"/>
      <c r="M245"/>
    </row>
    <row r="246" spans="1:13">
      <c r="A246"/>
      <c r="B246"/>
      <c r="C246"/>
      <c r="D246"/>
      <c r="E246"/>
      <c r="F246"/>
      <c r="G246"/>
      <c r="H246"/>
      <c r="I246"/>
      <c r="J246"/>
      <c r="K246"/>
      <c r="L246"/>
      <c r="M246"/>
    </row>
    <row r="247" spans="1:13">
      <c r="A247"/>
      <c r="B247"/>
      <c r="C247"/>
      <c r="D247"/>
      <c r="E247"/>
      <c r="F247"/>
      <c r="G247"/>
      <c r="H247"/>
      <c r="I247"/>
      <c r="J247"/>
      <c r="K247"/>
      <c r="L247"/>
      <c r="M247"/>
    </row>
    <row r="248" spans="1:13">
      <c r="A248"/>
      <c r="B248"/>
      <c r="C248"/>
      <c r="D248"/>
      <c r="E248"/>
      <c r="F248"/>
      <c r="G248"/>
      <c r="H248"/>
      <c r="I248"/>
      <c r="J248"/>
      <c r="K248"/>
      <c r="L248"/>
      <c r="M248"/>
    </row>
    <row r="249" spans="1:13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0" spans="1:13">
      <c r="A250"/>
      <c r="B250"/>
      <c r="C250"/>
      <c r="D250"/>
      <c r="E250"/>
      <c r="F250"/>
      <c r="G250"/>
      <c r="H250"/>
      <c r="I250"/>
      <c r="J250"/>
      <c r="K250"/>
      <c r="L250"/>
      <c r="M250"/>
    </row>
    <row r="251" spans="1:13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52" spans="1:13">
      <c r="A252"/>
      <c r="B252"/>
      <c r="C252"/>
      <c r="D252"/>
      <c r="E252"/>
      <c r="F252"/>
      <c r="G252"/>
      <c r="H252"/>
      <c r="I252"/>
      <c r="J252"/>
      <c r="K252"/>
      <c r="L252"/>
      <c r="M252"/>
    </row>
    <row r="253" spans="1:13">
      <c r="A253"/>
      <c r="B253"/>
      <c r="C253"/>
      <c r="D253"/>
      <c r="E253"/>
      <c r="F253"/>
      <c r="G253"/>
      <c r="H253"/>
      <c r="I253"/>
      <c r="J253"/>
      <c r="K253"/>
      <c r="L253"/>
      <c r="M253"/>
    </row>
    <row r="254" spans="1:13">
      <c r="A254"/>
      <c r="B254"/>
      <c r="C254"/>
      <c r="D254"/>
      <c r="E254"/>
      <c r="F254"/>
      <c r="G254"/>
      <c r="H254"/>
      <c r="I254"/>
      <c r="J254"/>
      <c r="K254"/>
      <c r="L254"/>
      <c r="M254"/>
    </row>
    <row r="255" spans="1:13">
      <c r="A255"/>
      <c r="B255"/>
      <c r="C255"/>
      <c r="D255"/>
      <c r="E255"/>
      <c r="F255"/>
      <c r="G255"/>
      <c r="H255"/>
      <c r="I255"/>
      <c r="J255"/>
      <c r="K255"/>
      <c r="L255"/>
      <c r="M255"/>
    </row>
    <row r="256" spans="1:13">
      <c r="A256"/>
      <c r="B256"/>
      <c r="C256"/>
      <c r="D256"/>
      <c r="E256"/>
      <c r="F256"/>
      <c r="G256"/>
      <c r="H256"/>
      <c r="I256"/>
      <c r="J256"/>
      <c r="K256"/>
      <c r="L256"/>
      <c r="M256"/>
    </row>
    <row r="257" spans="1:13">
      <c r="A257"/>
      <c r="B257"/>
      <c r="C257"/>
      <c r="D257"/>
      <c r="E257"/>
      <c r="F257"/>
      <c r="G257"/>
      <c r="H257"/>
      <c r="I257"/>
      <c r="J257"/>
      <c r="K257"/>
      <c r="L257"/>
      <c r="M257"/>
    </row>
    <row r="258" spans="1:13">
      <c r="A258"/>
      <c r="B258"/>
      <c r="C258"/>
      <c r="D258"/>
      <c r="E258"/>
      <c r="F258"/>
      <c r="G258"/>
      <c r="H258"/>
      <c r="I258"/>
      <c r="J258"/>
      <c r="K258"/>
      <c r="L258"/>
      <c r="M258"/>
    </row>
    <row r="259" spans="1:13">
      <c r="A259"/>
      <c r="B259"/>
      <c r="C259"/>
      <c r="D259"/>
      <c r="E259"/>
      <c r="F259"/>
      <c r="G259"/>
      <c r="H259"/>
      <c r="I259"/>
      <c r="J259"/>
      <c r="K259"/>
      <c r="L259"/>
      <c r="M259"/>
    </row>
    <row r="260" spans="1:13">
      <c r="A260"/>
      <c r="B260"/>
      <c r="C260"/>
      <c r="D260"/>
      <c r="E260"/>
      <c r="F260"/>
      <c r="G260"/>
      <c r="H260"/>
      <c r="I260"/>
      <c r="J260"/>
      <c r="K260"/>
      <c r="L260"/>
      <c r="M260"/>
    </row>
    <row r="261" spans="1:13">
      <c r="A261"/>
      <c r="B261"/>
      <c r="C261"/>
      <c r="D261"/>
      <c r="E261"/>
      <c r="F261"/>
      <c r="G261"/>
      <c r="H261"/>
      <c r="I261"/>
      <c r="J261"/>
      <c r="K261"/>
      <c r="L261"/>
      <c r="M261"/>
    </row>
    <row r="262" spans="1:13">
      <c r="A262"/>
      <c r="B262"/>
      <c r="C262"/>
      <c r="D262"/>
      <c r="E262"/>
      <c r="F262"/>
      <c r="G262"/>
      <c r="H262"/>
      <c r="I262"/>
      <c r="J262"/>
      <c r="K262"/>
      <c r="L262"/>
      <c r="M262"/>
    </row>
    <row r="263" spans="1:13">
      <c r="A263"/>
      <c r="B263"/>
      <c r="C263"/>
      <c r="D263"/>
      <c r="E263"/>
      <c r="F263"/>
      <c r="G263"/>
      <c r="H263"/>
      <c r="I263"/>
      <c r="J263"/>
      <c r="K263"/>
      <c r="L263"/>
      <c r="M263"/>
    </row>
    <row r="264" spans="1:13">
      <c r="A264"/>
      <c r="B264"/>
      <c r="C264"/>
      <c r="D264"/>
      <c r="E264"/>
      <c r="F264"/>
      <c r="G264"/>
      <c r="H264"/>
      <c r="I264"/>
      <c r="J264"/>
      <c r="K264"/>
      <c r="L264"/>
      <c r="M264"/>
    </row>
    <row r="265" spans="1:13">
      <c r="A265"/>
      <c r="B265"/>
      <c r="C265"/>
      <c r="D265"/>
      <c r="E265"/>
      <c r="F265"/>
      <c r="G265"/>
      <c r="H265"/>
      <c r="I265"/>
      <c r="J265"/>
      <c r="K265"/>
      <c r="L265"/>
      <c r="M265"/>
    </row>
    <row r="266" spans="1:13">
      <c r="A266"/>
      <c r="B266"/>
      <c r="C266"/>
      <c r="D266"/>
      <c r="E266"/>
      <c r="F266"/>
      <c r="G266"/>
      <c r="H266"/>
      <c r="I266"/>
      <c r="J266"/>
      <c r="K266"/>
      <c r="L266"/>
      <c r="M266"/>
    </row>
    <row r="267" spans="1:13">
      <c r="A267"/>
      <c r="B267"/>
      <c r="C267"/>
      <c r="D267"/>
      <c r="E267"/>
      <c r="F267"/>
      <c r="G267"/>
      <c r="H267"/>
      <c r="I267"/>
      <c r="J267"/>
      <c r="K267"/>
      <c r="L267"/>
      <c r="M267"/>
    </row>
    <row r="268" spans="1:13">
      <c r="A268"/>
      <c r="B268"/>
      <c r="C268"/>
      <c r="D268"/>
      <c r="E268"/>
      <c r="F268"/>
      <c r="G268"/>
      <c r="H268"/>
      <c r="I268"/>
      <c r="J268"/>
      <c r="K268"/>
      <c r="L268"/>
      <c r="M268"/>
    </row>
    <row r="269" spans="1:13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0" spans="1:13">
      <c r="A270"/>
      <c r="B270"/>
      <c r="C270"/>
      <c r="D270"/>
      <c r="E270"/>
      <c r="F270"/>
      <c r="G270"/>
      <c r="H270"/>
      <c r="I270"/>
      <c r="J270"/>
      <c r="K270"/>
      <c r="L270"/>
      <c r="M270"/>
    </row>
    <row r="271" spans="1:13">
      <c r="A271"/>
      <c r="B271"/>
      <c r="C271"/>
      <c r="D271"/>
      <c r="E271"/>
      <c r="F271"/>
      <c r="G271"/>
      <c r="H271"/>
      <c r="I271"/>
      <c r="J271"/>
      <c r="K271"/>
      <c r="L271"/>
      <c r="M271"/>
    </row>
    <row r="272" spans="1:13">
      <c r="A272"/>
      <c r="B272"/>
      <c r="C272"/>
      <c r="D272"/>
      <c r="E272"/>
      <c r="F272"/>
      <c r="G272"/>
      <c r="H272"/>
      <c r="I272"/>
      <c r="J272"/>
      <c r="K272"/>
      <c r="L272"/>
      <c r="M272"/>
    </row>
    <row r="273" spans="1:13">
      <c r="A273"/>
      <c r="B273"/>
      <c r="C273"/>
      <c r="D273"/>
      <c r="E273"/>
      <c r="F273"/>
      <c r="G273"/>
      <c r="H273"/>
      <c r="I273"/>
      <c r="J273"/>
      <c r="K273"/>
      <c r="L273"/>
      <c r="M273"/>
    </row>
    <row r="274" spans="1:13">
      <c r="A274"/>
      <c r="B274"/>
      <c r="C274"/>
      <c r="D274"/>
      <c r="E274"/>
      <c r="F274"/>
      <c r="G274"/>
      <c r="H274"/>
      <c r="I274"/>
      <c r="J274"/>
      <c r="K274"/>
      <c r="L274"/>
      <c r="M274"/>
    </row>
    <row r="275" spans="1:13">
      <c r="A275"/>
      <c r="B275"/>
      <c r="C275"/>
      <c r="D275"/>
      <c r="E275"/>
      <c r="F275"/>
      <c r="G275"/>
      <c r="H275"/>
      <c r="I275"/>
      <c r="J275"/>
      <c r="K275"/>
      <c r="L275"/>
      <c r="M275"/>
    </row>
    <row r="276" spans="1:13">
      <c r="A276"/>
      <c r="B276"/>
      <c r="C276"/>
      <c r="D276"/>
      <c r="E276"/>
      <c r="F276"/>
      <c r="G276"/>
      <c r="H276"/>
      <c r="I276"/>
      <c r="J276"/>
      <c r="K276"/>
      <c r="L276"/>
      <c r="M276"/>
    </row>
    <row r="277" spans="1:13">
      <c r="A277"/>
      <c r="B277"/>
      <c r="C277"/>
      <c r="D277"/>
      <c r="E277"/>
      <c r="F277"/>
      <c r="G277"/>
      <c r="H277"/>
      <c r="I277"/>
      <c r="J277"/>
      <c r="K277"/>
      <c r="L277"/>
      <c r="M277"/>
    </row>
    <row r="278" spans="1:13">
      <c r="A278"/>
      <c r="B278"/>
      <c r="C278"/>
      <c r="D278"/>
      <c r="E278"/>
      <c r="F278"/>
      <c r="G278"/>
      <c r="H278"/>
      <c r="I278"/>
      <c r="J278"/>
      <c r="K278"/>
      <c r="L278"/>
      <c r="M278"/>
    </row>
    <row r="279" spans="1:13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82" spans="1:13">
      <c r="A282"/>
      <c r="B282"/>
      <c r="C282"/>
      <c r="D282"/>
      <c r="E282"/>
      <c r="F282"/>
      <c r="G282"/>
      <c r="H282"/>
      <c r="I282"/>
      <c r="J282"/>
      <c r="K282"/>
      <c r="L282"/>
      <c r="M282"/>
    </row>
    <row r="283" spans="1:13">
      <c r="A283"/>
      <c r="B283"/>
      <c r="C283"/>
      <c r="D283"/>
      <c r="E283"/>
      <c r="F283"/>
      <c r="G283"/>
      <c r="H283"/>
      <c r="I283"/>
      <c r="J283"/>
      <c r="K283"/>
      <c r="L283"/>
      <c r="M283"/>
    </row>
    <row r="284" spans="1:13">
      <c r="A284"/>
      <c r="B284"/>
      <c r="C284"/>
      <c r="D284"/>
      <c r="E284"/>
      <c r="F284"/>
      <c r="G284"/>
      <c r="H284"/>
      <c r="I284"/>
      <c r="J284"/>
      <c r="K284"/>
      <c r="L284"/>
      <c r="M284"/>
    </row>
    <row r="285" spans="1:13">
      <c r="A285"/>
      <c r="B285"/>
      <c r="C285"/>
      <c r="D285"/>
      <c r="E285"/>
      <c r="F285"/>
      <c r="G285"/>
      <c r="H285"/>
      <c r="I285"/>
      <c r="J285"/>
      <c r="K285"/>
      <c r="L285"/>
      <c r="M285"/>
    </row>
    <row r="286" spans="1:13">
      <c r="A286"/>
      <c r="B286"/>
      <c r="C286"/>
      <c r="D286"/>
      <c r="E286"/>
      <c r="F286"/>
      <c r="G286"/>
      <c r="H286"/>
      <c r="I286"/>
      <c r="J286"/>
      <c r="K286"/>
      <c r="L286"/>
      <c r="M286"/>
    </row>
    <row r="287" spans="1:13">
      <c r="A287"/>
      <c r="B287"/>
      <c r="C287"/>
      <c r="D287"/>
      <c r="E287"/>
      <c r="F287"/>
      <c r="G287"/>
      <c r="H287"/>
      <c r="I287"/>
      <c r="J287"/>
      <c r="K287"/>
      <c r="L287"/>
      <c r="M287"/>
    </row>
    <row r="288" spans="1:13">
      <c r="A288"/>
      <c r="B288"/>
      <c r="C288"/>
      <c r="D288"/>
      <c r="E288"/>
      <c r="F288"/>
      <c r="G288"/>
      <c r="H288"/>
      <c r="I288"/>
      <c r="J288"/>
      <c r="K288"/>
      <c r="L288"/>
      <c r="M288"/>
    </row>
    <row r="289" spans="1:13">
      <c r="A289"/>
      <c r="B289"/>
      <c r="C289"/>
      <c r="D289"/>
      <c r="E289"/>
      <c r="F289"/>
      <c r="G289"/>
      <c r="H289"/>
      <c r="I289"/>
      <c r="J289"/>
      <c r="K289"/>
      <c r="L289"/>
      <c r="M289"/>
    </row>
    <row r="290" spans="1:13">
      <c r="A290"/>
      <c r="B290"/>
      <c r="C290"/>
      <c r="D290"/>
      <c r="E290"/>
      <c r="F290"/>
      <c r="G290"/>
      <c r="H290"/>
      <c r="I290"/>
      <c r="J290"/>
      <c r="K290"/>
      <c r="L290"/>
      <c r="M290"/>
    </row>
    <row r="291" spans="1:13">
      <c r="A291"/>
      <c r="B291"/>
      <c r="C291"/>
      <c r="D291"/>
      <c r="E291"/>
      <c r="F291"/>
      <c r="G291"/>
      <c r="H291"/>
      <c r="I291"/>
      <c r="J291"/>
      <c r="K291"/>
      <c r="L291"/>
      <c r="M291"/>
    </row>
    <row r="292" spans="1:13">
      <c r="A292"/>
      <c r="B292"/>
      <c r="C292"/>
      <c r="D292"/>
      <c r="E292"/>
      <c r="F292"/>
      <c r="G292"/>
      <c r="H292"/>
      <c r="I292"/>
      <c r="J292"/>
      <c r="K292"/>
      <c r="L292"/>
      <c r="M292"/>
    </row>
    <row r="293" spans="1:13">
      <c r="A293"/>
      <c r="B293"/>
      <c r="C293"/>
      <c r="D293"/>
      <c r="E293"/>
      <c r="F293"/>
      <c r="G293"/>
      <c r="H293"/>
      <c r="I293"/>
      <c r="J293"/>
      <c r="K293"/>
      <c r="L293"/>
      <c r="M293"/>
    </row>
    <row r="294" spans="1:13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295" spans="1:13">
      <c r="A295"/>
      <c r="B295"/>
      <c r="C295"/>
      <c r="D295"/>
      <c r="E295"/>
      <c r="F295"/>
      <c r="G295"/>
      <c r="H295"/>
      <c r="I295"/>
      <c r="J295"/>
      <c r="K295"/>
      <c r="L295"/>
      <c r="M295"/>
    </row>
    <row r="296" spans="1:13">
      <c r="A296"/>
      <c r="B296"/>
      <c r="C296"/>
      <c r="D296"/>
      <c r="E296"/>
      <c r="F296"/>
      <c r="G296"/>
      <c r="H296"/>
      <c r="I296"/>
      <c r="J296"/>
      <c r="K296"/>
      <c r="L296"/>
      <c r="M296"/>
    </row>
    <row r="297" spans="1:13">
      <c r="A297"/>
      <c r="B297"/>
      <c r="C297"/>
      <c r="D297"/>
      <c r="E297"/>
      <c r="F297"/>
      <c r="G297"/>
      <c r="H297"/>
      <c r="I297"/>
      <c r="J297"/>
      <c r="K297"/>
      <c r="L297"/>
      <c r="M297"/>
    </row>
    <row r="298" spans="1:13">
      <c r="A298"/>
      <c r="B298"/>
      <c r="C298"/>
      <c r="D298"/>
      <c r="E298"/>
      <c r="F298"/>
      <c r="G298"/>
      <c r="H298"/>
      <c r="I298"/>
      <c r="J298"/>
      <c r="K298"/>
      <c r="L298"/>
      <c r="M298"/>
    </row>
    <row r="299" spans="1:13">
      <c r="A299"/>
      <c r="B299"/>
      <c r="C299"/>
      <c r="D299"/>
      <c r="E299"/>
      <c r="F299"/>
      <c r="G299"/>
      <c r="H299"/>
      <c r="I299"/>
      <c r="J299"/>
      <c r="K299"/>
      <c r="L299"/>
      <c r="M299"/>
    </row>
    <row r="300" spans="1:13">
      <c r="A300"/>
      <c r="B300"/>
      <c r="C300"/>
      <c r="D300"/>
      <c r="E300"/>
      <c r="F300"/>
      <c r="G300"/>
      <c r="H300"/>
      <c r="I300"/>
      <c r="J300"/>
      <c r="K300"/>
      <c r="L300"/>
      <c r="M300"/>
    </row>
    <row r="301" spans="1:13">
      <c r="A301"/>
      <c r="B301"/>
      <c r="C301"/>
      <c r="D301"/>
      <c r="E301"/>
      <c r="F301"/>
      <c r="G301"/>
      <c r="H301"/>
      <c r="I301"/>
      <c r="J301"/>
      <c r="K301"/>
      <c r="L301"/>
      <c r="M301"/>
    </row>
    <row r="302" spans="1:13">
      <c r="A302"/>
      <c r="B302"/>
      <c r="C302"/>
      <c r="D302"/>
      <c r="E302"/>
      <c r="F302"/>
      <c r="G302"/>
      <c r="H302"/>
      <c r="I302"/>
      <c r="J302"/>
      <c r="K302"/>
      <c r="L302"/>
      <c r="M302"/>
    </row>
    <row r="303" spans="1:13">
      <c r="A303"/>
      <c r="B303"/>
      <c r="C303"/>
      <c r="D303"/>
      <c r="E303"/>
      <c r="F303"/>
      <c r="G303"/>
      <c r="H303"/>
      <c r="I303"/>
      <c r="J303"/>
      <c r="K303"/>
      <c r="L303"/>
      <c r="M303"/>
    </row>
    <row r="304" spans="1:13">
      <c r="A304"/>
      <c r="B304"/>
      <c r="C304"/>
      <c r="D304"/>
      <c r="E304"/>
      <c r="F304"/>
      <c r="G304"/>
      <c r="H304"/>
      <c r="I304"/>
      <c r="J304"/>
      <c r="K304"/>
      <c r="L304"/>
      <c r="M304"/>
    </row>
    <row r="305" spans="1:13">
      <c r="A305"/>
      <c r="B305"/>
      <c r="C305"/>
      <c r="D305"/>
      <c r="E305"/>
      <c r="F305"/>
      <c r="G305"/>
      <c r="H305"/>
      <c r="I305"/>
      <c r="J305"/>
      <c r="K305"/>
      <c r="L305"/>
      <c r="M305"/>
    </row>
    <row r="306" spans="1:13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07" spans="1:13">
      <c r="A307"/>
      <c r="B307"/>
      <c r="C307"/>
      <c r="D307"/>
      <c r="E307"/>
      <c r="F307"/>
      <c r="G307"/>
      <c r="H307"/>
      <c r="I307"/>
      <c r="J307"/>
      <c r="K307"/>
      <c r="L307"/>
      <c r="M307"/>
    </row>
    <row r="308" spans="1:13">
      <c r="A308"/>
      <c r="B308"/>
      <c r="C308"/>
      <c r="D308"/>
      <c r="E308"/>
      <c r="F308"/>
      <c r="G308"/>
      <c r="H308"/>
      <c r="I308"/>
      <c r="J308"/>
      <c r="K308"/>
      <c r="L308"/>
      <c r="M308"/>
    </row>
    <row r="309" spans="1:13">
      <c r="A309"/>
      <c r="B309"/>
      <c r="C309"/>
      <c r="D309"/>
      <c r="E309"/>
      <c r="F309"/>
      <c r="G309"/>
      <c r="H309"/>
      <c r="I309"/>
      <c r="J309"/>
      <c r="K309"/>
      <c r="L309"/>
      <c r="M309"/>
    </row>
    <row r="310" spans="1:13">
      <c r="A310"/>
      <c r="B310"/>
      <c r="C310"/>
      <c r="D310"/>
      <c r="E310"/>
      <c r="F310"/>
      <c r="G310"/>
      <c r="H310"/>
      <c r="I310"/>
      <c r="J310"/>
      <c r="K310"/>
      <c r="L310"/>
      <c r="M310"/>
    </row>
    <row r="311" spans="1:13">
      <c r="A311"/>
      <c r="B311"/>
      <c r="C311"/>
      <c r="D311"/>
      <c r="E311"/>
      <c r="F311"/>
      <c r="G311"/>
      <c r="H311"/>
      <c r="I311"/>
      <c r="J311"/>
      <c r="K311"/>
      <c r="L311"/>
      <c r="M311"/>
    </row>
    <row r="312" spans="1:13">
      <c r="A312"/>
      <c r="B312"/>
      <c r="C312"/>
      <c r="D312"/>
      <c r="E312"/>
      <c r="F312"/>
      <c r="G312"/>
      <c r="H312"/>
      <c r="I312"/>
      <c r="J312"/>
      <c r="K312"/>
      <c r="L312"/>
      <c r="M312"/>
    </row>
    <row r="313" spans="1:13">
      <c r="A313"/>
      <c r="B313"/>
      <c r="C313"/>
      <c r="D313"/>
      <c r="E313"/>
      <c r="F313"/>
      <c r="G313"/>
      <c r="H313"/>
      <c r="I313"/>
      <c r="J313"/>
      <c r="K313"/>
      <c r="L313"/>
      <c r="M313"/>
    </row>
    <row r="314" spans="1:13">
      <c r="A314"/>
      <c r="B314"/>
      <c r="C314"/>
      <c r="D314"/>
      <c r="E314"/>
      <c r="F314"/>
      <c r="G314"/>
      <c r="H314"/>
      <c r="I314"/>
      <c r="J314"/>
      <c r="K314"/>
      <c r="L314"/>
      <c r="M314"/>
    </row>
    <row r="315" spans="1:13">
      <c r="A315"/>
      <c r="B315"/>
      <c r="C315"/>
      <c r="D315"/>
      <c r="E315"/>
      <c r="F315"/>
      <c r="G315"/>
      <c r="H315"/>
      <c r="I315"/>
      <c r="J315"/>
      <c r="K315"/>
      <c r="L315"/>
      <c r="M315"/>
    </row>
    <row r="316" spans="1:13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17" spans="1:13">
      <c r="A317"/>
      <c r="B317"/>
      <c r="C317"/>
      <c r="D317"/>
      <c r="E317"/>
      <c r="F317"/>
      <c r="G317"/>
      <c r="H317"/>
      <c r="I317"/>
      <c r="J317"/>
      <c r="K317"/>
      <c r="L317"/>
      <c r="M317"/>
    </row>
    <row r="318" spans="1:13">
      <c r="A318"/>
      <c r="B318"/>
      <c r="C318"/>
      <c r="D318"/>
      <c r="E318"/>
      <c r="F318"/>
      <c r="G318"/>
      <c r="H318"/>
      <c r="I318"/>
      <c r="J318"/>
      <c r="K318"/>
      <c r="L318"/>
      <c r="M318"/>
    </row>
    <row r="319" spans="1:13">
      <c r="A319"/>
      <c r="B319"/>
      <c r="C319"/>
      <c r="D319"/>
      <c r="E319"/>
      <c r="F319"/>
      <c r="G319"/>
      <c r="H319"/>
      <c r="I319"/>
      <c r="J319"/>
      <c r="K319"/>
      <c r="L319"/>
      <c r="M319"/>
    </row>
    <row r="320" spans="1:13">
      <c r="A320"/>
      <c r="B320"/>
      <c r="C320"/>
      <c r="D320"/>
      <c r="E320"/>
      <c r="F320"/>
      <c r="G320"/>
      <c r="H320"/>
      <c r="I320"/>
      <c r="J320"/>
      <c r="K320"/>
      <c r="L320"/>
      <c r="M320"/>
    </row>
    <row r="321" spans="1:13">
      <c r="A321"/>
      <c r="B321"/>
      <c r="C321"/>
      <c r="D321"/>
      <c r="E321"/>
      <c r="F321"/>
      <c r="G321"/>
      <c r="H321"/>
      <c r="I321"/>
      <c r="J321"/>
      <c r="K321"/>
      <c r="L321"/>
      <c r="M321"/>
    </row>
    <row r="322" spans="1:13">
      <c r="A322"/>
      <c r="B322"/>
      <c r="C322"/>
      <c r="D322"/>
      <c r="E322"/>
      <c r="F322"/>
      <c r="G322"/>
      <c r="H322"/>
      <c r="I322"/>
      <c r="J322"/>
      <c r="K322"/>
      <c r="L322"/>
      <c r="M322"/>
    </row>
    <row r="323" spans="1:13">
      <c r="A323"/>
      <c r="B323"/>
      <c r="C323"/>
      <c r="D323"/>
      <c r="E323"/>
      <c r="F323"/>
      <c r="G323"/>
      <c r="H323"/>
      <c r="I323"/>
      <c r="J323"/>
      <c r="K323"/>
      <c r="L323"/>
      <c r="M323"/>
    </row>
    <row r="324" spans="1:13">
      <c r="A324"/>
      <c r="B324"/>
      <c r="C324"/>
      <c r="D324"/>
      <c r="E324"/>
      <c r="F324"/>
      <c r="G324"/>
      <c r="H324"/>
      <c r="I324"/>
      <c r="J324"/>
      <c r="K324"/>
      <c r="L324"/>
      <c r="M324"/>
    </row>
    <row r="325" spans="1:13">
      <c r="A325"/>
      <c r="B325"/>
      <c r="C325"/>
      <c r="D325"/>
      <c r="E325"/>
      <c r="F325"/>
      <c r="G325"/>
      <c r="H325"/>
      <c r="I325"/>
      <c r="J325"/>
      <c r="K325"/>
      <c r="L325"/>
      <c r="M325"/>
    </row>
    <row r="326" spans="1:13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27" spans="1:13">
      <c r="A327"/>
      <c r="B327"/>
      <c r="C327"/>
      <c r="D327"/>
      <c r="E327"/>
      <c r="F327"/>
      <c r="G327"/>
      <c r="H327"/>
      <c r="I327"/>
      <c r="J327"/>
      <c r="K327"/>
      <c r="L327"/>
      <c r="M327"/>
    </row>
    <row r="328" spans="1:13">
      <c r="A328"/>
      <c r="B328"/>
      <c r="C328"/>
      <c r="D328"/>
      <c r="E328"/>
      <c r="F328"/>
      <c r="G328"/>
      <c r="H328"/>
      <c r="I328"/>
      <c r="J328"/>
      <c r="K328"/>
      <c r="L328"/>
      <c r="M328"/>
    </row>
    <row r="329" spans="1:13">
      <c r="A329"/>
      <c r="B329"/>
      <c r="C329"/>
      <c r="D329"/>
      <c r="E329"/>
      <c r="F329"/>
      <c r="G329"/>
      <c r="H329"/>
      <c r="I329"/>
      <c r="J329"/>
      <c r="K329"/>
      <c r="L329"/>
      <c r="M329"/>
    </row>
    <row r="330" spans="1:13">
      <c r="A330"/>
      <c r="B330"/>
      <c r="C330"/>
      <c r="D330"/>
      <c r="E330"/>
      <c r="F330"/>
      <c r="G330"/>
      <c r="H330"/>
      <c r="I330"/>
      <c r="J330"/>
      <c r="K330"/>
      <c r="L330"/>
      <c r="M330"/>
    </row>
    <row r="331" spans="1:13">
      <c r="A331"/>
      <c r="B331"/>
      <c r="C331"/>
      <c r="D331"/>
      <c r="E331"/>
      <c r="F331"/>
      <c r="G331"/>
      <c r="H331"/>
      <c r="I331"/>
      <c r="J331"/>
      <c r="K331"/>
      <c r="L331"/>
      <c r="M331"/>
    </row>
    <row r="332" spans="1:13">
      <c r="A332"/>
      <c r="B332"/>
      <c r="C332"/>
      <c r="D332"/>
      <c r="E332"/>
      <c r="F332"/>
      <c r="G332"/>
      <c r="H332"/>
      <c r="I332"/>
      <c r="J332"/>
      <c r="K332"/>
      <c r="L332"/>
      <c r="M332"/>
    </row>
    <row r="333" spans="1:13">
      <c r="A333"/>
      <c r="B333"/>
      <c r="C333"/>
      <c r="D333"/>
      <c r="E333"/>
      <c r="F333"/>
      <c r="G333"/>
      <c r="H333"/>
      <c r="I333"/>
      <c r="J333"/>
      <c r="K333"/>
      <c r="L333"/>
      <c r="M333"/>
    </row>
    <row r="334" spans="1:13">
      <c r="A334"/>
      <c r="B334"/>
      <c r="C334"/>
      <c r="D334"/>
      <c r="E334"/>
      <c r="F334"/>
      <c r="G334"/>
      <c r="H334"/>
      <c r="I334"/>
      <c r="J334"/>
      <c r="K334"/>
      <c r="L334"/>
      <c r="M334"/>
    </row>
    <row r="335" spans="1:13">
      <c r="A335"/>
      <c r="B335"/>
      <c r="C335"/>
      <c r="D335"/>
      <c r="E335"/>
      <c r="F335"/>
      <c r="G335"/>
      <c r="H335"/>
      <c r="I335"/>
      <c r="J335"/>
      <c r="K335"/>
      <c r="L335"/>
      <c r="M335"/>
    </row>
    <row r="336" spans="1:13">
      <c r="A336"/>
      <c r="B336"/>
      <c r="C336"/>
      <c r="D336"/>
      <c r="E336"/>
      <c r="F336"/>
      <c r="G336"/>
      <c r="H336"/>
      <c r="I336"/>
      <c r="J336"/>
      <c r="K336"/>
      <c r="L336"/>
      <c r="M336"/>
    </row>
    <row r="337" spans="1:13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38" spans="1:13">
      <c r="A338"/>
      <c r="B338"/>
      <c r="C338"/>
      <c r="D338"/>
      <c r="E338"/>
      <c r="F338"/>
      <c r="G338"/>
      <c r="H338"/>
      <c r="I338"/>
      <c r="J338"/>
      <c r="K338"/>
      <c r="L338"/>
      <c r="M338"/>
    </row>
    <row r="339" spans="1:13">
      <c r="A339"/>
      <c r="B339"/>
      <c r="C339"/>
      <c r="D339"/>
      <c r="E339"/>
      <c r="F339"/>
      <c r="G339"/>
      <c r="H339"/>
      <c r="I339"/>
      <c r="J339"/>
      <c r="K339"/>
      <c r="L339"/>
      <c r="M339"/>
    </row>
    <row r="340" spans="1:13">
      <c r="A340"/>
      <c r="B340"/>
      <c r="C340"/>
      <c r="D340"/>
      <c r="E340"/>
      <c r="F340"/>
      <c r="G340"/>
      <c r="H340"/>
      <c r="I340"/>
      <c r="J340"/>
      <c r="K340"/>
      <c r="L340"/>
      <c r="M340"/>
    </row>
    <row r="341" spans="1:13">
      <c r="A341"/>
      <c r="B341"/>
      <c r="C341"/>
      <c r="D341"/>
      <c r="E341"/>
      <c r="F341"/>
      <c r="G341"/>
      <c r="H341"/>
      <c r="I341"/>
      <c r="J341"/>
      <c r="K341"/>
      <c r="L341"/>
      <c r="M341"/>
    </row>
    <row r="342" spans="1:13">
      <c r="A342"/>
      <c r="B342"/>
      <c r="C342"/>
      <c r="D342"/>
      <c r="E342"/>
      <c r="F342"/>
      <c r="G342"/>
      <c r="H342"/>
      <c r="I342"/>
      <c r="J342"/>
      <c r="K342"/>
      <c r="L342"/>
      <c r="M342"/>
    </row>
    <row r="343" spans="1:13">
      <c r="A343"/>
      <c r="B343"/>
      <c r="C343"/>
      <c r="D343"/>
      <c r="E343"/>
      <c r="F343"/>
      <c r="G343"/>
      <c r="H343"/>
      <c r="I343"/>
      <c r="J343"/>
      <c r="K343"/>
      <c r="L343"/>
      <c r="M343"/>
    </row>
    <row r="344" spans="1:13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45" spans="1:13">
      <c r="A345"/>
      <c r="B345"/>
      <c r="C345"/>
      <c r="D345"/>
      <c r="E345"/>
      <c r="F345"/>
      <c r="G345"/>
      <c r="H345"/>
      <c r="I345"/>
      <c r="J345"/>
      <c r="K345"/>
      <c r="L345"/>
      <c r="M345"/>
    </row>
    <row r="346" spans="1:13">
      <c r="A346"/>
      <c r="B346"/>
      <c r="C346"/>
      <c r="D346"/>
      <c r="E346"/>
      <c r="F346"/>
      <c r="G346"/>
      <c r="H346"/>
      <c r="I346"/>
      <c r="J346"/>
      <c r="K346"/>
      <c r="L346"/>
      <c r="M346"/>
    </row>
    <row r="347" spans="1:13">
      <c r="A347"/>
      <c r="B347"/>
      <c r="C347"/>
      <c r="D347"/>
      <c r="E347"/>
      <c r="F347"/>
      <c r="G347"/>
      <c r="H347"/>
      <c r="I347"/>
      <c r="J347"/>
      <c r="K347"/>
      <c r="L347"/>
      <c r="M347"/>
    </row>
    <row r="348" spans="1:13">
      <c r="A348"/>
      <c r="B348"/>
      <c r="C348"/>
      <c r="D348"/>
      <c r="E348"/>
      <c r="F348"/>
      <c r="G348"/>
      <c r="H348"/>
      <c r="I348"/>
      <c r="J348"/>
      <c r="K348"/>
      <c r="L348"/>
      <c r="M348"/>
    </row>
    <row r="349" spans="1:13">
      <c r="A349"/>
      <c r="B349"/>
      <c r="C349"/>
      <c r="D349"/>
      <c r="E349"/>
      <c r="F349"/>
      <c r="G349"/>
      <c r="H349"/>
      <c r="I349"/>
      <c r="J349"/>
      <c r="K349"/>
      <c r="L349"/>
      <c r="M349"/>
    </row>
    <row r="350" spans="1:13">
      <c r="A350"/>
      <c r="B350"/>
      <c r="C350"/>
      <c r="D350"/>
      <c r="E350"/>
      <c r="F350"/>
      <c r="G350"/>
      <c r="H350"/>
      <c r="I350"/>
      <c r="J350"/>
      <c r="K350"/>
      <c r="L350"/>
      <c r="M350"/>
    </row>
    <row r="351" spans="1:13">
      <c r="A351"/>
      <c r="B351"/>
      <c r="C351"/>
      <c r="D351"/>
      <c r="E351"/>
      <c r="F351"/>
      <c r="G351"/>
      <c r="H351"/>
      <c r="I351"/>
      <c r="J351"/>
      <c r="K351"/>
      <c r="L351"/>
      <c r="M351"/>
    </row>
    <row r="352" spans="1:13">
      <c r="A352"/>
      <c r="B352"/>
      <c r="C352"/>
      <c r="D352"/>
      <c r="E352"/>
      <c r="F352"/>
      <c r="G352"/>
      <c r="H352"/>
      <c r="I352"/>
      <c r="J352"/>
      <c r="K352"/>
      <c r="L352"/>
      <c r="M352"/>
    </row>
    <row r="353" spans="1:13">
      <c r="A353"/>
      <c r="B353"/>
      <c r="C353"/>
      <c r="D353"/>
      <c r="E353"/>
      <c r="F353"/>
      <c r="G353"/>
      <c r="H353"/>
      <c r="I353"/>
      <c r="J353"/>
      <c r="K353"/>
      <c r="L353"/>
      <c r="M353"/>
    </row>
    <row r="354" spans="1:13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56" spans="1:13">
      <c r="A356"/>
      <c r="B356"/>
      <c r="C356"/>
      <c r="D356"/>
      <c r="E356"/>
      <c r="F356"/>
      <c r="G356"/>
      <c r="H356"/>
      <c r="I356"/>
      <c r="J356"/>
      <c r="K356"/>
      <c r="L356"/>
      <c r="M356"/>
    </row>
    <row r="357" spans="1:13">
      <c r="A357"/>
      <c r="B357"/>
      <c r="C357"/>
      <c r="D357"/>
      <c r="E357"/>
      <c r="F357"/>
      <c r="G357"/>
      <c r="H357"/>
      <c r="I357"/>
      <c r="J357"/>
      <c r="K357"/>
      <c r="L357"/>
      <c r="M357"/>
    </row>
    <row r="358" spans="1:13">
      <c r="A358"/>
      <c r="B358"/>
      <c r="C358"/>
      <c r="D358"/>
      <c r="E358"/>
      <c r="F358"/>
      <c r="G358"/>
      <c r="H358"/>
      <c r="I358"/>
      <c r="J358"/>
      <c r="K358"/>
      <c r="L358"/>
      <c r="M358"/>
    </row>
    <row r="359" spans="1:13">
      <c r="A359"/>
      <c r="B359"/>
      <c r="C359"/>
      <c r="D359"/>
      <c r="E359"/>
      <c r="F359"/>
      <c r="G359"/>
      <c r="H359"/>
      <c r="I359"/>
      <c r="J359"/>
      <c r="K359"/>
      <c r="L359"/>
      <c r="M359"/>
    </row>
    <row r="360" spans="1:13">
      <c r="A360"/>
      <c r="B360"/>
      <c r="C360"/>
      <c r="D360"/>
      <c r="E360"/>
      <c r="F360"/>
      <c r="G360"/>
      <c r="H360"/>
      <c r="I360"/>
      <c r="J360"/>
      <c r="K360"/>
      <c r="L360"/>
      <c r="M360"/>
    </row>
    <row r="361" spans="1:13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63" spans="1:13">
      <c r="A363"/>
      <c r="B363"/>
      <c r="C363"/>
      <c r="D363"/>
      <c r="E363"/>
      <c r="F363"/>
      <c r="G363"/>
      <c r="H363"/>
      <c r="I363"/>
      <c r="J363"/>
      <c r="K363"/>
      <c r="L363"/>
      <c r="M363"/>
    </row>
    <row r="364" spans="1:13">
      <c r="A364"/>
      <c r="B364"/>
      <c r="C364"/>
      <c r="D364"/>
      <c r="E364"/>
      <c r="F364"/>
      <c r="G364"/>
      <c r="H364"/>
      <c r="I364"/>
      <c r="J364"/>
      <c r="K364"/>
      <c r="L364"/>
      <c r="M364"/>
    </row>
    <row r="365" spans="1:13">
      <c r="A365"/>
      <c r="B365"/>
      <c r="C365"/>
      <c r="D365"/>
      <c r="E365"/>
      <c r="F365"/>
      <c r="G365"/>
      <c r="H365"/>
      <c r="I365"/>
      <c r="J365"/>
      <c r="K365"/>
      <c r="L365"/>
      <c r="M365"/>
    </row>
    <row r="366" spans="1:13">
      <c r="A366"/>
      <c r="B366"/>
      <c r="C366"/>
      <c r="D366"/>
      <c r="E366"/>
      <c r="F366"/>
      <c r="G366"/>
      <c r="H366"/>
      <c r="I366"/>
      <c r="J366"/>
      <c r="K366"/>
      <c r="L366"/>
      <c r="M366"/>
    </row>
    <row r="367" spans="1:13">
      <c r="A367"/>
      <c r="B367"/>
      <c r="C367"/>
      <c r="D367"/>
      <c r="E367"/>
      <c r="F367"/>
      <c r="G367"/>
      <c r="H367"/>
      <c r="I367"/>
      <c r="J367"/>
      <c r="K367"/>
      <c r="L367"/>
      <c r="M367"/>
    </row>
    <row r="368" spans="1:13">
      <c r="A368"/>
      <c r="B368"/>
      <c r="C368"/>
      <c r="D368"/>
      <c r="E368"/>
      <c r="F368"/>
      <c r="G368"/>
      <c r="H368"/>
      <c r="I368"/>
      <c r="J368"/>
      <c r="K368"/>
      <c r="L368"/>
      <c r="M368"/>
    </row>
    <row r="369" spans="1:13">
      <c r="A369"/>
      <c r="B369"/>
      <c r="C369"/>
      <c r="D369"/>
      <c r="E369"/>
      <c r="F369"/>
      <c r="G369"/>
      <c r="H369"/>
      <c r="I369"/>
      <c r="J369"/>
      <c r="K369"/>
      <c r="L369"/>
      <c r="M369"/>
    </row>
    <row r="370" spans="1:13">
      <c r="A370"/>
      <c r="B370"/>
      <c r="C370"/>
      <c r="D370"/>
      <c r="E370"/>
      <c r="F370"/>
      <c r="G370"/>
      <c r="H370"/>
      <c r="I370"/>
      <c r="J370"/>
      <c r="K370"/>
      <c r="L370"/>
      <c r="M370"/>
    </row>
    <row r="371" spans="1:13">
      <c r="A371"/>
      <c r="B371"/>
      <c r="C371"/>
      <c r="D371"/>
      <c r="E371"/>
      <c r="F371"/>
      <c r="G371"/>
      <c r="H371"/>
      <c r="I371"/>
      <c r="J371"/>
      <c r="K371"/>
      <c r="L371"/>
      <c r="M371"/>
    </row>
    <row r="372" spans="1:13">
      <c r="A372"/>
      <c r="B372"/>
      <c r="C372"/>
      <c r="D372"/>
      <c r="E372"/>
      <c r="F372"/>
      <c r="G372"/>
      <c r="H372"/>
      <c r="I372"/>
      <c r="J372"/>
      <c r="K372"/>
      <c r="L372"/>
      <c r="M372"/>
    </row>
    <row r="373" spans="1:13">
      <c r="A373"/>
      <c r="B373"/>
      <c r="C373"/>
      <c r="D373"/>
      <c r="E373"/>
      <c r="F373"/>
      <c r="G373"/>
      <c r="H373"/>
      <c r="I373"/>
      <c r="J373"/>
      <c r="K373"/>
      <c r="L373"/>
      <c r="M373"/>
    </row>
    <row r="374" spans="1:13">
      <c r="A374"/>
      <c r="B374"/>
      <c r="C374"/>
      <c r="D374"/>
      <c r="E374"/>
      <c r="F374"/>
      <c r="G374"/>
      <c r="H374"/>
      <c r="I374"/>
      <c r="J374"/>
      <c r="K374"/>
      <c r="L374"/>
      <c r="M374"/>
    </row>
    <row r="375" spans="1:13">
      <c r="A375"/>
      <c r="B375"/>
      <c r="C375"/>
      <c r="D375"/>
      <c r="E375"/>
      <c r="F375"/>
      <c r="G375"/>
      <c r="H375"/>
      <c r="I375"/>
      <c r="J375"/>
      <c r="K375"/>
      <c r="L375"/>
      <c r="M375"/>
    </row>
    <row r="376" spans="1:13">
      <c r="A376"/>
      <c r="B376"/>
      <c r="C376"/>
      <c r="D376"/>
      <c r="E376"/>
      <c r="F376"/>
      <c r="G376"/>
      <c r="H376"/>
      <c r="I376"/>
      <c r="J376"/>
      <c r="K376"/>
      <c r="L376"/>
      <c r="M376"/>
    </row>
    <row r="377" spans="1:13">
      <c r="A377"/>
      <c r="B377"/>
      <c r="C377"/>
      <c r="D377"/>
      <c r="E377"/>
      <c r="F377"/>
      <c r="G377"/>
      <c r="H377"/>
      <c r="I377"/>
      <c r="J377"/>
      <c r="K377"/>
      <c r="L377"/>
      <c r="M377"/>
    </row>
    <row r="378" spans="1:13">
      <c r="A378"/>
      <c r="B378"/>
      <c r="C378"/>
      <c r="D378"/>
      <c r="E378"/>
      <c r="F378"/>
      <c r="G378"/>
      <c r="H378"/>
      <c r="I378"/>
      <c r="J378"/>
      <c r="K378"/>
      <c r="L378"/>
      <c r="M378"/>
    </row>
    <row r="379" spans="1:13">
      <c r="A379"/>
      <c r="B379"/>
      <c r="C379"/>
      <c r="D379"/>
      <c r="E379"/>
      <c r="F379"/>
      <c r="G379"/>
      <c r="H379"/>
      <c r="I379"/>
      <c r="J379"/>
      <c r="K379"/>
      <c r="L379"/>
      <c r="M379"/>
    </row>
    <row r="380" spans="1:13">
      <c r="A380"/>
      <c r="B380"/>
      <c r="C380"/>
      <c r="D380"/>
      <c r="E380"/>
      <c r="F380"/>
      <c r="G380"/>
      <c r="H380"/>
      <c r="I380"/>
      <c r="J380"/>
      <c r="K380"/>
      <c r="L380"/>
      <c r="M380"/>
    </row>
    <row r="381" spans="1:13">
      <c r="A381"/>
      <c r="B381"/>
      <c r="C381"/>
      <c r="D381"/>
      <c r="E381"/>
      <c r="F381"/>
      <c r="G381"/>
      <c r="H381"/>
      <c r="I381"/>
      <c r="J381"/>
      <c r="K381"/>
      <c r="L381"/>
      <c r="M381"/>
    </row>
    <row r="382" spans="1:13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84" spans="1:13">
      <c r="A384"/>
      <c r="B384"/>
      <c r="C384"/>
      <c r="D384"/>
      <c r="E384"/>
      <c r="F384"/>
      <c r="G384"/>
      <c r="H384"/>
      <c r="I384"/>
      <c r="J384"/>
      <c r="K384"/>
      <c r="L384"/>
      <c r="M384"/>
    </row>
    <row r="385" spans="1:13">
      <c r="A385"/>
      <c r="B385"/>
      <c r="C385"/>
      <c r="D385"/>
      <c r="E385"/>
      <c r="F385"/>
      <c r="G385"/>
      <c r="H385"/>
      <c r="I385"/>
      <c r="J385"/>
      <c r="K385"/>
      <c r="L385"/>
      <c r="M385"/>
    </row>
    <row r="386" spans="1:13">
      <c r="A386"/>
      <c r="B386"/>
      <c r="C386"/>
      <c r="D386"/>
      <c r="E386"/>
      <c r="F386"/>
      <c r="G386"/>
      <c r="H386"/>
      <c r="I386"/>
      <c r="J386"/>
      <c r="K386"/>
      <c r="L386"/>
      <c r="M386"/>
    </row>
    <row r="387" spans="1:13">
      <c r="A387"/>
      <c r="B387"/>
      <c r="C387"/>
      <c r="D387"/>
      <c r="E387"/>
      <c r="F387"/>
      <c r="G387"/>
      <c r="H387"/>
      <c r="I387"/>
      <c r="J387"/>
      <c r="K387"/>
      <c r="L387"/>
      <c r="M387"/>
    </row>
    <row r="388" spans="1:13">
      <c r="A388"/>
      <c r="B388"/>
      <c r="C388"/>
      <c r="D388"/>
      <c r="E388"/>
      <c r="F388"/>
      <c r="G388"/>
      <c r="H388"/>
      <c r="I388"/>
      <c r="J388"/>
      <c r="K388"/>
      <c r="L388"/>
      <c r="M388"/>
    </row>
    <row r="389" spans="1:13">
      <c r="A389"/>
      <c r="B389"/>
      <c r="C389"/>
      <c r="D389"/>
      <c r="E389"/>
      <c r="F389"/>
      <c r="G389"/>
      <c r="H389"/>
      <c r="I389"/>
      <c r="J389"/>
      <c r="K389"/>
      <c r="L389"/>
      <c r="M389"/>
    </row>
    <row r="390" spans="1:13">
      <c r="A390"/>
      <c r="B390"/>
      <c r="C390"/>
      <c r="D390"/>
      <c r="E390"/>
      <c r="F390"/>
      <c r="G390"/>
      <c r="H390"/>
      <c r="I390"/>
      <c r="J390"/>
      <c r="K390"/>
      <c r="L390"/>
      <c r="M390"/>
    </row>
    <row r="391" spans="1:13">
      <c r="A391"/>
      <c r="B391"/>
      <c r="C391"/>
      <c r="D391"/>
      <c r="E391"/>
      <c r="F391"/>
      <c r="G391"/>
      <c r="H391"/>
      <c r="I391"/>
      <c r="J391"/>
      <c r="K391"/>
      <c r="L391"/>
      <c r="M391"/>
    </row>
    <row r="392" spans="1:13">
      <c r="A392"/>
      <c r="B392"/>
      <c r="C392"/>
      <c r="D392"/>
      <c r="E392"/>
      <c r="F392"/>
      <c r="G392"/>
      <c r="H392"/>
      <c r="I392"/>
      <c r="J392"/>
      <c r="K392"/>
      <c r="L392"/>
      <c r="M392"/>
    </row>
    <row r="393" spans="1:13">
      <c r="A393"/>
      <c r="B393"/>
      <c r="C393"/>
      <c r="D393"/>
      <c r="E393"/>
      <c r="F393"/>
      <c r="G393"/>
      <c r="H393"/>
      <c r="I393"/>
      <c r="J393"/>
      <c r="K393"/>
      <c r="L393"/>
      <c r="M393"/>
    </row>
    <row r="394" spans="1:13">
      <c r="A394"/>
      <c r="B394"/>
      <c r="C394"/>
      <c r="D394"/>
      <c r="E394"/>
      <c r="F394"/>
      <c r="G394"/>
      <c r="H394"/>
      <c r="I394"/>
      <c r="J394"/>
      <c r="K394"/>
      <c r="L394"/>
      <c r="M394"/>
    </row>
    <row r="395" spans="1:13">
      <c r="A395"/>
      <c r="B395"/>
      <c r="C395"/>
      <c r="D395"/>
      <c r="E395"/>
      <c r="F395"/>
      <c r="G395"/>
      <c r="H395"/>
      <c r="I395"/>
      <c r="J395"/>
      <c r="K395"/>
      <c r="L395"/>
      <c r="M395"/>
    </row>
    <row r="396" spans="1:13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>
      <c r="A443"/>
      <c r="B443"/>
      <c r="C443"/>
      <c r="D443"/>
      <c r="E443"/>
      <c r="F443"/>
      <c r="G443"/>
      <c r="H443"/>
      <c r="I443"/>
      <c r="J443"/>
      <c r="K443"/>
      <c r="L443"/>
      <c r="M443"/>
    </row>
    <row r="444" spans="1:13">
      <c r="A444"/>
      <c r="B444"/>
      <c r="C444"/>
      <c r="D444"/>
      <c r="E444"/>
      <c r="F444"/>
      <c r="G444"/>
      <c r="H444"/>
      <c r="I444"/>
      <c r="J444"/>
      <c r="K444"/>
      <c r="L444"/>
      <c r="M444"/>
    </row>
    <row r="445" spans="1:13">
      <c r="A445"/>
      <c r="B445"/>
      <c r="C445"/>
      <c r="D445"/>
      <c r="E445"/>
      <c r="F445"/>
      <c r="G445"/>
      <c r="H445"/>
      <c r="I445"/>
      <c r="J445"/>
      <c r="K445"/>
      <c r="L445"/>
      <c r="M445"/>
    </row>
    <row r="446" spans="1:13">
      <c r="A446"/>
      <c r="B446"/>
      <c r="C446"/>
      <c r="D446"/>
      <c r="E446"/>
      <c r="F446"/>
      <c r="G446"/>
      <c r="H446"/>
      <c r="I446"/>
      <c r="J446"/>
      <c r="K446"/>
      <c r="L446"/>
      <c r="M446"/>
    </row>
    <row r="447" spans="1:13">
      <c r="A447"/>
      <c r="B447"/>
      <c r="C447"/>
      <c r="D447"/>
      <c r="E447"/>
      <c r="F447"/>
      <c r="G447"/>
      <c r="H447"/>
      <c r="I447"/>
      <c r="J447"/>
      <c r="K447"/>
      <c r="L447"/>
      <c r="M447"/>
    </row>
    <row r="448" spans="1:13">
      <c r="A448"/>
      <c r="B448"/>
      <c r="C448"/>
      <c r="D448"/>
      <c r="E448"/>
      <c r="F448"/>
      <c r="G448"/>
      <c r="H448"/>
      <c r="I448"/>
      <c r="J448"/>
      <c r="K448"/>
      <c r="L448"/>
      <c r="M448"/>
    </row>
    <row r="449" spans="1:13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0" spans="1:13">
      <c r="A450"/>
      <c r="B450"/>
      <c r="C450"/>
      <c r="D450"/>
      <c r="E450"/>
      <c r="F450"/>
      <c r="G450"/>
      <c r="H450"/>
      <c r="I450"/>
      <c r="J450"/>
      <c r="K450"/>
      <c r="L450"/>
      <c r="M450"/>
    </row>
    <row r="451" spans="1:13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2" spans="1:13">
      <c r="A452"/>
      <c r="B452"/>
      <c r="C452"/>
      <c r="D452"/>
      <c r="E452"/>
      <c r="F452"/>
      <c r="G452"/>
      <c r="H452"/>
      <c r="I452"/>
      <c r="J452"/>
      <c r="K452"/>
      <c r="L452"/>
      <c r="M452"/>
    </row>
    <row r="453" spans="1:13">
      <c r="A453"/>
      <c r="B453"/>
      <c r="C453"/>
      <c r="D453"/>
      <c r="E453"/>
      <c r="F453"/>
      <c r="G453"/>
      <c r="H453"/>
      <c r="I453"/>
      <c r="J453"/>
      <c r="K453"/>
      <c r="L453"/>
      <c r="M453"/>
    </row>
    <row r="454" spans="1:13">
      <c r="A454"/>
      <c r="B454"/>
      <c r="C454"/>
      <c r="D454"/>
      <c r="E454"/>
      <c r="F454"/>
      <c r="G454"/>
      <c r="H454"/>
      <c r="I454"/>
      <c r="J454"/>
      <c r="K454"/>
      <c r="L454"/>
      <c r="M454"/>
    </row>
    <row r="455" spans="1:13">
      <c r="A455"/>
      <c r="B455"/>
      <c r="C455"/>
      <c r="D455"/>
      <c r="E455"/>
      <c r="F455"/>
      <c r="G455"/>
      <c r="H455"/>
      <c r="I455"/>
      <c r="J455"/>
      <c r="K455"/>
      <c r="L455"/>
      <c r="M455"/>
    </row>
    <row r="456" spans="1:13">
      <c r="A456"/>
      <c r="B456"/>
      <c r="C456"/>
      <c r="D456"/>
      <c r="E456"/>
      <c r="F456"/>
      <c r="G456"/>
      <c r="H456"/>
      <c r="I456"/>
      <c r="J456"/>
      <c r="K456"/>
      <c r="L456"/>
      <c r="M456"/>
    </row>
    <row r="457" spans="1:13">
      <c r="A457"/>
      <c r="B457"/>
      <c r="C457"/>
      <c r="D457"/>
      <c r="E457"/>
      <c r="F457"/>
      <c r="G457"/>
      <c r="H457"/>
      <c r="I457"/>
      <c r="J457"/>
      <c r="K457"/>
      <c r="L457"/>
      <c r="M457"/>
    </row>
    <row r="458" spans="1:13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60" spans="1:13">
      <c r="A460"/>
      <c r="B460"/>
      <c r="C460"/>
      <c r="D460"/>
      <c r="E460"/>
      <c r="F460"/>
      <c r="G460"/>
      <c r="H460"/>
      <c r="I460"/>
      <c r="J460"/>
      <c r="K460"/>
      <c r="L460"/>
      <c r="M460"/>
    </row>
    <row r="461" spans="1:13">
      <c r="A461"/>
      <c r="B461"/>
      <c r="C461"/>
      <c r="D461"/>
      <c r="E461"/>
      <c r="F461"/>
      <c r="G461"/>
      <c r="H461"/>
      <c r="I461"/>
      <c r="J461"/>
      <c r="K461"/>
      <c r="L461"/>
      <c r="M461"/>
    </row>
    <row r="462" spans="1:13">
      <c r="A462"/>
      <c r="B462"/>
      <c r="C462"/>
      <c r="D462"/>
      <c r="E462"/>
      <c r="F462"/>
      <c r="G462"/>
      <c r="H462"/>
      <c r="I462"/>
      <c r="J462"/>
      <c r="K462"/>
      <c r="L462"/>
      <c r="M462"/>
    </row>
    <row r="463" spans="1:13">
      <c r="A463"/>
      <c r="B463"/>
      <c r="C463"/>
      <c r="D463"/>
      <c r="E463"/>
      <c r="F463"/>
      <c r="G463"/>
      <c r="H463"/>
      <c r="I463"/>
      <c r="J463"/>
      <c r="K463"/>
      <c r="L463"/>
      <c r="M463"/>
    </row>
    <row r="464" spans="1:13">
      <c r="A464"/>
      <c r="B464"/>
      <c r="C464"/>
      <c r="D464"/>
      <c r="E464"/>
      <c r="F464"/>
      <c r="G464"/>
      <c r="H464"/>
      <c r="I464"/>
      <c r="J464"/>
      <c r="K464"/>
      <c r="L464"/>
      <c r="M464"/>
    </row>
    <row r="465" spans="1:13">
      <c r="A465"/>
      <c r="B465"/>
      <c r="C465"/>
      <c r="D465"/>
      <c r="E465"/>
      <c r="F465"/>
      <c r="G465"/>
      <c r="H465"/>
      <c r="I465"/>
      <c r="J465"/>
      <c r="K465"/>
      <c r="L465"/>
      <c r="M465"/>
    </row>
    <row r="466" spans="1:13">
      <c r="A466"/>
      <c r="B466"/>
      <c r="C466"/>
      <c r="D466"/>
      <c r="E466"/>
      <c r="F466"/>
      <c r="G466"/>
      <c r="H466"/>
      <c r="I466"/>
      <c r="J466"/>
      <c r="K466"/>
      <c r="L466"/>
      <c r="M466"/>
    </row>
    <row r="467" spans="1:13">
      <c r="A467"/>
      <c r="B467"/>
      <c r="C467"/>
      <c r="D467"/>
      <c r="E467"/>
      <c r="F467"/>
      <c r="G467"/>
      <c r="H467"/>
      <c r="I467"/>
      <c r="J467"/>
      <c r="K467"/>
      <c r="L467"/>
      <c r="M467"/>
    </row>
    <row r="468" spans="1:13">
      <c r="A468"/>
      <c r="B468"/>
      <c r="C468"/>
      <c r="D468"/>
      <c r="E468"/>
      <c r="F468"/>
      <c r="G468"/>
      <c r="H468"/>
      <c r="I468"/>
      <c r="J468"/>
      <c r="K468"/>
      <c r="L468"/>
      <c r="M468"/>
    </row>
    <row r="469" spans="1:13">
      <c r="A469"/>
      <c r="B469"/>
      <c r="C469"/>
      <c r="D469"/>
      <c r="E469"/>
      <c r="F469"/>
      <c r="G469"/>
      <c r="H469"/>
      <c r="I469"/>
      <c r="J469"/>
      <c r="K469"/>
      <c r="L469"/>
      <c r="M469"/>
    </row>
    <row r="470" spans="1:13">
      <c r="A470"/>
      <c r="B470"/>
      <c r="C470"/>
      <c r="D470"/>
      <c r="E470"/>
      <c r="F470"/>
      <c r="G470"/>
      <c r="H470"/>
      <c r="I470"/>
      <c r="J470"/>
      <c r="K470"/>
      <c r="L470"/>
      <c r="M470"/>
    </row>
    <row r="471" spans="1:13">
      <c r="A471"/>
      <c r="B471"/>
      <c r="C471"/>
      <c r="D471"/>
      <c r="E471"/>
      <c r="F471"/>
      <c r="G471"/>
      <c r="H471"/>
      <c r="I471"/>
      <c r="J471"/>
      <c r="K471"/>
      <c r="L471"/>
      <c r="M471"/>
    </row>
    <row r="472" spans="1:13">
      <c r="A472"/>
      <c r="B472"/>
      <c r="C472"/>
      <c r="D472"/>
      <c r="E472"/>
      <c r="F472"/>
      <c r="G472"/>
      <c r="H472"/>
      <c r="I472"/>
      <c r="J472"/>
      <c r="K472"/>
      <c r="L472"/>
      <c r="M472"/>
    </row>
    <row r="473" spans="1:13">
      <c r="A473"/>
      <c r="B473"/>
      <c r="C473"/>
      <c r="D473"/>
      <c r="E473"/>
      <c r="F473"/>
      <c r="G473"/>
      <c r="H473"/>
      <c r="I473"/>
      <c r="J473"/>
      <c r="K473"/>
      <c r="L473"/>
      <c r="M473"/>
    </row>
    <row r="474" spans="1:13">
      <c r="A474"/>
      <c r="B474"/>
      <c r="C474"/>
      <c r="D474"/>
      <c r="E474"/>
      <c r="F474"/>
      <c r="G474"/>
      <c r="H474"/>
      <c r="I474"/>
      <c r="J474"/>
      <c r="K474"/>
      <c r="L474"/>
      <c r="M474"/>
    </row>
    <row r="475" spans="1:13">
      <c r="A475"/>
      <c r="B475"/>
      <c r="C475"/>
      <c r="D475"/>
      <c r="E475"/>
      <c r="F475"/>
      <c r="G475"/>
      <c r="H475"/>
      <c r="I475"/>
      <c r="J475"/>
      <c r="K475"/>
      <c r="L475"/>
      <c r="M475"/>
    </row>
    <row r="476" spans="1:13">
      <c r="A476"/>
      <c r="B476"/>
      <c r="C476"/>
      <c r="D476"/>
      <c r="E476"/>
      <c r="F476"/>
      <c r="G476"/>
      <c r="H476"/>
      <c r="I476"/>
      <c r="J476"/>
      <c r="K476"/>
      <c r="L476"/>
      <c r="M476"/>
    </row>
    <row r="477" spans="1:13">
      <c r="A477"/>
      <c r="B477"/>
      <c r="C477"/>
      <c r="D477"/>
      <c r="E477"/>
      <c r="F477"/>
      <c r="G477"/>
      <c r="H477"/>
      <c r="I477"/>
      <c r="J477"/>
      <c r="K477"/>
      <c r="L477"/>
      <c r="M477"/>
    </row>
    <row r="478" spans="1:13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80" spans="1:13">
      <c r="A480"/>
      <c r="B480"/>
      <c r="C480"/>
      <c r="D480"/>
      <c r="E480"/>
      <c r="F480"/>
      <c r="G480"/>
      <c r="H480"/>
      <c r="I480"/>
      <c r="J480"/>
      <c r="K480"/>
      <c r="L480"/>
      <c r="M480"/>
    </row>
    <row r="481" spans="1:13">
      <c r="A481"/>
      <c r="B481"/>
      <c r="C481"/>
      <c r="D481"/>
      <c r="E481"/>
      <c r="F481"/>
      <c r="G481"/>
      <c r="H481"/>
      <c r="I481"/>
      <c r="J481"/>
      <c r="K481"/>
      <c r="L481"/>
      <c r="M481"/>
    </row>
    <row r="482" spans="1:13">
      <c r="A482"/>
      <c r="B482"/>
      <c r="C482"/>
      <c r="D482"/>
      <c r="E482"/>
      <c r="F482"/>
      <c r="G482"/>
      <c r="H482"/>
      <c r="I482"/>
      <c r="J482"/>
      <c r="K482"/>
      <c r="L482"/>
      <c r="M482"/>
    </row>
    <row r="483" spans="1:13">
      <c r="A483"/>
      <c r="B483"/>
      <c r="C483"/>
      <c r="D483"/>
      <c r="E483"/>
      <c r="F483"/>
      <c r="G483"/>
      <c r="H483"/>
      <c r="I483"/>
      <c r="J483"/>
      <c r="K483"/>
      <c r="L483"/>
      <c r="M483"/>
    </row>
    <row r="484" spans="1:13">
      <c r="A484"/>
      <c r="B484"/>
      <c r="C484"/>
      <c r="D484"/>
      <c r="E484"/>
      <c r="F484"/>
      <c r="G484"/>
      <c r="H484"/>
      <c r="I484"/>
      <c r="J484"/>
      <c r="K484"/>
      <c r="L484"/>
      <c r="M484"/>
    </row>
    <row r="485" spans="1:13">
      <c r="A485"/>
      <c r="B485"/>
      <c r="C485"/>
      <c r="D485"/>
      <c r="E485"/>
      <c r="F485"/>
      <c r="G485"/>
      <c r="H485"/>
      <c r="I485"/>
      <c r="J485"/>
      <c r="K485"/>
      <c r="L485"/>
      <c r="M485"/>
    </row>
    <row r="486" spans="1:13">
      <c r="A486"/>
      <c r="B486"/>
      <c r="C486"/>
      <c r="D486"/>
      <c r="E486"/>
      <c r="F486"/>
      <c r="G486"/>
      <c r="H486"/>
      <c r="I486"/>
      <c r="J486"/>
      <c r="K486"/>
      <c r="L486"/>
      <c r="M486"/>
    </row>
    <row r="487" spans="1:13">
      <c r="A487"/>
      <c r="B487"/>
      <c r="C487"/>
      <c r="D487"/>
      <c r="E487"/>
      <c r="F487"/>
      <c r="G487"/>
      <c r="H487"/>
      <c r="I487"/>
      <c r="J487"/>
      <c r="K487"/>
      <c r="L487"/>
      <c r="M487"/>
    </row>
    <row r="488" spans="1:13">
      <c r="A488"/>
      <c r="B488"/>
      <c r="C488"/>
      <c r="D488"/>
      <c r="E488"/>
      <c r="F488"/>
      <c r="G488"/>
      <c r="H488"/>
      <c r="I488"/>
      <c r="J488"/>
      <c r="K488"/>
      <c r="L488"/>
      <c r="M488"/>
    </row>
    <row r="489" spans="1:13">
      <c r="A489"/>
      <c r="B489"/>
      <c r="C489"/>
      <c r="D489"/>
      <c r="E489"/>
      <c r="F489"/>
      <c r="G489"/>
      <c r="H489"/>
      <c r="I489"/>
      <c r="J489"/>
      <c r="K489"/>
      <c r="L489"/>
      <c r="M489"/>
    </row>
    <row r="490" spans="1:13">
      <c r="A490"/>
      <c r="B490"/>
      <c r="C490"/>
      <c r="D490"/>
      <c r="E490"/>
      <c r="F490"/>
      <c r="G490"/>
      <c r="H490"/>
      <c r="I490"/>
      <c r="J490"/>
      <c r="K490"/>
      <c r="L490"/>
      <c r="M490"/>
    </row>
    <row r="491" spans="1:13">
      <c r="A491"/>
      <c r="B491"/>
      <c r="C491"/>
      <c r="D491"/>
      <c r="E491"/>
      <c r="F491"/>
      <c r="G491"/>
      <c r="H491"/>
      <c r="I491"/>
      <c r="J491"/>
      <c r="K491"/>
      <c r="L491"/>
      <c r="M491"/>
    </row>
    <row r="492" spans="1:13">
      <c r="A492"/>
      <c r="B492"/>
      <c r="C492"/>
      <c r="D492"/>
      <c r="E492"/>
      <c r="F492"/>
      <c r="G492"/>
      <c r="H492"/>
      <c r="I492"/>
      <c r="J492"/>
      <c r="K492"/>
      <c r="L492"/>
      <c r="M492"/>
    </row>
    <row r="493" spans="1:13">
      <c r="A493"/>
      <c r="B493"/>
      <c r="C493"/>
      <c r="D493"/>
      <c r="E493"/>
      <c r="F493"/>
      <c r="G493"/>
      <c r="H493"/>
      <c r="I493"/>
      <c r="J493"/>
      <c r="K493"/>
      <c r="L493"/>
      <c r="M493"/>
    </row>
    <row r="494" spans="1:13">
      <c r="A494"/>
      <c r="B494"/>
      <c r="C494"/>
      <c r="D494"/>
      <c r="E494"/>
      <c r="F494"/>
      <c r="G494"/>
      <c r="H494"/>
      <c r="I494"/>
      <c r="J494"/>
      <c r="K494"/>
      <c r="L494"/>
      <c r="M494"/>
    </row>
    <row r="495" spans="1:13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497" spans="1:13">
      <c r="A497"/>
      <c r="B497"/>
      <c r="C497"/>
      <c r="D497"/>
      <c r="E497"/>
      <c r="F497"/>
      <c r="G497"/>
      <c r="H497"/>
      <c r="I497"/>
      <c r="J497"/>
      <c r="K497"/>
      <c r="L497"/>
      <c r="M497"/>
    </row>
    <row r="498" spans="1:13">
      <c r="A498"/>
      <c r="B498"/>
      <c r="C498"/>
      <c r="D498"/>
      <c r="E498"/>
      <c r="F498"/>
      <c r="G498"/>
      <c r="H498"/>
      <c r="I498"/>
      <c r="J498"/>
      <c r="K498"/>
      <c r="L498"/>
      <c r="M498"/>
    </row>
    <row r="499" spans="1:13">
      <c r="A499"/>
      <c r="B499"/>
      <c r="C499"/>
      <c r="D499"/>
      <c r="E499"/>
      <c r="F499"/>
      <c r="G499"/>
      <c r="H499"/>
      <c r="I499"/>
      <c r="J499"/>
      <c r="K499"/>
      <c r="L499"/>
      <c r="M499"/>
    </row>
    <row r="500" spans="1:13">
      <c r="A500"/>
      <c r="B500"/>
      <c r="C500"/>
      <c r="D500"/>
      <c r="E500"/>
      <c r="F500"/>
      <c r="G500"/>
      <c r="H500"/>
      <c r="I500"/>
      <c r="J500"/>
      <c r="K500"/>
      <c r="L500"/>
      <c r="M500"/>
    </row>
    <row r="501" spans="1:13">
      <c r="A501"/>
      <c r="B501"/>
      <c r="C501"/>
      <c r="D501"/>
      <c r="E501"/>
      <c r="F501"/>
      <c r="G501"/>
      <c r="H501"/>
      <c r="I501"/>
      <c r="J501"/>
      <c r="K501"/>
      <c r="L501"/>
      <c r="M501"/>
    </row>
    <row r="502" spans="1:13">
      <c r="A502"/>
      <c r="B502"/>
      <c r="C502"/>
      <c r="D502"/>
      <c r="E502"/>
      <c r="F502"/>
      <c r="G502"/>
      <c r="H502"/>
      <c r="I502"/>
      <c r="J502"/>
      <c r="K502"/>
      <c r="L502"/>
      <c r="M502"/>
    </row>
    <row r="503" spans="1:13">
      <c r="A503"/>
      <c r="B503"/>
      <c r="C503"/>
      <c r="D503"/>
      <c r="E503"/>
      <c r="F503"/>
      <c r="G503"/>
      <c r="H503"/>
      <c r="I503"/>
      <c r="J503"/>
      <c r="K503"/>
      <c r="L503"/>
      <c r="M503"/>
    </row>
    <row r="504" spans="1:13">
      <c r="A504"/>
      <c r="B504"/>
      <c r="C504"/>
      <c r="D504"/>
      <c r="E504"/>
      <c r="F504"/>
      <c r="G504"/>
      <c r="H504"/>
      <c r="I504"/>
      <c r="J504"/>
      <c r="K504"/>
      <c r="L504"/>
      <c r="M504"/>
    </row>
    <row r="505" spans="1:13">
      <c r="A505"/>
      <c r="B505"/>
      <c r="C505"/>
      <c r="D505"/>
      <c r="E505"/>
      <c r="F505"/>
      <c r="G505"/>
      <c r="H505"/>
      <c r="I505"/>
      <c r="J505"/>
      <c r="K505"/>
      <c r="L505"/>
      <c r="M505"/>
    </row>
    <row r="506" spans="1:13">
      <c r="A506"/>
      <c r="B506"/>
      <c r="C506"/>
      <c r="D506"/>
      <c r="E506"/>
      <c r="F506"/>
      <c r="G506"/>
      <c r="H506"/>
      <c r="I506"/>
      <c r="J506"/>
      <c r="K506"/>
      <c r="L506"/>
      <c r="M506"/>
    </row>
    <row r="507" spans="1:13">
      <c r="A507"/>
      <c r="B507"/>
      <c r="C507"/>
      <c r="D507"/>
      <c r="E507"/>
      <c r="F507"/>
      <c r="G507"/>
      <c r="H507"/>
      <c r="I507"/>
      <c r="J507"/>
      <c r="K507"/>
      <c r="L507"/>
      <c r="M507"/>
    </row>
    <row r="508" spans="1:13">
      <c r="A508"/>
      <c r="B508"/>
      <c r="C508"/>
      <c r="D508"/>
      <c r="E508"/>
      <c r="F508"/>
      <c r="G508"/>
      <c r="H508"/>
      <c r="I508"/>
      <c r="J508"/>
      <c r="K508"/>
      <c r="L508"/>
      <c r="M508"/>
    </row>
    <row r="509" spans="1:13">
      <c r="A509"/>
      <c r="B509"/>
      <c r="C509"/>
      <c r="D509"/>
      <c r="E509"/>
      <c r="F509"/>
      <c r="G509"/>
      <c r="H509"/>
      <c r="I509"/>
      <c r="J509"/>
      <c r="K509"/>
      <c r="L509"/>
      <c r="M509"/>
    </row>
    <row r="510" spans="1:13">
      <c r="A510"/>
      <c r="B510"/>
      <c r="C510"/>
      <c r="D510"/>
      <c r="E510"/>
      <c r="F510"/>
      <c r="G510"/>
      <c r="H510"/>
      <c r="I510"/>
      <c r="J510"/>
      <c r="K510"/>
      <c r="L510"/>
      <c r="M510"/>
    </row>
    <row r="511" spans="1:13">
      <c r="A511"/>
      <c r="B511"/>
      <c r="C511"/>
      <c r="D511"/>
      <c r="E511"/>
      <c r="F511"/>
      <c r="G511"/>
      <c r="H511"/>
      <c r="I511"/>
      <c r="J511"/>
      <c r="K511"/>
      <c r="L511"/>
      <c r="M511"/>
    </row>
    <row r="512" spans="1:13">
      <c r="A512"/>
      <c r="B512"/>
      <c r="C512"/>
      <c r="D512"/>
      <c r="E512"/>
      <c r="F512"/>
      <c r="G512"/>
      <c r="H512"/>
      <c r="I512"/>
      <c r="J512"/>
      <c r="K512"/>
      <c r="L512"/>
      <c r="M512"/>
    </row>
    <row r="513" spans="1:13">
      <c r="A513"/>
      <c r="B513"/>
      <c r="C513"/>
      <c r="D513"/>
      <c r="E513"/>
      <c r="F513"/>
      <c r="G513"/>
      <c r="H513"/>
      <c r="I513"/>
      <c r="J513"/>
      <c r="K513"/>
      <c r="L513"/>
      <c r="M513"/>
    </row>
    <row r="514" spans="1:13">
      <c r="A514"/>
      <c r="B514"/>
      <c r="C514"/>
      <c r="D514"/>
      <c r="E514"/>
      <c r="F514"/>
      <c r="G514"/>
      <c r="H514"/>
      <c r="I514"/>
      <c r="J514"/>
      <c r="K514"/>
      <c r="L514"/>
      <c r="M514"/>
    </row>
    <row r="515" spans="1:13">
      <c r="A515"/>
      <c r="B515"/>
      <c r="C515"/>
      <c r="D515"/>
      <c r="E515"/>
      <c r="F515"/>
      <c r="G515"/>
      <c r="H515"/>
      <c r="I515"/>
      <c r="J515"/>
      <c r="K515"/>
      <c r="L515"/>
      <c r="M515"/>
    </row>
    <row r="516" spans="1:13">
      <c r="A516"/>
      <c r="B516"/>
      <c r="C516"/>
      <c r="D516"/>
      <c r="E516"/>
      <c r="F516"/>
      <c r="G516"/>
      <c r="H516"/>
      <c r="I516"/>
      <c r="J516"/>
      <c r="K516"/>
      <c r="L516"/>
      <c r="M516"/>
    </row>
    <row r="517" spans="1:13">
      <c r="A517"/>
      <c r="B517"/>
      <c r="C517"/>
      <c r="D517"/>
      <c r="E517"/>
      <c r="F517"/>
      <c r="G517"/>
      <c r="H517"/>
      <c r="I517"/>
      <c r="J517"/>
      <c r="K517"/>
      <c r="L517"/>
      <c r="M517"/>
    </row>
    <row r="518" spans="1:13">
      <c r="A518"/>
      <c r="B518"/>
      <c r="C518"/>
      <c r="D518"/>
      <c r="E518"/>
      <c r="F518"/>
      <c r="G518"/>
      <c r="H518"/>
      <c r="I518"/>
      <c r="J518"/>
      <c r="K518"/>
      <c r="L518"/>
      <c r="M518"/>
    </row>
    <row r="519" spans="1:13">
      <c r="A519"/>
      <c r="B519"/>
      <c r="C519"/>
      <c r="D519"/>
      <c r="E519"/>
      <c r="F519"/>
      <c r="G519"/>
      <c r="H519"/>
      <c r="I519"/>
      <c r="J519"/>
      <c r="K519"/>
      <c r="L519"/>
      <c r="M519"/>
    </row>
    <row r="520" spans="1:13">
      <c r="A520"/>
      <c r="B520"/>
      <c r="C520"/>
      <c r="D520"/>
      <c r="E520"/>
      <c r="F520"/>
      <c r="G520"/>
      <c r="H520"/>
      <c r="I520"/>
      <c r="J520"/>
      <c r="K520"/>
      <c r="L520"/>
      <c r="M520"/>
    </row>
    <row r="521" spans="1:13">
      <c r="A521"/>
      <c r="B521"/>
      <c r="C521"/>
      <c r="D521"/>
      <c r="E521"/>
      <c r="F521"/>
      <c r="G521"/>
      <c r="H521"/>
      <c r="I521"/>
      <c r="J521"/>
      <c r="K521"/>
      <c r="L521"/>
      <c r="M521"/>
    </row>
    <row r="522" spans="1:13">
      <c r="A522"/>
      <c r="B522"/>
      <c r="C522"/>
      <c r="D522"/>
      <c r="E522"/>
      <c r="F522"/>
      <c r="G522"/>
      <c r="H522"/>
      <c r="I522"/>
      <c r="J522"/>
      <c r="K522"/>
      <c r="L522"/>
      <c r="M522"/>
    </row>
    <row r="523" spans="1:13">
      <c r="A523"/>
      <c r="B523"/>
      <c r="C523"/>
      <c r="D523"/>
      <c r="E523"/>
      <c r="F523"/>
      <c r="G523"/>
      <c r="H523"/>
      <c r="I523"/>
      <c r="J523"/>
      <c r="K523"/>
      <c r="L523"/>
      <c r="M523"/>
    </row>
    <row r="524" spans="1:13">
      <c r="A524"/>
      <c r="B524"/>
      <c r="C524"/>
      <c r="D524"/>
      <c r="E524"/>
      <c r="F524"/>
      <c r="G524"/>
      <c r="H524"/>
      <c r="I524"/>
      <c r="J524"/>
      <c r="K524"/>
      <c r="L524"/>
      <c r="M524"/>
    </row>
    <row r="525" spans="1:13">
      <c r="A525"/>
      <c r="B525"/>
      <c r="C525"/>
      <c r="D525"/>
      <c r="E525"/>
      <c r="F525"/>
      <c r="G525"/>
      <c r="H525"/>
      <c r="I525"/>
      <c r="J525"/>
      <c r="K525"/>
      <c r="L525"/>
      <c r="M525"/>
    </row>
    <row r="526" spans="1:13">
      <c r="A526"/>
      <c r="B526"/>
      <c r="C526"/>
      <c r="D526"/>
      <c r="E526"/>
      <c r="F526"/>
      <c r="G526"/>
      <c r="H526"/>
      <c r="I526"/>
      <c r="J526"/>
      <c r="K526"/>
      <c r="L526"/>
      <c r="M526"/>
    </row>
    <row r="527" spans="1:13">
      <c r="A527"/>
      <c r="B527"/>
      <c r="C527"/>
      <c r="D527"/>
      <c r="E527"/>
      <c r="F527"/>
      <c r="G527"/>
      <c r="H527"/>
      <c r="I527"/>
      <c r="J527"/>
      <c r="K527"/>
      <c r="L527"/>
      <c r="M527"/>
    </row>
    <row r="528" spans="1:13">
      <c r="A528"/>
      <c r="B528"/>
      <c r="C528"/>
      <c r="D528"/>
      <c r="E528"/>
      <c r="F528"/>
      <c r="G528"/>
      <c r="H528"/>
      <c r="I528"/>
      <c r="J528"/>
      <c r="K528"/>
      <c r="L528"/>
      <c r="M528"/>
    </row>
    <row r="529" spans="1:13">
      <c r="A529"/>
      <c r="B529"/>
      <c r="C529"/>
      <c r="D529"/>
      <c r="E529"/>
      <c r="F529"/>
      <c r="G529"/>
      <c r="H529"/>
      <c r="I529"/>
      <c r="J529"/>
      <c r="K529"/>
      <c r="L529"/>
      <c r="M529"/>
    </row>
    <row r="530" spans="1:13">
      <c r="A530"/>
      <c r="B530"/>
      <c r="C530"/>
      <c r="D530"/>
      <c r="E530"/>
      <c r="F530"/>
      <c r="G530"/>
      <c r="H530"/>
      <c r="I530"/>
      <c r="J530"/>
      <c r="K530"/>
      <c r="L530"/>
      <c r="M530"/>
    </row>
    <row r="531" spans="1:13">
      <c r="A531"/>
      <c r="B531"/>
      <c r="C531"/>
      <c r="D531"/>
      <c r="E531"/>
      <c r="F531"/>
      <c r="G531"/>
      <c r="H531"/>
      <c r="I531"/>
      <c r="J531"/>
      <c r="K531"/>
      <c r="L531"/>
      <c r="M531"/>
    </row>
    <row r="532" spans="1:13">
      <c r="A532"/>
      <c r="B532"/>
      <c r="C532"/>
      <c r="D532"/>
      <c r="E532"/>
      <c r="F532"/>
      <c r="G532"/>
      <c r="H532"/>
      <c r="I532"/>
      <c r="J532"/>
      <c r="K532"/>
      <c r="L532"/>
      <c r="M532"/>
    </row>
    <row r="533" spans="1:13">
      <c r="A533"/>
      <c r="B533"/>
      <c r="C533"/>
      <c r="D533"/>
      <c r="E533"/>
      <c r="F533"/>
      <c r="G533"/>
      <c r="H533"/>
      <c r="I533"/>
      <c r="J533"/>
      <c r="K533"/>
      <c r="L533"/>
      <c r="M533"/>
    </row>
    <row r="534" spans="1:13">
      <c r="A534"/>
      <c r="B534"/>
      <c r="C534"/>
      <c r="D534"/>
      <c r="E534"/>
      <c r="F534"/>
      <c r="G534"/>
      <c r="H534"/>
      <c r="I534"/>
      <c r="J534"/>
      <c r="K534"/>
      <c r="L534"/>
      <c r="M534"/>
    </row>
    <row r="535" spans="1:13">
      <c r="A535"/>
      <c r="B535"/>
      <c r="C535"/>
      <c r="D535"/>
      <c r="E535"/>
      <c r="F535"/>
      <c r="G535"/>
      <c r="H535"/>
      <c r="I535"/>
      <c r="J535"/>
      <c r="K535"/>
      <c r="L535"/>
      <c r="M535"/>
    </row>
    <row r="536" spans="1:13">
      <c r="A536"/>
      <c r="B536"/>
      <c r="C536"/>
      <c r="D536"/>
      <c r="E536"/>
      <c r="F536"/>
      <c r="G536"/>
      <c r="H536"/>
      <c r="I536"/>
      <c r="J536"/>
      <c r="K536"/>
      <c r="L536"/>
      <c r="M536"/>
    </row>
    <row r="537" spans="1:13">
      <c r="A537"/>
      <c r="B537"/>
      <c r="C537"/>
      <c r="D537"/>
      <c r="E537"/>
      <c r="F537"/>
      <c r="G537"/>
      <c r="H537"/>
      <c r="I537"/>
      <c r="J537"/>
      <c r="K537"/>
      <c r="L537"/>
      <c r="M537"/>
    </row>
    <row r="538" spans="1:13">
      <c r="A538"/>
      <c r="B538"/>
      <c r="C538"/>
      <c r="D538"/>
      <c r="E538"/>
      <c r="F538"/>
      <c r="G538"/>
      <c r="H538"/>
      <c r="I538"/>
      <c r="J538"/>
      <c r="K538"/>
      <c r="L538"/>
      <c r="M538"/>
    </row>
    <row r="539" spans="1:13">
      <c r="A539"/>
      <c r="B539"/>
      <c r="C539"/>
      <c r="D539"/>
      <c r="E539"/>
      <c r="F539"/>
      <c r="G539"/>
      <c r="H539"/>
      <c r="I539"/>
      <c r="J539"/>
      <c r="K539"/>
      <c r="L539"/>
      <c r="M539"/>
    </row>
    <row r="540" spans="1:13">
      <c r="A540"/>
      <c r="B540"/>
      <c r="C540"/>
      <c r="D540"/>
      <c r="E540"/>
      <c r="F540"/>
      <c r="G540"/>
      <c r="H540"/>
      <c r="I540"/>
      <c r="J540"/>
      <c r="K540"/>
      <c r="L540"/>
      <c r="M540"/>
    </row>
    <row r="541" spans="1:13">
      <c r="A541"/>
      <c r="B541"/>
      <c r="C541"/>
      <c r="D541"/>
      <c r="E541"/>
      <c r="F541"/>
      <c r="G541"/>
      <c r="H541"/>
      <c r="I541"/>
      <c r="J541"/>
      <c r="K541"/>
      <c r="L541"/>
      <c r="M541"/>
    </row>
    <row r="542" spans="1:13">
      <c r="A542"/>
      <c r="B542"/>
      <c r="C542"/>
      <c r="D542"/>
      <c r="E542"/>
      <c r="F542"/>
      <c r="G542"/>
      <c r="H542"/>
      <c r="I542"/>
      <c r="J542"/>
      <c r="K542"/>
      <c r="L542"/>
      <c r="M542"/>
    </row>
    <row r="543" spans="1:13">
      <c r="A543"/>
      <c r="B543"/>
      <c r="C543"/>
      <c r="D543"/>
      <c r="E543"/>
      <c r="F543"/>
      <c r="G543"/>
      <c r="H543"/>
      <c r="I543"/>
      <c r="J543"/>
      <c r="K543"/>
      <c r="L543"/>
      <c r="M543"/>
    </row>
    <row r="544" spans="1:13">
      <c r="A544"/>
      <c r="B544"/>
      <c r="C544"/>
      <c r="D544"/>
      <c r="E544"/>
      <c r="F544"/>
      <c r="G544"/>
      <c r="H544"/>
      <c r="I544"/>
      <c r="J544"/>
      <c r="K544"/>
      <c r="L544"/>
      <c r="M544"/>
    </row>
    <row r="545" spans="1:13">
      <c r="A545"/>
      <c r="B545"/>
      <c r="C545"/>
      <c r="D545"/>
      <c r="E545"/>
      <c r="F545"/>
      <c r="G545"/>
      <c r="H545"/>
      <c r="I545"/>
      <c r="J545"/>
      <c r="K545"/>
      <c r="L545"/>
      <c r="M545"/>
    </row>
    <row r="546" spans="1:13">
      <c r="A546"/>
      <c r="B546"/>
      <c r="C546"/>
      <c r="D546"/>
      <c r="E546"/>
      <c r="F546"/>
      <c r="G546"/>
      <c r="H546"/>
      <c r="I546"/>
      <c r="J546"/>
      <c r="K546"/>
      <c r="L546"/>
      <c r="M546"/>
    </row>
    <row r="547" spans="1:13">
      <c r="A547"/>
      <c r="B547"/>
      <c r="C547"/>
      <c r="D547"/>
      <c r="E547"/>
      <c r="F547"/>
      <c r="G547"/>
      <c r="H547"/>
      <c r="I547"/>
      <c r="J547"/>
      <c r="K547"/>
      <c r="L547"/>
      <c r="M547"/>
    </row>
    <row r="548" spans="1:13">
      <c r="A548"/>
      <c r="B548"/>
      <c r="C548"/>
      <c r="D548"/>
      <c r="E548"/>
      <c r="F548"/>
      <c r="G548"/>
      <c r="H548"/>
      <c r="I548"/>
      <c r="J548"/>
      <c r="K548"/>
      <c r="L548"/>
      <c r="M548"/>
    </row>
    <row r="549" spans="1:13">
      <c r="A549"/>
      <c r="B549"/>
      <c r="C549"/>
      <c r="D549"/>
      <c r="E549"/>
      <c r="F549"/>
      <c r="G549"/>
      <c r="H549"/>
      <c r="I549"/>
      <c r="J549"/>
      <c r="K549"/>
      <c r="L549"/>
      <c r="M549"/>
    </row>
    <row r="550" spans="1:13">
      <c r="A550"/>
      <c r="B550"/>
      <c r="C550"/>
      <c r="D550"/>
      <c r="E550"/>
      <c r="F550"/>
      <c r="G550"/>
      <c r="H550"/>
      <c r="I550"/>
      <c r="J550"/>
      <c r="K550"/>
      <c r="L550"/>
      <c r="M550"/>
    </row>
    <row r="551" spans="1:13">
      <c r="A551"/>
      <c r="B551"/>
      <c r="C551"/>
      <c r="D551"/>
      <c r="E551"/>
      <c r="F551"/>
      <c r="G551"/>
      <c r="H551"/>
      <c r="I551"/>
      <c r="J551"/>
      <c r="K551"/>
      <c r="L551"/>
      <c r="M551"/>
    </row>
    <row r="552" spans="1:13">
      <c r="A552"/>
      <c r="B552"/>
      <c r="C552"/>
      <c r="D552"/>
      <c r="E552"/>
      <c r="F552"/>
      <c r="G552"/>
      <c r="H552"/>
      <c r="I552"/>
      <c r="J552"/>
      <c r="K552"/>
      <c r="L552"/>
      <c r="M552"/>
    </row>
    <row r="553" spans="1:13">
      <c r="A553"/>
      <c r="B553"/>
      <c r="C553"/>
      <c r="D553"/>
      <c r="E553"/>
      <c r="F553"/>
      <c r="G553"/>
      <c r="H553"/>
      <c r="I553"/>
      <c r="J553"/>
      <c r="K553"/>
      <c r="L553"/>
      <c r="M553"/>
    </row>
    <row r="554" spans="1:13">
      <c r="A554"/>
      <c r="B554"/>
      <c r="C554"/>
      <c r="D554"/>
      <c r="E554"/>
      <c r="F554"/>
      <c r="G554"/>
      <c r="H554"/>
      <c r="I554"/>
      <c r="J554"/>
      <c r="K554"/>
      <c r="L554"/>
      <c r="M554"/>
    </row>
    <row r="555" spans="1:13">
      <c r="A555"/>
      <c r="B555"/>
      <c r="C555"/>
      <c r="D555"/>
      <c r="E555"/>
      <c r="F555"/>
      <c r="G555"/>
      <c r="H555"/>
      <c r="I555"/>
      <c r="J555"/>
      <c r="K555"/>
      <c r="L555"/>
      <c r="M555"/>
    </row>
    <row r="556" spans="1:13">
      <c r="A556"/>
      <c r="B556"/>
      <c r="C556"/>
      <c r="D556"/>
      <c r="E556"/>
      <c r="F556"/>
      <c r="G556"/>
      <c r="H556"/>
      <c r="I556"/>
      <c r="J556"/>
      <c r="K556"/>
      <c r="L556"/>
      <c r="M556"/>
    </row>
    <row r="557" spans="1:13">
      <c r="A557"/>
      <c r="B557"/>
      <c r="C557"/>
      <c r="D557"/>
      <c r="E557"/>
      <c r="F557"/>
      <c r="G557"/>
      <c r="H557"/>
      <c r="I557"/>
      <c r="J557"/>
      <c r="K557"/>
      <c r="L557"/>
      <c r="M557"/>
    </row>
    <row r="558" spans="1:13">
      <c r="A558"/>
      <c r="B558"/>
      <c r="C558"/>
      <c r="D558"/>
      <c r="E558"/>
      <c r="F558"/>
      <c r="G558"/>
      <c r="H558"/>
      <c r="I558"/>
      <c r="J558"/>
      <c r="K558"/>
      <c r="L558"/>
      <c r="M558"/>
    </row>
    <row r="559" spans="1:13">
      <c r="A559"/>
      <c r="B559"/>
      <c r="C559"/>
      <c r="D559"/>
      <c r="E559"/>
      <c r="F559"/>
      <c r="G559"/>
      <c r="H559"/>
      <c r="I559"/>
      <c r="J559"/>
      <c r="K559"/>
      <c r="L559"/>
      <c r="M559"/>
    </row>
    <row r="560" spans="1:13">
      <c r="A560"/>
      <c r="B560"/>
      <c r="C560"/>
      <c r="D560"/>
      <c r="E560"/>
      <c r="F560"/>
      <c r="G560"/>
      <c r="H560"/>
      <c r="I560"/>
      <c r="J560"/>
      <c r="K560"/>
      <c r="L560"/>
      <c r="M560"/>
    </row>
    <row r="561" spans="1:13">
      <c r="A561"/>
      <c r="B561"/>
      <c r="C561"/>
      <c r="D561"/>
      <c r="E561"/>
      <c r="F561"/>
      <c r="G561"/>
      <c r="H561"/>
      <c r="I561"/>
      <c r="J561"/>
      <c r="K561"/>
      <c r="L561"/>
      <c r="M561"/>
    </row>
    <row r="562" spans="1:13">
      <c r="A562"/>
      <c r="B562"/>
      <c r="C562"/>
      <c r="D562"/>
      <c r="E562"/>
      <c r="F562"/>
      <c r="G562"/>
      <c r="H562"/>
      <c r="I562"/>
      <c r="J562"/>
      <c r="K562"/>
      <c r="L562"/>
      <c r="M562"/>
    </row>
    <row r="563" spans="1:13">
      <c r="A563"/>
      <c r="B563"/>
      <c r="C563"/>
      <c r="D563"/>
      <c r="E563"/>
      <c r="F563"/>
      <c r="G563"/>
      <c r="H563"/>
      <c r="I563"/>
      <c r="J563"/>
      <c r="K563"/>
      <c r="L563"/>
      <c r="M563"/>
    </row>
    <row r="564" spans="1:13">
      <c r="A564"/>
      <c r="B564"/>
      <c r="C564"/>
      <c r="D564"/>
      <c r="E564"/>
      <c r="F564"/>
      <c r="G564"/>
      <c r="H564"/>
      <c r="I564"/>
      <c r="J564"/>
      <c r="K564"/>
      <c r="L564"/>
      <c r="M564"/>
    </row>
    <row r="565" spans="1:13">
      <c r="A565"/>
      <c r="B565"/>
      <c r="C565"/>
      <c r="D565"/>
      <c r="E565"/>
      <c r="F565"/>
      <c r="G565"/>
      <c r="H565"/>
      <c r="I565"/>
      <c r="J565"/>
      <c r="K565"/>
      <c r="L565"/>
      <c r="M565"/>
    </row>
    <row r="566" spans="1:13">
      <c r="A566"/>
      <c r="B566"/>
      <c r="C566"/>
      <c r="D566"/>
      <c r="E566"/>
      <c r="F566"/>
      <c r="G566"/>
      <c r="H566"/>
      <c r="I566"/>
      <c r="J566"/>
      <c r="K566"/>
      <c r="L566"/>
      <c r="M566"/>
    </row>
    <row r="567" spans="1:13">
      <c r="A567"/>
      <c r="B567"/>
      <c r="C567"/>
      <c r="D567"/>
      <c r="E567"/>
      <c r="F567"/>
      <c r="G567"/>
      <c r="H567"/>
      <c r="I567"/>
      <c r="J567"/>
      <c r="K567"/>
      <c r="L567"/>
      <c r="M567"/>
    </row>
    <row r="568" spans="1:13">
      <c r="A568"/>
      <c r="B568"/>
      <c r="C568"/>
      <c r="D568"/>
      <c r="E568"/>
      <c r="F568"/>
      <c r="G568"/>
      <c r="H568"/>
      <c r="I568"/>
      <c r="J568"/>
      <c r="K568"/>
      <c r="L568"/>
      <c r="M568"/>
    </row>
    <row r="569" spans="1:13">
      <c r="A569"/>
      <c r="B569"/>
      <c r="C569"/>
      <c r="D569"/>
      <c r="E569"/>
      <c r="F569"/>
      <c r="G569"/>
      <c r="H569"/>
      <c r="I569"/>
      <c r="J569"/>
      <c r="K569"/>
      <c r="L569"/>
      <c r="M569"/>
    </row>
    <row r="570" spans="1:13">
      <c r="A570"/>
      <c r="B570"/>
      <c r="C570"/>
      <c r="D570"/>
      <c r="E570"/>
      <c r="F570"/>
      <c r="G570"/>
      <c r="H570"/>
      <c r="I570"/>
      <c r="J570"/>
      <c r="K570"/>
      <c r="L570"/>
      <c r="M570"/>
    </row>
    <row r="571" spans="1:13">
      <c r="A571"/>
      <c r="B571"/>
      <c r="C571"/>
      <c r="D571"/>
      <c r="E571"/>
      <c r="F571"/>
      <c r="G571"/>
      <c r="H571"/>
      <c r="I571"/>
      <c r="J571"/>
      <c r="K571"/>
      <c r="L571"/>
      <c r="M571"/>
    </row>
    <row r="572" spans="1:13">
      <c r="A572"/>
      <c r="B572"/>
      <c r="C572"/>
      <c r="D572"/>
      <c r="E572"/>
      <c r="F572"/>
      <c r="G572"/>
      <c r="H572"/>
      <c r="I572"/>
      <c r="J572"/>
      <c r="K572"/>
      <c r="L572"/>
      <c r="M572"/>
    </row>
    <row r="573" spans="1:13">
      <c r="A573"/>
      <c r="B573"/>
      <c r="C573"/>
      <c r="D573"/>
      <c r="E573"/>
      <c r="F573"/>
      <c r="G573"/>
      <c r="H573"/>
      <c r="I573"/>
      <c r="J573"/>
      <c r="K573"/>
      <c r="L573"/>
      <c r="M573"/>
    </row>
    <row r="574" spans="1:13">
      <c r="A574"/>
      <c r="B574"/>
      <c r="C574"/>
      <c r="D574"/>
      <c r="E574"/>
      <c r="F574"/>
      <c r="G574"/>
      <c r="H574"/>
      <c r="I574"/>
      <c r="J574"/>
      <c r="K574"/>
      <c r="L574"/>
      <c r="M574"/>
    </row>
    <row r="575" spans="1:13">
      <c r="A575"/>
      <c r="B575"/>
      <c r="C575"/>
      <c r="D575"/>
      <c r="E575"/>
      <c r="F575"/>
      <c r="G575"/>
      <c r="H575"/>
      <c r="I575"/>
      <c r="J575"/>
      <c r="K575"/>
      <c r="L575"/>
      <c r="M575"/>
    </row>
    <row r="576" spans="1:13">
      <c r="A576"/>
      <c r="B576"/>
      <c r="C576"/>
      <c r="D576"/>
      <c r="E576"/>
      <c r="F576"/>
      <c r="G576"/>
      <c r="H576"/>
      <c r="I576"/>
      <c r="J576"/>
      <c r="K576"/>
      <c r="L576"/>
      <c r="M576"/>
    </row>
    <row r="577" spans="1:13">
      <c r="A577"/>
      <c r="B577"/>
      <c r="C577"/>
      <c r="D577"/>
      <c r="E577"/>
      <c r="F577"/>
      <c r="G577"/>
      <c r="H577"/>
      <c r="I577"/>
      <c r="J577"/>
      <c r="K577"/>
      <c r="L577"/>
      <c r="M577"/>
    </row>
    <row r="578" spans="1:13">
      <c r="A578"/>
      <c r="B578"/>
      <c r="C578"/>
      <c r="D578"/>
      <c r="E578"/>
      <c r="F578"/>
      <c r="G578"/>
      <c r="H578"/>
      <c r="I578"/>
      <c r="J578"/>
      <c r="K578"/>
      <c r="L578"/>
      <c r="M578"/>
    </row>
    <row r="579" spans="1:13">
      <c r="A579"/>
      <c r="B579"/>
      <c r="C579"/>
      <c r="D579"/>
      <c r="E579"/>
      <c r="F579"/>
      <c r="G579"/>
      <c r="H579"/>
      <c r="I579"/>
      <c r="J579"/>
      <c r="K579"/>
      <c r="L579"/>
      <c r="M579"/>
    </row>
    <row r="580" spans="1:13">
      <c r="A580"/>
      <c r="B580"/>
      <c r="C580"/>
      <c r="D580"/>
      <c r="E580"/>
      <c r="F580"/>
      <c r="G580"/>
      <c r="H580"/>
      <c r="I580"/>
      <c r="J580"/>
      <c r="K580"/>
      <c r="L580"/>
      <c r="M580"/>
    </row>
    <row r="581" spans="1:13">
      <c r="A581"/>
      <c r="B581"/>
      <c r="C581"/>
      <c r="D581"/>
      <c r="E581"/>
      <c r="F581"/>
      <c r="G581"/>
      <c r="H581"/>
      <c r="I581"/>
      <c r="J581"/>
      <c r="K581"/>
      <c r="L581"/>
      <c r="M581"/>
    </row>
    <row r="582" spans="1:13">
      <c r="A582"/>
      <c r="B582"/>
      <c r="C582"/>
      <c r="D582"/>
      <c r="E582"/>
      <c r="F582"/>
      <c r="G582"/>
      <c r="H582"/>
      <c r="I582"/>
      <c r="J582"/>
      <c r="K582"/>
      <c r="L582"/>
      <c r="M582"/>
    </row>
    <row r="583" spans="1:13">
      <c r="A583"/>
      <c r="B583"/>
      <c r="C583"/>
      <c r="D583"/>
      <c r="E583"/>
      <c r="F583"/>
      <c r="G583"/>
      <c r="H583"/>
      <c r="I583"/>
      <c r="J583"/>
      <c r="K583"/>
      <c r="L583"/>
      <c r="M583"/>
    </row>
    <row r="584" spans="1:13">
      <c r="A584"/>
      <c r="B584"/>
      <c r="C584"/>
      <c r="D584"/>
      <c r="E584"/>
      <c r="F584"/>
      <c r="G584"/>
      <c r="H584"/>
      <c r="I584"/>
      <c r="J584"/>
      <c r="K584"/>
      <c r="L584"/>
      <c r="M584"/>
    </row>
    <row r="585" spans="1:13">
      <c r="A585"/>
      <c r="B585"/>
      <c r="C585"/>
      <c r="D585"/>
      <c r="E585"/>
      <c r="F585"/>
      <c r="G585"/>
      <c r="H585"/>
      <c r="I585"/>
      <c r="J585"/>
      <c r="K585"/>
      <c r="L585"/>
      <c r="M585"/>
    </row>
    <row r="586" spans="1:13">
      <c r="A586"/>
      <c r="B586"/>
      <c r="C586"/>
      <c r="D586"/>
      <c r="E586"/>
      <c r="F586"/>
      <c r="G586"/>
      <c r="H586"/>
      <c r="I586"/>
      <c r="J586"/>
      <c r="K586"/>
      <c r="L586"/>
      <c r="M586"/>
    </row>
    <row r="587" spans="1:13">
      <c r="A587"/>
      <c r="B587"/>
      <c r="C587"/>
      <c r="D587"/>
      <c r="E587"/>
      <c r="F587"/>
      <c r="G587"/>
      <c r="H587"/>
      <c r="I587"/>
      <c r="J587"/>
      <c r="K587"/>
      <c r="L587"/>
      <c r="M587"/>
    </row>
    <row r="588" spans="1:13">
      <c r="A588"/>
      <c r="B588"/>
      <c r="C588"/>
      <c r="D588"/>
      <c r="E588"/>
      <c r="F588"/>
      <c r="G588"/>
      <c r="H588"/>
      <c r="I588"/>
      <c r="J588"/>
      <c r="K588"/>
      <c r="L588"/>
      <c r="M588"/>
    </row>
    <row r="589" spans="1:13">
      <c r="A589"/>
      <c r="B589"/>
      <c r="C589"/>
      <c r="D589"/>
      <c r="E589"/>
      <c r="F589"/>
      <c r="G589"/>
      <c r="H589"/>
      <c r="I589"/>
      <c r="J589"/>
      <c r="K589"/>
      <c r="L589"/>
      <c r="M589"/>
    </row>
    <row r="590" spans="1:13">
      <c r="A590"/>
      <c r="B590"/>
      <c r="C590"/>
      <c r="D590"/>
      <c r="E590"/>
      <c r="F590"/>
      <c r="G590"/>
      <c r="H590"/>
      <c r="I590"/>
      <c r="J590"/>
      <c r="K590"/>
      <c r="L590"/>
      <c r="M590"/>
    </row>
    <row r="591" spans="1:13">
      <c r="A591"/>
      <c r="B591"/>
      <c r="C591"/>
      <c r="D591"/>
      <c r="E591"/>
      <c r="F591"/>
      <c r="G591"/>
      <c r="H591"/>
      <c r="I591"/>
      <c r="J591"/>
      <c r="K591"/>
      <c r="L591"/>
      <c r="M591"/>
    </row>
    <row r="592" spans="1:13">
      <c r="A592"/>
      <c r="B592"/>
      <c r="C592"/>
      <c r="D592"/>
      <c r="E592"/>
      <c r="F592"/>
      <c r="G592"/>
      <c r="H592"/>
      <c r="I592"/>
      <c r="J592"/>
      <c r="K592"/>
      <c r="L592"/>
      <c r="M592"/>
    </row>
    <row r="593" spans="1:13">
      <c r="A593"/>
      <c r="B593"/>
      <c r="C593"/>
      <c r="D593"/>
      <c r="E593"/>
      <c r="F593"/>
      <c r="G593"/>
      <c r="H593"/>
      <c r="I593"/>
      <c r="J593"/>
      <c r="K593"/>
      <c r="L593"/>
      <c r="M593"/>
    </row>
    <row r="594" spans="1:13">
      <c r="A594"/>
      <c r="B594"/>
      <c r="C594"/>
      <c r="D594"/>
      <c r="E594"/>
      <c r="F594"/>
      <c r="G594"/>
      <c r="H594"/>
      <c r="I594"/>
      <c r="J594"/>
      <c r="K594"/>
      <c r="L594"/>
      <c r="M594"/>
    </row>
    <row r="595" spans="1:13">
      <c r="A595"/>
      <c r="B595"/>
      <c r="C595"/>
      <c r="D595"/>
      <c r="E595"/>
      <c r="F595"/>
      <c r="G595"/>
      <c r="H595"/>
      <c r="I595"/>
      <c r="J595"/>
      <c r="K595"/>
      <c r="L595"/>
      <c r="M595"/>
    </row>
    <row r="596" spans="1:13">
      <c r="A596"/>
      <c r="B596"/>
      <c r="C596"/>
      <c r="D596"/>
      <c r="E596"/>
      <c r="F596"/>
      <c r="G596"/>
      <c r="H596"/>
      <c r="I596"/>
      <c r="J596"/>
      <c r="K596"/>
      <c r="L596"/>
      <c r="M596"/>
    </row>
    <row r="597" spans="1:13">
      <c r="A597"/>
      <c r="B597"/>
      <c r="C597"/>
      <c r="D597"/>
      <c r="E597"/>
      <c r="F597"/>
      <c r="G597"/>
      <c r="H597"/>
      <c r="I597"/>
      <c r="J597"/>
      <c r="K597"/>
      <c r="L597"/>
      <c r="M597"/>
    </row>
    <row r="598" spans="1:13">
      <c r="A598"/>
      <c r="B598"/>
      <c r="C598"/>
      <c r="D598"/>
      <c r="E598"/>
      <c r="F598"/>
      <c r="G598"/>
      <c r="H598"/>
      <c r="I598"/>
      <c r="J598"/>
      <c r="K598"/>
      <c r="L598"/>
      <c r="M598"/>
    </row>
    <row r="599" spans="1:13">
      <c r="A599"/>
      <c r="B599"/>
      <c r="C599"/>
      <c r="D599"/>
      <c r="E599"/>
      <c r="F599"/>
      <c r="G599"/>
      <c r="H599"/>
      <c r="I599"/>
      <c r="J599"/>
      <c r="K599"/>
      <c r="L599"/>
      <c r="M599"/>
    </row>
    <row r="600" spans="1:13">
      <c r="A600"/>
      <c r="B600"/>
      <c r="C600"/>
      <c r="D600"/>
      <c r="E600"/>
      <c r="F600"/>
      <c r="G600"/>
      <c r="H600"/>
      <c r="I600"/>
      <c r="J600"/>
      <c r="K600"/>
      <c r="L600"/>
      <c r="M600"/>
    </row>
    <row r="601" spans="1:13">
      <c r="A601"/>
      <c r="B601"/>
      <c r="C601"/>
      <c r="D601"/>
      <c r="E601"/>
      <c r="F601"/>
      <c r="G601"/>
      <c r="H601"/>
      <c r="I601"/>
      <c r="J601"/>
      <c r="K601"/>
      <c r="L601"/>
      <c r="M601"/>
    </row>
    <row r="602" spans="1:13">
      <c r="A602"/>
      <c r="B602"/>
      <c r="C602"/>
      <c r="D602"/>
      <c r="E602"/>
      <c r="F602"/>
      <c r="G602"/>
      <c r="H602"/>
      <c r="I602"/>
      <c r="J602"/>
      <c r="K602"/>
      <c r="L602"/>
      <c r="M602"/>
    </row>
    <row r="603" spans="1:13">
      <c r="A603"/>
      <c r="B603"/>
      <c r="C603"/>
      <c r="D603"/>
      <c r="E603"/>
      <c r="F603"/>
      <c r="G603"/>
      <c r="H603"/>
      <c r="I603"/>
      <c r="J603"/>
      <c r="K603"/>
      <c r="L603"/>
      <c r="M603"/>
    </row>
    <row r="604" spans="1:13">
      <c r="A604"/>
      <c r="B604"/>
      <c r="C604"/>
      <c r="D604"/>
      <c r="E604"/>
      <c r="F604"/>
      <c r="G604"/>
      <c r="H604"/>
      <c r="I604"/>
      <c r="J604"/>
      <c r="K604"/>
      <c r="L604"/>
      <c r="M604"/>
    </row>
    <row r="605" spans="1:13">
      <c r="A605"/>
      <c r="B605"/>
      <c r="C605"/>
      <c r="D605"/>
      <c r="E605"/>
      <c r="F605"/>
      <c r="G605"/>
      <c r="H605"/>
      <c r="I605"/>
      <c r="J605"/>
      <c r="K605"/>
      <c r="L605"/>
      <c r="M605"/>
    </row>
    <row r="606" spans="1:13">
      <c r="A606"/>
      <c r="B606"/>
      <c r="C606"/>
      <c r="D606"/>
      <c r="E606"/>
      <c r="F606"/>
      <c r="G606"/>
      <c r="H606"/>
      <c r="I606"/>
      <c r="J606"/>
      <c r="K606"/>
      <c r="L606"/>
      <c r="M606"/>
    </row>
    <row r="607" spans="1:13">
      <c r="A607"/>
      <c r="B607"/>
      <c r="C607"/>
      <c r="D607"/>
      <c r="E607"/>
      <c r="F607"/>
      <c r="G607"/>
      <c r="H607"/>
      <c r="I607"/>
      <c r="J607"/>
      <c r="K607"/>
      <c r="L607"/>
      <c r="M607"/>
    </row>
    <row r="608" spans="1:13">
      <c r="A608"/>
      <c r="B608"/>
      <c r="C608"/>
      <c r="D608"/>
      <c r="E608"/>
      <c r="F608"/>
      <c r="G608"/>
      <c r="H608"/>
      <c r="I608"/>
      <c r="J608"/>
      <c r="K608"/>
      <c r="L608"/>
      <c r="M608"/>
    </row>
    <row r="609" spans="1:13">
      <c r="A609"/>
      <c r="B609"/>
      <c r="C609"/>
      <c r="D609"/>
      <c r="E609"/>
      <c r="F609"/>
      <c r="G609"/>
      <c r="H609"/>
      <c r="I609"/>
      <c r="J609"/>
      <c r="K609"/>
      <c r="L609"/>
      <c r="M609"/>
    </row>
    <row r="610" spans="1:13">
      <c r="A610"/>
      <c r="B610"/>
      <c r="C610"/>
      <c r="D610"/>
      <c r="E610"/>
      <c r="F610"/>
      <c r="G610"/>
      <c r="H610"/>
      <c r="I610"/>
      <c r="J610"/>
      <c r="K610"/>
      <c r="L610"/>
      <c r="M610"/>
    </row>
    <row r="611" spans="1:13">
      <c r="A611"/>
      <c r="B611"/>
      <c r="C611"/>
      <c r="D611"/>
      <c r="E611"/>
      <c r="F611"/>
      <c r="G611"/>
      <c r="H611"/>
      <c r="I611"/>
      <c r="J611"/>
      <c r="K611"/>
      <c r="L611"/>
      <c r="M611"/>
    </row>
    <row r="612" spans="1:13">
      <c r="A612"/>
      <c r="B612"/>
      <c r="C612"/>
      <c r="D612"/>
      <c r="E612"/>
      <c r="F612"/>
      <c r="G612"/>
      <c r="H612"/>
      <c r="I612"/>
      <c r="J612"/>
      <c r="K612"/>
      <c r="L612"/>
      <c r="M612"/>
    </row>
    <row r="613" spans="1:13">
      <c r="A613"/>
      <c r="B613"/>
      <c r="C613"/>
      <c r="D613"/>
      <c r="E613"/>
      <c r="F613"/>
      <c r="G613"/>
      <c r="H613"/>
      <c r="I613"/>
      <c r="J613"/>
      <c r="K613"/>
      <c r="L613"/>
      <c r="M613"/>
    </row>
    <row r="614" spans="1:13">
      <c r="A614"/>
      <c r="B614"/>
      <c r="C614"/>
      <c r="D614"/>
      <c r="E614"/>
      <c r="F614"/>
      <c r="G614"/>
      <c r="H614"/>
      <c r="I614"/>
      <c r="J614"/>
      <c r="K614"/>
      <c r="L614"/>
      <c r="M614"/>
    </row>
    <row r="615" spans="1:13">
      <c r="A615"/>
      <c r="B615"/>
      <c r="C615"/>
      <c r="D615"/>
      <c r="E615"/>
      <c r="F615"/>
      <c r="G615"/>
      <c r="H615"/>
      <c r="I615"/>
      <c r="J615"/>
      <c r="K615"/>
      <c r="L615"/>
      <c r="M615"/>
    </row>
    <row r="616" spans="1:13">
      <c r="A616"/>
      <c r="B616"/>
      <c r="C616"/>
      <c r="D616"/>
      <c r="E616"/>
      <c r="F616"/>
      <c r="G616"/>
      <c r="H616"/>
      <c r="I616"/>
      <c r="J616"/>
      <c r="K616"/>
      <c r="L616"/>
      <c r="M616"/>
    </row>
    <row r="617" spans="1:13">
      <c r="A617"/>
      <c r="B617"/>
      <c r="C617"/>
      <c r="D617"/>
      <c r="E617"/>
      <c r="F617"/>
      <c r="G617"/>
      <c r="H617"/>
      <c r="I617"/>
      <c r="J617"/>
      <c r="K617"/>
      <c r="L617"/>
      <c r="M617"/>
    </row>
    <row r="618" spans="1:13">
      <c r="A618"/>
      <c r="B618"/>
      <c r="C618"/>
      <c r="D618"/>
      <c r="E618"/>
      <c r="F618"/>
      <c r="G618"/>
      <c r="H618"/>
      <c r="I618"/>
      <c r="J618"/>
      <c r="K618"/>
      <c r="L618"/>
      <c r="M618"/>
    </row>
    <row r="619" spans="1:13">
      <c r="A619"/>
      <c r="B619"/>
      <c r="C619"/>
      <c r="D619"/>
      <c r="E619"/>
      <c r="F619"/>
      <c r="G619"/>
      <c r="H619"/>
      <c r="I619"/>
      <c r="J619"/>
      <c r="K619"/>
      <c r="L619"/>
      <c r="M619"/>
    </row>
    <row r="620" spans="1:13">
      <c r="A620"/>
      <c r="B620"/>
      <c r="C620"/>
      <c r="D620"/>
      <c r="E620"/>
      <c r="F620"/>
      <c r="G620"/>
      <c r="H620"/>
      <c r="I620"/>
      <c r="J620"/>
      <c r="K620"/>
      <c r="L620"/>
      <c r="M620"/>
    </row>
    <row r="621" spans="1:13">
      <c r="A621"/>
      <c r="B621"/>
      <c r="C621"/>
      <c r="D621"/>
      <c r="E621"/>
      <c r="F621"/>
      <c r="G621"/>
      <c r="H621"/>
      <c r="I621"/>
      <c r="J621"/>
      <c r="K621"/>
      <c r="L621"/>
      <c r="M621"/>
    </row>
    <row r="622" spans="1:13">
      <c r="A622"/>
      <c r="B622"/>
      <c r="C622"/>
      <c r="D622"/>
      <c r="E622"/>
      <c r="F622"/>
      <c r="G622"/>
      <c r="H622"/>
      <c r="I622"/>
      <c r="J622"/>
      <c r="K622"/>
      <c r="L622"/>
      <c r="M622"/>
    </row>
    <row r="623" spans="1:13">
      <c r="A623"/>
      <c r="B623"/>
      <c r="C623"/>
      <c r="D623"/>
      <c r="E623"/>
      <c r="F623"/>
      <c r="G623"/>
      <c r="H623"/>
      <c r="I623"/>
      <c r="J623"/>
      <c r="K623"/>
      <c r="L623"/>
      <c r="M623"/>
    </row>
    <row r="624" spans="1:13">
      <c r="A624"/>
      <c r="B624"/>
      <c r="C624"/>
      <c r="D624"/>
      <c r="E624"/>
      <c r="F624"/>
      <c r="G624"/>
      <c r="H624"/>
      <c r="I624"/>
      <c r="J624"/>
      <c r="K624"/>
      <c r="L624"/>
      <c r="M624"/>
    </row>
    <row r="625" spans="1:13">
      <c r="A625"/>
      <c r="B625"/>
      <c r="C625"/>
      <c r="D625"/>
      <c r="E625"/>
      <c r="F625"/>
      <c r="G625"/>
      <c r="H625"/>
      <c r="I625"/>
      <c r="J625"/>
      <c r="K625"/>
      <c r="L625"/>
      <c r="M625"/>
    </row>
    <row r="626" spans="1:13">
      <c r="A626"/>
      <c r="B626"/>
      <c r="C626"/>
      <c r="D626"/>
      <c r="E626"/>
      <c r="F626"/>
      <c r="G626"/>
      <c r="H626"/>
      <c r="I626"/>
      <c r="J626"/>
      <c r="K626"/>
      <c r="L626"/>
      <c r="M626"/>
    </row>
    <row r="627" spans="1:13">
      <c r="A627"/>
      <c r="B627"/>
      <c r="C627"/>
      <c r="D627"/>
      <c r="E627"/>
      <c r="F627"/>
      <c r="G627"/>
      <c r="H627"/>
      <c r="I627"/>
      <c r="J627"/>
      <c r="K627"/>
      <c r="L627"/>
      <c r="M627"/>
    </row>
    <row r="628" spans="1:13">
      <c r="A628"/>
      <c r="B628"/>
      <c r="C628"/>
      <c r="D628"/>
      <c r="E628"/>
      <c r="F628"/>
      <c r="G628"/>
      <c r="H628"/>
      <c r="I628"/>
      <c r="J628"/>
      <c r="K628"/>
      <c r="L628"/>
      <c r="M628"/>
    </row>
    <row r="629" spans="1:13">
      <c r="A629"/>
      <c r="B629"/>
      <c r="C629"/>
      <c r="D629"/>
      <c r="E629"/>
      <c r="F629"/>
      <c r="G629"/>
      <c r="H629"/>
      <c r="I629"/>
      <c r="J629"/>
      <c r="K629"/>
      <c r="L629"/>
      <c r="M629"/>
    </row>
    <row r="630" spans="1:13">
      <c r="A630"/>
      <c r="B630"/>
      <c r="C630"/>
      <c r="D630"/>
      <c r="E630"/>
      <c r="F630"/>
      <c r="G630"/>
      <c r="H630"/>
      <c r="I630"/>
      <c r="J630"/>
      <c r="K630"/>
      <c r="L630"/>
      <c r="M630"/>
    </row>
    <row r="631" spans="1:13">
      <c r="A631"/>
      <c r="B631"/>
      <c r="C631"/>
      <c r="D631"/>
      <c r="E631"/>
      <c r="F631"/>
      <c r="G631"/>
      <c r="H631"/>
      <c r="I631"/>
      <c r="J631"/>
      <c r="K631"/>
      <c r="L631"/>
      <c r="M631"/>
    </row>
    <row r="632" spans="1:13">
      <c r="A632"/>
      <c r="B632"/>
      <c r="C632"/>
      <c r="D632"/>
      <c r="E632"/>
      <c r="F632"/>
      <c r="G632"/>
      <c r="H632"/>
      <c r="I632"/>
      <c r="J632"/>
      <c r="K632"/>
      <c r="L632"/>
      <c r="M632"/>
    </row>
    <row r="633" spans="1:13">
      <c r="A633"/>
      <c r="B633"/>
      <c r="C633"/>
      <c r="D633"/>
      <c r="E633"/>
      <c r="F633"/>
      <c r="G633"/>
      <c r="H633"/>
      <c r="I633"/>
      <c r="J633"/>
      <c r="K633"/>
      <c r="L633"/>
      <c r="M633"/>
    </row>
    <row r="634" spans="1:13">
      <c r="A634"/>
      <c r="B634"/>
      <c r="C634"/>
      <c r="D634"/>
      <c r="E634"/>
      <c r="F634"/>
      <c r="G634"/>
      <c r="H634"/>
      <c r="I634"/>
      <c r="J634"/>
      <c r="K634"/>
      <c r="L634"/>
      <c r="M634"/>
    </row>
    <row r="635" spans="1:13">
      <c r="A635"/>
      <c r="B635"/>
      <c r="C635"/>
      <c r="D635"/>
      <c r="E635"/>
      <c r="F635"/>
      <c r="G635"/>
      <c r="H635"/>
      <c r="I635"/>
      <c r="J635"/>
      <c r="K635"/>
      <c r="L635"/>
      <c r="M635"/>
    </row>
    <row r="636" spans="1:13">
      <c r="A636"/>
      <c r="B636"/>
      <c r="C636"/>
      <c r="D636"/>
      <c r="E636"/>
      <c r="F636"/>
      <c r="G636"/>
      <c r="H636"/>
      <c r="I636"/>
      <c r="J636"/>
      <c r="K636"/>
      <c r="L636"/>
      <c r="M636"/>
    </row>
    <row r="637" spans="1:13">
      <c r="A637"/>
      <c r="B637"/>
      <c r="C637"/>
      <c r="D637"/>
      <c r="E637"/>
      <c r="F637"/>
      <c r="G637"/>
      <c r="H637"/>
      <c r="I637"/>
      <c r="J637"/>
      <c r="K637"/>
      <c r="L637"/>
      <c r="M637"/>
    </row>
    <row r="638" spans="1:13">
      <c r="A638"/>
      <c r="B638"/>
      <c r="C638"/>
      <c r="D638"/>
      <c r="E638"/>
      <c r="F638"/>
      <c r="G638"/>
      <c r="H638"/>
      <c r="I638"/>
      <c r="J638"/>
      <c r="K638"/>
      <c r="L638"/>
      <c r="M638"/>
    </row>
    <row r="639" spans="1:13">
      <c r="A639"/>
      <c r="B639"/>
      <c r="C639"/>
      <c r="D639"/>
      <c r="E639"/>
      <c r="F639"/>
      <c r="G639"/>
      <c r="H639"/>
      <c r="I639"/>
      <c r="J639"/>
      <c r="K639"/>
      <c r="L639"/>
      <c r="M639"/>
    </row>
    <row r="640" spans="1:13">
      <c r="A640"/>
      <c r="B640"/>
      <c r="C640"/>
      <c r="D640"/>
      <c r="E640"/>
      <c r="F640"/>
      <c r="G640"/>
      <c r="H640"/>
      <c r="I640"/>
      <c r="J640"/>
      <c r="K640"/>
      <c r="L640"/>
      <c r="M640"/>
    </row>
    <row r="641" spans="1:13">
      <c r="A641"/>
      <c r="B641"/>
      <c r="C641"/>
      <c r="D641"/>
      <c r="E641"/>
      <c r="F641"/>
      <c r="G641"/>
      <c r="H641"/>
      <c r="I641"/>
      <c r="J641"/>
      <c r="K641"/>
      <c r="L641"/>
      <c r="M641"/>
    </row>
    <row r="642" spans="1:13">
      <c r="A642"/>
      <c r="B642"/>
      <c r="C642"/>
      <c r="D642"/>
      <c r="E642"/>
      <c r="F642"/>
      <c r="G642"/>
      <c r="H642"/>
      <c r="I642"/>
      <c r="J642"/>
      <c r="K642"/>
      <c r="L642"/>
      <c r="M642"/>
    </row>
    <row r="643" spans="1:13">
      <c r="A643"/>
      <c r="B643"/>
      <c r="C643"/>
      <c r="D643"/>
      <c r="E643"/>
      <c r="F643"/>
      <c r="G643"/>
      <c r="H643"/>
      <c r="I643"/>
      <c r="J643"/>
      <c r="K643"/>
      <c r="L643"/>
      <c r="M643"/>
    </row>
    <row r="644" spans="1:13">
      <c r="A644"/>
      <c r="B644"/>
      <c r="C644"/>
      <c r="D644"/>
      <c r="E644"/>
      <c r="F644"/>
      <c r="G644"/>
      <c r="H644"/>
      <c r="I644"/>
      <c r="J644"/>
      <c r="K644"/>
      <c r="L644"/>
      <c r="M644"/>
    </row>
    <row r="645" spans="1:13">
      <c r="A645"/>
      <c r="B645"/>
      <c r="C645"/>
      <c r="D645"/>
      <c r="E645"/>
      <c r="F645"/>
      <c r="G645"/>
      <c r="H645"/>
      <c r="I645"/>
      <c r="J645"/>
      <c r="K645"/>
      <c r="L645"/>
      <c r="M645"/>
    </row>
    <row r="646" spans="1:13">
      <c r="A646"/>
      <c r="B646"/>
      <c r="C646"/>
      <c r="D646"/>
      <c r="E646"/>
      <c r="F646"/>
      <c r="G646"/>
      <c r="H646"/>
      <c r="I646"/>
      <c r="J646"/>
      <c r="K646"/>
      <c r="L646"/>
      <c r="M646"/>
    </row>
    <row r="647" spans="1:13">
      <c r="A647"/>
      <c r="B647"/>
      <c r="C647"/>
      <c r="D647"/>
      <c r="E647"/>
      <c r="F647"/>
      <c r="G647"/>
      <c r="H647"/>
      <c r="I647"/>
      <c r="J647"/>
      <c r="K647"/>
      <c r="L647"/>
      <c r="M647"/>
    </row>
    <row r="648" spans="1:13">
      <c r="A648"/>
      <c r="B648"/>
      <c r="C648"/>
      <c r="D648"/>
      <c r="E648"/>
      <c r="F648"/>
      <c r="G648"/>
      <c r="H648"/>
      <c r="I648"/>
      <c r="J648"/>
      <c r="K648"/>
      <c r="L648"/>
      <c r="M648"/>
    </row>
    <row r="649" spans="1:13">
      <c r="A649"/>
      <c r="B649"/>
      <c r="C649"/>
      <c r="D649"/>
      <c r="E649"/>
      <c r="F649"/>
      <c r="G649"/>
      <c r="H649"/>
      <c r="I649"/>
      <c r="J649"/>
      <c r="K649"/>
      <c r="L649"/>
      <c r="M649"/>
    </row>
    <row r="650" spans="1:13">
      <c r="A650"/>
      <c r="B650"/>
      <c r="C650"/>
      <c r="D650"/>
      <c r="E650"/>
      <c r="F650"/>
      <c r="G650"/>
      <c r="H650"/>
      <c r="I650"/>
      <c r="J650"/>
      <c r="K650"/>
      <c r="L650"/>
      <c r="M650"/>
    </row>
    <row r="651" spans="1:13">
      <c r="A651"/>
      <c r="B651"/>
      <c r="C651"/>
      <c r="D651"/>
      <c r="E651"/>
      <c r="F651"/>
      <c r="G651"/>
      <c r="H651"/>
      <c r="I651"/>
      <c r="J651"/>
      <c r="K651"/>
      <c r="L651"/>
      <c r="M651"/>
    </row>
    <row r="652" spans="1:13">
      <c r="A652"/>
      <c r="B652"/>
      <c r="C652"/>
      <c r="D652"/>
      <c r="E652"/>
      <c r="F652"/>
      <c r="G652"/>
      <c r="H652"/>
      <c r="I652"/>
      <c r="J652"/>
      <c r="K652"/>
      <c r="L652"/>
      <c r="M652"/>
    </row>
    <row r="653" spans="1:13">
      <c r="A653"/>
      <c r="B653"/>
      <c r="C653"/>
      <c r="D653"/>
      <c r="E653"/>
      <c r="F653"/>
      <c r="G653"/>
      <c r="H653"/>
      <c r="I653"/>
      <c r="J653"/>
      <c r="K653"/>
      <c r="L653"/>
      <c r="M653"/>
    </row>
    <row r="654" spans="1:13">
      <c r="A654"/>
      <c r="B654"/>
      <c r="C654"/>
      <c r="D654"/>
      <c r="E654"/>
      <c r="F654"/>
      <c r="G654"/>
      <c r="H654"/>
      <c r="I654"/>
      <c r="J654"/>
      <c r="K654"/>
      <c r="L654"/>
      <c r="M654"/>
    </row>
    <row r="655" spans="1:13">
      <c r="A655"/>
      <c r="B655"/>
      <c r="C655"/>
      <c r="D655"/>
      <c r="E655"/>
      <c r="F655"/>
      <c r="G655"/>
      <c r="H655"/>
      <c r="I655"/>
      <c r="J655"/>
      <c r="K655"/>
      <c r="L655"/>
      <c r="M655"/>
    </row>
    <row r="656" spans="1:13">
      <c r="A656"/>
      <c r="B656"/>
      <c r="C656"/>
      <c r="D656"/>
      <c r="E656"/>
      <c r="F656"/>
      <c r="G656"/>
      <c r="H656"/>
      <c r="I656"/>
      <c r="J656"/>
      <c r="K656"/>
      <c r="L656"/>
      <c r="M656"/>
    </row>
    <row r="657" spans="1:13">
      <c r="A657"/>
      <c r="B657"/>
      <c r="C657"/>
      <c r="D657"/>
      <c r="E657"/>
      <c r="F657"/>
      <c r="G657"/>
      <c r="H657"/>
      <c r="I657"/>
      <c r="J657"/>
      <c r="K657"/>
      <c r="L657"/>
      <c r="M657"/>
    </row>
    <row r="658" spans="1:13">
      <c r="A658"/>
      <c r="B658"/>
      <c r="C658"/>
      <c r="D658"/>
      <c r="E658"/>
      <c r="F658"/>
      <c r="G658"/>
      <c r="H658"/>
      <c r="I658"/>
      <c r="J658"/>
      <c r="K658"/>
      <c r="L658"/>
      <c r="M658"/>
    </row>
    <row r="659" spans="1:13">
      <c r="A659"/>
      <c r="B659"/>
      <c r="C659"/>
      <c r="D659"/>
      <c r="E659"/>
      <c r="F659"/>
      <c r="G659"/>
      <c r="H659"/>
      <c r="I659"/>
      <c r="J659"/>
      <c r="K659"/>
      <c r="L659"/>
      <c r="M659"/>
    </row>
    <row r="660" spans="1:13">
      <c r="A660"/>
      <c r="B660"/>
      <c r="C660"/>
      <c r="D660"/>
      <c r="E660"/>
      <c r="F660"/>
      <c r="G660"/>
      <c r="H660"/>
      <c r="I660"/>
      <c r="J660"/>
      <c r="K660"/>
      <c r="L660"/>
      <c r="M660"/>
    </row>
    <row r="661" spans="1:13">
      <c r="A661"/>
      <c r="B661"/>
      <c r="C661"/>
      <c r="D661"/>
      <c r="E661"/>
      <c r="F661"/>
      <c r="G661"/>
      <c r="H661"/>
      <c r="I661"/>
      <c r="J661"/>
      <c r="K661"/>
      <c r="L661"/>
      <c r="M661"/>
    </row>
    <row r="662" spans="1:13">
      <c r="A662"/>
      <c r="B662"/>
      <c r="C662"/>
      <c r="D662"/>
      <c r="E662"/>
      <c r="F662"/>
      <c r="G662"/>
      <c r="H662"/>
      <c r="I662"/>
      <c r="J662"/>
      <c r="K662"/>
      <c r="L662"/>
      <c r="M662"/>
    </row>
    <row r="663" spans="1:13">
      <c r="A663"/>
      <c r="B663"/>
      <c r="C663"/>
      <c r="D663"/>
      <c r="E663"/>
      <c r="F663"/>
      <c r="G663"/>
      <c r="H663"/>
      <c r="I663"/>
      <c r="J663"/>
      <c r="K663"/>
      <c r="L663"/>
      <c r="M663"/>
    </row>
    <row r="664" spans="1:13">
      <c r="A664"/>
      <c r="B664"/>
      <c r="C664"/>
      <c r="D664"/>
      <c r="E664"/>
      <c r="F664"/>
      <c r="G664"/>
      <c r="H664"/>
      <c r="I664"/>
      <c r="J664"/>
      <c r="K664"/>
      <c r="L664"/>
      <c r="M664"/>
    </row>
    <row r="665" spans="1:13">
      <c r="A665"/>
      <c r="B665"/>
      <c r="C665"/>
      <c r="D665"/>
      <c r="E665"/>
      <c r="F665"/>
      <c r="G665"/>
      <c r="H665"/>
      <c r="I665"/>
      <c r="J665"/>
      <c r="K665"/>
      <c r="L665"/>
      <c r="M665"/>
    </row>
    <row r="666" spans="1:13">
      <c r="A666"/>
      <c r="B666"/>
      <c r="C666"/>
      <c r="D666"/>
      <c r="E666"/>
      <c r="F666"/>
      <c r="G666"/>
      <c r="H666"/>
      <c r="I666"/>
      <c r="J666"/>
      <c r="K666"/>
      <c r="L666"/>
      <c r="M666"/>
    </row>
    <row r="667" spans="1:13">
      <c r="A667"/>
      <c r="B667"/>
      <c r="C667"/>
      <c r="D667"/>
      <c r="E667"/>
      <c r="F667"/>
      <c r="G667"/>
      <c r="H667"/>
      <c r="I667"/>
      <c r="J667"/>
      <c r="K667"/>
      <c r="L667"/>
      <c r="M667"/>
    </row>
    <row r="668" spans="1:13">
      <c r="A668"/>
      <c r="B668"/>
      <c r="C668"/>
      <c r="D668"/>
      <c r="E668"/>
      <c r="F668"/>
      <c r="G668"/>
      <c r="H668"/>
      <c r="I668"/>
      <c r="J668"/>
      <c r="K668"/>
      <c r="L668"/>
      <c r="M668"/>
    </row>
    <row r="669" spans="1:13">
      <c r="A669"/>
      <c r="B669"/>
      <c r="C669"/>
      <c r="D669"/>
      <c r="E669"/>
      <c r="F669"/>
      <c r="G669"/>
      <c r="H669"/>
      <c r="I669"/>
      <c r="J669"/>
      <c r="K669"/>
      <c r="L669"/>
      <c r="M669"/>
    </row>
    <row r="670" spans="1:13">
      <c r="A670"/>
      <c r="B670"/>
      <c r="C670"/>
      <c r="D670"/>
      <c r="E670"/>
      <c r="F670"/>
      <c r="G670"/>
      <c r="H670"/>
      <c r="I670"/>
      <c r="J670"/>
      <c r="K670"/>
      <c r="L670"/>
      <c r="M670"/>
    </row>
    <row r="671" spans="1:13">
      <c r="A671"/>
      <c r="B671"/>
      <c r="C671"/>
      <c r="D671"/>
      <c r="E671"/>
      <c r="F671"/>
      <c r="G671"/>
      <c r="H671"/>
      <c r="I671"/>
      <c r="J671"/>
      <c r="K671"/>
      <c r="L671"/>
      <c r="M671"/>
    </row>
    <row r="672" spans="1:13">
      <c r="A672"/>
      <c r="B672"/>
      <c r="C672"/>
      <c r="D672"/>
      <c r="E672"/>
      <c r="F672"/>
      <c r="G672"/>
      <c r="H672"/>
      <c r="I672"/>
      <c r="J672"/>
      <c r="K672"/>
      <c r="L672"/>
      <c r="M672"/>
    </row>
    <row r="673" spans="1:13">
      <c r="A673"/>
      <c r="B673"/>
      <c r="C673"/>
      <c r="D673"/>
      <c r="E673"/>
      <c r="F673"/>
      <c r="G673"/>
      <c r="H673"/>
      <c r="I673"/>
      <c r="J673"/>
      <c r="K673"/>
      <c r="L673"/>
      <c r="M673"/>
    </row>
    <row r="674" spans="1:13">
      <c r="A674"/>
      <c r="B674"/>
      <c r="C674"/>
      <c r="D674"/>
      <c r="E674"/>
      <c r="F674"/>
      <c r="G674"/>
      <c r="H674"/>
      <c r="I674"/>
      <c r="J674"/>
      <c r="K674"/>
      <c r="L674"/>
      <c r="M674"/>
    </row>
    <row r="675" spans="1:13">
      <c r="A675"/>
      <c r="B675"/>
      <c r="C675"/>
      <c r="D675"/>
      <c r="E675"/>
      <c r="F675"/>
      <c r="G675"/>
      <c r="H675"/>
      <c r="I675"/>
      <c r="J675"/>
      <c r="K675"/>
      <c r="L675"/>
      <c r="M675"/>
    </row>
    <row r="676" spans="1:13">
      <c r="A676"/>
      <c r="B676"/>
      <c r="C676"/>
      <c r="D676"/>
      <c r="E676"/>
      <c r="F676"/>
      <c r="G676"/>
      <c r="H676"/>
      <c r="I676"/>
      <c r="J676"/>
      <c r="K676"/>
      <c r="L676"/>
      <c r="M676"/>
    </row>
    <row r="677" spans="1:13">
      <c r="A677"/>
      <c r="B677"/>
      <c r="C677"/>
      <c r="D677"/>
      <c r="E677"/>
      <c r="F677"/>
      <c r="G677"/>
      <c r="H677"/>
      <c r="I677"/>
      <c r="J677"/>
      <c r="K677"/>
      <c r="L677"/>
      <c r="M677"/>
    </row>
    <row r="678" spans="1:13">
      <c r="A678"/>
      <c r="B678"/>
      <c r="C678"/>
      <c r="D678"/>
      <c r="E678"/>
      <c r="F678"/>
      <c r="G678"/>
      <c r="H678"/>
      <c r="I678"/>
      <c r="J678"/>
      <c r="K678"/>
      <c r="L678"/>
      <c r="M678"/>
    </row>
    <row r="679" spans="1:13">
      <c r="A679"/>
      <c r="B679"/>
      <c r="C679"/>
      <c r="D679"/>
      <c r="E679"/>
      <c r="F679"/>
      <c r="G679"/>
      <c r="H679"/>
      <c r="I679"/>
      <c r="J679"/>
      <c r="K679"/>
      <c r="L679"/>
      <c r="M679"/>
    </row>
    <row r="680" spans="1:13">
      <c r="A680"/>
      <c r="B680"/>
      <c r="C680"/>
      <c r="D680"/>
      <c r="E680"/>
      <c r="F680"/>
      <c r="G680"/>
      <c r="H680"/>
      <c r="I680"/>
      <c r="J680"/>
      <c r="K680"/>
      <c r="L680"/>
      <c r="M680"/>
    </row>
    <row r="681" spans="1:13">
      <c r="A681"/>
      <c r="B681"/>
      <c r="C681"/>
      <c r="D681"/>
      <c r="E681"/>
      <c r="F681"/>
      <c r="G681"/>
      <c r="H681"/>
      <c r="I681"/>
      <c r="J681"/>
      <c r="K681"/>
      <c r="L681"/>
      <c r="M681"/>
    </row>
    <row r="682" spans="1:13">
      <c r="A682"/>
      <c r="B682"/>
      <c r="C682"/>
      <c r="D682"/>
      <c r="E682"/>
      <c r="F682"/>
      <c r="G682"/>
      <c r="H682"/>
      <c r="I682"/>
      <c r="J682"/>
      <c r="K682"/>
      <c r="L682"/>
      <c r="M682"/>
    </row>
    <row r="683" spans="1:13">
      <c r="A683"/>
      <c r="B683"/>
      <c r="C683"/>
      <c r="D683"/>
      <c r="E683"/>
      <c r="F683"/>
      <c r="G683"/>
      <c r="H683"/>
      <c r="I683"/>
      <c r="J683"/>
      <c r="K683"/>
      <c r="L683"/>
      <c r="M683"/>
    </row>
    <row r="684" spans="1:13">
      <c r="A684"/>
      <c r="B684"/>
      <c r="C684"/>
      <c r="D684"/>
      <c r="E684"/>
      <c r="F684"/>
      <c r="G684"/>
      <c r="H684"/>
      <c r="I684"/>
      <c r="J684"/>
      <c r="K684"/>
      <c r="L684"/>
      <c r="M684"/>
    </row>
    <row r="685" spans="1:13">
      <c r="A685"/>
      <c r="B685"/>
      <c r="C685"/>
      <c r="D685"/>
      <c r="E685"/>
      <c r="F685"/>
      <c r="G685"/>
      <c r="H685"/>
      <c r="I685"/>
      <c r="J685"/>
      <c r="K685"/>
      <c r="L685"/>
      <c r="M685"/>
    </row>
    <row r="686" spans="1:13">
      <c r="A686"/>
      <c r="B686"/>
      <c r="C686"/>
      <c r="D686"/>
      <c r="E686"/>
      <c r="F686"/>
      <c r="G686"/>
      <c r="H686"/>
      <c r="I686"/>
      <c r="J686"/>
      <c r="K686"/>
      <c r="L686"/>
      <c r="M686"/>
    </row>
    <row r="687" spans="1:13">
      <c r="A687"/>
      <c r="B687"/>
      <c r="C687"/>
      <c r="D687"/>
      <c r="E687"/>
      <c r="F687"/>
      <c r="G687"/>
      <c r="H687"/>
      <c r="I687"/>
      <c r="J687"/>
      <c r="K687"/>
      <c r="L687"/>
      <c r="M687"/>
    </row>
    <row r="688" spans="1:13">
      <c r="A688"/>
      <c r="B688"/>
      <c r="C688"/>
      <c r="D688"/>
      <c r="E688"/>
      <c r="F688"/>
      <c r="G688"/>
      <c r="H688"/>
      <c r="I688"/>
      <c r="J688"/>
      <c r="K688"/>
      <c r="L688"/>
      <c r="M688"/>
    </row>
    <row r="689" spans="1:13">
      <c r="A689"/>
      <c r="B689"/>
      <c r="C689"/>
      <c r="D689"/>
      <c r="E689"/>
      <c r="F689"/>
      <c r="G689"/>
      <c r="H689"/>
      <c r="I689"/>
      <c r="J689"/>
      <c r="K689"/>
      <c r="L689"/>
      <c r="M689"/>
    </row>
    <row r="690" spans="1:13">
      <c r="A690"/>
      <c r="B690"/>
      <c r="C690"/>
      <c r="D690"/>
      <c r="E690"/>
      <c r="F690"/>
      <c r="G690"/>
      <c r="H690"/>
      <c r="I690"/>
      <c r="J690"/>
      <c r="K690"/>
      <c r="L690"/>
      <c r="M690"/>
    </row>
    <row r="691" spans="1:13">
      <c r="A691"/>
      <c r="B691"/>
      <c r="C691"/>
      <c r="D691"/>
      <c r="E691"/>
      <c r="F691"/>
      <c r="G691"/>
      <c r="H691"/>
      <c r="I691"/>
      <c r="J691"/>
      <c r="K691"/>
      <c r="L691"/>
      <c r="M691"/>
    </row>
    <row r="692" spans="1:13">
      <c r="A692"/>
      <c r="B692"/>
      <c r="C692"/>
      <c r="D692"/>
      <c r="E692"/>
      <c r="F692"/>
      <c r="G692"/>
      <c r="H692"/>
      <c r="I692"/>
      <c r="J692"/>
      <c r="K692"/>
      <c r="L692"/>
      <c r="M692"/>
    </row>
    <row r="693" spans="1:13">
      <c r="A693"/>
      <c r="B693"/>
      <c r="C693"/>
      <c r="D693"/>
      <c r="E693"/>
      <c r="F693"/>
      <c r="G693"/>
      <c r="H693"/>
      <c r="I693"/>
      <c r="J693"/>
      <c r="K693"/>
      <c r="L693"/>
      <c r="M693"/>
    </row>
    <row r="694" spans="1:13">
      <c r="A694"/>
      <c r="B694"/>
      <c r="C694"/>
      <c r="D694"/>
      <c r="E694"/>
      <c r="F694"/>
      <c r="G694"/>
      <c r="H694"/>
      <c r="I694"/>
      <c r="J694"/>
      <c r="K694"/>
      <c r="L694"/>
      <c r="M694"/>
    </row>
    <row r="695" spans="1:13">
      <c r="A695"/>
      <c r="B695"/>
      <c r="C695"/>
      <c r="D695"/>
      <c r="E695"/>
      <c r="F695"/>
      <c r="G695"/>
      <c r="H695"/>
      <c r="I695"/>
      <c r="J695"/>
      <c r="K695"/>
      <c r="L695"/>
      <c r="M695"/>
    </row>
    <row r="696" spans="1:13">
      <c r="A696"/>
      <c r="B696"/>
      <c r="C696"/>
      <c r="D696"/>
      <c r="E696"/>
      <c r="F696"/>
      <c r="G696"/>
      <c r="H696"/>
      <c r="I696"/>
      <c r="J696"/>
      <c r="K696"/>
      <c r="L696"/>
      <c r="M696"/>
    </row>
    <row r="697" spans="1:13">
      <c r="A697"/>
      <c r="B697"/>
      <c r="C697"/>
      <c r="D697"/>
      <c r="E697"/>
      <c r="F697"/>
      <c r="G697"/>
      <c r="H697"/>
      <c r="I697"/>
      <c r="J697"/>
      <c r="K697"/>
      <c r="L697"/>
      <c r="M697"/>
    </row>
    <row r="698" spans="1:13">
      <c r="A698"/>
      <c r="B698"/>
      <c r="C698"/>
      <c r="D698"/>
      <c r="E698"/>
      <c r="F698"/>
      <c r="G698"/>
      <c r="H698"/>
      <c r="I698"/>
      <c r="J698"/>
      <c r="K698"/>
      <c r="L698"/>
      <c r="M698"/>
    </row>
    <row r="699" spans="1:13">
      <c r="A699"/>
      <c r="B699"/>
      <c r="C699"/>
      <c r="D699"/>
      <c r="E699"/>
      <c r="F699"/>
      <c r="G699"/>
      <c r="H699"/>
      <c r="I699"/>
      <c r="J699"/>
      <c r="K699"/>
      <c r="L699"/>
      <c r="M699"/>
    </row>
    <row r="700" spans="1:13">
      <c r="A700"/>
      <c r="B700"/>
      <c r="C700"/>
      <c r="D700"/>
      <c r="E700"/>
      <c r="F700"/>
      <c r="G700"/>
      <c r="H700"/>
      <c r="I700"/>
      <c r="J700"/>
      <c r="K700"/>
      <c r="L700"/>
      <c r="M700"/>
    </row>
    <row r="701" spans="1:13">
      <c r="A701"/>
      <c r="B701"/>
      <c r="C701"/>
      <c r="D701"/>
      <c r="E701"/>
      <c r="F701"/>
      <c r="G701"/>
      <c r="H701"/>
      <c r="I701"/>
      <c r="J701"/>
      <c r="K701"/>
      <c r="L701"/>
      <c r="M701"/>
    </row>
    <row r="702" spans="1:13">
      <c r="A702"/>
      <c r="B702"/>
      <c r="C702"/>
      <c r="D702"/>
      <c r="E702"/>
      <c r="F702"/>
      <c r="G702"/>
      <c r="H702"/>
      <c r="I702"/>
      <c r="J702"/>
      <c r="K702"/>
      <c r="L702"/>
      <c r="M702"/>
    </row>
    <row r="703" spans="1:13">
      <c r="A703"/>
      <c r="B703"/>
      <c r="C703"/>
      <c r="D703"/>
      <c r="E703"/>
      <c r="F703"/>
      <c r="G703"/>
      <c r="H703"/>
      <c r="I703"/>
      <c r="J703"/>
      <c r="K703"/>
      <c r="L703"/>
      <c r="M703"/>
    </row>
    <row r="704" spans="1:13">
      <c r="A704"/>
      <c r="B704"/>
      <c r="C704"/>
      <c r="D704"/>
      <c r="E704"/>
      <c r="F704"/>
      <c r="G704"/>
      <c r="H704"/>
      <c r="I704"/>
      <c r="J704"/>
      <c r="K704"/>
      <c r="L704"/>
      <c r="M704"/>
    </row>
    <row r="705" spans="1:13">
      <c r="A705"/>
      <c r="B705"/>
      <c r="C705"/>
      <c r="D705"/>
      <c r="E705"/>
      <c r="F705"/>
      <c r="G705"/>
      <c r="H705"/>
      <c r="I705"/>
      <c r="J705"/>
      <c r="K705"/>
      <c r="L705"/>
      <c r="M705"/>
    </row>
    <row r="706" spans="1:13">
      <c r="A706"/>
      <c r="B706"/>
      <c r="C706"/>
      <c r="D706"/>
      <c r="E706"/>
      <c r="F706"/>
      <c r="G706"/>
      <c r="H706"/>
      <c r="I706"/>
      <c r="J706"/>
      <c r="K706"/>
      <c r="L706"/>
      <c r="M706"/>
    </row>
    <row r="707" spans="1:13">
      <c r="A707"/>
      <c r="B707"/>
      <c r="C707"/>
      <c r="D707"/>
      <c r="E707"/>
      <c r="F707"/>
      <c r="G707"/>
      <c r="H707"/>
      <c r="I707"/>
      <c r="J707"/>
      <c r="K707"/>
      <c r="L707"/>
      <c r="M707"/>
    </row>
    <row r="708" spans="1:13">
      <c r="A708"/>
      <c r="B708"/>
      <c r="C708"/>
      <c r="D708"/>
      <c r="E708"/>
      <c r="F708"/>
      <c r="G708"/>
      <c r="H708"/>
      <c r="I708"/>
      <c r="J708"/>
      <c r="K708"/>
      <c r="L708"/>
      <c r="M708"/>
    </row>
    <row r="709" spans="1:13">
      <c r="A709"/>
      <c r="B709"/>
      <c r="C709"/>
      <c r="D709"/>
      <c r="E709"/>
      <c r="F709"/>
      <c r="G709"/>
      <c r="H709"/>
      <c r="I709"/>
      <c r="J709"/>
      <c r="K709"/>
      <c r="L709"/>
      <c r="M709"/>
    </row>
    <row r="710" spans="1:13">
      <c r="A710"/>
      <c r="B710"/>
      <c r="C710"/>
      <c r="D710"/>
      <c r="E710"/>
      <c r="F710"/>
      <c r="G710"/>
      <c r="H710"/>
      <c r="I710"/>
      <c r="J710"/>
      <c r="K710"/>
      <c r="L710"/>
      <c r="M710"/>
    </row>
    <row r="711" spans="1:13">
      <c r="A711"/>
      <c r="B711"/>
      <c r="C711"/>
      <c r="D711"/>
      <c r="E711"/>
      <c r="F711"/>
      <c r="G711"/>
      <c r="H711"/>
      <c r="I711"/>
      <c r="J711"/>
      <c r="K711"/>
      <c r="L711"/>
      <c r="M711"/>
    </row>
    <row r="712" spans="1:13">
      <c r="A712"/>
      <c r="B712"/>
      <c r="C712"/>
      <c r="D712"/>
      <c r="E712"/>
      <c r="F712"/>
      <c r="G712"/>
      <c r="H712"/>
      <c r="I712"/>
      <c r="J712"/>
      <c r="K712"/>
      <c r="L712"/>
      <c r="M712"/>
    </row>
    <row r="713" spans="1:13">
      <c r="A713"/>
      <c r="B713"/>
      <c r="C713"/>
      <c r="D713"/>
      <c r="E713"/>
      <c r="F713"/>
      <c r="G713"/>
      <c r="H713"/>
      <c r="I713"/>
      <c r="J713"/>
      <c r="K713"/>
      <c r="L713"/>
      <c r="M713"/>
    </row>
    <row r="714" spans="1:13">
      <c r="A714"/>
      <c r="B714"/>
      <c r="C714"/>
      <c r="D714"/>
      <c r="E714"/>
      <c r="F714"/>
      <c r="G714"/>
      <c r="H714"/>
      <c r="I714"/>
      <c r="J714"/>
      <c r="K714"/>
      <c r="L714"/>
      <c r="M714"/>
    </row>
    <row r="715" spans="1:13">
      <c r="A715"/>
      <c r="B715"/>
      <c r="C715"/>
      <c r="D715"/>
      <c r="E715"/>
      <c r="F715"/>
      <c r="G715"/>
      <c r="H715"/>
      <c r="I715"/>
      <c r="J715"/>
      <c r="K715"/>
      <c r="L715"/>
      <c r="M715"/>
    </row>
    <row r="716" spans="1:13">
      <c r="A716"/>
      <c r="B716"/>
      <c r="C716"/>
      <c r="D716"/>
      <c r="E716"/>
      <c r="F716"/>
      <c r="G716"/>
      <c r="H716"/>
      <c r="I716"/>
      <c r="J716"/>
      <c r="K716"/>
      <c r="L716"/>
      <c r="M716"/>
    </row>
    <row r="717" spans="1:13">
      <c r="A717"/>
      <c r="B717"/>
      <c r="C717"/>
      <c r="D717"/>
      <c r="E717"/>
      <c r="F717"/>
      <c r="G717"/>
      <c r="H717"/>
      <c r="I717"/>
      <c r="J717"/>
      <c r="K717"/>
      <c r="L717"/>
      <c r="M717"/>
    </row>
    <row r="718" spans="1:13">
      <c r="A718"/>
      <c r="B718"/>
      <c r="C718"/>
      <c r="D718"/>
      <c r="E718"/>
      <c r="F718"/>
      <c r="G718"/>
      <c r="H718"/>
      <c r="I718"/>
      <c r="J718"/>
      <c r="K718"/>
      <c r="L718"/>
      <c r="M718"/>
    </row>
    <row r="719" spans="1:13">
      <c r="A719"/>
      <c r="B719"/>
      <c r="C719"/>
      <c r="D719"/>
      <c r="E719"/>
      <c r="F719"/>
      <c r="G719"/>
      <c r="H719"/>
      <c r="I719"/>
      <c r="J719"/>
      <c r="K719"/>
      <c r="L719"/>
      <c r="M719"/>
    </row>
    <row r="720" spans="1:13">
      <c r="A720"/>
      <c r="B720"/>
      <c r="C720"/>
      <c r="D720"/>
      <c r="E720"/>
      <c r="F720"/>
      <c r="G720"/>
      <c r="H720"/>
      <c r="I720"/>
      <c r="J720"/>
      <c r="K720"/>
      <c r="L720"/>
      <c r="M720"/>
    </row>
    <row r="721" spans="1:13">
      <c r="A721"/>
      <c r="B721"/>
      <c r="C721"/>
      <c r="D721"/>
      <c r="E721"/>
      <c r="F721"/>
      <c r="G721"/>
      <c r="H721"/>
      <c r="I721"/>
      <c r="J721"/>
      <c r="K721"/>
      <c r="L721"/>
      <c r="M721"/>
    </row>
    <row r="722" spans="1:13">
      <c r="A722"/>
      <c r="B722"/>
      <c r="C722"/>
      <c r="D722"/>
      <c r="E722"/>
      <c r="F722"/>
      <c r="G722"/>
      <c r="H722"/>
      <c r="I722"/>
      <c r="J722"/>
      <c r="K722"/>
      <c r="L722"/>
      <c r="M722"/>
    </row>
    <row r="723" spans="1:13">
      <c r="A723"/>
      <c r="B723"/>
      <c r="C723"/>
      <c r="D723"/>
      <c r="E723"/>
      <c r="F723"/>
      <c r="G723"/>
      <c r="H723"/>
      <c r="I723"/>
      <c r="J723"/>
      <c r="K723"/>
      <c r="L723"/>
      <c r="M723"/>
    </row>
    <row r="724" spans="1:13">
      <c r="A724"/>
      <c r="B724"/>
      <c r="C724"/>
      <c r="D724"/>
      <c r="E724"/>
      <c r="F724"/>
      <c r="G724"/>
      <c r="H724"/>
      <c r="I724"/>
      <c r="J724"/>
      <c r="K724"/>
      <c r="L724"/>
      <c r="M724"/>
    </row>
    <row r="725" spans="1:13">
      <c r="A725"/>
      <c r="B725"/>
      <c r="C725"/>
      <c r="D725"/>
      <c r="E725"/>
      <c r="F725"/>
      <c r="G725"/>
      <c r="H725"/>
      <c r="I725"/>
      <c r="J725"/>
      <c r="K725"/>
      <c r="L725"/>
      <c r="M725"/>
    </row>
    <row r="726" spans="1:13">
      <c r="A726"/>
      <c r="B726"/>
      <c r="C726"/>
      <c r="D726"/>
      <c r="E726"/>
      <c r="F726"/>
      <c r="G726"/>
      <c r="H726"/>
      <c r="I726"/>
      <c r="J726"/>
      <c r="K726"/>
      <c r="L726"/>
      <c r="M726"/>
    </row>
    <row r="727" spans="1:13">
      <c r="A727"/>
      <c r="B727"/>
      <c r="C727"/>
      <c r="D727"/>
      <c r="E727"/>
      <c r="F727"/>
      <c r="G727"/>
      <c r="H727"/>
      <c r="I727"/>
      <c r="J727"/>
      <c r="K727"/>
      <c r="L727"/>
      <c r="M727"/>
    </row>
    <row r="728" spans="1:13">
      <c r="A728"/>
      <c r="B728"/>
      <c r="C728"/>
      <c r="D728"/>
      <c r="E728"/>
      <c r="F728"/>
      <c r="G728"/>
      <c r="H728"/>
      <c r="I728"/>
      <c r="J728"/>
      <c r="K728"/>
      <c r="L728"/>
      <c r="M728"/>
    </row>
    <row r="729" spans="1:13">
      <c r="A729"/>
      <c r="B729"/>
      <c r="C729"/>
      <c r="D729"/>
      <c r="E729"/>
      <c r="F729"/>
      <c r="G729"/>
      <c r="H729"/>
      <c r="I729"/>
      <c r="J729"/>
      <c r="K729"/>
      <c r="L729"/>
      <c r="M729"/>
    </row>
    <row r="730" spans="1:13">
      <c r="A730"/>
      <c r="B730"/>
      <c r="C730"/>
      <c r="D730"/>
      <c r="E730"/>
      <c r="F730"/>
      <c r="G730"/>
      <c r="H730"/>
      <c r="I730"/>
      <c r="J730"/>
      <c r="K730"/>
      <c r="L730"/>
      <c r="M730"/>
    </row>
    <row r="731" spans="1:13">
      <c r="A731"/>
      <c r="B731"/>
      <c r="C731"/>
      <c r="D731"/>
      <c r="E731"/>
      <c r="F731"/>
      <c r="G731"/>
      <c r="H731"/>
      <c r="I731"/>
      <c r="J731"/>
      <c r="K731"/>
      <c r="L731"/>
      <c r="M731"/>
    </row>
    <row r="732" spans="1:13">
      <c r="A732"/>
      <c r="B732"/>
      <c r="C732"/>
      <c r="D732"/>
      <c r="E732"/>
      <c r="F732"/>
      <c r="G732"/>
      <c r="H732"/>
      <c r="I732"/>
      <c r="J732"/>
      <c r="K732"/>
      <c r="L732"/>
      <c r="M732"/>
    </row>
    <row r="733" spans="1:13">
      <c r="A733"/>
      <c r="B733"/>
      <c r="C733"/>
      <c r="D733"/>
      <c r="E733"/>
      <c r="F733"/>
      <c r="G733"/>
      <c r="H733"/>
      <c r="I733"/>
      <c r="J733"/>
      <c r="K733"/>
      <c r="L733"/>
      <c r="M733"/>
    </row>
    <row r="734" spans="1:13">
      <c r="A734"/>
      <c r="B734"/>
      <c r="C734"/>
      <c r="D734"/>
      <c r="E734"/>
      <c r="F734"/>
      <c r="G734"/>
      <c r="H734"/>
      <c r="I734"/>
      <c r="J734"/>
      <c r="K734"/>
      <c r="L734"/>
      <c r="M734"/>
    </row>
    <row r="735" spans="1:13">
      <c r="A735"/>
      <c r="B735"/>
      <c r="C735"/>
      <c r="D735"/>
      <c r="E735"/>
      <c r="F735"/>
      <c r="G735"/>
      <c r="H735"/>
      <c r="I735"/>
      <c r="J735"/>
      <c r="K735"/>
      <c r="L735"/>
      <c r="M735"/>
    </row>
    <row r="736" spans="1:13">
      <c r="A736"/>
      <c r="B736"/>
      <c r="C736"/>
      <c r="D736"/>
      <c r="E736"/>
      <c r="F736"/>
      <c r="G736"/>
      <c r="H736"/>
      <c r="I736"/>
      <c r="J736"/>
      <c r="K736"/>
      <c r="L736"/>
      <c r="M736"/>
    </row>
    <row r="737" spans="1:13">
      <c r="A737"/>
      <c r="B737"/>
      <c r="C737"/>
      <c r="D737"/>
      <c r="E737"/>
      <c r="F737"/>
      <c r="G737"/>
      <c r="H737"/>
      <c r="I737"/>
      <c r="J737"/>
      <c r="K737"/>
      <c r="L737"/>
      <c r="M737"/>
    </row>
    <row r="738" spans="1:13">
      <c r="A738"/>
      <c r="B738"/>
      <c r="C738"/>
      <c r="D738"/>
      <c r="E738"/>
      <c r="F738"/>
      <c r="G738"/>
      <c r="H738"/>
      <c r="I738"/>
      <c r="J738"/>
      <c r="K738"/>
      <c r="L738"/>
      <c r="M738"/>
    </row>
    <row r="739" spans="1:13">
      <c r="A739"/>
      <c r="B739"/>
      <c r="C739"/>
      <c r="D739"/>
      <c r="E739"/>
      <c r="F739"/>
      <c r="G739"/>
      <c r="H739"/>
      <c r="I739"/>
      <c r="J739"/>
      <c r="K739"/>
      <c r="L739"/>
      <c r="M739"/>
    </row>
    <row r="740" spans="1:13">
      <c r="A740"/>
      <c r="B740"/>
      <c r="C740"/>
      <c r="D740"/>
      <c r="E740"/>
      <c r="F740"/>
      <c r="G740"/>
      <c r="H740"/>
      <c r="I740"/>
      <c r="J740"/>
      <c r="K740"/>
      <c r="L740"/>
      <c r="M740"/>
    </row>
    <row r="741" spans="1:13">
      <c r="A741"/>
      <c r="B741"/>
      <c r="C741"/>
      <c r="D741"/>
      <c r="E741"/>
      <c r="F741"/>
      <c r="G741"/>
      <c r="H741"/>
      <c r="I741"/>
      <c r="J741"/>
      <c r="K741"/>
      <c r="L741"/>
      <c r="M741"/>
    </row>
    <row r="742" spans="1:13">
      <c r="A742"/>
      <c r="B742"/>
      <c r="C742"/>
      <c r="D742"/>
      <c r="E742"/>
      <c r="F742"/>
      <c r="G742"/>
      <c r="H742"/>
      <c r="I742"/>
      <c r="J742"/>
      <c r="K742"/>
      <c r="L742"/>
      <c r="M742"/>
    </row>
    <row r="743" spans="1:13">
      <c r="A743"/>
      <c r="B743"/>
      <c r="C743"/>
      <c r="D743"/>
      <c r="E743"/>
      <c r="F743"/>
      <c r="G743"/>
      <c r="H743"/>
      <c r="I743"/>
      <c r="J743"/>
      <c r="K743"/>
      <c r="L743"/>
      <c r="M743"/>
    </row>
    <row r="744" spans="1:13">
      <c r="A744"/>
      <c r="B744"/>
      <c r="C744"/>
      <c r="D744"/>
      <c r="E744"/>
      <c r="F744"/>
      <c r="G744"/>
      <c r="H744"/>
      <c r="I744"/>
      <c r="J744"/>
      <c r="K744"/>
      <c r="L744"/>
      <c r="M744"/>
    </row>
    <row r="745" spans="1:13">
      <c r="A745"/>
      <c r="B745"/>
      <c r="C745"/>
      <c r="D745"/>
      <c r="E745"/>
      <c r="F745"/>
      <c r="G745"/>
      <c r="H745"/>
      <c r="I745"/>
      <c r="J745"/>
      <c r="K745"/>
      <c r="L745"/>
      <c r="M745"/>
    </row>
    <row r="746" spans="1:13">
      <c r="A746"/>
      <c r="B746"/>
      <c r="C746"/>
      <c r="D746"/>
      <c r="E746"/>
      <c r="F746"/>
      <c r="G746"/>
      <c r="H746"/>
      <c r="I746"/>
      <c r="J746"/>
      <c r="K746"/>
      <c r="L746"/>
      <c r="M746"/>
    </row>
    <row r="747" spans="1:13">
      <c r="A747"/>
      <c r="B747"/>
      <c r="C747"/>
      <c r="D747"/>
      <c r="E747"/>
      <c r="F747"/>
      <c r="G747"/>
      <c r="H747"/>
      <c r="I747"/>
      <c r="J747"/>
      <c r="K747"/>
      <c r="L747"/>
      <c r="M747"/>
    </row>
    <row r="748" spans="1:13">
      <c r="A748"/>
      <c r="B748"/>
      <c r="C748"/>
      <c r="D748"/>
      <c r="E748"/>
      <c r="F748"/>
      <c r="G748"/>
      <c r="H748"/>
      <c r="I748"/>
      <c r="J748"/>
      <c r="K748"/>
      <c r="L748"/>
      <c r="M748"/>
    </row>
    <row r="749" spans="1:13">
      <c r="A749"/>
      <c r="B749"/>
      <c r="C749"/>
      <c r="D749"/>
      <c r="E749"/>
      <c r="F749"/>
      <c r="G749"/>
      <c r="H749"/>
      <c r="I749"/>
      <c r="J749"/>
      <c r="K749"/>
      <c r="L749"/>
      <c r="M749"/>
    </row>
    <row r="750" spans="1:13">
      <c r="A750"/>
      <c r="B750"/>
      <c r="C750"/>
      <c r="D750"/>
      <c r="E750"/>
      <c r="F750"/>
      <c r="G750"/>
      <c r="H750"/>
      <c r="I750"/>
      <c r="J750"/>
      <c r="K750"/>
      <c r="L750"/>
      <c r="M750"/>
    </row>
    <row r="751" spans="1:13">
      <c r="A751"/>
      <c r="B751"/>
      <c r="C751"/>
      <c r="D751"/>
      <c r="E751"/>
      <c r="F751"/>
      <c r="G751"/>
      <c r="H751"/>
      <c r="I751"/>
      <c r="J751"/>
      <c r="K751"/>
      <c r="L751"/>
      <c r="M751"/>
    </row>
    <row r="752" spans="1:13">
      <c r="A752"/>
      <c r="B752"/>
      <c r="C752"/>
      <c r="D752"/>
      <c r="E752"/>
      <c r="F752"/>
      <c r="G752"/>
      <c r="H752"/>
      <c r="I752"/>
      <c r="J752"/>
      <c r="K752"/>
      <c r="L752"/>
      <c r="M752"/>
    </row>
    <row r="753" spans="1:13">
      <c r="A753"/>
      <c r="B753"/>
      <c r="C753"/>
      <c r="D753"/>
      <c r="E753"/>
      <c r="F753"/>
      <c r="G753"/>
      <c r="H753"/>
      <c r="I753"/>
      <c r="J753"/>
      <c r="K753"/>
      <c r="L753"/>
      <c r="M753"/>
    </row>
    <row r="754" spans="1:13">
      <c r="A754"/>
      <c r="B754"/>
      <c r="C754"/>
      <c r="D754"/>
      <c r="E754"/>
      <c r="F754"/>
      <c r="G754"/>
      <c r="H754"/>
      <c r="I754"/>
      <c r="J754"/>
      <c r="K754"/>
      <c r="L754"/>
      <c r="M754"/>
    </row>
    <row r="755" spans="1:13">
      <c r="A755"/>
      <c r="B755"/>
      <c r="C755"/>
      <c r="D755"/>
      <c r="E755"/>
      <c r="F755"/>
      <c r="G755"/>
      <c r="H755"/>
      <c r="I755"/>
      <c r="J755"/>
      <c r="K755"/>
      <c r="L755"/>
      <c r="M755"/>
    </row>
    <row r="756" spans="1:13">
      <c r="A756"/>
      <c r="B756"/>
      <c r="C756"/>
      <c r="D756"/>
      <c r="E756"/>
      <c r="F756"/>
      <c r="G756"/>
      <c r="H756"/>
      <c r="I756"/>
      <c r="J756"/>
      <c r="K756"/>
      <c r="L756"/>
      <c r="M756"/>
    </row>
    <row r="757" spans="1:13">
      <c r="A757"/>
      <c r="B757"/>
      <c r="C757"/>
      <c r="D757"/>
      <c r="E757"/>
      <c r="F757"/>
      <c r="G757"/>
      <c r="H757"/>
      <c r="I757"/>
      <c r="J757"/>
      <c r="K757"/>
      <c r="L757"/>
      <c r="M757"/>
    </row>
    <row r="758" spans="1:13">
      <c r="A758"/>
      <c r="B758"/>
      <c r="C758"/>
      <c r="D758"/>
      <c r="E758"/>
      <c r="F758"/>
      <c r="G758"/>
      <c r="H758"/>
      <c r="I758"/>
      <c r="J758"/>
      <c r="K758"/>
      <c r="L758"/>
      <c r="M758"/>
    </row>
    <row r="759" spans="1:13">
      <c r="A759"/>
      <c r="B759"/>
      <c r="C759"/>
      <c r="D759"/>
      <c r="E759"/>
      <c r="F759"/>
      <c r="G759"/>
      <c r="H759"/>
      <c r="I759"/>
      <c r="J759"/>
      <c r="K759"/>
      <c r="L759"/>
      <c r="M759"/>
    </row>
    <row r="760" spans="1:13">
      <c r="A760"/>
      <c r="B760"/>
      <c r="C760"/>
      <c r="D760"/>
      <c r="E760"/>
      <c r="F760"/>
      <c r="G760"/>
      <c r="H760"/>
      <c r="I760"/>
      <c r="J760"/>
      <c r="K760"/>
      <c r="L760"/>
      <c r="M760"/>
    </row>
    <row r="761" spans="1:13">
      <c r="A761"/>
      <c r="B761"/>
      <c r="C761"/>
      <c r="D761"/>
      <c r="E761"/>
      <c r="F761"/>
      <c r="G761"/>
      <c r="H761"/>
      <c r="I761"/>
      <c r="J761"/>
      <c r="K761"/>
      <c r="L761"/>
      <c r="M761"/>
    </row>
    <row r="762" spans="1:13">
      <c r="A762"/>
      <c r="B762"/>
      <c r="C762"/>
      <c r="D762"/>
      <c r="E762"/>
      <c r="F762"/>
      <c r="G762"/>
      <c r="H762"/>
      <c r="I762"/>
      <c r="J762"/>
      <c r="K762"/>
      <c r="L762"/>
      <c r="M762"/>
    </row>
    <row r="763" spans="1:13">
      <c r="A763"/>
      <c r="B763"/>
      <c r="C763"/>
      <c r="D763"/>
      <c r="E763"/>
      <c r="F763"/>
      <c r="G763"/>
      <c r="H763"/>
      <c r="I763"/>
      <c r="J763"/>
      <c r="K763"/>
      <c r="L763"/>
      <c r="M763"/>
    </row>
    <row r="764" spans="1:13">
      <c r="A764"/>
      <c r="B764"/>
      <c r="C764"/>
      <c r="D764"/>
      <c r="E764"/>
      <c r="F764"/>
      <c r="G764"/>
      <c r="H764"/>
      <c r="I764"/>
      <c r="J764"/>
      <c r="K764"/>
      <c r="L764"/>
      <c r="M764"/>
    </row>
    <row r="765" spans="1:13">
      <c r="A765"/>
      <c r="B765"/>
      <c r="C765"/>
      <c r="D765"/>
      <c r="E765"/>
      <c r="F765"/>
      <c r="G765"/>
      <c r="H765"/>
      <c r="I765"/>
      <c r="J765"/>
      <c r="K765"/>
      <c r="L765"/>
      <c r="M765"/>
    </row>
    <row r="766" spans="1:13">
      <c r="A766"/>
      <c r="B766"/>
      <c r="C766"/>
      <c r="D766"/>
      <c r="E766"/>
      <c r="F766"/>
      <c r="G766"/>
      <c r="H766"/>
      <c r="I766"/>
      <c r="J766"/>
      <c r="K766"/>
      <c r="L766"/>
      <c r="M766"/>
    </row>
    <row r="767" spans="1:13">
      <c r="A767"/>
      <c r="B767"/>
      <c r="C767"/>
      <c r="D767"/>
      <c r="E767"/>
      <c r="F767"/>
      <c r="G767"/>
      <c r="H767"/>
      <c r="I767"/>
      <c r="J767"/>
      <c r="K767"/>
      <c r="L767"/>
      <c r="M767"/>
    </row>
    <row r="768" spans="1:13">
      <c r="A768"/>
      <c r="B768"/>
      <c r="C768"/>
      <c r="D768"/>
      <c r="E768"/>
      <c r="F768"/>
      <c r="G768"/>
      <c r="H768"/>
      <c r="I768"/>
      <c r="J768"/>
      <c r="K768"/>
      <c r="L768"/>
      <c r="M768"/>
    </row>
    <row r="769" spans="1:13">
      <c r="A769"/>
      <c r="B769"/>
      <c r="C769"/>
      <c r="D769"/>
      <c r="E769"/>
      <c r="F769"/>
      <c r="G769"/>
      <c r="H769"/>
      <c r="I769"/>
      <c r="J769"/>
      <c r="K769"/>
      <c r="L769"/>
      <c r="M769"/>
    </row>
    <row r="770" spans="1:13">
      <c r="A770"/>
      <c r="B770"/>
      <c r="C770"/>
      <c r="D770"/>
      <c r="E770"/>
      <c r="F770"/>
      <c r="G770"/>
      <c r="H770"/>
      <c r="I770"/>
      <c r="J770"/>
      <c r="K770"/>
      <c r="L770"/>
      <c r="M770"/>
    </row>
    <row r="771" spans="1:13">
      <c r="A771"/>
      <c r="B771"/>
      <c r="C771"/>
      <c r="D771"/>
      <c r="E771"/>
      <c r="F771"/>
      <c r="G771"/>
      <c r="H771"/>
      <c r="I771"/>
      <c r="J771"/>
      <c r="K771"/>
      <c r="L771"/>
      <c r="M771"/>
    </row>
    <row r="772" spans="1:13">
      <c r="A772"/>
      <c r="B772"/>
      <c r="C772"/>
      <c r="D772"/>
      <c r="E772"/>
      <c r="F772"/>
      <c r="G772"/>
      <c r="H772"/>
      <c r="I772"/>
      <c r="J772"/>
      <c r="K772"/>
      <c r="L772"/>
      <c r="M772"/>
    </row>
    <row r="773" spans="1:13">
      <c r="A773"/>
      <c r="B773"/>
      <c r="C773"/>
      <c r="D773"/>
      <c r="E773"/>
      <c r="F773"/>
      <c r="G773"/>
      <c r="H773"/>
      <c r="I773"/>
      <c r="J773"/>
      <c r="K773"/>
      <c r="L773"/>
      <c r="M773"/>
    </row>
    <row r="774" spans="1:13">
      <c r="A774"/>
      <c r="B774"/>
      <c r="C774"/>
      <c r="D774"/>
      <c r="E774"/>
      <c r="F774"/>
      <c r="G774"/>
      <c r="H774"/>
      <c r="I774"/>
      <c r="J774"/>
      <c r="K774"/>
      <c r="L774"/>
      <c r="M774"/>
    </row>
    <row r="775" spans="1:13">
      <c r="A775"/>
      <c r="B775"/>
      <c r="C775"/>
      <c r="D775"/>
      <c r="E775"/>
      <c r="F775"/>
      <c r="G775"/>
      <c r="H775"/>
      <c r="I775"/>
      <c r="J775"/>
      <c r="K775"/>
      <c r="L775"/>
      <c r="M775"/>
    </row>
    <row r="776" spans="1:13">
      <c r="A776"/>
      <c r="B776"/>
      <c r="C776"/>
      <c r="D776"/>
      <c r="E776"/>
      <c r="F776"/>
      <c r="G776"/>
      <c r="H776"/>
      <c r="I776"/>
      <c r="J776"/>
      <c r="K776"/>
      <c r="L776"/>
      <c r="M776"/>
    </row>
    <row r="777" spans="1:13">
      <c r="A777"/>
      <c r="B777"/>
      <c r="C777"/>
      <c r="D777"/>
      <c r="E777"/>
      <c r="F777"/>
      <c r="G777"/>
      <c r="H777"/>
      <c r="I777"/>
      <c r="J777"/>
      <c r="K777"/>
      <c r="L777"/>
      <c r="M777"/>
    </row>
    <row r="778" spans="1:13">
      <c r="A778"/>
      <c r="B778"/>
      <c r="C778"/>
      <c r="D778"/>
      <c r="E778"/>
      <c r="F778"/>
      <c r="G778"/>
      <c r="H778"/>
      <c r="I778"/>
      <c r="J778"/>
      <c r="K778"/>
      <c r="L778"/>
      <c r="M778"/>
    </row>
    <row r="779" spans="1:13">
      <c r="A779"/>
      <c r="B779"/>
      <c r="C779"/>
      <c r="D779"/>
      <c r="E779"/>
      <c r="F779"/>
      <c r="G779"/>
      <c r="H779"/>
      <c r="I779"/>
      <c r="J779"/>
      <c r="K779"/>
      <c r="L779"/>
      <c r="M779"/>
    </row>
    <row r="780" spans="1:13">
      <c r="A780"/>
      <c r="B780"/>
      <c r="C780"/>
      <c r="D780"/>
      <c r="E780"/>
      <c r="F780"/>
      <c r="G780"/>
      <c r="H780"/>
      <c r="I780"/>
      <c r="J780"/>
      <c r="K780"/>
      <c r="L780"/>
      <c r="M780"/>
    </row>
    <row r="781" spans="1:13">
      <c r="A781"/>
      <c r="B781"/>
      <c r="C781"/>
      <c r="D781"/>
      <c r="E781"/>
      <c r="F781"/>
      <c r="G781"/>
      <c r="H781"/>
      <c r="I781"/>
      <c r="J781"/>
      <c r="K781"/>
      <c r="L781"/>
      <c r="M781"/>
    </row>
    <row r="782" spans="1:13">
      <c r="A782"/>
      <c r="B782"/>
      <c r="C782"/>
      <c r="D782"/>
      <c r="E782"/>
      <c r="F782"/>
      <c r="G782"/>
      <c r="H782"/>
      <c r="I782"/>
      <c r="J782"/>
      <c r="K782"/>
      <c r="L782"/>
      <c r="M782"/>
    </row>
    <row r="783" spans="1:13">
      <c r="A783"/>
      <c r="B783"/>
      <c r="C783"/>
      <c r="D783"/>
      <c r="E783"/>
      <c r="F783"/>
      <c r="G783"/>
      <c r="H783"/>
      <c r="I783"/>
      <c r="J783"/>
      <c r="K783"/>
      <c r="L783"/>
      <c r="M783"/>
    </row>
    <row r="784" spans="1:13">
      <c r="A784"/>
      <c r="B784"/>
      <c r="C784"/>
      <c r="D784"/>
      <c r="E784"/>
      <c r="F784"/>
      <c r="G784"/>
      <c r="H784"/>
      <c r="I784"/>
      <c r="J784"/>
      <c r="K784"/>
      <c r="L784"/>
      <c r="M784"/>
    </row>
    <row r="785" spans="1:13">
      <c r="A785"/>
      <c r="B785"/>
      <c r="C785"/>
      <c r="D785"/>
      <c r="E785"/>
      <c r="F785"/>
      <c r="G785"/>
      <c r="H785"/>
      <c r="I785"/>
      <c r="J785"/>
      <c r="K785"/>
      <c r="L785"/>
      <c r="M785"/>
    </row>
    <row r="786" spans="1:13">
      <c r="A786"/>
      <c r="B786"/>
      <c r="C786"/>
      <c r="D786"/>
      <c r="E786"/>
      <c r="F786"/>
      <c r="G786"/>
      <c r="H786"/>
      <c r="I786"/>
      <c r="J786"/>
      <c r="K786"/>
      <c r="L786"/>
      <c r="M786"/>
    </row>
    <row r="787" spans="1:13">
      <c r="A787"/>
      <c r="B787"/>
      <c r="C787"/>
      <c r="D787"/>
      <c r="E787"/>
      <c r="F787"/>
      <c r="G787"/>
      <c r="H787"/>
      <c r="I787"/>
      <c r="J787"/>
      <c r="K787"/>
      <c r="L787"/>
      <c r="M787"/>
    </row>
    <row r="788" spans="1:13">
      <c r="A788"/>
      <c r="B788"/>
      <c r="C788"/>
      <c r="D788"/>
      <c r="E788"/>
      <c r="F788"/>
      <c r="G788"/>
      <c r="H788"/>
      <c r="I788"/>
      <c r="J788"/>
      <c r="K788"/>
      <c r="L788"/>
      <c r="M788"/>
    </row>
    <row r="789" spans="1:13">
      <c r="A789"/>
      <c r="B789"/>
      <c r="C789"/>
      <c r="D789"/>
      <c r="E789"/>
      <c r="F789"/>
      <c r="G789"/>
      <c r="H789"/>
      <c r="I789"/>
      <c r="J789"/>
      <c r="K789"/>
      <c r="L789"/>
      <c r="M789"/>
    </row>
    <row r="790" spans="1:13">
      <c r="A790"/>
      <c r="B790"/>
      <c r="C790"/>
      <c r="D790"/>
      <c r="E790"/>
      <c r="F790"/>
      <c r="G790"/>
      <c r="H790"/>
      <c r="I790"/>
      <c r="J790"/>
      <c r="K790"/>
      <c r="L790"/>
      <c r="M790"/>
    </row>
    <row r="791" spans="1:13">
      <c r="A791"/>
      <c r="B791"/>
      <c r="C791"/>
      <c r="D791"/>
      <c r="E791"/>
      <c r="F791"/>
      <c r="G791"/>
      <c r="H791"/>
      <c r="I791"/>
      <c r="J791"/>
      <c r="K791"/>
      <c r="L791"/>
      <c r="M791"/>
    </row>
    <row r="792" spans="1:13">
      <c r="A792"/>
      <c r="B792"/>
      <c r="C792"/>
      <c r="D792"/>
      <c r="E792"/>
      <c r="F792"/>
      <c r="G792"/>
      <c r="H792"/>
      <c r="I792"/>
      <c r="J792"/>
      <c r="K792"/>
      <c r="L792"/>
      <c r="M792"/>
    </row>
    <row r="793" spans="1:13">
      <c r="A793"/>
      <c r="B793"/>
      <c r="C793"/>
      <c r="D793"/>
      <c r="E793"/>
      <c r="F793"/>
      <c r="G793"/>
      <c r="H793"/>
      <c r="I793"/>
      <c r="J793"/>
      <c r="K793"/>
      <c r="L793"/>
      <c r="M793"/>
    </row>
    <row r="794" spans="1:13">
      <c r="A794"/>
      <c r="B794"/>
      <c r="C794"/>
      <c r="D794"/>
      <c r="E794"/>
      <c r="F794"/>
      <c r="G794"/>
      <c r="H794"/>
      <c r="I794"/>
      <c r="J794"/>
      <c r="K794"/>
      <c r="L794"/>
      <c r="M794"/>
    </row>
    <row r="795" spans="1:13">
      <c r="A795"/>
      <c r="B795"/>
      <c r="C795"/>
      <c r="D795"/>
      <c r="E795"/>
      <c r="F795"/>
      <c r="G795"/>
      <c r="H795"/>
      <c r="I795"/>
      <c r="J795"/>
      <c r="K795"/>
      <c r="L795"/>
      <c r="M795"/>
    </row>
    <row r="796" spans="1:13">
      <c r="A796"/>
      <c r="B796"/>
      <c r="C796"/>
      <c r="D796"/>
      <c r="E796"/>
      <c r="F796"/>
      <c r="G796"/>
      <c r="H796"/>
      <c r="I796"/>
      <c r="J796"/>
      <c r="K796"/>
      <c r="L796"/>
      <c r="M796"/>
    </row>
    <row r="797" spans="1:13">
      <c r="A797"/>
      <c r="B797"/>
      <c r="C797"/>
      <c r="D797"/>
      <c r="E797"/>
      <c r="F797"/>
      <c r="G797"/>
      <c r="H797"/>
      <c r="I797"/>
      <c r="J797"/>
      <c r="K797"/>
      <c r="L797"/>
      <c r="M797"/>
    </row>
    <row r="798" spans="1:13">
      <c r="A798"/>
      <c r="B798"/>
      <c r="C798"/>
      <c r="D798"/>
      <c r="E798"/>
      <c r="F798"/>
      <c r="G798"/>
      <c r="H798"/>
      <c r="I798"/>
      <c r="J798"/>
      <c r="K798"/>
      <c r="L798"/>
      <c r="M798"/>
    </row>
    <row r="799" spans="1:13">
      <c r="A799"/>
      <c r="B799"/>
      <c r="C799"/>
      <c r="D799"/>
      <c r="E799"/>
      <c r="F799"/>
      <c r="G799"/>
      <c r="H799"/>
      <c r="I799"/>
      <c r="J799"/>
      <c r="K799"/>
      <c r="L799"/>
      <c r="M799"/>
    </row>
    <row r="800" spans="1:13">
      <c r="A800"/>
      <c r="B800"/>
      <c r="C800"/>
      <c r="D800"/>
      <c r="E800"/>
      <c r="F800"/>
      <c r="G800"/>
      <c r="H800"/>
      <c r="I800"/>
      <c r="J800"/>
      <c r="K800"/>
      <c r="L800"/>
      <c r="M800"/>
    </row>
    <row r="801" spans="1:13">
      <c r="A801"/>
      <c r="B801"/>
      <c r="C801"/>
      <c r="D801"/>
      <c r="E801"/>
      <c r="F801"/>
      <c r="G801"/>
      <c r="H801"/>
      <c r="I801"/>
      <c r="J801"/>
      <c r="K801"/>
      <c r="L801"/>
      <c r="M801"/>
    </row>
    <row r="802" spans="1:13">
      <c r="A802"/>
      <c r="B802"/>
      <c r="C802"/>
      <c r="D802"/>
      <c r="E802"/>
      <c r="F802"/>
      <c r="G802"/>
      <c r="H802"/>
      <c r="I802"/>
      <c r="J802"/>
      <c r="K802"/>
      <c r="L802"/>
      <c r="M802"/>
    </row>
    <row r="803" spans="1:13">
      <c r="A803"/>
      <c r="B803"/>
      <c r="C803"/>
      <c r="D803"/>
      <c r="E803"/>
      <c r="F803"/>
      <c r="G803"/>
      <c r="H803"/>
      <c r="I803"/>
      <c r="J803"/>
      <c r="K803"/>
      <c r="L803"/>
      <c r="M803"/>
    </row>
    <row r="804" spans="1:13">
      <c r="A804"/>
      <c r="B804"/>
      <c r="C804"/>
      <c r="D804"/>
      <c r="E804"/>
      <c r="F804"/>
      <c r="G804"/>
      <c r="H804"/>
      <c r="I804"/>
      <c r="J804"/>
      <c r="K804"/>
      <c r="L804"/>
      <c r="M804"/>
    </row>
    <row r="805" spans="1:13">
      <c r="A805"/>
      <c r="B805"/>
      <c r="C805"/>
      <c r="D805"/>
      <c r="E805"/>
      <c r="F805"/>
      <c r="G805"/>
      <c r="H805"/>
      <c r="I805"/>
      <c r="J805"/>
      <c r="K805"/>
      <c r="L805"/>
      <c r="M805"/>
    </row>
    <row r="806" spans="1:13">
      <c r="A806"/>
      <c r="B806"/>
      <c r="C806"/>
      <c r="D806"/>
      <c r="E806"/>
      <c r="F806"/>
      <c r="G806"/>
      <c r="H806"/>
      <c r="I806"/>
      <c r="J806"/>
      <c r="K806"/>
      <c r="L806"/>
      <c r="M806"/>
    </row>
    <row r="807" spans="1:13">
      <c r="A807"/>
      <c r="B807"/>
      <c r="C807"/>
      <c r="D807"/>
      <c r="E807"/>
      <c r="F807"/>
      <c r="G807"/>
      <c r="H807"/>
      <c r="I807"/>
      <c r="J807"/>
      <c r="K807"/>
      <c r="L807"/>
      <c r="M807"/>
    </row>
    <row r="808" spans="1:13">
      <c r="A808"/>
      <c r="B808"/>
      <c r="C808"/>
      <c r="D808"/>
      <c r="E808"/>
      <c r="F808"/>
      <c r="G808"/>
      <c r="H808"/>
      <c r="I808"/>
      <c r="J808"/>
      <c r="K808"/>
      <c r="L808"/>
      <c r="M808"/>
    </row>
    <row r="809" spans="1:13">
      <c r="A809"/>
      <c r="B809"/>
      <c r="C809"/>
      <c r="D809"/>
      <c r="E809"/>
      <c r="F809"/>
      <c r="G809"/>
      <c r="H809"/>
      <c r="I809"/>
      <c r="J809"/>
      <c r="K809"/>
      <c r="L809"/>
      <c r="M809"/>
    </row>
    <row r="810" spans="1:13">
      <c r="A810"/>
      <c r="B810"/>
      <c r="C810"/>
      <c r="D810"/>
      <c r="E810"/>
      <c r="F810"/>
      <c r="G810"/>
      <c r="H810"/>
      <c r="I810"/>
      <c r="J810"/>
      <c r="K810"/>
      <c r="L810"/>
      <c r="M810"/>
    </row>
    <row r="811" spans="1:13">
      <c r="A811"/>
      <c r="B811"/>
      <c r="C811"/>
      <c r="D811"/>
      <c r="E811"/>
      <c r="F811"/>
      <c r="G811"/>
      <c r="H811"/>
      <c r="I811"/>
      <c r="J811"/>
      <c r="K811"/>
      <c r="L811"/>
      <c r="M811"/>
    </row>
    <row r="812" spans="1:13">
      <c r="A812"/>
      <c r="B812"/>
      <c r="C812"/>
      <c r="D812"/>
      <c r="E812"/>
      <c r="F812"/>
      <c r="G812"/>
      <c r="H812"/>
      <c r="I812"/>
      <c r="J812"/>
      <c r="K812"/>
      <c r="L812"/>
      <c r="M812"/>
    </row>
    <row r="813" spans="1:13">
      <c r="A813"/>
      <c r="B813"/>
      <c r="C813"/>
      <c r="D813"/>
      <c r="E813"/>
      <c r="F813"/>
      <c r="G813"/>
      <c r="H813"/>
      <c r="I813"/>
      <c r="J813"/>
      <c r="K813"/>
      <c r="L813"/>
      <c r="M813"/>
    </row>
    <row r="814" spans="1:13">
      <c r="A814"/>
      <c r="B814"/>
      <c r="C814"/>
      <c r="D814"/>
      <c r="E814"/>
      <c r="F814"/>
      <c r="G814"/>
      <c r="H814"/>
      <c r="I814"/>
      <c r="J814"/>
      <c r="K814"/>
      <c r="L814"/>
      <c r="M814"/>
    </row>
    <row r="815" spans="1:13">
      <c r="A815"/>
      <c r="B815"/>
      <c r="C815"/>
      <c r="D815"/>
      <c r="E815"/>
      <c r="F815"/>
      <c r="G815"/>
      <c r="H815"/>
      <c r="I815"/>
      <c r="J815"/>
      <c r="K815"/>
      <c r="L815"/>
      <c r="M815"/>
    </row>
    <row r="816" spans="1:13">
      <c r="A816"/>
      <c r="B816"/>
      <c r="C816"/>
      <c r="D816"/>
      <c r="E816"/>
      <c r="F816"/>
      <c r="G816"/>
      <c r="H816"/>
      <c r="I816"/>
      <c r="J816"/>
      <c r="K816"/>
      <c r="L816"/>
      <c r="M816"/>
    </row>
    <row r="817" spans="1:13">
      <c r="A817"/>
      <c r="B817"/>
      <c r="C817"/>
      <c r="D817"/>
      <c r="E817"/>
      <c r="F817"/>
      <c r="G817"/>
      <c r="H817"/>
      <c r="I817"/>
      <c r="J817"/>
      <c r="K817"/>
      <c r="L817"/>
      <c r="M817"/>
    </row>
    <row r="818" spans="1:13">
      <c r="A818"/>
      <c r="B818"/>
      <c r="C818"/>
      <c r="D818"/>
      <c r="E818"/>
      <c r="F818"/>
      <c r="G818"/>
      <c r="H818"/>
      <c r="I818"/>
      <c r="J818"/>
      <c r="K818"/>
      <c r="L818"/>
      <c r="M818"/>
    </row>
    <row r="819" spans="1:13">
      <c r="A819"/>
      <c r="B819"/>
      <c r="C819"/>
      <c r="D819"/>
      <c r="E819"/>
      <c r="F819"/>
      <c r="G819"/>
      <c r="H819"/>
      <c r="I819"/>
      <c r="J819"/>
      <c r="K819"/>
      <c r="L819"/>
      <c r="M819"/>
    </row>
    <row r="820" spans="1:13">
      <c r="A820"/>
      <c r="B820"/>
      <c r="C820"/>
      <c r="D820"/>
      <c r="E820"/>
      <c r="F820"/>
      <c r="G820"/>
      <c r="H820"/>
      <c r="I820"/>
      <c r="J820"/>
      <c r="K820"/>
      <c r="L820"/>
      <c r="M820"/>
    </row>
    <row r="821" spans="1:13">
      <c r="A821"/>
      <c r="B821"/>
      <c r="C821"/>
      <c r="D821"/>
      <c r="E821"/>
      <c r="F821"/>
      <c r="G821"/>
      <c r="H821"/>
      <c r="I821"/>
      <c r="J821"/>
      <c r="K821"/>
      <c r="L821"/>
      <c r="M821"/>
    </row>
    <row r="822" spans="1:13">
      <c r="A822"/>
      <c r="B822"/>
      <c r="C822"/>
      <c r="D822"/>
      <c r="E822"/>
      <c r="F822"/>
      <c r="G822"/>
      <c r="H822"/>
      <c r="I822"/>
      <c r="J822"/>
      <c r="K822"/>
      <c r="L822"/>
      <c r="M822"/>
    </row>
    <row r="823" spans="1:13">
      <c r="A823"/>
      <c r="B823"/>
      <c r="C823"/>
      <c r="D823"/>
      <c r="E823"/>
      <c r="F823"/>
      <c r="G823"/>
      <c r="H823"/>
      <c r="I823"/>
      <c r="J823"/>
      <c r="K823"/>
      <c r="L823"/>
      <c r="M823"/>
    </row>
    <row r="824" spans="1:13">
      <c r="A824"/>
      <c r="B824"/>
      <c r="C824"/>
      <c r="D824"/>
      <c r="E824"/>
      <c r="F824"/>
      <c r="G824"/>
      <c r="H824"/>
      <c r="I824"/>
      <c r="J824"/>
      <c r="K824"/>
      <c r="L824"/>
      <c r="M824"/>
    </row>
    <row r="825" spans="1:13">
      <c r="A825"/>
      <c r="B825"/>
      <c r="C825"/>
      <c r="D825"/>
      <c r="E825"/>
      <c r="F825"/>
      <c r="G825"/>
      <c r="H825"/>
      <c r="I825"/>
      <c r="J825"/>
      <c r="K825"/>
      <c r="L825"/>
      <c r="M825"/>
    </row>
    <row r="826" spans="1:13">
      <c r="A826"/>
      <c r="B826"/>
      <c r="C826"/>
      <c r="D826"/>
      <c r="E826"/>
      <c r="F826"/>
      <c r="G826"/>
      <c r="H826"/>
      <c r="I826"/>
      <c r="J826"/>
      <c r="K826"/>
      <c r="L826"/>
      <c r="M826"/>
    </row>
    <row r="827" spans="1:13">
      <c r="A827"/>
      <c r="B827"/>
      <c r="C827"/>
      <c r="D827"/>
      <c r="E827"/>
      <c r="F827"/>
      <c r="G827"/>
      <c r="H827"/>
      <c r="I827"/>
      <c r="J827"/>
      <c r="K827"/>
      <c r="L827"/>
      <c r="M827"/>
    </row>
    <row r="828" spans="1:13">
      <c r="A828"/>
      <c r="B828"/>
      <c r="C828"/>
      <c r="D828"/>
      <c r="E828"/>
      <c r="F828"/>
      <c r="G828"/>
      <c r="H828"/>
      <c r="I828"/>
      <c r="J828"/>
      <c r="K828"/>
      <c r="L828"/>
      <c r="M828"/>
    </row>
    <row r="829" spans="1:13">
      <c r="A829"/>
      <c r="B829"/>
      <c r="C829"/>
      <c r="D829"/>
      <c r="E829"/>
      <c r="F829"/>
      <c r="G829"/>
      <c r="H829"/>
      <c r="I829"/>
      <c r="J829"/>
      <c r="K829"/>
      <c r="L829"/>
      <c r="M829"/>
    </row>
    <row r="830" spans="1:13">
      <c r="A830"/>
      <c r="B830"/>
      <c r="C830"/>
      <c r="D830"/>
      <c r="E830"/>
      <c r="F830"/>
      <c r="G830"/>
      <c r="H830"/>
      <c r="I830"/>
      <c r="J830"/>
      <c r="K830"/>
      <c r="L830"/>
      <c r="M830"/>
    </row>
    <row r="831" spans="1:13">
      <c r="A831"/>
      <c r="B831"/>
      <c r="C831"/>
      <c r="D831"/>
      <c r="E831"/>
      <c r="F831"/>
      <c r="G831"/>
      <c r="H831"/>
      <c r="I831"/>
      <c r="J831"/>
      <c r="K831"/>
      <c r="L831"/>
      <c r="M831"/>
    </row>
    <row r="832" spans="1:13">
      <c r="A832"/>
      <c r="B832"/>
      <c r="C832"/>
      <c r="D832"/>
      <c r="E832"/>
      <c r="F832"/>
      <c r="G832"/>
      <c r="H832"/>
      <c r="I832"/>
      <c r="J832"/>
      <c r="K832"/>
      <c r="L832"/>
      <c r="M832"/>
    </row>
    <row r="833" spans="1:13">
      <c r="A833"/>
      <c r="B833"/>
      <c r="C833"/>
      <c r="D833"/>
      <c r="E833"/>
      <c r="F833"/>
      <c r="G833"/>
      <c r="H833"/>
      <c r="I833"/>
      <c r="J833"/>
      <c r="K833"/>
      <c r="L833"/>
      <c r="M833"/>
    </row>
    <row r="834" spans="1:13">
      <c r="A834"/>
      <c r="B834"/>
      <c r="C834"/>
      <c r="D834"/>
      <c r="E834"/>
      <c r="F834"/>
      <c r="G834"/>
      <c r="H834"/>
      <c r="I834"/>
      <c r="J834"/>
      <c r="K834"/>
      <c r="L834"/>
      <c r="M834"/>
    </row>
    <row r="835" spans="1:13">
      <c r="A835"/>
      <c r="B835"/>
      <c r="C835"/>
      <c r="D835"/>
      <c r="E835"/>
      <c r="F835"/>
      <c r="G835"/>
      <c r="H835"/>
      <c r="I835"/>
      <c r="J835"/>
      <c r="K835"/>
      <c r="L835"/>
      <c r="M835"/>
    </row>
    <row r="836" spans="1:13">
      <c r="A836"/>
      <c r="B836"/>
      <c r="C836"/>
      <c r="D836"/>
      <c r="E836"/>
      <c r="F836"/>
      <c r="G836"/>
      <c r="H836"/>
      <c r="I836"/>
      <c r="J836"/>
      <c r="K836"/>
      <c r="L836"/>
      <c r="M836"/>
    </row>
    <row r="837" spans="1:13">
      <c r="A837"/>
      <c r="B837"/>
      <c r="C837"/>
      <c r="D837"/>
      <c r="E837"/>
      <c r="F837"/>
      <c r="G837"/>
      <c r="H837"/>
      <c r="I837"/>
      <c r="J837"/>
      <c r="K837"/>
      <c r="L837"/>
      <c r="M837"/>
    </row>
    <row r="838" spans="1:13">
      <c r="A838"/>
      <c r="B838"/>
      <c r="C838"/>
      <c r="D838"/>
      <c r="E838"/>
      <c r="F838"/>
      <c r="G838"/>
      <c r="H838"/>
      <c r="I838"/>
      <c r="J838"/>
      <c r="K838"/>
      <c r="L838"/>
      <c r="M838"/>
    </row>
    <row r="839" spans="1:13">
      <c r="A839"/>
      <c r="B839"/>
      <c r="C839"/>
      <c r="D839"/>
      <c r="E839"/>
      <c r="F839"/>
      <c r="G839"/>
      <c r="H839"/>
      <c r="I839"/>
      <c r="J839"/>
      <c r="K839"/>
      <c r="L839"/>
      <c r="M839"/>
    </row>
    <row r="840" spans="1:13">
      <c r="A840"/>
      <c r="B840"/>
      <c r="C840"/>
      <c r="D840"/>
      <c r="E840"/>
      <c r="F840"/>
      <c r="G840"/>
      <c r="H840"/>
      <c r="I840"/>
      <c r="J840"/>
      <c r="K840"/>
      <c r="L840"/>
      <c r="M840"/>
    </row>
    <row r="841" spans="1:13">
      <c r="A841"/>
      <c r="B841"/>
      <c r="C841"/>
      <c r="D841"/>
      <c r="E841"/>
      <c r="F841"/>
      <c r="G841"/>
      <c r="H841"/>
      <c r="I841"/>
      <c r="J841"/>
      <c r="K841"/>
      <c r="L841"/>
      <c r="M841"/>
    </row>
    <row r="842" spans="1:13">
      <c r="A842"/>
      <c r="B842"/>
      <c r="C842"/>
      <c r="D842"/>
      <c r="E842"/>
      <c r="F842"/>
      <c r="G842"/>
      <c r="H842"/>
      <c r="I842"/>
      <c r="J842"/>
      <c r="K842"/>
      <c r="L842"/>
      <c r="M842"/>
    </row>
    <row r="843" spans="1:13">
      <c r="A843"/>
      <c r="B843"/>
      <c r="C843"/>
      <c r="D843"/>
      <c r="E843"/>
      <c r="F843"/>
      <c r="G843"/>
      <c r="H843"/>
      <c r="I843"/>
      <c r="J843"/>
      <c r="K843"/>
      <c r="L843"/>
      <c r="M843"/>
    </row>
    <row r="844" spans="1:13">
      <c r="A844"/>
      <c r="B844"/>
      <c r="C844"/>
      <c r="D844"/>
      <c r="E844"/>
      <c r="F844"/>
      <c r="G844"/>
      <c r="H844"/>
      <c r="I844"/>
      <c r="J844"/>
      <c r="K844"/>
      <c r="L844"/>
      <c r="M844"/>
    </row>
    <row r="845" spans="1:13">
      <c r="A845"/>
      <c r="B845"/>
      <c r="C845"/>
      <c r="D845"/>
      <c r="E845"/>
      <c r="F845"/>
      <c r="G845"/>
      <c r="H845"/>
      <c r="I845"/>
      <c r="J845"/>
      <c r="K845"/>
      <c r="L845"/>
      <c r="M845"/>
    </row>
    <row r="846" spans="1:13">
      <c r="A846"/>
      <c r="B846"/>
      <c r="C846"/>
      <c r="D846"/>
      <c r="E846"/>
      <c r="F846"/>
      <c r="G846"/>
      <c r="H846"/>
      <c r="I846"/>
      <c r="J846"/>
      <c r="K846"/>
      <c r="L846"/>
      <c r="M846"/>
    </row>
    <row r="847" spans="1:13">
      <c r="A847"/>
      <c r="B847"/>
      <c r="C847"/>
      <c r="D847"/>
      <c r="E847"/>
      <c r="F847"/>
      <c r="G847"/>
      <c r="H847"/>
      <c r="I847"/>
      <c r="J847"/>
      <c r="K847"/>
      <c r="L847"/>
      <c r="M847"/>
    </row>
    <row r="848" spans="1:13">
      <c r="A848"/>
      <c r="B848"/>
      <c r="C848"/>
      <c r="D848"/>
      <c r="E848"/>
      <c r="F848"/>
      <c r="G848"/>
      <c r="H848"/>
      <c r="I848"/>
      <c r="J848"/>
      <c r="K848"/>
      <c r="L848"/>
      <c r="M848"/>
    </row>
    <row r="849" spans="1:13">
      <c r="A849"/>
      <c r="B849"/>
      <c r="C849"/>
      <c r="D849"/>
      <c r="E849"/>
      <c r="F849"/>
      <c r="G849"/>
      <c r="H849"/>
      <c r="I849"/>
      <c r="J849"/>
      <c r="K849"/>
      <c r="L849"/>
      <c r="M849"/>
    </row>
    <row r="850" spans="1:13">
      <c r="A850"/>
      <c r="B850"/>
      <c r="C850"/>
      <c r="D850"/>
      <c r="E850"/>
      <c r="F850"/>
      <c r="G850"/>
      <c r="H850"/>
      <c r="I850"/>
      <c r="J850"/>
      <c r="K850"/>
      <c r="L850"/>
      <c r="M850"/>
    </row>
    <row r="851" spans="1:13">
      <c r="A851"/>
      <c r="B851"/>
      <c r="C851"/>
      <c r="D851"/>
      <c r="E851"/>
      <c r="F851"/>
      <c r="G851"/>
      <c r="H851"/>
      <c r="I851"/>
      <c r="J851"/>
      <c r="K851"/>
      <c r="L851"/>
      <c r="M851"/>
    </row>
    <row r="852" spans="1:13">
      <c r="A852"/>
      <c r="B852"/>
      <c r="C852"/>
      <c r="D852"/>
      <c r="E852"/>
      <c r="F852"/>
      <c r="G852"/>
      <c r="H852"/>
      <c r="I852"/>
      <c r="J852"/>
      <c r="K852"/>
      <c r="L852"/>
      <c r="M852"/>
    </row>
    <row r="853" spans="1:13">
      <c r="A853"/>
      <c r="B853"/>
      <c r="C853"/>
      <c r="D853"/>
      <c r="E853"/>
      <c r="F853"/>
      <c r="G853"/>
      <c r="H853"/>
      <c r="I853"/>
      <c r="J853"/>
      <c r="K853"/>
      <c r="L853"/>
      <c r="M853"/>
    </row>
    <row r="854" spans="1:13">
      <c r="A854"/>
      <c r="B854"/>
      <c r="C854"/>
      <c r="D854"/>
      <c r="E854"/>
      <c r="F854"/>
      <c r="G854"/>
      <c r="H854"/>
      <c r="I854"/>
      <c r="J854"/>
      <c r="K854"/>
      <c r="L854"/>
      <c r="M854"/>
    </row>
    <row r="855" spans="1:13">
      <c r="A855"/>
      <c r="B855"/>
      <c r="C855"/>
      <c r="D855"/>
      <c r="E855"/>
      <c r="F855"/>
      <c r="G855"/>
      <c r="H855"/>
      <c r="I855"/>
      <c r="J855"/>
      <c r="K855"/>
      <c r="L855"/>
      <c r="M855"/>
    </row>
    <row r="856" spans="1:13">
      <c r="A856"/>
      <c r="B856"/>
      <c r="C856"/>
      <c r="D856"/>
      <c r="E856"/>
      <c r="F856"/>
      <c r="G856"/>
      <c r="H856"/>
      <c r="I856"/>
      <c r="J856"/>
      <c r="K856"/>
      <c r="L856"/>
      <c r="M856"/>
    </row>
    <row r="857" spans="1:13">
      <c r="A857"/>
      <c r="B857"/>
      <c r="C857"/>
      <c r="D857"/>
      <c r="E857"/>
      <c r="F857"/>
      <c r="G857"/>
      <c r="H857"/>
      <c r="I857"/>
      <c r="J857"/>
      <c r="K857"/>
      <c r="L857"/>
      <c r="M857"/>
    </row>
    <row r="858" spans="1:13">
      <c r="A858"/>
      <c r="B858"/>
      <c r="C858"/>
      <c r="D858"/>
      <c r="E858"/>
      <c r="F858"/>
      <c r="G858"/>
      <c r="H858"/>
      <c r="I858"/>
      <c r="J858"/>
      <c r="K858"/>
      <c r="L858"/>
      <c r="M858"/>
    </row>
    <row r="859" spans="1:13">
      <c r="A859"/>
      <c r="B859"/>
      <c r="C859"/>
      <c r="D859"/>
      <c r="E859"/>
      <c r="F859"/>
      <c r="G859"/>
      <c r="H859"/>
      <c r="I859"/>
      <c r="J859"/>
      <c r="K859"/>
      <c r="L859"/>
      <c r="M859"/>
    </row>
    <row r="860" spans="1:13">
      <c r="A860"/>
      <c r="B860"/>
      <c r="C860"/>
      <c r="D860"/>
      <c r="E860"/>
      <c r="F860"/>
      <c r="G860"/>
      <c r="H860"/>
      <c r="I860"/>
      <c r="J860"/>
      <c r="K860"/>
      <c r="L860"/>
      <c r="M860"/>
    </row>
    <row r="861" spans="1:13">
      <c r="A861"/>
      <c r="B861"/>
      <c r="C861"/>
      <c r="D861"/>
      <c r="E861"/>
      <c r="F861"/>
      <c r="G861"/>
      <c r="H861"/>
      <c r="I861"/>
      <c r="J861"/>
      <c r="K861"/>
      <c r="L861"/>
      <c r="M861"/>
    </row>
    <row r="862" spans="1:13">
      <c r="A862"/>
      <c r="B862"/>
      <c r="C862"/>
      <c r="D862"/>
      <c r="E862"/>
      <c r="F862"/>
      <c r="G862"/>
      <c r="H862"/>
      <c r="I862"/>
      <c r="J862"/>
      <c r="K862"/>
      <c r="L862"/>
      <c r="M862"/>
    </row>
    <row r="863" spans="1:13">
      <c r="A863"/>
      <c r="B863"/>
      <c r="C863"/>
      <c r="D863"/>
      <c r="E863"/>
      <c r="F863"/>
      <c r="G863"/>
      <c r="H863"/>
      <c r="I863"/>
      <c r="J863"/>
      <c r="K863"/>
      <c r="L863"/>
      <c r="M863"/>
    </row>
    <row r="864" spans="1:13">
      <c r="A864"/>
      <c r="B864"/>
      <c r="C864"/>
      <c r="D864"/>
      <c r="E864"/>
      <c r="F864"/>
      <c r="G864"/>
      <c r="H864"/>
      <c r="I864"/>
      <c r="J864"/>
      <c r="K864"/>
      <c r="L864"/>
      <c r="M864"/>
    </row>
    <row r="865" spans="1:13">
      <c r="A865"/>
      <c r="B865"/>
      <c r="C865"/>
      <c r="D865"/>
      <c r="E865"/>
      <c r="F865"/>
      <c r="G865"/>
      <c r="H865"/>
      <c r="I865"/>
      <c r="J865"/>
      <c r="K865"/>
      <c r="L865"/>
      <c r="M865"/>
    </row>
    <row r="866" spans="1:13">
      <c r="A866"/>
      <c r="B866"/>
      <c r="C866"/>
      <c r="D866"/>
      <c r="E866"/>
      <c r="F866"/>
      <c r="G866"/>
      <c r="H866"/>
      <c r="I866"/>
      <c r="J866"/>
      <c r="K866"/>
      <c r="L866"/>
      <c r="M866"/>
    </row>
    <row r="867" spans="1:13">
      <c r="A867"/>
      <c r="B867"/>
      <c r="C867"/>
      <c r="D867"/>
      <c r="E867"/>
      <c r="F867"/>
      <c r="G867"/>
      <c r="H867"/>
      <c r="I867"/>
      <c r="J867"/>
      <c r="K867"/>
      <c r="L867"/>
      <c r="M867"/>
    </row>
    <row r="868" spans="1:13">
      <c r="A868"/>
      <c r="B868"/>
      <c r="C868"/>
      <c r="D868"/>
      <c r="E868"/>
      <c r="F868"/>
      <c r="G868"/>
      <c r="H868"/>
      <c r="I868"/>
      <c r="J868"/>
      <c r="K868"/>
      <c r="L868"/>
      <c r="M868"/>
    </row>
    <row r="869" spans="1:13">
      <c r="A869"/>
      <c r="B869"/>
      <c r="C869"/>
      <c r="D869"/>
      <c r="E869"/>
      <c r="F869"/>
      <c r="G869"/>
      <c r="H869"/>
      <c r="I869"/>
      <c r="J869"/>
      <c r="K869"/>
      <c r="L869"/>
      <c r="M869"/>
    </row>
    <row r="870" spans="1:13">
      <c r="A870"/>
      <c r="B870"/>
      <c r="C870"/>
      <c r="D870"/>
      <c r="E870"/>
      <c r="F870"/>
      <c r="G870"/>
      <c r="H870"/>
      <c r="I870"/>
      <c r="J870"/>
      <c r="K870"/>
      <c r="L870"/>
      <c r="M870"/>
    </row>
    <row r="871" spans="1:13">
      <c r="A871"/>
      <c r="B871"/>
      <c r="C871"/>
      <c r="D871"/>
      <c r="E871"/>
      <c r="F871"/>
      <c r="G871"/>
      <c r="H871"/>
      <c r="I871"/>
      <c r="J871"/>
      <c r="K871"/>
      <c r="L871"/>
      <c r="M871"/>
    </row>
    <row r="872" spans="1:13">
      <c r="A872"/>
      <c r="B872"/>
      <c r="C872"/>
      <c r="D872"/>
      <c r="E872"/>
      <c r="F872"/>
      <c r="G872"/>
      <c r="H872"/>
      <c r="I872"/>
      <c r="J872"/>
      <c r="K872"/>
      <c r="L872"/>
      <c r="M872"/>
    </row>
    <row r="873" spans="1:13">
      <c r="A873"/>
      <c r="B873"/>
      <c r="C873"/>
      <c r="D873"/>
      <c r="E873"/>
      <c r="F873"/>
      <c r="G873"/>
      <c r="H873"/>
      <c r="I873"/>
      <c r="J873"/>
      <c r="K873"/>
      <c r="L873"/>
      <c r="M873"/>
    </row>
    <row r="874" spans="1:13">
      <c r="A874"/>
      <c r="B874"/>
      <c r="C874"/>
      <c r="D874"/>
      <c r="E874"/>
      <c r="F874"/>
      <c r="G874"/>
      <c r="H874"/>
      <c r="I874"/>
      <c r="J874"/>
      <c r="K874"/>
      <c r="L874"/>
      <c r="M874"/>
    </row>
    <row r="875" spans="1:13">
      <c r="A875"/>
      <c r="B875"/>
      <c r="C875"/>
      <c r="D875"/>
      <c r="E875"/>
      <c r="F875"/>
      <c r="G875"/>
      <c r="H875"/>
      <c r="I875"/>
      <c r="J875"/>
      <c r="K875"/>
      <c r="L875"/>
      <c r="M875"/>
    </row>
    <row r="876" spans="1:13">
      <c r="A876"/>
      <c r="B876"/>
      <c r="C876"/>
      <c r="D876"/>
      <c r="E876"/>
      <c r="F876"/>
      <c r="G876"/>
      <c r="H876"/>
      <c r="I876"/>
      <c r="J876"/>
      <c r="K876"/>
      <c r="L876"/>
      <c r="M876"/>
    </row>
    <row r="877" spans="1:13">
      <c r="A877"/>
      <c r="B877"/>
      <c r="C877"/>
      <c r="D877"/>
      <c r="E877"/>
      <c r="F877"/>
      <c r="G877"/>
      <c r="H877"/>
      <c r="I877"/>
      <c r="J877"/>
      <c r="K877"/>
      <c r="L877"/>
      <c r="M877"/>
    </row>
    <row r="878" spans="1:13">
      <c r="A878"/>
      <c r="B878"/>
      <c r="C878"/>
      <c r="D878"/>
      <c r="E878"/>
      <c r="F878"/>
      <c r="G878"/>
      <c r="H878"/>
      <c r="I878"/>
      <c r="J878"/>
      <c r="K878"/>
      <c r="L878"/>
      <c r="M878"/>
    </row>
    <row r="879" spans="1:13">
      <c r="A879"/>
      <c r="B879"/>
      <c r="C879"/>
      <c r="D879"/>
      <c r="E879"/>
      <c r="F879"/>
      <c r="G879"/>
      <c r="H879"/>
      <c r="I879"/>
      <c r="J879"/>
      <c r="K879"/>
      <c r="L879"/>
      <c r="M879"/>
    </row>
    <row r="880" spans="1:13">
      <c r="A880"/>
      <c r="B880"/>
      <c r="C880"/>
      <c r="D880"/>
      <c r="E880"/>
      <c r="F880"/>
      <c r="G880"/>
      <c r="H880"/>
      <c r="I880"/>
      <c r="J880"/>
      <c r="K880"/>
      <c r="L880"/>
      <c r="M880"/>
    </row>
    <row r="881" spans="1:13">
      <c r="A881"/>
      <c r="B881"/>
      <c r="C881"/>
      <c r="D881"/>
      <c r="E881"/>
      <c r="F881"/>
      <c r="G881"/>
      <c r="H881"/>
      <c r="I881"/>
      <c r="J881"/>
      <c r="K881"/>
      <c r="L881"/>
      <c r="M881"/>
    </row>
    <row r="882" spans="1:13">
      <c r="A882"/>
      <c r="B882"/>
      <c r="C882"/>
      <c r="D882"/>
      <c r="E882"/>
      <c r="F882"/>
      <c r="G882"/>
      <c r="H882"/>
      <c r="I882"/>
      <c r="J882"/>
      <c r="K882"/>
      <c r="L882"/>
      <c r="M882"/>
    </row>
    <row r="883" spans="1:13">
      <c r="A883"/>
      <c r="B883"/>
      <c r="C883"/>
      <c r="D883"/>
      <c r="E883"/>
      <c r="F883"/>
      <c r="G883"/>
      <c r="H883"/>
      <c r="I883"/>
      <c r="J883"/>
      <c r="K883"/>
      <c r="L883"/>
      <c r="M883"/>
    </row>
    <row r="884" spans="1:13">
      <c r="A884"/>
      <c r="B884"/>
      <c r="C884"/>
      <c r="D884"/>
      <c r="E884"/>
      <c r="F884"/>
      <c r="G884"/>
      <c r="H884"/>
      <c r="I884"/>
      <c r="J884"/>
      <c r="K884"/>
      <c r="L884"/>
      <c r="M884"/>
    </row>
    <row r="885" spans="1:13">
      <c r="A885"/>
      <c r="B885"/>
      <c r="C885"/>
      <c r="D885"/>
      <c r="E885"/>
      <c r="F885"/>
      <c r="G885"/>
      <c r="H885"/>
      <c r="I885"/>
      <c r="J885"/>
      <c r="K885"/>
      <c r="L885"/>
      <c r="M885"/>
    </row>
    <row r="886" spans="1:13">
      <c r="A886"/>
      <c r="B886"/>
      <c r="C886"/>
      <c r="D886"/>
      <c r="E886"/>
      <c r="F886"/>
      <c r="G886"/>
      <c r="H886"/>
      <c r="I886"/>
      <c r="J886"/>
      <c r="K886"/>
      <c r="L886"/>
      <c r="M886"/>
    </row>
    <row r="887" spans="1:13">
      <c r="A887"/>
      <c r="B887"/>
      <c r="C887"/>
      <c r="D887"/>
      <c r="E887"/>
      <c r="F887"/>
      <c r="G887"/>
      <c r="H887"/>
      <c r="I887"/>
      <c r="J887"/>
      <c r="K887"/>
      <c r="L887"/>
      <c r="M887"/>
    </row>
    <row r="888" spans="1:13">
      <c r="A888"/>
      <c r="B888"/>
      <c r="C888"/>
      <c r="D888"/>
      <c r="E888"/>
      <c r="F888"/>
      <c r="G888"/>
      <c r="H888"/>
      <c r="I888"/>
      <c r="J888"/>
      <c r="K888"/>
      <c r="L888"/>
      <c r="M888"/>
    </row>
    <row r="889" spans="1:13">
      <c r="A889"/>
      <c r="B889"/>
      <c r="C889"/>
      <c r="D889"/>
      <c r="E889"/>
      <c r="F889"/>
      <c r="G889"/>
      <c r="H889"/>
      <c r="I889"/>
      <c r="J889"/>
      <c r="K889"/>
      <c r="L889"/>
      <c r="M889"/>
    </row>
    <row r="890" spans="1:13">
      <c r="A890"/>
      <c r="B890"/>
      <c r="C890"/>
      <c r="D890"/>
      <c r="E890"/>
      <c r="F890"/>
      <c r="G890"/>
      <c r="H890"/>
      <c r="I890"/>
      <c r="J890"/>
      <c r="K890"/>
      <c r="L890"/>
      <c r="M890"/>
    </row>
    <row r="891" spans="1:13">
      <c r="A891"/>
      <c r="B891"/>
      <c r="C891"/>
      <c r="D891"/>
      <c r="E891"/>
      <c r="F891"/>
      <c r="G891"/>
      <c r="H891"/>
      <c r="I891"/>
      <c r="J891"/>
      <c r="K891"/>
      <c r="L891"/>
      <c r="M891"/>
    </row>
    <row r="892" spans="1:13">
      <c r="A892"/>
      <c r="B892"/>
      <c r="C892"/>
      <c r="D892"/>
      <c r="E892"/>
      <c r="F892"/>
      <c r="G892"/>
      <c r="H892"/>
      <c r="I892"/>
      <c r="J892"/>
      <c r="K892"/>
      <c r="L892"/>
      <c r="M892"/>
    </row>
    <row r="893" spans="1:13">
      <c r="A893"/>
      <c r="B893"/>
      <c r="C893"/>
      <c r="D893"/>
      <c r="E893"/>
      <c r="F893"/>
      <c r="G893"/>
      <c r="H893"/>
      <c r="I893"/>
      <c r="J893"/>
      <c r="K893"/>
      <c r="L893"/>
      <c r="M893"/>
    </row>
    <row r="894" spans="1:13">
      <c r="A894"/>
      <c r="B894"/>
      <c r="C894"/>
      <c r="D894"/>
      <c r="E894"/>
      <c r="F894"/>
      <c r="G894"/>
      <c r="H894"/>
      <c r="I894"/>
      <c r="J894"/>
      <c r="K894"/>
      <c r="L894"/>
      <c r="M894"/>
    </row>
    <row r="895" spans="1:13">
      <c r="A895"/>
      <c r="B895"/>
      <c r="C895"/>
      <c r="D895"/>
      <c r="E895"/>
      <c r="F895"/>
      <c r="G895"/>
      <c r="H895"/>
      <c r="I895"/>
      <c r="J895"/>
      <c r="K895"/>
      <c r="L895"/>
      <c r="M895"/>
    </row>
    <row r="896" spans="1:13">
      <c r="A896"/>
      <c r="B896"/>
      <c r="C896"/>
      <c r="D896"/>
      <c r="E896"/>
      <c r="F896"/>
      <c r="G896"/>
      <c r="H896"/>
      <c r="I896"/>
      <c r="J896"/>
      <c r="K896"/>
      <c r="L896"/>
      <c r="M896"/>
    </row>
    <row r="897" spans="1:13">
      <c r="A897"/>
      <c r="B897"/>
      <c r="C897"/>
      <c r="D897"/>
      <c r="E897"/>
      <c r="F897"/>
      <c r="G897"/>
      <c r="H897"/>
      <c r="I897"/>
      <c r="J897"/>
      <c r="K897"/>
      <c r="L897"/>
      <c r="M897"/>
    </row>
    <row r="898" spans="1:13">
      <c r="A898"/>
      <c r="B898"/>
      <c r="C898"/>
      <c r="D898"/>
      <c r="E898"/>
      <c r="F898"/>
      <c r="G898"/>
      <c r="H898"/>
      <c r="I898"/>
      <c r="J898"/>
      <c r="K898"/>
      <c r="L898"/>
      <c r="M898"/>
    </row>
    <row r="899" spans="1:13">
      <c r="A899"/>
      <c r="B899"/>
      <c r="C899"/>
      <c r="D899"/>
      <c r="E899"/>
      <c r="F899"/>
      <c r="G899"/>
      <c r="H899"/>
      <c r="I899"/>
      <c r="J899"/>
      <c r="K899"/>
      <c r="L899"/>
      <c r="M899"/>
    </row>
    <row r="900" spans="1:13">
      <c r="A900"/>
      <c r="B900"/>
      <c r="C900"/>
      <c r="D900"/>
      <c r="E900"/>
      <c r="F900"/>
      <c r="G900"/>
      <c r="H900"/>
      <c r="I900"/>
      <c r="J900"/>
      <c r="K900"/>
      <c r="L900"/>
      <c r="M900"/>
    </row>
    <row r="901" spans="1:13">
      <c r="A901"/>
      <c r="B901"/>
      <c r="C901"/>
      <c r="D901"/>
      <c r="E901"/>
      <c r="F901"/>
      <c r="G901"/>
      <c r="H901"/>
      <c r="I901"/>
      <c r="J901"/>
      <c r="K901"/>
      <c r="L901"/>
      <c r="M901"/>
    </row>
    <row r="902" spans="1:13">
      <c r="A902"/>
      <c r="B902"/>
      <c r="C902"/>
      <c r="D902"/>
      <c r="E902"/>
      <c r="F902"/>
      <c r="G902"/>
      <c r="H902"/>
      <c r="I902"/>
      <c r="J902"/>
      <c r="K902"/>
      <c r="L902"/>
      <c r="M902"/>
    </row>
    <row r="903" spans="1:13">
      <c r="A903"/>
      <c r="B903"/>
      <c r="C903"/>
      <c r="D903"/>
      <c r="E903"/>
      <c r="F903"/>
      <c r="G903"/>
      <c r="H903"/>
      <c r="I903"/>
      <c r="J903"/>
      <c r="K903"/>
      <c r="L903"/>
      <c r="M903"/>
    </row>
    <row r="904" spans="1:13">
      <c r="A904"/>
      <c r="B904"/>
      <c r="C904"/>
      <c r="D904"/>
      <c r="E904"/>
      <c r="F904"/>
      <c r="G904"/>
      <c r="H904"/>
      <c r="I904"/>
      <c r="J904"/>
      <c r="K904"/>
      <c r="L904"/>
      <c r="M904"/>
    </row>
    <row r="905" spans="1:13">
      <c r="A905"/>
      <c r="B905"/>
      <c r="C905"/>
      <c r="D905"/>
      <c r="E905"/>
      <c r="F905"/>
      <c r="G905"/>
      <c r="H905"/>
      <c r="I905"/>
      <c r="J905"/>
      <c r="K905"/>
      <c r="L905"/>
      <c r="M905"/>
    </row>
    <row r="906" spans="1:13">
      <c r="A906"/>
      <c r="B906"/>
      <c r="C906"/>
      <c r="D906"/>
      <c r="E906"/>
      <c r="F906"/>
      <c r="G906"/>
      <c r="H906"/>
      <c r="I906"/>
      <c r="J906"/>
      <c r="K906"/>
      <c r="L906"/>
      <c r="M906"/>
    </row>
    <row r="907" spans="1:13">
      <c r="A907"/>
      <c r="B907"/>
      <c r="C907"/>
      <c r="D907"/>
      <c r="E907"/>
      <c r="F907"/>
      <c r="G907"/>
      <c r="H907"/>
      <c r="I907"/>
      <c r="J907"/>
      <c r="K907"/>
      <c r="L907"/>
      <c r="M907"/>
    </row>
    <row r="908" spans="1:13">
      <c r="A908"/>
      <c r="B908"/>
      <c r="C908"/>
      <c r="D908"/>
      <c r="E908"/>
      <c r="F908"/>
      <c r="G908"/>
      <c r="H908"/>
      <c r="I908"/>
      <c r="J908"/>
      <c r="K908"/>
      <c r="L908"/>
      <c r="M908"/>
    </row>
    <row r="909" spans="1:13">
      <c r="A909"/>
      <c r="B909"/>
      <c r="C909"/>
      <c r="D909"/>
      <c r="E909"/>
      <c r="F909"/>
      <c r="G909"/>
      <c r="H909"/>
      <c r="I909"/>
      <c r="J909"/>
      <c r="K909"/>
      <c r="L909"/>
      <c r="M909"/>
    </row>
    <row r="910" spans="1:13">
      <c r="A910"/>
      <c r="B910"/>
      <c r="C910"/>
      <c r="D910"/>
      <c r="E910"/>
      <c r="F910"/>
      <c r="G910"/>
      <c r="H910"/>
      <c r="I910"/>
      <c r="J910"/>
      <c r="K910"/>
      <c r="L910"/>
      <c r="M910"/>
    </row>
    <row r="911" spans="1:13">
      <c r="A911"/>
      <c r="B911"/>
      <c r="C911"/>
      <c r="D911"/>
      <c r="E911"/>
      <c r="F911"/>
      <c r="G911"/>
      <c r="H911"/>
      <c r="I911"/>
      <c r="J911"/>
      <c r="K911"/>
      <c r="L911"/>
      <c r="M911"/>
    </row>
    <row r="912" spans="1:13">
      <c r="A912"/>
      <c r="B912"/>
      <c r="C912"/>
      <c r="D912"/>
      <c r="E912"/>
      <c r="F912"/>
      <c r="G912"/>
      <c r="H912"/>
      <c r="I912"/>
      <c r="J912"/>
      <c r="K912"/>
      <c r="L912"/>
      <c r="M912"/>
    </row>
    <row r="913" spans="1:13">
      <c r="A913"/>
      <c r="B913"/>
      <c r="C913"/>
      <c r="D913"/>
      <c r="E913"/>
      <c r="F913"/>
      <c r="G913"/>
      <c r="H913"/>
      <c r="I913"/>
      <c r="J913"/>
      <c r="K913"/>
      <c r="L913"/>
      <c r="M913"/>
    </row>
    <row r="914" spans="1:13">
      <c r="A914"/>
      <c r="B914"/>
      <c r="C914"/>
      <c r="D914"/>
      <c r="E914"/>
      <c r="F914"/>
      <c r="G914"/>
      <c r="H914"/>
      <c r="I914"/>
      <c r="J914"/>
      <c r="K914"/>
      <c r="L914"/>
      <c r="M914"/>
    </row>
    <row r="915" spans="1:13">
      <c r="A915"/>
      <c r="B915"/>
      <c r="C915"/>
      <c r="D915"/>
      <c r="E915"/>
      <c r="F915"/>
      <c r="G915"/>
      <c r="H915"/>
      <c r="I915"/>
      <c r="J915"/>
      <c r="K915"/>
      <c r="L915"/>
      <c r="M915"/>
    </row>
    <row r="916" spans="1:13">
      <c r="A916"/>
      <c r="B916"/>
      <c r="C916"/>
      <c r="D916"/>
      <c r="E916"/>
      <c r="F916"/>
      <c r="G916"/>
      <c r="H916"/>
      <c r="I916"/>
      <c r="J916"/>
      <c r="K916"/>
      <c r="L916"/>
      <c r="M916"/>
    </row>
    <row r="917" spans="1:13">
      <c r="A917"/>
      <c r="B917"/>
      <c r="C917"/>
      <c r="D917"/>
      <c r="E917"/>
      <c r="F917"/>
      <c r="G917"/>
      <c r="H917"/>
      <c r="I917"/>
      <c r="J917"/>
      <c r="K917"/>
      <c r="L917"/>
      <c r="M917"/>
    </row>
    <row r="918" spans="1:13">
      <c r="A918"/>
      <c r="B918"/>
      <c r="C918"/>
      <c r="D918"/>
      <c r="E918"/>
      <c r="F918"/>
      <c r="G918"/>
      <c r="H918"/>
      <c r="I918"/>
      <c r="J918"/>
      <c r="K918"/>
      <c r="L918"/>
      <c r="M918"/>
    </row>
    <row r="919" spans="1:13">
      <c r="A919"/>
      <c r="B919"/>
      <c r="C919"/>
      <c r="D919"/>
      <c r="E919"/>
      <c r="F919"/>
      <c r="G919"/>
      <c r="H919"/>
      <c r="I919"/>
      <c r="J919"/>
      <c r="K919"/>
      <c r="L919"/>
      <c r="M919"/>
    </row>
    <row r="920" spans="1:13">
      <c r="A920"/>
      <c r="B920"/>
      <c r="C920"/>
      <c r="D920"/>
      <c r="E920"/>
      <c r="F920"/>
      <c r="G920"/>
      <c r="H920"/>
      <c r="I920"/>
      <c r="J920"/>
      <c r="K920"/>
      <c r="L920"/>
      <c r="M920"/>
    </row>
    <row r="921" spans="1:13">
      <c r="A921"/>
      <c r="B921"/>
      <c r="C921"/>
      <c r="D921"/>
      <c r="E921"/>
      <c r="F921"/>
      <c r="G921"/>
      <c r="H921"/>
      <c r="I921"/>
      <c r="J921"/>
      <c r="K921"/>
      <c r="L921"/>
      <c r="M921"/>
    </row>
    <row r="922" spans="1:13">
      <c r="A922"/>
      <c r="B922"/>
      <c r="C922"/>
      <c r="D922"/>
      <c r="E922"/>
      <c r="F922"/>
      <c r="G922"/>
      <c r="H922"/>
      <c r="I922"/>
      <c r="J922"/>
      <c r="K922"/>
      <c r="L922"/>
      <c r="M922"/>
    </row>
    <row r="923" spans="1:13">
      <c r="A923"/>
      <c r="B923"/>
      <c r="C923"/>
      <c r="D923"/>
      <c r="E923"/>
      <c r="F923"/>
      <c r="G923"/>
      <c r="H923"/>
      <c r="I923"/>
      <c r="J923"/>
      <c r="K923"/>
      <c r="L923"/>
      <c r="M923"/>
    </row>
    <row r="924" spans="1:13">
      <c r="A924"/>
      <c r="B924"/>
      <c r="C924"/>
      <c r="D924"/>
      <c r="E924"/>
      <c r="F924"/>
      <c r="G924"/>
      <c r="H924"/>
      <c r="I924"/>
      <c r="J924"/>
      <c r="K924"/>
      <c r="L924"/>
      <c r="M924"/>
    </row>
    <row r="925" spans="1:13">
      <c r="A925"/>
      <c r="B925"/>
      <c r="C925"/>
      <c r="D925"/>
      <c r="E925"/>
      <c r="F925"/>
      <c r="G925"/>
      <c r="H925"/>
      <c r="I925"/>
      <c r="J925"/>
      <c r="K925"/>
      <c r="L925"/>
      <c r="M925"/>
    </row>
    <row r="926" spans="1:13">
      <c r="A926"/>
      <c r="B926"/>
      <c r="C926"/>
      <c r="D926"/>
      <c r="E926"/>
      <c r="F926"/>
      <c r="G926"/>
      <c r="H926"/>
      <c r="I926"/>
      <c r="J926"/>
      <c r="K926"/>
      <c r="L926"/>
      <c r="M926"/>
    </row>
    <row r="927" spans="1:13">
      <c r="A927"/>
      <c r="B927"/>
      <c r="C927"/>
      <c r="D927"/>
      <c r="E927"/>
      <c r="F927"/>
      <c r="G927"/>
      <c r="H927"/>
      <c r="I927"/>
      <c r="J927"/>
      <c r="K927"/>
      <c r="L927"/>
      <c r="M927"/>
    </row>
    <row r="928" spans="1:13">
      <c r="A928"/>
      <c r="B928"/>
      <c r="C928"/>
      <c r="D928"/>
      <c r="E928"/>
      <c r="F928"/>
      <c r="G928"/>
      <c r="H928"/>
      <c r="I928"/>
      <c r="J928"/>
      <c r="K928"/>
      <c r="L928"/>
      <c r="M928"/>
    </row>
    <row r="929" spans="1:13">
      <c r="A929"/>
      <c r="B929"/>
      <c r="C929"/>
      <c r="D929"/>
      <c r="E929"/>
      <c r="F929"/>
      <c r="G929"/>
      <c r="H929"/>
      <c r="I929"/>
      <c r="J929"/>
      <c r="K929"/>
      <c r="L929"/>
      <c r="M929"/>
    </row>
    <row r="930" spans="1:13">
      <c r="A930"/>
      <c r="B930"/>
      <c r="C930"/>
      <c r="D930"/>
      <c r="E930"/>
      <c r="F930"/>
      <c r="G930"/>
      <c r="H930"/>
      <c r="I930"/>
      <c r="J930"/>
      <c r="K930"/>
      <c r="L930"/>
      <c r="M930"/>
    </row>
    <row r="931" spans="1:13">
      <c r="A931"/>
      <c r="B931"/>
      <c r="C931"/>
      <c r="D931"/>
      <c r="E931"/>
      <c r="F931"/>
      <c r="G931"/>
      <c r="H931"/>
      <c r="I931"/>
      <c r="J931"/>
      <c r="K931"/>
      <c r="L931"/>
      <c r="M931"/>
    </row>
    <row r="932" spans="1:13">
      <c r="A932"/>
      <c r="B932"/>
      <c r="C932"/>
      <c r="D932"/>
      <c r="E932"/>
      <c r="F932"/>
      <c r="G932"/>
      <c r="H932"/>
      <c r="I932"/>
      <c r="J932"/>
      <c r="K932"/>
      <c r="L932"/>
      <c r="M932"/>
    </row>
    <row r="933" spans="1:13">
      <c r="A933"/>
      <c r="B933"/>
      <c r="C933"/>
      <c r="D933"/>
      <c r="E933"/>
      <c r="F933"/>
      <c r="G933"/>
      <c r="H933"/>
      <c r="I933"/>
      <c r="J933"/>
      <c r="K933"/>
      <c r="L933"/>
      <c r="M933"/>
    </row>
    <row r="934" spans="1:13">
      <c r="A934"/>
      <c r="B934"/>
      <c r="C934"/>
      <c r="D934"/>
      <c r="E934"/>
      <c r="F934"/>
      <c r="G934"/>
      <c r="H934"/>
      <c r="I934"/>
      <c r="J934"/>
      <c r="K934"/>
      <c r="L934"/>
      <c r="M934"/>
    </row>
    <row r="935" spans="1:13">
      <c r="A935"/>
      <c r="B935"/>
      <c r="C935"/>
      <c r="D935"/>
      <c r="E935"/>
      <c r="F935"/>
      <c r="G935"/>
      <c r="H935"/>
      <c r="I935"/>
      <c r="J935"/>
      <c r="K935"/>
      <c r="L935"/>
      <c r="M935"/>
    </row>
    <row r="936" spans="1:13">
      <c r="A936"/>
      <c r="B936"/>
      <c r="C936"/>
      <c r="D936"/>
      <c r="E936"/>
      <c r="F936"/>
      <c r="G936"/>
      <c r="H936"/>
      <c r="I936"/>
      <c r="J936"/>
      <c r="K936"/>
      <c r="L936"/>
      <c r="M936"/>
    </row>
    <row r="937" spans="1:13">
      <c r="A937"/>
      <c r="B937"/>
      <c r="C937"/>
      <c r="D937"/>
      <c r="E937"/>
      <c r="F937"/>
      <c r="G937"/>
      <c r="H937"/>
      <c r="I937"/>
      <c r="J937"/>
      <c r="K937"/>
      <c r="L937"/>
      <c r="M937"/>
    </row>
    <row r="938" spans="1:13">
      <c r="A938"/>
      <c r="B938"/>
      <c r="C938"/>
      <c r="D938"/>
      <c r="E938"/>
      <c r="F938"/>
      <c r="G938"/>
      <c r="H938"/>
      <c r="I938"/>
      <c r="J938"/>
      <c r="K938"/>
      <c r="L938"/>
      <c r="M938"/>
    </row>
    <row r="939" spans="1:13">
      <c r="A939"/>
      <c r="B939"/>
      <c r="C939"/>
      <c r="D939"/>
      <c r="E939"/>
      <c r="F939"/>
      <c r="G939"/>
      <c r="H939"/>
      <c r="I939"/>
      <c r="J939"/>
      <c r="K939"/>
      <c r="L939"/>
      <c r="M939"/>
    </row>
    <row r="940" spans="1:13">
      <c r="A940"/>
      <c r="B940"/>
      <c r="C940"/>
      <c r="D940"/>
      <c r="E940"/>
      <c r="F940"/>
      <c r="G940"/>
      <c r="H940"/>
      <c r="I940"/>
      <c r="J940"/>
      <c r="K940"/>
      <c r="L940"/>
      <c r="M940"/>
    </row>
    <row r="941" spans="1:13">
      <c r="A941"/>
      <c r="B941"/>
      <c r="C941"/>
      <c r="D941"/>
      <c r="E941"/>
      <c r="F941"/>
      <c r="G941"/>
      <c r="H941"/>
      <c r="I941"/>
      <c r="J941"/>
      <c r="K941"/>
      <c r="L941"/>
      <c r="M941"/>
    </row>
    <row r="942" spans="1:13">
      <c r="A942"/>
      <c r="B942"/>
      <c r="C942"/>
      <c r="D942"/>
      <c r="E942"/>
      <c r="F942"/>
      <c r="G942"/>
      <c r="H942"/>
      <c r="I942"/>
      <c r="J942"/>
      <c r="K942"/>
      <c r="L942"/>
      <c r="M942"/>
    </row>
    <row r="943" spans="1:13">
      <c r="A943"/>
      <c r="B943"/>
      <c r="C943"/>
      <c r="D943"/>
      <c r="E943"/>
      <c r="F943"/>
      <c r="G943"/>
      <c r="H943"/>
      <c r="I943"/>
      <c r="J943"/>
      <c r="K943"/>
      <c r="L943"/>
      <c r="M943"/>
    </row>
    <row r="944" spans="1:13">
      <c r="A944"/>
      <c r="B944"/>
      <c r="C944"/>
      <c r="D944"/>
      <c r="E944"/>
      <c r="F944"/>
      <c r="G944"/>
      <c r="H944"/>
      <c r="I944"/>
      <c r="J944"/>
      <c r="K944"/>
      <c r="L944"/>
      <c r="M944"/>
    </row>
    <row r="945" spans="1:13">
      <c r="A945"/>
      <c r="B945"/>
      <c r="C945"/>
      <c r="D945"/>
      <c r="E945"/>
      <c r="F945"/>
      <c r="G945"/>
      <c r="H945"/>
      <c r="I945"/>
      <c r="J945"/>
      <c r="K945"/>
      <c r="L945"/>
      <c r="M945"/>
    </row>
    <row r="946" spans="1:13">
      <c r="A946"/>
      <c r="B946"/>
      <c r="C946"/>
      <c r="D946"/>
      <c r="E946"/>
      <c r="F946"/>
      <c r="G946"/>
      <c r="H946"/>
      <c r="I946"/>
      <c r="J946"/>
      <c r="K946"/>
      <c r="L946"/>
      <c r="M946"/>
    </row>
    <row r="947" spans="1:13">
      <c r="A947"/>
      <c r="B947"/>
      <c r="C947"/>
      <c r="D947"/>
      <c r="E947"/>
      <c r="F947"/>
      <c r="G947"/>
      <c r="H947"/>
      <c r="I947"/>
      <c r="J947"/>
      <c r="K947"/>
      <c r="L947"/>
      <c r="M947"/>
    </row>
    <row r="948" spans="1:13">
      <c r="A948"/>
      <c r="B948"/>
      <c r="C948"/>
      <c r="D948"/>
      <c r="E948"/>
      <c r="F948"/>
      <c r="G948"/>
      <c r="H948"/>
      <c r="I948"/>
      <c r="J948"/>
      <c r="K948"/>
      <c r="L948"/>
      <c r="M948"/>
    </row>
    <row r="949" spans="1:13">
      <c r="A949"/>
      <c r="B949"/>
      <c r="C949"/>
      <c r="D949"/>
      <c r="E949"/>
      <c r="F949"/>
      <c r="G949"/>
      <c r="H949"/>
      <c r="I949"/>
      <c r="J949"/>
      <c r="K949"/>
      <c r="L949"/>
      <c r="M949"/>
    </row>
    <row r="950" spans="1:13">
      <c r="A950"/>
      <c r="B950"/>
      <c r="C950"/>
      <c r="D950"/>
      <c r="E950"/>
      <c r="F950"/>
      <c r="G950"/>
      <c r="H950"/>
      <c r="I950"/>
      <c r="J950"/>
      <c r="K950"/>
      <c r="L950"/>
      <c r="M950"/>
    </row>
    <row r="951" spans="1:13">
      <c r="A951"/>
      <c r="B951"/>
      <c r="C951"/>
      <c r="D951"/>
      <c r="E951"/>
      <c r="F951"/>
      <c r="G951"/>
      <c r="H951"/>
      <c r="I951"/>
      <c r="J951"/>
      <c r="K951"/>
      <c r="L951"/>
      <c r="M951"/>
    </row>
    <row r="952" spans="1:13">
      <c r="A952"/>
      <c r="B952"/>
      <c r="C952"/>
      <c r="D952"/>
      <c r="E952"/>
      <c r="F952"/>
      <c r="G952"/>
      <c r="H952"/>
      <c r="I952"/>
      <c r="J952"/>
      <c r="K952"/>
      <c r="L952"/>
      <c r="M952"/>
    </row>
    <row r="953" spans="1:13">
      <c r="A953"/>
      <c r="B953"/>
      <c r="C953"/>
      <c r="D953"/>
      <c r="E953"/>
      <c r="F953"/>
      <c r="G953"/>
      <c r="H953"/>
      <c r="I953"/>
      <c r="J953"/>
      <c r="K953"/>
      <c r="L953"/>
      <c r="M953"/>
    </row>
    <row r="954" spans="1:13">
      <c r="A954"/>
      <c r="B954"/>
      <c r="C954"/>
      <c r="D954"/>
      <c r="E954"/>
      <c r="F954"/>
      <c r="G954"/>
      <c r="H954"/>
      <c r="I954"/>
      <c r="J954"/>
      <c r="K954"/>
      <c r="L954"/>
      <c r="M954"/>
    </row>
    <row r="955" spans="1:13">
      <c r="A955"/>
      <c r="B955"/>
      <c r="C955"/>
      <c r="D955"/>
      <c r="E955"/>
      <c r="F955"/>
      <c r="G955"/>
      <c r="H955"/>
      <c r="I955"/>
      <c r="J955"/>
      <c r="K955"/>
      <c r="L955"/>
      <c r="M955"/>
    </row>
    <row r="956" spans="1:13">
      <c r="A956"/>
      <c r="B956"/>
      <c r="C956"/>
      <c r="D956"/>
      <c r="E956"/>
      <c r="F956"/>
      <c r="G956"/>
      <c r="H956"/>
      <c r="I956"/>
      <c r="J956"/>
      <c r="K956"/>
      <c r="L956"/>
      <c r="M956"/>
    </row>
    <row r="957" spans="1:13">
      <c r="A957"/>
      <c r="B957"/>
      <c r="C957"/>
      <c r="D957"/>
      <c r="E957"/>
      <c r="F957"/>
      <c r="G957"/>
      <c r="H957"/>
      <c r="I957"/>
      <c r="J957"/>
      <c r="K957"/>
      <c r="L957"/>
      <c r="M957"/>
    </row>
    <row r="958" spans="1:13">
      <c r="A958"/>
      <c r="B958"/>
      <c r="C958"/>
      <c r="D958"/>
      <c r="E958"/>
      <c r="F958"/>
      <c r="G958"/>
      <c r="H958"/>
      <c r="I958"/>
      <c r="J958"/>
      <c r="K958"/>
      <c r="L958"/>
      <c r="M958"/>
    </row>
    <row r="959" spans="1:13">
      <c r="A959"/>
      <c r="B959"/>
      <c r="C959"/>
      <c r="D959"/>
      <c r="E959"/>
      <c r="F959"/>
      <c r="G959"/>
      <c r="H959"/>
      <c r="I959"/>
      <c r="J959"/>
      <c r="K959"/>
      <c r="L959"/>
      <c r="M959"/>
    </row>
    <row r="960" spans="1:13">
      <c r="A960"/>
      <c r="B960"/>
      <c r="C960"/>
      <c r="D960"/>
      <c r="E960"/>
      <c r="F960"/>
      <c r="G960"/>
      <c r="H960"/>
      <c r="I960"/>
      <c r="J960"/>
      <c r="K960"/>
      <c r="L960"/>
      <c r="M960"/>
    </row>
    <row r="961" spans="1:13">
      <c r="A961"/>
      <c r="B961"/>
      <c r="C961"/>
      <c r="D961"/>
      <c r="E961"/>
      <c r="F961"/>
      <c r="G961"/>
      <c r="H961"/>
      <c r="I961"/>
      <c r="J961"/>
      <c r="K961"/>
      <c r="L961"/>
      <c r="M961"/>
    </row>
    <row r="962" spans="1:13">
      <c r="A962"/>
      <c r="B962"/>
      <c r="C962"/>
      <c r="D962"/>
      <c r="E962"/>
      <c r="F962"/>
      <c r="G962"/>
      <c r="H962"/>
      <c r="I962"/>
      <c r="J962"/>
      <c r="K962"/>
      <c r="L962"/>
      <c r="M962"/>
    </row>
    <row r="963" spans="1:13">
      <c r="A963"/>
      <c r="B963"/>
      <c r="C963"/>
      <c r="D963"/>
      <c r="E963"/>
      <c r="F963"/>
      <c r="G963"/>
      <c r="H963"/>
      <c r="I963"/>
      <c r="J963"/>
      <c r="K963"/>
      <c r="L963"/>
      <c r="M963"/>
    </row>
    <row r="964" spans="1:13">
      <c r="A964"/>
      <c r="B964"/>
      <c r="C964"/>
      <c r="D964"/>
      <c r="E964"/>
      <c r="F964"/>
      <c r="G964"/>
      <c r="H964"/>
      <c r="I964"/>
      <c r="J964"/>
      <c r="K964"/>
      <c r="L964"/>
      <c r="M964"/>
    </row>
    <row r="965" spans="1:13">
      <c r="A965"/>
      <c r="B965"/>
      <c r="C965"/>
      <c r="D965"/>
      <c r="E965"/>
      <c r="F965"/>
      <c r="G965"/>
      <c r="H965"/>
      <c r="I965"/>
      <c r="J965"/>
      <c r="K965"/>
      <c r="L965"/>
      <c r="M965"/>
    </row>
    <row r="966" spans="1:13">
      <c r="A966"/>
      <c r="B966"/>
      <c r="C966"/>
      <c r="D966"/>
      <c r="E966"/>
      <c r="F966"/>
      <c r="G966"/>
      <c r="H966"/>
      <c r="I966"/>
      <c r="J966"/>
      <c r="K966"/>
      <c r="L966"/>
      <c r="M966"/>
    </row>
    <row r="967" spans="1:13">
      <c r="A967"/>
      <c r="B967"/>
      <c r="C967"/>
      <c r="D967"/>
      <c r="E967"/>
      <c r="F967"/>
      <c r="G967"/>
      <c r="H967"/>
      <c r="I967"/>
      <c r="J967"/>
      <c r="K967"/>
      <c r="L967"/>
      <c r="M967"/>
    </row>
    <row r="968" spans="1:13">
      <c r="A968"/>
      <c r="B968"/>
      <c r="C968"/>
      <c r="D968"/>
      <c r="E968"/>
      <c r="F968"/>
      <c r="G968"/>
      <c r="H968"/>
      <c r="I968"/>
      <c r="J968"/>
      <c r="K968"/>
      <c r="L968"/>
      <c r="M968"/>
    </row>
    <row r="969" spans="1:13">
      <c r="A969"/>
      <c r="B969"/>
      <c r="C969"/>
      <c r="D969"/>
      <c r="E969"/>
      <c r="F969"/>
      <c r="G969"/>
      <c r="H969"/>
      <c r="I969"/>
      <c r="J969"/>
      <c r="K969"/>
      <c r="L969"/>
      <c r="M969"/>
    </row>
    <row r="970" spans="1:13">
      <c r="A970"/>
      <c r="B970"/>
      <c r="C970"/>
      <c r="D970"/>
      <c r="E970"/>
      <c r="F970"/>
      <c r="G970"/>
      <c r="H970"/>
      <c r="I970"/>
      <c r="J970"/>
      <c r="K970"/>
      <c r="L970"/>
      <c r="M970"/>
    </row>
    <row r="971" spans="1:13">
      <c r="A971"/>
      <c r="B971"/>
      <c r="C971"/>
      <c r="D971"/>
      <c r="E971"/>
      <c r="F971"/>
      <c r="G971"/>
      <c r="H971"/>
      <c r="I971"/>
      <c r="J971"/>
      <c r="K971"/>
      <c r="L971"/>
      <c r="M971"/>
    </row>
    <row r="972" spans="1:13">
      <c r="A972"/>
      <c r="B972"/>
      <c r="C972"/>
      <c r="D972"/>
      <c r="E972"/>
      <c r="F972"/>
      <c r="G972"/>
      <c r="H972"/>
      <c r="I972"/>
      <c r="J972"/>
      <c r="K972"/>
      <c r="L972"/>
      <c r="M972"/>
    </row>
    <row r="973" spans="1:13">
      <c r="A973"/>
      <c r="B973"/>
      <c r="C973"/>
      <c r="D973"/>
      <c r="E973"/>
      <c r="F973"/>
      <c r="G973"/>
      <c r="H973"/>
      <c r="I973"/>
      <c r="J973"/>
      <c r="K973"/>
      <c r="L973"/>
      <c r="M973"/>
    </row>
    <row r="974" spans="1:13">
      <c r="A974"/>
      <c r="B974"/>
      <c r="C974"/>
      <c r="D974"/>
      <c r="E974"/>
      <c r="F974"/>
      <c r="G974"/>
      <c r="H974"/>
      <c r="I974"/>
      <c r="J974"/>
      <c r="K974"/>
      <c r="L974"/>
      <c r="M974"/>
    </row>
    <row r="975" spans="1:13">
      <c r="A975"/>
      <c r="B975"/>
      <c r="C975"/>
      <c r="D975"/>
      <c r="E975"/>
      <c r="F975"/>
      <c r="G975"/>
      <c r="H975"/>
      <c r="I975"/>
      <c r="J975"/>
      <c r="K975"/>
      <c r="L975"/>
      <c r="M975"/>
    </row>
    <row r="976" spans="1:13">
      <c r="A976"/>
      <c r="B976"/>
      <c r="C976"/>
      <c r="D976"/>
      <c r="E976"/>
      <c r="F976"/>
      <c r="G976"/>
      <c r="H976"/>
      <c r="I976"/>
      <c r="J976"/>
      <c r="K976"/>
      <c r="L976"/>
      <c r="M976"/>
    </row>
    <row r="977" spans="1:13">
      <c r="A977"/>
      <c r="B977"/>
      <c r="C977"/>
      <c r="D977"/>
      <c r="E977"/>
      <c r="F977"/>
      <c r="G977"/>
      <c r="H977"/>
      <c r="I977"/>
      <c r="J977"/>
      <c r="K977"/>
      <c r="L977"/>
      <c r="M977"/>
    </row>
    <row r="978" spans="1:13">
      <c r="A978"/>
      <c r="B978"/>
      <c r="C978"/>
      <c r="D978"/>
      <c r="E978"/>
      <c r="F978"/>
      <c r="G978"/>
      <c r="H978"/>
      <c r="I978"/>
      <c r="J978"/>
      <c r="K978"/>
      <c r="L978"/>
      <c r="M978"/>
    </row>
    <row r="979" spans="1:13">
      <c r="A979"/>
      <c r="B979"/>
      <c r="C979"/>
      <c r="D979"/>
      <c r="E979"/>
      <c r="F979"/>
      <c r="G979"/>
      <c r="H979"/>
      <c r="I979"/>
      <c r="J979"/>
      <c r="K979"/>
      <c r="L979"/>
      <c r="M979"/>
    </row>
    <row r="980" spans="1:13">
      <c r="A980"/>
      <c r="B980"/>
      <c r="C980"/>
      <c r="D980"/>
      <c r="E980"/>
      <c r="F980"/>
      <c r="G980"/>
      <c r="H980"/>
      <c r="I980"/>
      <c r="J980"/>
      <c r="K980"/>
      <c r="L980"/>
      <c r="M980"/>
    </row>
    <row r="981" spans="1:13">
      <c r="A981"/>
      <c r="B981"/>
      <c r="C981"/>
      <c r="D981"/>
      <c r="E981"/>
      <c r="F981"/>
      <c r="G981"/>
      <c r="H981"/>
      <c r="I981"/>
      <c r="J981"/>
      <c r="K981"/>
      <c r="L981"/>
      <c r="M981"/>
    </row>
    <row r="982" spans="1:13">
      <c r="A982"/>
      <c r="B982"/>
      <c r="C982"/>
      <c r="D982"/>
      <c r="E982"/>
      <c r="F982"/>
      <c r="G982"/>
      <c r="H982"/>
      <c r="I982"/>
      <c r="J982"/>
      <c r="K982"/>
      <c r="L982"/>
      <c r="M982"/>
    </row>
    <row r="983" spans="1:13">
      <c r="A983"/>
      <c r="B983"/>
      <c r="C983"/>
      <c r="D983"/>
      <c r="E983"/>
      <c r="F983"/>
      <c r="G983"/>
      <c r="H983"/>
      <c r="I983"/>
      <c r="J983"/>
      <c r="K983"/>
      <c r="L983"/>
      <c r="M983"/>
    </row>
    <row r="984" spans="1:13">
      <c r="A984"/>
      <c r="B984"/>
      <c r="C984"/>
      <c r="D984"/>
      <c r="E984"/>
      <c r="F984"/>
      <c r="G984"/>
      <c r="H984"/>
      <c r="I984"/>
      <c r="J984"/>
      <c r="K984"/>
      <c r="L984"/>
      <c r="M984"/>
    </row>
    <row r="985" spans="1:13">
      <c r="A985"/>
      <c r="B985"/>
      <c r="C985"/>
      <c r="D985"/>
      <c r="E985"/>
      <c r="F985"/>
      <c r="G985"/>
      <c r="H985"/>
      <c r="I985"/>
      <c r="J985"/>
      <c r="K985"/>
      <c r="L985"/>
      <c r="M985"/>
    </row>
    <row r="986" spans="1:13">
      <c r="A986"/>
      <c r="B986"/>
      <c r="C986"/>
      <c r="D986"/>
      <c r="E986"/>
      <c r="F986"/>
      <c r="G986"/>
      <c r="H986"/>
      <c r="I986"/>
      <c r="J986"/>
      <c r="K986"/>
      <c r="L986"/>
      <c r="M986"/>
    </row>
    <row r="987" spans="1:13">
      <c r="A987"/>
      <c r="B987"/>
      <c r="C987"/>
      <c r="D987"/>
      <c r="E987"/>
      <c r="F987"/>
      <c r="G987"/>
      <c r="H987"/>
      <c r="I987"/>
      <c r="J987"/>
      <c r="K987"/>
      <c r="L987"/>
      <c r="M987"/>
    </row>
    <row r="988" spans="1:13">
      <c r="A988"/>
      <c r="B988"/>
      <c r="C988"/>
      <c r="D988"/>
      <c r="E988"/>
      <c r="F988"/>
      <c r="G988"/>
      <c r="H988"/>
      <c r="I988"/>
      <c r="J988"/>
      <c r="K988"/>
      <c r="L988"/>
      <c r="M988"/>
    </row>
    <row r="989" spans="1:13">
      <c r="A989"/>
      <c r="B989"/>
      <c r="C989"/>
      <c r="D989"/>
      <c r="E989"/>
      <c r="F989"/>
      <c r="G989"/>
      <c r="H989"/>
      <c r="I989"/>
      <c r="J989"/>
      <c r="K989"/>
      <c r="L989"/>
      <c r="M989"/>
    </row>
    <row r="990" spans="1:13">
      <c r="A990"/>
      <c r="B990"/>
      <c r="C990"/>
      <c r="D990"/>
      <c r="E990"/>
      <c r="F990"/>
      <c r="G990"/>
      <c r="H990"/>
      <c r="I990"/>
      <c r="J990"/>
      <c r="K990"/>
      <c r="L990"/>
      <c r="M990"/>
    </row>
    <row r="991" spans="1:13">
      <c r="A991"/>
      <c r="B991"/>
      <c r="C991"/>
      <c r="D991"/>
      <c r="E991"/>
      <c r="F991"/>
      <c r="G991"/>
      <c r="H991"/>
      <c r="I991"/>
      <c r="J991"/>
      <c r="K991"/>
      <c r="L991"/>
      <c r="M991"/>
    </row>
    <row r="992" spans="1:13">
      <c r="A992"/>
      <c r="B992"/>
      <c r="C992"/>
      <c r="D992"/>
      <c r="E992"/>
      <c r="F992"/>
      <c r="G992"/>
      <c r="H992"/>
      <c r="I992"/>
      <c r="J992"/>
      <c r="K992"/>
      <c r="L992"/>
      <c r="M992"/>
    </row>
    <row r="993" spans="1:13">
      <c r="A993"/>
      <c r="B993"/>
      <c r="C993"/>
      <c r="D993"/>
      <c r="E993"/>
      <c r="F993"/>
      <c r="G993"/>
      <c r="H993"/>
      <c r="I993"/>
      <c r="J993"/>
      <c r="K993"/>
      <c r="L993"/>
      <c r="M993"/>
    </row>
    <row r="994" spans="1:13">
      <c r="A994"/>
      <c r="B994"/>
      <c r="C994"/>
      <c r="D994"/>
      <c r="E994"/>
      <c r="F994"/>
      <c r="G994"/>
      <c r="H994"/>
      <c r="I994"/>
      <c r="J994"/>
      <c r="K994"/>
      <c r="L994"/>
      <c r="M994"/>
    </row>
    <row r="995" spans="1:13">
      <c r="A995"/>
      <c r="B995"/>
      <c r="C995"/>
      <c r="D995"/>
      <c r="E995"/>
      <c r="F995"/>
      <c r="G995"/>
      <c r="H995"/>
      <c r="I995"/>
      <c r="J995"/>
      <c r="K995"/>
      <c r="L995"/>
      <c r="M995"/>
    </row>
    <row r="996" spans="1:13">
      <c r="A996"/>
      <c r="B996"/>
      <c r="C996"/>
      <c r="D996"/>
      <c r="E996"/>
      <c r="F996"/>
      <c r="G996"/>
      <c r="H996"/>
      <c r="I996"/>
      <c r="J996"/>
      <c r="K996"/>
      <c r="L996"/>
      <c r="M996"/>
    </row>
    <row r="997" spans="1:13">
      <c r="A997"/>
      <c r="B997"/>
      <c r="C997"/>
      <c r="D997"/>
      <c r="E997"/>
      <c r="F997"/>
      <c r="G997"/>
      <c r="H997"/>
      <c r="I997"/>
      <c r="J997"/>
      <c r="K997"/>
      <c r="L997"/>
      <c r="M997"/>
    </row>
    <row r="998" spans="1:13">
      <c r="A998"/>
      <c r="B998"/>
      <c r="C998"/>
      <c r="D998"/>
      <c r="E998"/>
      <c r="F998"/>
      <c r="G998"/>
      <c r="H998"/>
      <c r="I998"/>
      <c r="J998"/>
      <c r="K998"/>
      <c r="L998"/>
      <c r="M998"/>
    </row>
    <row r="999" spans="1:13">
      <c r="A999"/>
      <c r="B999"/>
      <c r="C999"/>
      <c r="D999"/>
      <c r="E999"/>
      <c r="F999"/>
      <c r="G999"/>
      <c r="H999"/>
      <c r="I999"/>
      <c r="J999"/>
      <c r="K999"/>
      <c r="L999"/>
      <c r="M999"/>
    </row>
    <row r="1000" spans="1:1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</row>
    <row r="1001" spans="1:1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</row>
    <row r="1002" spans="1:1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</row>
    <row r="1003" spans="1:1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</row>
    <row r="1004" spans="1:1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</row>
    <row r="1005" spans="1:1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</row>
    <row r="1006" spans="1:1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</row>
    <row r="1007" spans="1:1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</row>
    <row r="1008" spans="1:1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</row>
    <row r="1009" spans="1:1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</row>
    <row r="1010" spans="1:1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</row>
    <row r="1011" spans="1:1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</row>
    <row r="1012" spans="1:1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</row>
    <row r="1013" spans="1:1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</row>
    <row r="1014" spans="1:1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</row>
    <row r="1015" spans="1:1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</row>
    <row r="1016" spans="1:1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</row>
    <row r="1017" spans="1:1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</row>
    <row r="1018" spans="1:1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</row>
    <row r="1019" spans="1:1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</row>
    <row r="1020" spans="1:1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</row>
    <row r="1021" spans="1:1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</row>
    <row r="1022" spans="1:1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</row>
    <row r="1023" spans="1:1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</row>
    <row r="1024" spans="1:1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</row>
    <row r="1025" spans="1:1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</row>
    <row r="1026" spans="1:1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</row>
    <row r="1027" spans="1:1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</row>
    <row r="1028" spans="1:1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</row>
    <row r="1029" spans="1:1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</row>
    <row r="1030" spans="1:1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</row>
    <row r="1031" spans="1:1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</row>
    <row r="1032" spans="1:1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</row>
    <row r="1033" spans="1:1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</row>
    <row r="1034" spans="1:1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</row>
    <row r="1035" spans="1:1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</row>
    <row r="1036" spans="1:1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</row>
    <row r="1037" spans="1:1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</row>
    <row r="1038" spans="1:1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</row>
    <row r="1039" spans="1:1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</row>
    <row r="1040" spans="1:1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</row>
    <row r="1041" spans="1:1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</row>
    <row r="1042" spans="1:1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</row>
    <row r="1043" spans="1:1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</row>
    <row r="1044" spans="1:1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</row>
    <row r="1045" spans="1:1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</row>
    <row r="1046" spans="1:13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</row>
    <row r="1047" spans="1:13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</row>
    <row r="1048" spans="1:13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</row>
    <row r="1049" spans="1:13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</row>
    <row r="1050" spans="1:13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</row>
    <row r="1051" spans="1:13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</row>
    <row r="1052" spans="1:13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</row>
    <row r="1053" spans="1:13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</row>
    <row r="1054" spans="1:13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</row>
    <row r="1055" spans="1:13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</row>
    <row r="1056" spans="1:13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</row>
    <row r="1057" spans="1:13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</row>
    <row r="1058" spans="1:13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</row>
    <row r="1059" spans="1:13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</row>
    <row r="1060" spans="1:13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</row>
    <row r="1061" spans="1:13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</row>
    <row r="1062" spans="1:13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</row>
    <row r="1063" spans="1:13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</row>
    <row r="1064" spans="1:13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</row>
    <row r="1065" spans="1:13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</row>
    <row r="1066" spans="1:13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</row>
    <row r="1067" spans="1:13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</row>
    <row r="1068" spans="1:13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</row>
    <row r="1069" spans="1:13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</row>
    <row r="1070" spans="1:13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</row>
    <row r="1071" spans="1:13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</row>
    <row r="1072" spans="1:13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</row>
    <row r="1073" spans="1:13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</row>
    <row r="1074" spans="1:13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</row>
    <row r="1075" spans="1:13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</row>
    <row r="1076" spans="1:13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</row>
    <row r="1077" spans="1:13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</row>
    <row r="1078" spans="1:13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</row>
    <row r="1079" spans="1:13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</row>
    <row r="1080" spans="1:13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</row>
    <row r="1081" spans="1:13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</row>
    <row r="1082" spans="1:13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</row>
    <row r="1083" spans="1:13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</row>
    <row r="1084" spans="1:13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</row>
    <row r="1085" spans="1:13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</row>
    <row r="1086" spans="1:13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</row>
    <row r="1087" spans="1:13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</row>
    <row r="1088" spans="1:13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</row>
    <row r="1089" spans="1:13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</row>
    <row r="1090" spans="1:13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</row>
    <row r="1091" spans="1:13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</row>
    <row r="1092" spans="1:13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</row>
    <row r="1093" spans="1:13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</row>
    <row r="1094" spans="1:13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</row>
    <row r="1095" spans="1:13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</row>
    <row r="1096" spans="1:13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</row>
    <row r="1097" spans="1:13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</row>
    <row r="1098" spans="1:13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</row>
    <row r="1099" spans="1:13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</row>
    <row r="1100" spans="1:13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</row>
    <row r="1101" spans="1:13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</row>
    <row r="1102" spans="1:13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</row>
    <row r="1103" spans="1:13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</row>
    <row r="1104" spans="1:13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</row>
    <row r="1105" spans="1:13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</row>
    <row r="1106" spans="1:13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</row>
    <row r="1107" spans="1:13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</row>
    <row r="1108" spans="1:13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</row>
    <row r="1109" spans="1:13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</row>
    <row r="1110" spans="1:13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</row>
    <row r="1111" spans="1:13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</row>
    <row r="1112" spans="1:13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</row>
    <row r="1113" spans="1:13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</row>
    <row r="1114" spans="1:13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</row>
    <row r="1115" spans="1:13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</row>
    <row r="1116" spans="1:13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</row>
    <row r="1117" spans="1:13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</row>
    <row r="1118" spans="1:13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</row>
    <row r="1119" spans="1:13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</row>
    <row r="1120" spans="1:13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</row>
    <row r="1121" spans="1:13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</row>
    <row r="1122" spans="1:13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</row>
    <row r="1123" spans="1:13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</row>
    <row r="1124" spans="1:13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</row>
    <row r="1125" spans="1:13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</row>
    <row r="1126" spans="1:13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</row>
    <row r="1127" spans="1:13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</row>
    <row r="1128" spans="1:13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</row>
    <row r="1129" spans="1:13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</row>
    <row r="1130" spans="1:13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</row>
    <row r="1131" spans="1:13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</row>
    <row r="1132" spans="1:13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</row>
    <row r="1133" spans="1:13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</row>
    <row r="1134" spans="1:13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</row>
    <row r="1135" spans="1:13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</row>
    <row r="1136" spans="1:13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</row>
    <row r="1137" spans="1:13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</row>
    <row r="1138" spans="1:13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</row>
    <row r="1139" spans="1:13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</row>
    <row r="1140" spans="1:13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</row>
    <row r="1141" spans="1:13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</row>
    <row r="1142" spans="1:13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</row>
    <row r="1143" spans="1:13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</row>
    <row r="1144" spans="1:13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</row>
    <row r="1145" spans="1:13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</row>
    <row r="1146" spans="1:13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</row>
    <row r="1147" spans="1:13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</row>
    <row r="1148" spans="1:13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</row>
    <row r="1149" spans="1:13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</row>
    <row r="1150" spans="1:13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</row>
    <row r="1151" spans="1:13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</row>
    <row r="1152" spans="1:13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</row>
    <row r="1153" spans="1:13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</row>
    <row r="1154" spans="1:13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</row>
    <row r="1155" spans="1:13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</row>
    <row r="1156" spans="1:13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</row>
    <row r="1157" spans="1:13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</row>
    <row r="1158" spans="1:13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</row>
    <row r="1159" spans="1:13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</row>
    <row r="1160" spans="1:13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</row>
    <row r="1161" spans="1:13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</row>
    <row r="1162" spans="1:13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</row>
    <row r="1163" spans="1:13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</row>
    <row r="1164" spans="1:13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</row>
    <row r="1165" spans="1:13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</row>
    <row r="1166" spans="1:13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</row>
    <row r="1167" spans="1:13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</row>
    <row r="1168" spans="1:13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</row>
    <row r="1169" spans="1:13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</row>
    <row r="1170" spans="1:13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</row>
    <row r="1171" spans="1:13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</row>
    <row r="1172" spans="1:13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</row>
    <row r="1173" spans="1:13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</row>
    <row r="1174" spans="1:13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</row>
    <row r="1175" spans="1:13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</row>
    <row r="1176" spans="1:13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</row>
    <row r="1177" spans="1:13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</row>
    <row r="1178" spans="1:13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</row>
    <row r="1179" spans="1:13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</row>
    <row r="1180" spans="1:13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</row>
    <row r="1181" spans="1:13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</row>
    <row r="1182" spans="1:13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</row>
    <row r="1183" spans="1:13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</row>
    <row r="1184" spans="1:13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</row>
    <row r="1185" spans="1:13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</row>
    <row r="1186" spans="1:13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</row>
    <row r="1187" spans="1:13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</row>
    <row r="1188" spans="1:13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</row>
    <row r="1189" spans="1:13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</row>
    <row r="1190" spans="1:13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</row>
    <row r="1191" spans="1:13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</row>
    <row r="1192" spans="1:13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</row>
    <row r="1193" spans="1:13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</row>
    <row r="1194" spans="1:13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</row>
    <row r="1195" spans="1:13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</row>
    <row r="1196" spans="1:13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</row>
    <row r="1197" spans="1:13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</row>
    <row r="1198" spans="1:13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</row>
    <row r="1199" spans="1:13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</row>
    <row r="1200" spans="1:13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</row>
    <row r="1201" spans="1:13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</row>
    <row r="1202" spans="1:13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</row>
    <row r="1203" spans="1:13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</row>
    <row r="1204" spans="1:13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</row>
    <row r="1205" spans="1:13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</row>
    <row r="1206" spans="1:13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</row>
    <row r="1207" spans="1:13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</row>
    <row r="1208" spans="1:13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</row>
    <row r="1209" spans="1:13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</row>
    <row r="1210" spans="1:13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</row>
    <row r="1211" spans="1:13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</row>
    <row r="1212" spans="1:13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</row>
    <row r="1213" spans="1:13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</row>
    <row r="1214" spans="1:13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</row>
    <row r="1215" spans="1:13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</row>
    <row r="1216" spans="1:13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</row>
    <row r="1217" spans="1:13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</row>
    <row r="1218" spans="1:13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</row>
    <row r="1219" spans="1:13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</row>
    <row r="1220" spans="1:13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</row>
    <row r="1221" spans="1:13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</row>
    <row r="1222" spans="1:13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</row>
    <row r="1223" spans="1:13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</row>
    <row r="1224" spans="1:13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</row>
    <row r="1225" spans="1:13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</row>
    <row r="1226" spans="1:13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</row>
    <row r="1227" spans="1:13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</row>
    <row r="1228" spans="1:13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</row>
    <row r="1229" spans="1:13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</row>
    <row r="1230" spans="1:13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</row>
    <row r="1231" spans="1:13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</row>
    <row r="1232" spans="1:13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</row>
    <row r="1233" spans="1:13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</row>
    <row r="1234" spans="1:13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</row>
    <row r="1235" spans="1:13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</row>
    <row r="1236" spans="1:13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</row>
    <row r="1237" spans="1:13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</row>
    <row r="1238" spans="1:13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</row>
    <row r="1239" spans="1:13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</row>
    <row r="1240" spans="1:13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</row>
    <row r="1241" spans="1:13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</row>
    <row r="1242" spans="1:13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</row>
    <row r="1243" spans="1:13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</row>
    <row r="1244" spans="1:13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</row>
    <row r="1245" spans="1:13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</row>
    <row r="1246" spans="1:13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</row>
    <row r="1247" spans="1:13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</row>
    <row r="1248" spans="1:13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</row>
    <row r="1249" spans="1:13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</row>
    <row r="1250" spans="1:13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</row>
    <row r="1251" spans="1:13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</row>
    <row r="1252" spans="1:13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</row>
    <row r="1253" spans="1:13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</row>
    <row r="1254" spans="1:13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</row>
    <row r="1255" spans="1:13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</row>
    <row r="1256" spans="1:13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</row>
    <row r="1257" spans="1:13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</row>
    <row r="1258" spans="1:13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</row>
    <row r="1259" spans="1:13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</row>
    <row r="1260" spans="1:13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</row>
    <row r="1261" spans="1:13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</row>
    <row r="1262" spans="1:13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</row>
    <row r="1263" spans="1:13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</row>
    <row r="1264" spans="1:13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</row>
    <row r="1265" spans="1:13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</row>
    <row r="1266" spans="1:13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</row>
    <row r="1267" spans="1:13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</row>
    <row r="1268" spans="1:13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</row>
    <row r="1269" spans="1:13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</row>
    <row r="1270" spans="1:13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</row>
    <row r="1271" spans="1:13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</row>
    <row r="1272" spans="1:13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</row>
    <row r="1273" spans="1:13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</row>
    <row r="1274" spans="1:13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</row>
    <row r="1275" spans="1:13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</row>
    <row r="1276" spans="1:13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</row>
    <row r="1277" spans="1:13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</row>
    <row r="1278" spans="1:13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</row>
    <row r="1279" spans="1:13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</row>
    <row r="1280" spans="1:13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</row>
    <row r="1281" spans="1:13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</row>
    <row r="1282" spans="1:13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</row>
    <row r="1283" spans="1:13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</row>
    <row r="1284" spans="1:13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</row>
    <row r="1285" spans="1:13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</row>
    <row r="1286" spans="1:13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</row>
    <row r="1287" spans="1:13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</row>
    <row r="1288" spans="1:13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</row>
    <row r="1289" spans="1:13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</row>
    <row r="1290" spans="1:13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</row>
    <row r="1291" spans="1:13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</row>
    <row r="1292" spans="1:13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</row>
    <row r="1293" spans="1:13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</row>
    <row r="1294" spans="1:13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</row>
    <row r="1295" spans="1:13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</row>
    <row r="1296" spans="1:13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</row>
    <row r="1297" spans="1:13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</row>
    <row r="1298" spans="1:13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</row>
    <row r="1299" spans="1:13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</row>
    <row r="1300" spans="1:13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</row>
    <row r="1301" spans="1:13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</row>
    <row r="1302" spans="1:13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</row>
    <row r="1303" spans="1:13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</row>
    <row r="1304" spans="1:13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</row>
    <row r="1305" spans="1:13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</row>
    <row r="1306" spans="1:13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</row>
    <row r="1307" spans="1:13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</row>
    <row r="1308" spans="1:13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</row>
    <row r="1309" spans="1:13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</row>
    <row r="1310" spans="1:13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</row>
    <row r="1311" spans="1:13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</row>
    <row r="1312" spans="1:13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</row>
    <row r="1313" spans="1:13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</row>
    <row r="1314" spans="1:13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</row>
    <row r="1315" spans="1:13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</row>
    <row r="1316" spans="1:13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</row>
    <row r="1317" spans="1:13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</row>
    <row r="1318" spans="1:13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</row>
    <row r="1319" spans="1:13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</row>
    <row r="1320" spans="1:13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</row>
    <row r="1321" spans="1:13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</row>
    <row r="1322" spans="1:13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</row>
    <row r="1323" spans="1:13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</row>
    <row r="1324" spans="1:13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</row>
    <row r="1325" spans="1:13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</row>
    <row r="1326" spans="1:13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</row>
    <row r="1327" spans="1:13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</row>
    <row r="1328" spans="1:13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</row>
    <row r="1329" spans="1:13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</row>
    <row r="1330" spans="1:13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</row>
    <row r="1331" spans="1:13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</row>
    <row r="1332" spans="1:13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</row>
    <row r="1333" spans="1:13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</row>
    <row r="1334" spans="1:13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</row>
    <row r="1335" spans="1:13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</row>
    <row r="1336" spans="1:13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</row>
    <row r="1337" spans="1:13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</row>
    <row r="1338" spans="1:13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</row>
    <row r="1339" spans="1:13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</row>
    <row r="1340" spans="1:13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</row>
    <row r="1341" spans="1:13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</row>
    <row r="1342" spans="1:13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</row>
    <row r="1343" spans="1:13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</row>
    <row r="1344" spans="1:13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</row>
    <row r="1345" spans="1:13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</row>
    <row r="1346" spans="1:13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</row>
    <row r="1347" spans="1:13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</row>
    <row r="1348" spans="1:13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</row>
    <row r="1349" spans="1:13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</row>
    <row r="1350" spans="1:13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</row>
    <row r="1351" spans="1:13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</row>
    <row r="1352" spans="1:13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</row>
    <row r="1353" spans="1:13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</row>
    <row r="1354" spans="1:13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</row>
    <row r="1355" spans="1:13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</row>
    <row r="1356" spans="1:13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</row>
    <row r="1357" spans="1:13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</row>
    <row r="1358" spans="1:13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</row>
    <row r="1359" spans="1:13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</row>
    <row r="1360" spans="1:13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</row>
    <row r="1361" spans="1:13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</row>
    <row r="1362" spans="1:13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</row>
    <row r="1363" spans="1:13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</row>
    <row r="1364" spans="1:13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</row>
    <row r="1365" spans="1:13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</row>
    <row r="1366" spans="1:13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</row>
    <row r="1367" spans="1:13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</row>
    <row r="1368" spans="1:13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</row>
    <row r="1369" spans="1:13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</row>
    <row r="1370" spans="1:13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</row>
    <row r="1371" spans="1:13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</row>
    <row r="1372" spans="1:13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</row>
    <row r="1373" spans="1:13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</row>
    <row r="1374" spans="1:13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</row>
    <row r="1375" spans="1:13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</row>
    <row r="1376" spans="1:13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</row>
    <row r="1377" spans="1:13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</row>
    <row r="1378" spans="1:13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</row>
    <row r="1379" spans="1:13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</row>
    <row r="1380" spans="1:13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</row>
    <row r="1381" spans="1:13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</row>
    <row r="1382" spans="1:13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</row>
    <row r="1383" spans="1:13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</row>
    <row r="1384" spans="1:13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</row>
    <row r="1385" spans="1:13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</row>
    <row r="1386" spans="1:13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</row>
    <row r="1387" spans="1:13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</row>
    <row r="1388" spans="1:13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</row>
    <row r="1389" spans="1:13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</row>
    <row r="1390" spans="1:13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</row>
    <row r="1391" spans="1:13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</row>
    <row r="1392" spans="1:13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</row>
    <row r="1393" spans="1:13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</row>
    <row r="1394" spans="1:13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</row>
    <row r="1395" spans="1:13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</row>
    <row r="1396" spans="1:13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</row>
    <row r="1397" spans="1:13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</row>
    <row r="1398" spans="1:13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</row>
    <row r="1399" spans="1:13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</row>
    <row r="1400" spans="1:13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</row>
    <row r="1401" spans="1:13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</row>
    <row r="1402" spans="1:13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</row>
    <row r="1403" spans="1:13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</row>
    <row r="1404" spans="1:13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</row>
    <row r="1405" spans="1:13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</row>
    <row r="1406" spans="1:13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</row>
    <row r="1407" spans="1:13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</row>
    <row r="1408" spans="1:13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</row>
    <row r="1409" spans="1:13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</row>
    <row r="1410" spans="1:13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</row>
    <row r="1411" spans="1:13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</row>
    <row r="1412" spans="1:13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</row>
    <row r="1413" spans="1:13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</row>
    <row r="1414" spans="1:13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</row>
    <row r="1415" spans="1:13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</row>
    <row r="1416" spans="1:13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</row>
    <row r="1417" spans="1:13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</row>
    <row r="1418" spans="1:13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</row>
    <row r="1419" spans="1:13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</row>
    <row r="1420" spans="1:13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</row>
    <row r="1421" spans="1:13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</row>
    <row r="1422" spans="1:13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</row>
    <row r="1423" spans="1:13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</row>
    <row r="1424" spans="1:13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</row>
    <row r="1425" spans="1:13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</row>
    <row r="1426" spans="1:13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</row>
    <row r="1427" spans="1:13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</row>
    <row r="1428" spans="1:13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</row>
    <row r="1429" spans="1:13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</row>
    <row r="1430" spans="1:13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</row>
    <row r="1431" spans="1:13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</row>
    <row r="1432" spans="1:13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</row>
    <row r="1433" spans="1:13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</row>
    <row r="1434" spans="1:13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</row>
    <row r="1435" spans="1:13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</row>
    <row r="1436" spans="1:13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</row>
    <row r="1437" spans="1:13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</row>
    <row r="1438" spans="1:13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</row>
    <row r="1439" spans="1:13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</row>
    <row r="1440" spans="1:13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</row>
    <row r="1441" spans="1:13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</row>
    <row r="1442" spans="1:13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</row>
    <row r="1443" spans="1:13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</row>
    <row r="1444" spans="1:13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</row>
    <row r="1445" spans="1:13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</row>
    <row r="1446" spans="1:13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</row>
    <row r="1447" spans="1:13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</row>
    <row r="1448" spans="1:13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</row>
    <row r="1449" spans="1:13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</row>
    <row r="1450" spans="1:13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</row>
    <row r="1451" spans="1:13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</row>
    <row r="1452" spans="1:13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</row>
    <row r="1453" spans="1:13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</row>
    <row r="1454" spans="1:13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</row>
    <row r="1455" spans="1:13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</row>
    <row r="1456" spans="1:13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</row>
    <row r="1457" spans="1:13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</row>
    <row r="1458" spans="1:13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</row>
    <row r="1459" spans="1:13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</row>
    <row r="1460" spans="1:13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</row>
    <row r="1461" spans="1:13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</row>
    <row r="1462" spans="1:13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</row>
    <row r="1463" spans="1:13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</row>
    <row r="1464" spans="1:13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</row>
    <row r="1465" spans="1:13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</row>
    <row r="1466" spans="1:13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</row>
    <row r="1467" spans="1:13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</row>
    <row r="1468" spans="1:13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</row>
    <row r="1469" spans="1:13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</row>
    <row r="1470" spans="1:13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</row>
    <row r="1471" spans="1:13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</row>
    <row r="1472" spans="1:13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</row>
    <row r="1473" spans="1:13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</row>
    <row r="1474" spans="1:13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</row>
    <row r="1475" spans="1:13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</row>
    <row r="1476" spans="1:13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</row>
    <row r="1477" spans="1:13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</row>
    <row r="1478" spans="1:13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</row>
    <row r="1479" spans="1:13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</row>
    <row r="1480" spans="1:13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</row>
    <row r="1481" spans="1:13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</row>
    <row r="1482" spans="1:13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</row>
    <row r="1483" spans="1:13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</row>
    <row r="1484" spans="1:13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</row>
    <row r="1485" spans="1:13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</row>
    <row r="1486" spans="1:13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</row>
    <row r="1487" spans="1:13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</row>
    <row r="1488" spans="1:13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</row>
    <row r="1489" spans="1:13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</row>
    <row r="1490" spans="1:13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</row>
    <row r="1491" spans="1:13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</row>
    <row r="1492" spans="1:13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</row>
    <row r="1493" spans="1:13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</row>
    <row r="1494" spans="1:13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</row>
    <row r="1495" spans="1:13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</row>
    <row r="1496" spans="1:13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</row>
    <row r="1497" spans="1:13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</row>
    <row r="1498" spans="1:13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</row>
    <row r="1499" spans="1:13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</row>
    <row r="1500" spans="1:13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</row>
    <row r="1501" spans="1:13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</row>
    <row r="1502" spans="1:13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</row>
    <row r="1503" spans="1:13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</row>
    <row r="1504" spans="1:13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</row>
    <row r="1505" spans="1:13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</row>
    <row r="1506" spans="1:13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</row>
    <row r="1507" spans="1:13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</row>
    <row r="1508" spans="1:13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</row>
    <row r="1509" spans="1:13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</row>
    <row r="1510" spans="1:13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</row>
    <row r="1511" spans="1:13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</row>
    <row r="1512" spans="1:13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</row>
    <row r="1513" spans="1:13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</row>
    <row r="1514" spans="1:13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</row>
    <row r="1515" spans="1:13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</row>
    <row r="1516" spans="1:13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</row>
    <row r="1517" spans="1:13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</row>
    <row r="1518" spans="1:13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</row>
    <row r="1519" spans="1:13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</row>
    <row r="1520" spans="1:13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</row>
    <row r="1521" spans="1:13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</row>
    <row r="1522" spans="1:13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</row>
    <row r="1523" spans="1:13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</row>
    <row r="1524" spans="1:13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</row>
    <row r="1525" spans="1:13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</row>
    <row r="1526" spans="1:13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</row>
    <row r="1527" spans="1:13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</row>
    <row r="1528" spans="1:13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</row>
    <row r="1529" spans="1:13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</row>
    <row r="1530" spans="1:13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</row>
    <row r="1531" spans="1:13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</row>
    <row r="1532" spans="1:13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</row>
    <row r="1533" spans="1:13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</row>
    <row r="1534" spans="1:13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</row>
    <row r="1535" spans="1:13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</row>
    <row r="1536" spans="1:13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</row>
    <row r="1537" spans="1:13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</row>
    <row r="1538" spans="1:13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</row>
    <row r="1539" spans="1:13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</row>
    <row r="1540" spans="1:13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</row>
    <row r="1541" spans="1:13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</row>
    <row r="1542" spans="1:13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</row>
    <row r="1543" spans="1:13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</row>
    <row r="1544" spans="1:13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</row>
    <row r="1545" spans="1:13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</row>
    <row r="1546" spans="1:13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</row>
    <row r="1547" spans="1:13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</row>
    <row r="1548" spans="1:13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</row>
    <row r="1549" spans="1:13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</row>
    <row r="1550" spans="1:13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</row>
    <row r="1551" spans="1:13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</row>
    <row r="1552" spans="1:13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</row>
    <row r="1553" spans="1:13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</row>
    <row r="1554" spans="1:13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</row>
    <row r="1555" spans="1:13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</row>
    <row r="1556" spans="1:13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</row>
    <row r="1557" spans="1:13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</row>
    <row r="1558" spans="1:13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</row>
    <row r="1559" spans="1:13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</row>
    <row r="1560" spans="1:13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</row>
    <row r="1561" spans="1:13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</row>
    <row r="1562" spans="1:13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</row>
    <row r="1563" spans="1:13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</row>
    <row r="1564" spans="1:13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</row>
    <row r="1565" spans="1:13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</row>
    <row r="1566" spans="1:13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</row>
    <row r="1567" spans="1:13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</row>
    <row r="1568" spans="1:13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</row>
    <row r="1569" spans="1:13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</row>
    <row r="1570" spans="1:13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</row>
    <row r="1571" spans="1:13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</row>
    <row r="1572" spans="1:13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</row>
    <row r="1573" spans="1:13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</row>
    <row r="1574" spans="1:13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</row>
    <row r="1575" spans="1:13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</row>
    <row r="1576" spans="1:13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</row>
    <row r="1577" spans="1:13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</row>
    <row r="1578" spans="1:13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</row>
    <row r="1579" spans="1:13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</row>
    <row r="1580" spans="1:13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</row>
    <row r="1581" spans="1:13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</row>
    <row r="1582" spans="1:13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</row>
    <row r="1583" spans="1:13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</row>
    <row r="1584" spans="1:13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</row>
    <row r="1585" spans="1:13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</row>
    <row r="1586" spans="1:13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</row>
    <row r="1587" spans="1:13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</row>
    <row r="1588" spans="1:13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</row>
    <row r="1589" spans="1:13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</row>
    <row r="1590" spans="1:13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</row>
    <row r="1591" spans="1:13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</row>
    <row r="1592" spans="1:13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</row>
    <row r="1593" spans="1:13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</row>
    <row r="1594" spans="1:13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</row>
    <row r="1595" spans="1:13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</row>
    <row r="1596" spans="1:13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</row>
    <row r="1597" spans="1:13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</row>
    <row r="1598" spans="1:13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</row>
    <row r="1599" spans="1:13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</row>
    <row r="1600" spans="1:13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</row>
    <row r="1601" spans="1:13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</row>
    <row r="1602" spans="1:13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</row>
    <row r="1603" spans="1:13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</row>
    <row r="1604" spans="1:13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</row>
    <row r="1605" spans="1:13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</row>
    <row r="1606" spans="1:13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</row>
    <row r="1607" spans="1:13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</row>
    <row r="1608" spans="1:13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</row>
    <row r="1609" spans="1:13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</row>
    <row r="1610" spans="1:13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</row>
    <row r="1611" spans="1:13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</row>
    <row r="1612" spans="1:13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</row>
    <row r="1613" spans="1:13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</row>
    <row r="1614" spans="1:13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</row>
    <row r="1615" spans="1:13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</row>
    <row r="1616" spans="1:13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</row>
    <row r="1617" spans="1:13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</row>
    <row r="1618" spans="1:13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</row>
    <row r="1619" spans="1:13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</row>
    <row r="1620" spans="1:13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</row>
    <row r="1621" spans="1:13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</row>
    <row r="1622" spans="1:13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</row>
    <row r="1623" spans="1:13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</row>
    <row r="1624" spans="1:13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</row>
    <row r="1625" spans="1:13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</row>
    <row r="1626" spans="1:13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</row>
    <row r="1627" spans="1:13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</row>
    <row r="1628" spans="1:13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</row>
    <row r="1629" spans="1:13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</row>
    <row r="1630" spans="1:13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</row>
    <row r="1631" spans="1:13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</row>
    <row r="1632" spans="1:13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</row>
    <row r="1633" spans="1:13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</row>
    <row r="1634" spans="1:13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</row>
    <row r="1635" spans="1:13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</row>
    <row r="1636" spans="1:13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</row>
    <row r="1637" spans="1:13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</row>
    <row r="1638" spans="1:13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</row>
    <row r="1639" spans="1:13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</row>
    <row r="1640" spans="1:13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</row>
    <row r="1641" spans="1:13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</row>
    <row r="1642" spans="1:13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</row>
    <row r="1643" spans="1:13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</row>
    <row r="1644" spans="1:13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</row>
    <row r="1645" spans="1:13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</row>
    <row r="1646" spans="1:13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</row>
    <row r="1647" spans="1:13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</row>
    <row r="1648" spans="1:13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</row>
    <row r="1649" spans="1:13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</row>
    <row r="1650" spans="1:13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</row>
    <row r="1651" spans="1:13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</row>
    <row r="1652" spans="1:13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</row>
    <row r="1653" spans="1:13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</row>
    <row r="1654" spans="1:13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</row>
    <row r="1655" spans="1:13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</row>
    <row r="1656" spans="1:13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</row>
    <row r="1657" spans="1:13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</row>
    <row r="1658" spans="1:13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</row>
    <row r="1659" spans="1:13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</row>
    <row r="1660" spans="1:13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</row>
    <row r="1661" spans="1:13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</row>
    <row r="1662" spans="1:13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</row>
    <row r="1663" spans="1:13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</row>
    <row r="1664" spans="1:13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</row>
    <row r="1665" spans="1:13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</row>
    <row r="1666" spans="1:13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</row>
    <row r="1667" spans="1:13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</row>
    <row r="1668" spans="1:13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</row>
    <row r="1669" spans="1:13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</row>
    <row r="1670" spans="1:13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</row>
    <row r="1671" spans="1:13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</row>
    <row r="1672" spans="1:13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</row>
    <row r="1673" spans="1:13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</row>
    <row r="1674" spans="1:13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</row>
    <row r="1675" spans="1:13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</row>
    <row r="1676" spans="1:13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</row>
    <row r="1677" spans="1:13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</row>
    <row r="1678" spans="1:13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</row>
    <row r="1679" spans="1:13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</row>
    <row r="1680" spans="1:13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</row>
    <row r="1681" spans="1:13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</row>
    <row r="1682" spans="1:13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</row>
    <row r="1683" spans="1:13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</row>
    <row r="1684" spans="1:13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</row>
    <row r="1685" spans="1:13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</row>
    <row r="1686" spans="1:13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</row>
    <row r="1687" spans="1:13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</row>
    <row r="1688" spans="1:13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</row>
    <row r="1689" spans="1:13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</row>
    <row r="1690" spans="1:13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</row>
    <row r="1691" spans="1:13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</row>
    <row r="1692" spans="1:13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</row>
    <row r="1693" spans="1:13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</row>
    <row r="1694" spans="1:13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</row>
    <row r="1695" spans="1:13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</row>
    <row r="1696" spans="1:13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</row>
    <row r="1697" spans="1:13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</row>
    <row r="1698" spans="1:13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</row>
    <row r="1699" spans="1:13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</row>
    <row r="1700" spans="1:13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</row>
    <row r="1701" spans="1:13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</row>
    <row r="1702" spans="1:13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</row>
    <row r="1703" spans="1:13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</row>
    <row r="1704" spans="1:13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</row>
    <row r="1705" spans="1:13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</row>
    <row r="1706" spans="1:13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</row>
    <row r="1707" spans="1:13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</row>
    <row r="1708" spans="1:13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</row>
    <row r="1709" spans="1:13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</row>
    <row r="1710" spans="1:13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</row>
    <row r="1711" spans="1:13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</row>
    <row r="1712" spans="1:13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</row>
    <row r="1713" spans="1:13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</row>
    <row r="1714" spans="1:13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</row>
    <row r="1715" spans="1:13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</row>
    <row r="1716" spans="1:13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</row>
    <row r="1717" spans="1:13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</row>
    <row r="1718" spans="1:13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</row>
    <row r="1719" spans="1:13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</row>
    <row r="1720" spans="1:13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</row>
    <row r="1721" spans="1:13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</row>
    <row r="1722" spans="1:13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</row>
    <row r="1723" spans="1:13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</row>
    <row r="1724" spans="1:13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</row>
    <row r="1725" spans="1:13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</row>
    <row r="1726" spans="1:13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</row>
    <row r="1727" spans="1:13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</row>
    <row r="1728" spans="1:13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</row>
    <row r="1729" spans="1:13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</row>
    <row r="1730" spans="1:13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</row>
    <row r="1731" spans="1:13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</row>
    <row r="1732" spans="1:13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</row>
    <row r="1733" spans="1:13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</row>
    <row r="1734" spans="1:13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</row>
    <row r="1735" spans="1:13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</row>
    <row r="1736" spans="1:13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</row>
    <row r="1737" spans="1:13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</row>
    <row r="1738" spans="1:13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</row>
    <row r="1739" spans="1:13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</row>
    <row r="1740" spans="1:13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</row>
    <row r="1741" spans="1:13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</row>
    <row r="1742" spans="1:13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</row>
    <row r="1743" spans="1:13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</row>
    <row r="1744" spans="1:13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</row>
    <row r="1745" spans="1:13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</row>
    <row r="1746" spans="1:13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</row>
    <row r="1747" spans="1:13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</row>
    <row r="1748" spans="1:13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</row>
    <row r="1749" spans="1:13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</row>
    <row r="1750" spans="1:13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</row>
    <row r="1751" spans="1:13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</row>
    <row r="1752" spans="1:13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</row>
    <row r="1753" spans="1:13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</row>
    <row r="1754" spans="1:13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</row>
    <row r="1755" spans="1:13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</row>
    <row r="1756" spans="1:13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</row>
    <row r="1757" spans="1:13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</row>
    <row r="1758" spans="1:13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</row>
    <row r="1759" spans="1:13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</row>
    <row r="1760" spans="1:13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</row>
    <row r="1761" spans="1:13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</row>
    <row r="1762" spans="1:13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</row>
    <row r="1763" spans="1:13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</row>
    <row r="1764" spans="1:13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</row>
    <row r="1765" spans="1:13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</row>
    <row r="1766" spans="1:13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</row>
    <row r="1767" spans="1:13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</row>
    <row r="1768" spans="1:13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</row>
    <row r="1769" spans="1:13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</row>
    <row r="1770" spans="1:13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</row>
    <row r="1771" spans="1:13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</row>
    <row r="1772" spans="1:13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</row>
    <row r="1773" spans="1:13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</row>
    <row r="1774" spans="1:13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</row>
    <row r="1775" spans="1:13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</row>
    <row r="1776" spans="1:13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</row>
    <row r="1777" spans="1:13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</row>
    <row r="1778" spans="1:13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</row>
    <row r="1779" spans="1:13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</row>
    <row r="1780" spans="1:13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</row>
    <row r="1781" spans="1:13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</row>
    <row r="1782" spans="1:13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</row>
    <row r="1783" spans="1:13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</row>
    <row r="1784" spans="1:13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</row>
    <row r="1785" spans="1:13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</row>
    <row r="1786" spans="1:13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</row>
    <row r="1787" spans="1:13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</row>
    <row r="1788" spans="1:13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</row>
    <row r="1789" spans="1:13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</row>
    <row r="1790" spans="1:13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</row>
    <row r="1791" spans="1:13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</row>
    <row r="1792" spans="1:13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</row>
    <row r="1793" spans="1:13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</row>
    <row r="1794" spans="1:13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</row>
    <row r="1795" spans="1:13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</row>
    <row r="1796" spans="1:13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</row>
    <row r="1797" spans="1:13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</row>
    <row r="1798" spans="1:13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</row>
    <row r="1799" spans="1:13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</row>
    <row r="1800" spans="1:13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</row>
    <row r="1801" spans="1:13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</row>
    <row r="1802" spans="1:13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</row>
    <row r="1803" spans="1:13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</row>
    <row r="1804" spans="1:13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</row>
    <row r="1805" spans="1:13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</row>
    <row r="1806" spans="1:13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</row>
    <row r="1807" spans="1:13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</row>
    <row r="1808" spans="1:13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</row>
    <row r="1809" spans="1:13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</row>
    <row r="1810" spans="1:13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</row>
    <row r="1811" spans="1:13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</row>
    <row r="1812" spans="1:13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</row>
    <row r="1813" spans="1:13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</row>
    <row r="1814" spans="1:13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</row>
    <row r="1815" spans="1:13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</row>
    <row r="1816" spans="1:13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</row>
    <row r="1817" spans="1:13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</row>
    <row r="1818" spans="1:13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</row>
    <row r="1819" spans="1:13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</row>
    <row r="1820" spans="1:13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</row>
    <row r="1821" spans="1:13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</row>
    <row r="1822" spans="1:13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</row>
    <row r="1823" spans="1:13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</row>
    <row r="1824" spans="1:13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</row>
    <row r="1825" spans="1:13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</row>
    <row r="1826" spans="1:13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</row>
    <row r="1827" spans="1:13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</row>
    <row r="1828" spans="1:13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</row>
    <row r="1829" spans="1:13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</row>
    <row r="1830" spans="1:13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</row>
    <row r="1831" spans="1:13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</row>
    <row r="1832" spans="1:13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</row>
    <row r="1833" spans="1:13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</row>
    <row r="1834" spans="1:13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</row>
    <row r="1835" spans="1:13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</row>
    <row r="1836" spans="1:13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</row>
    <row r="1837" spans="1:13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</row>
    <row r="1838" spans="1:13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</row>
    <row r="1839" spans="1:13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</row>
    <row r="1840" spans="1:13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</row>
    <row r="1841" spans="1:13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</row>
    <row r="1842" spans="1:13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</row>
    <row r="1843" spans="1:13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</row>
    <row r="1844" spans="1:13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</row>
    <row r="1845" spans="1:13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</row>
    <row r="1846" spans="1:13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</row>
    <row r="1847" spans="1:13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</row>
    <row r="1848" spans="1:13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</row>
    <row r="1849" spans="1:13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</row>
    <row r="1850" spans="1:13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</row>
    <row r="1851" spans="1:13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</row>
    <row r="1852" spans="1:13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</row>
    <row r="1853" spans="1:13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</row>
    <row r="1854" spans="1:13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</row>
    <row r="1855" spans="1:13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</row>
    <row r="1856" spans="1:13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</row>
    <row r="1857" spans="1:13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</row>
    <row r="1858" spans="1:13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</row>
    <row r="1859" spans="1:13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</row>
    <row r="1860" spans="1:13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</row>
    <row r="1861" spans="1:13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</row>
    <row r="1862" spans="1:13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</row>
    <row r="1863" spans="1:13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</row>
    <row r="1864" spans="1:13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</row>
    <row r="1865" spans="1:13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</row>
    <row r="1866" spans="1:13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</row>
    <row r="1867" spans="1:13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</row>
    <row r="1868" spans="1:13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</row>
    <row r="1869" spans="1:13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</row>
    <row r="1870" spans="1:13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</row>
    <row r="1871" spans="1:13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</row>
    <row r="1872" spans="1:13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</row>
    <row r="1873" spans="1:13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</row>
    <row r="1874" spans="1:13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</row>
    <row r="1875" spans="1:13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</row>
    <row r="1876" spans="1:13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</row>
    <row r="1877" spans="1:13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</row>
    <row r="1878" spans="1:13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</row>
    <row r="1879" spans="1:13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</row>
    <row r="1880" spans="1:13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</row>
    <row r="1881" spans="1:13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</row>
    <row r="1882" spans="1:13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</row>
    <row r="1883" spans="1:13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</row>
    <row r="1884" spans="1:13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</row>
    <row r="1885" spans="1:13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</row>
    <row r="1886" spans="1:13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</row>
    <row r="1887" spans="1:13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</row>
    <row r="1888" spans="1:13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</row>
    <row r="1889" spans="1:13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</row>
    <row r="1890" spans="1:13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</row>
    <row r="1891" spans="1:13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</row>
    <row r="1892" spans="1:13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</row>
    <row r="1893" spans="1:13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</row>
    <row r="1894" spans="1:13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</row>
    <row r="1895" spans="1:13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</row>
    <row r="1896" spans="1:13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</row>
    <row r="1897" spans="1:13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</row>
    <row r="1898" spans="1:13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</row>
    <row r="1899" spans="1:13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</row>
    <row r="1900" spans="1:13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</row>
    <row r="1901" spans="1:13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</row>
    <row r="1902" spans="1:13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</row>
    <row r="1903" spans="1:13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</row>
    <row r="1904" spans="1:13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</row>
    <row r="1905" spans="1:13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</row>
    <row r="1906" spans="1:13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</row>
    <row r="1907" spans="1:13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</row>
    <row r="1908" spans="1:13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</row>
    <row r="1909" spans="1:13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</row>
    <row r="1910" spans="1:13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</row>
    <row r="1911" spans="1:13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</row>
    <row r="1912" spans="1:13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</row>
    <row r="1913" spans="1:13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</row>
    <row r="1914" spans="1:13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</row>
    <row r="1915" spans="1:13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</row>
    <row r="1916" spans="1:13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</row>
    <row r="1917" spans="1:13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</row>
    <row r="1918" spans="1:13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</row>
    <row r="1919" spans="1:13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</row>
    <row r="1920" spans="1:13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</row>
    <row r="1921" spans="1:13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</row>
    <row r="1922" spans="1:13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</row>
    <row r="1923" spans="1:13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</row>
    <row r="1924" spans="1:13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</row>
    <row r="1925" spans="1:13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</row>
    <row r="1926" spans="1:13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</row>
    <row r="1927" spans="1:13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</row>
    <row r="1928" spans="1:13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</row>
    <row r="1929" spans="1:13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</row>
    <row r="1930" spans="1:13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</row>
    <row r="1931" spans="1:13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</row>
    <row r="1932" spans="1:13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</row>
    <row r="1933" spans="1:13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</row>
    <row r="1934" spans="1:13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</row>
    <row r="1935" spans="1:13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</row>
    <row r="1936" spans="1:13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</row>
    <row r="1937" spans="1:13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</row>
    <row r="1938" spans="1:13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</row>
    <row r="1939" spans="1:13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</row>
    <row r="1940" spans="1:13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</row>
    <row r="1941" spans="1:13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</row>
    <row r="1942" spans="1:13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</row>
    <row r="1943" spans="1:13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</row>
    <row r="1944" spans="1:13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</row>
    <row r="1945" spans="1:13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</row>
    <row r="1946" spans="1:13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</row>
    <row r="1947" spans="1:13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</row>
    <row r="1948" spans="1:13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</row>
    <row r="1949" spans="1:13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</row>
    <row r="1950" spans="1:13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</row>
    <row r="1951" spans="1:13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</row>
    <row r="1952" spans="1:13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</row>
    <row r="1953" spans="1:13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</row>
    <row r="1954" spans="1:13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</row>
    <row r="1955" spans="1:13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</row>
    <row r="1956" spans="1:13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</row>
    <row r="1957" spans="1:13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</row>
    <row r="1958" spans="1:13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</row>
    <row r="1959" spans="1:13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</row>
    <row r="1960" spans="1:13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</row>
    <row r="1961" spans="1:13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</row>
    <row r="1962" spans="1:13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</row>
    <row r="1963" spans="1:13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</row>
    <row r="1964" spans="1:13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</row>
    <row r="1965" spans="1:13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</row>
    <row r="1966" spans="1:13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</row>
    <row r="1967" spans="1:13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</row>
    <row r="1968" spans="1:13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</row>
    <row r="1969" spans="1:13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</row>
    <row r="1970" spans="1:13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</row>
    <row r="1971" spans="1:13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</row>
    <row r="1972" spans="1:13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</row>
    <row r="1973" spans="1:13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</row>
    <row r="1974" spans="1:13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</row>
    <row r="1975" spans="1:13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</row>
    <row r="1976" spans="1:13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</row>
    <row r="1977" spans="1:13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</row>
    <row r="1978" spans="1:13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</row>
    <row r="1979" spans="1:13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</row>
    <row r="1980" spans="1:13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</row>
    <row r="1981" spans="1:13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</row>
    <row r="1982" spans="1:13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</row>
    <row r="1983" spans="1:13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</row>
    <row r="1984" spans="1:13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</row>
    <row r="1985" spans="1:13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</row>
    <row r="1986" spans="1:13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</row>
    <row r="1987" spans="1:13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</row>
    <row r="1988" spans="1:13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</row>
    <row r="1989" spans="1:13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</row>
    <row r="1990" spans="1:13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</row>
    <row r="1991" spans="1:13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</row>
    <row r="1992" spans="1:13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</row>
    <row r="1993" spans="1:13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</row>
    <row r="1994" spans="1:13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</row>
    <row r="1995" spans="1:13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</row>
    <row r="1996" spans="1:13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</row>
    <row r="1997" spans="1:13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</row>
    <row r="1998" spans="1:13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</row>
    <row r="1999" spans="1:13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</row>
    <row r="2000" spans="1:13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</row>
    <row r="2001" spans="1:13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</row>
    <row r="2002" spans="1:13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</row>
    <row r="2003" spans="1:13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</row>
    <row r="2004" spans="1:13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</row>
    <row r="2005" spans="1:13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</row>
    <row r="2006" spans="1:13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</row>
    <row r="2007" spans="1:13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</row>
    <row r="2008" spans="1:13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</row>
    <row r="2009" spans="1:13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</row>
    <row r="2010" spans="1:13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</row>
    <row r="2011" spans="1:13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</row>
    <row r="2012" spans="1:13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</row>
    <row r="2013" spans="1:13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</row>
    <row r="2014" spans="1:13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</row>
    <row r="2015" spans="1:13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</row>
    <row r="2016" spans="1:13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</row>
    <row r="2017" spans="1:13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</row>
    <row r="2018" spans="1:13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</row>
    <row r="2019" spans="1:13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</row>
    <row r="2020" spans="1:13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</row>
    <row r="2021" spans="1:13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</row>
    <row r="2022" spans="1:13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</row>
    <row r="2023" spans="1:13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</row>
    <row r="2024" spans="1:13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</row>
    <row r="2025" spans="1:13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</row>
    <row r="2026" spans="1:13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</row>
    <row r="2027" spans="1:13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</row>
    <row r="2028" spans="1:13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</row>
    <row r="2029" spans="1:13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</row>
    <row r="2030" spans="1:13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</row>
    <row r="2031" spans="1:13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</row>
    <row r="2032" spans="1:13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</row>
    <row r="2033" spans="1:13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</row>
    <row r="2034" spans="1:13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</row>
    <row r="2035" spans="1:13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</row>
    <row r="2036" spans="1:13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</row>
    <row r="2037" spans="1:13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</row>
    <row r="2038" spans="1:13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</row>
    <row r="2039" spans="1:13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</row>
    <row r="2040" spans="1:13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</row>
    <row r="2041" spans="1:13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</row>
    <row r="2042" spans="1:13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</row>
    <row r="2043" spans="1:13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</row>
    <row r="2044" spans="1:13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</row>
    <row r="2045" spans="1:13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</row>
    <row r="2046" spans="1:13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</row>
    <row r="2047" spans="1:13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</row>
    <row r="2048" spans="1:13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</row>
    <row r="2049" spans="1:13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</row>
    <row r="2050" spans="1:13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</row>
    <row r="2051" spans="1:13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</row>
    <row r="2052" spans="1:13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</row>
    <row r="2053" spans="1:13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</row>
    <row r="2054" spans="1:13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</row>
    <row r="2055" spans="1:13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</row>
    <row r="2056" spans="1:13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</row>
    <row r="2057" spans="1:13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</row>
    <row r="2058" spans="1:13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</row>
    <row r="2059" spans="1:13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</row>
    <row r="2060" spans="1:13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</row>
    <row r="2061" spans="1:13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</row>
    <row r="2062" spans="1:13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</row>
    <row r="2063" spans="1:13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</row>
    <row r="2064" spans="1:13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</row>
    <row r="2065" spans="1:13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</row>
    <row r="2066" spans="1:13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</row>
    <row r="2067" spans="1:13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</row>
    <row r="2068" spans="1:13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</row>
    <row r="2069" spans="1:13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</row>
    <row r="2070" spans="1:13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</row>
    <row r="2071" spans="1:13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</row>
    <row r="2072" spans="1:13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</row>
    <row r="2073" spans="1:13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</row>
    <row r="2074" spans="1:13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</row>
    <row r="2075" spans="1:13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</row>
    <row r="2076" spans="1:13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</row>
    <row r="2077" spans="1:13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</row>
    <row r="2078" spans="1:13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</row>
    <row r="2079" spans="1:13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</row>
    <row r="2080" spans="1:13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</row>
    <row r="2081" spans="1:13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</row>
    <row r="2082" spans="1:13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</row>
    <row r="2083" spans="1:13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</row>
    <row r="2084" spans="1:13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</row>
    <row r="2085" spans="1:13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</row>
    <row r="2086" spans="1:13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</row>
    <row r="2087" spans="1:13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</row>
    <row r="2088" spans="1:13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</row>
    <row r="2089" spans="1:13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</row>
    <row r="2090" spans="1:13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</row>
    <row r="2091" spans="1:13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</row>
    <row r="2092" spans="1:13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</row>
    <row r="2093" spans="1:13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</row>
    <row r="2094" spans="1:13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</row>
    <row r="2095" spans="1:13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</row>
    <row r="2096" spans="1:13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</row>
    <row r="2097" spans="1:13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</row>
    <row r="2098" spans="1:13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</row>
    <row r="2099" spans="1:13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</row>
    <row r="2100" spans="1:13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</row>
    <row r="2101" spans="1:13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</row>
    <row r="2102" spans="1:13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</row>
    <row r="2103" spans="1:13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</row>
    <row r="2104" spans="1:13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</row>
    <row r="2105" spans="1:13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</row>
    <row r="2106" spans="1:13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</row>
    <row r="2107" spans="1:13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</row>
    <row r="2108" spans="1:13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</row>
    <row r="2109" spans="1:13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</row>
    <row r="2110" spans="1:13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</row>
    <row r="2111" spans="1:13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</row>
    <row r="2112" spans="1:13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</row>
    <row r="2113" spans="1:13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</row>
    <row r="2114" spans="1:13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</row>
    <row r="2115" spans="1:13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</row>
    <row r="2116" spans="1:13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</row>
    <row r="2117" spans="1:13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</row>
    <row r="2118" spans="1:13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</row>
    <row r="2119" spans="1:13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</row>
    <row r="2120" spans="1:13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</row>
    <row r="2121" spans="1:13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</row>
    <row r="2122" spans="1:13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</row>
    <row r="2123" spans="1:13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</row>
    <row r="2124" spans="1:13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</row>
    <row r="2125" spans="1:13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</row>
    <row r="2126" spans="1:13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</row>
    <row r="2127" spans="1:13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</row>
    <row r="2128" spans="1:13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</row>
    <row r="2129" spans="1:13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</row>
    <row r="2130" spans="1:13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</row>
    <row r="2131" spans="1:13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</row>
    <row r="2132" spans="1:13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</row>
    <row r="2133" spans="1:13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</row>
    <row r="2134" spans="1:13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</row>
    <row r="2135" spans="1:13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</row>
    <row r="2136" spans="1:13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</row>
    <row r="2137" spans="1:13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</row>
    <row r="2138" spans="1:13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</row>
    <row r="2139" spans="1:13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</row>
    <row r="2140" spans="1:13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</row>
    <row r="2141" spans="1:13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</row>
    <row r="2142" spans="1:13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</row>
    <row r="2143" spans="1:13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</row>
    <row r="2144" spans="1:13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</row>
    <row r="2145" spans="1:13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</row>
    <row r="2146" spans="1:13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</row>
    <row r="2147" spans="1:13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</row>
    <row r="2148" spans="1:13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</row>
    <row r="2149" spans="1:13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</row>
    <row r="2150" spans="1:13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</row>
    <row r="2151" spans="1:13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</row>
    <row r="2152" spans="1:13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</row>
    <row r="2153" spans="1:13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</row>
    <row r="2154" spans="1:13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</row>
    <row r="2155" spans="1:13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</row>
    <row r="2156" spans="1:13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</row>
    <row r="2157" spans="1:13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</row>
    <row r="2158" spans="1:13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</row>
    <row r="2159" spans="1:13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</row>
    <row r="2160" spans="1:13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</row>
    <row r="2161" spans="1:13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</row>
    <row r="2162" spans="1:13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</row>
    <row r="2163" spans="1:13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</row>
    <row r="2164" spans="1:13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</row>
    <row r="2165" spans="1:13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</row>
    <row r="2166" spans="1:13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</row>
    <row r="2167" spans="1:13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</row>
    <row r="2168" spans="1:13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</row>
    <row r="2169" spans="1:13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</row>
    <row r="2170" spans="1:13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</row>
    <row r="2171" spans="1:13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</row>
    <row r="2172" spans="1:13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</row>
    <row r="2173" spans="1:13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</row>
    <row r="2174" spans="1:13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</row>
    <row r="2175" spans="1:13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</row>
    <row r="2176" spans="1:13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</row>
    <row r="2177" spans="1:13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</row>
    <row r="2178" spans="1:13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</row>
    <row r="2179" spans="1:13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</row>
    <row r="2180" spans="1:13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</row>
    <row r="2181" spans="1:13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</row>
    <row r="2182" spans="1:13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</row>
    <row r="2183" spans="1:13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</row>
    <row r="2184" spans="1:13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</row>
    <row r="2185" spans="1:13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</row>
    <row r="2186" spans="1:13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</row>
    <row r="2187" spans="1:13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</row>
    <row r="2188" spans="1:13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</row>
    <row r="2189" spans="1:13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</row>
    <row r="2190" spans="1:13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</row>
    <row r="2191" spans="1:13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</row>
    <row r="2192" spans="1:13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</row>
    <row r="2193" spans="1:13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</row>
    <row r="2194" spans="1:13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</row>
    <row r="2195" spans="1:13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</row>
    <row r="2196" spans="1:13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</row>
    <row r="2197" spans="1:13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</row>
    <row r="2198" spans="1:13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</row>
    <row r="2199" spans="1:13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</row>
    <row r="2200" spans="1:13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</row>
    <row r="2201" spans="1:13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</row>
    <row r="2202" spans="1:13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</row>
    <row r="2203" spans="1:13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</row>
    <row r="2204" spans="1:13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</row>
    <row r="2205" spans="1:13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</row>
    <row r="2206" spans="1:13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</row>
    <row r="2207" spans="1:13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</row>
    <row r="2208" spans="1:13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</row>
    <row r="2209" spans="1:13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</row>
    <row r="2210" spans="1:13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</row>
    <row r="2211" spans="1:13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</row>
    <row r="2212" spans="1:13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</row>
    <row r="2213" spans="1:13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</row>
    <row r="2214" spans="1:13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</row>
    <row r="2215" spans="1:13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</row>
    <row r="2216" spans="1:13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</row>
    <row r="2217" spans="1:13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</row>
    <row r="2218" spans="1:13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</row>
    <row r="2219" spans="1:13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</row>
    <row r="2220" spans="1:13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</row>
    <row r="2221" spans="1:13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</row>
    <row r="2222" spans="1:13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</row>
    <row r="2223" spans="1:13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</row>
    <row r="2224" spans="1:13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</row>
    <row r="2225" spans="1:13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</row>
    <row r="2226" spans="1:13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</row>
    <row r="2227" spans="1:13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</row>
    <row r="2228" spans="1:13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</row>
    <row r="2229" spans="1:13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</row>
    <row r="2230" spans="1:13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</row>
    <row r="2231" spans="1:13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</row>
    <row r="2232" spans="1:13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</row>
    <row r="2233" spans="1:13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</row>
    <row r="2234" spans="1:13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</row>
    <row r="2235" spans="1:13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</row>
    <row r="2236" spans="1:13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</row>
    <row r="2237" spans="1:13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</row>
    <row r="2238" spans="1:13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</row>
    <row r="2239" spans="1:13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</row>
    <row r="2240" spans="1:13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</row>
    <row r="2241" spans="1:13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</row>
    <row r="2242" spans="1:13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</row>
    <row r="2243" spans="1:13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</row>
    <row r="2244" spans="1:13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</row>
    <row r="2245" spans="1:13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</row>
    <row r="2246" spans="1:13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</row>
    <row r="2247" spans="1:13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</row>
    <row r="2248" spans="1:13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</row>
    <row r="2249" spans="1:13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</row>
    <row r="2250" spans="1:13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</row>
    <row r="2251" spans="1:13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</row>
    <row r="2252" spans="1:13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</row>
    <row r="2253" spans="1:13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</row>
    <row r="2254" spans="1:13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</row>
    <row r="2255" spans="1:13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</row>
    <row r="2256" spans="1:13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</row>
    <row r="2257" spans="1:13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</row>
    <row r="2258" spans="1:13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</row>
    <row r="2259" spans="1:13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</row>
    <row r="2260" spans="1:13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</row>
    <row r="2261" spans="1:13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</row>
    <row r="2262" spans="1:13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</row>
    <row r="2263" spans="1:13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</row>
    <row r="2264" spans="1:13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</row>
    <row r="2265" spans="1:13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</row>
    <row r="2266" spans="1:13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</row>
    <row r="2267" spans="1:13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</row>
    <row r="2268" spans="1:13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</row>
    <row r="2269" spans="1:13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</row>
    <row r="2270" spans="1:13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</row>
    <row r="2271" spans="1:13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</row>
    <row r="2272" spans="1:13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</row>
    <row r="2273" spans="1:13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</row>
    <row r="2274" spans="1:13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</row>
    <row r="2275" spans="1:13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</row>
    <row r="2276" spans="1:13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</row>
    <row r="2277" spans="1:13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</row>
    <row r="2278" spans="1:13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</row>
    <row r="2279" spans="1:13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</row>
    <row r="2280" spans="1:13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</row>
    <row r="2281" spans="1:13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</row>
    <row r="2282" spans="1:13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</row>
    <row r="2283" spans="1:13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</row>
    <row r="2284" spans="1:13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</row>
    <row r="2285" spans="1:13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</row>
    <row r="2286" spans="1:13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</row>
    <row r="2287" spans="1:13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</row>
    <row r="2288" spans="1:13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</row>
    <row r="2289" spans="1:13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</row>
    <row r="2290" spans="1:13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</row>
    <row r="2291" spans="1:13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</row>
    <row r="2292" spans="1:13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</row>
    <row r="2293" spans="1:13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</row>
    <row r="2294" spans="1:13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</row>
    <row r="2295" spans="1:13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</row>
    <row r="2296" spans="1:13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</row>
    <row r="2297" spans="1:13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</row>
    <row r="2298" spans="1:13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</row>
    <row r="2299" spans="1:13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</row>
    <row r="2300" spans="1:13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</row>
    <row r="2301" spans="1:13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</row>
    <row r="2302" spans="1:13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</row>
    <row r="2303" spans="1:13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</row>
    <row r="2304" spans="1:13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</row>
    <row r="2305" spans="1:13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</row>
    <row r="2306" spans="1:13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</row>
    <row r="2307" spans="1:13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</row>
    <row r="2308" spans="1:13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</row>
    <row r="2309" spans="1:13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</row>
    <row r="2310" spans="1:13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</row>
    <row r="2311" spans="1:13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</row>
    <row r="2312" spans="1:13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</row>
    <row r="2313" spans="1:13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</row>
    <row r="2314" spans="1:13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</row>
    <row r="2315" spans="1:13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</row>
    <row r="2316" spans="1:13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</row>
    <row r="2317" spans="1:13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</row>
    <row r="2318" spans="1:13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</row>
    <row r="2319" spans="1:13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</row>
    <row r="2320" spans="1:13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</row>
    <row r="2321" spans="1:13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</row>
    <row r="2322" spans="1:13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</row>
    <row r="2323" spans="1:13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</row>
    <row r="2324" spans="1:13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</row>
    <row r="2325" spans="1:13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</row>
    <row r="2326" spans="1:13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</row>
    <row r="2327" spans="1:13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</row>
    <row r="2328" spans="1:13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</row>
    <row r="2329" spans="1:13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</row>
    <row r="2330" spans="1:13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</row>
    <row r="2331" spans="1:13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</row>
    <row r="2332" spans="1:13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</row>
    <row r="2333" spans="1:13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</row>
    <row r="2334" spans="1:13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</row>
    <row r="2335" spans="1:13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</row>
    <row r="2336" spans="1:13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</row>
    <row r="2337" spans="1:13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</row>
    <row r="2338" spans="1:13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</row>
    <row r="2339" spans="1:13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</row>
    <row r="2340" spans="1:13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</row>
    <row r="2341" spans="1:13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</row>
    <row r="2342" spans="1:13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</row>
    <row r="2343" spans="1:13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</row>
    <row r="2344" spans="1:13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</row>
    <row r="2345" spans="1:13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</row>
    <row r="2346" spans="1:13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</row>
    <row r="2347" spans="1:13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</row>
    <row r="2348" spans="1:13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</row>
    <row r="2349" spans="1:13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</row>
    <row r="2350" spans="1:13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</row>
    <row r="2351" spans="1:13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</row>
    <row r="2352" spans="1:13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</row>
    <row r="2353" spans="1:13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</row>
    <row r="2354" spans="1:13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</row>
    <row r="2355" spans="1:13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</row>
    <row r="2356" spans="1:13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</row>
    <row r="2357" spans="1:13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</row>
    <row r="2358" spans="1:13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</row>
    <row r="2359" spans="1:13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</row>
    <row r="2360" spans="1:13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</row>
    <row r="2361" spans="1:13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</row>
    <row r="2362" spans="1:13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</row>
    <row r="2363" spans="1:13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</row>
    <row r="2364" spans="1:13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</row>
    <row r="2365" spans="1:13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</row>
    <row r="2366" spans="1:13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</row>
    <row r="2367" spans="1:13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</row>
    <row r="2368" spans="1:13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</row>
    <row r="2369" spans="1:13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</row>
    <row r="2370" spans="1:13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</row>
    <row r="2371" spans="1:13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</row>
    <row r="2372" spans="1:13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</row>
    <row r="2373" spans="1:13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</row>
    <row r="2374" spans="1:13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</row>
    <row r="2375" spans="1:13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</row>
    <row r="2376" spans="1:13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</row>
    <row r="2377" spans="1:13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</row>
    <row r="2378" spans="1:13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</row>
    <row r="2379" spans="1:13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</row>
    <row r="2380" spans="1:13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</row>
    <row r="2381" spans="1:13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</row>
    <row r="2382" spans="1:13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</row>
    <row r="2383" spans="1:13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</row>
    <row r="2384" spans="1:13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</row>
    <row r="2385" spans="1:13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</row>
    <row r="2386" spans="1:13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</row>
    <row r="2387" spans="1:13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</row>
    <row r="2388" spans="1:13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</row>
    <row r="2389" spans="1:13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</row>
    <row r="2390" spans="1:13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</row>
    <row r="2391" spans="1:13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</row>
    <row r="2392" spans="1:13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</row>
    <row r="2393" spans="1:13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</row>
    <row r="2394" spans="1:13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</row>
    <row r="2395" spans="1:13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</row>
    <row r="2396" spans="1:13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</row>
    <row r="2397" spans="1:13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</row>
    <row r="2398" spans="1:13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</row>
    <row r="2399" spans="1:13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</row>
    <row r="2400" spans="1:13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</row>
    <row r="2401" spans="1:13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</row>
    <row r="2402" spans="1:13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</row>
    <row r="2403" spans="1:13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</row>
    <row r="2404" spans="1:13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</row>
    <row r="2405" spans="1:13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</row>
    <row r="2406" spans="1:13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</row>
    <row r="2407" spans="1:13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</row>
    <row r="2408" spans="1:13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</row>
    <row r="2409" spans="1:13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</row>
    <row r="2410" spans="1:13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</row>
    <row r="2411" spans="1:13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</row>
    <row r="2412" spans="1:13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</row>
    <row r="2413" spans="1:13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</row>
    <row r="2414" spans="1:13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</row>
    <row r="2415" spans="1:13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</row>
    <row r="2416" spans="1:13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</row>
    <row r="2417" spans="1:13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</row>
    <row r="2418" spans="1:13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</row>
    <row r="2419" spans="1:13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</row>
    <row r="2420" spans="1:13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</row>
    <row r="2421" spans="1:13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</row>
    <row r="2422" spans="1:13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</row>
    <row r="2423" spans="1:13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</row>
    <row r="2424" spans="1:13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</row>
    <row r="2425" spans="1:13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</row>
    <row r="2426" spans="1:13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</row>
    <row r="2427" spans="1:13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</row>
    <row r="2428" spans="1:13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</row>
    <row r="2429" spans="1:13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</row>
    <row r="2430" spans="1:13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</row>
    <row r="2431" spans="1:13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</row>
    <row r="2432" spans="1:13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</row>
    <row r="2433" spans="1:13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</row>
    <row r="2434" spans="1:13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</row>
    <row r="2435" spans="1:13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</row>
    <row r="2436" spans="1:13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</row>
    <row r="2437" spans="1:13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</row>
    <row r="2438" spans="1:13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</row>
    <row r="2439" spans="1:13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</row>
    <row r="2440" spans="1:13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</row>
    <row r="2441" spans="1:13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</row>
    <row r="2442" spans="1:13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</row>
    <row r="2443" spans="1:13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</row>
    <row r="2444" spans="1:13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</row>
    <row r="2445" spans="1:13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</row>
    <row r="2446" spans="1:13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</row>
    <row r="2447" spans="1:13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</row>
    <row r="2448" spans="1:13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</row>
    <row r="2449" spans="1:13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</row>
    <row r="2450" spans="1:13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</row>
    <row r="2451" spans="1:13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</row>
    <row r="2452" spans="1:13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</row>
    <row r="2453" spans="1:13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</row>
    <row r="2454" spans="1:13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</row>
    <row r="2455" spans="1:13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</row>
    <row r="2456" spans="1:13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</row>
    <row r="2457" spans="1:13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</row>
    <row r="2458" spans="1:13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</row>
    <row r="2459" spans="1:13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</row>
    <row r="2460" spans="1:13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</row>
    <row r="2461" spans="1:13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</row>
    <row r="2462" spans="1:13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</row>
    <row r="2463" spans="1:13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</row>
    <row r="2464" spans="1:13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</row>
    <row r="2465" spans="1:13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</row>
    <row r="2466" spans="1:13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</row>
    <row r="2467" spans="1:13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</row>
    <row r="2468" spans="1:13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</row>
    <row r="2469" spans="1:13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</row>
    <row r="2470" spans="1:13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</row>
    <row r="2471" spans="1:13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</row>
    <row r="2472" spans="1:13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</row>
    <row r="2473" spans="1:13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</row>
    <row r="2474" spans="1:13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</row>
    <row r="2475" spans="1:13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</row>
    <row r="2476" spans="1:13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</row>
    <row r="2477" spans="1:13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</row>
    <row r="2478" spans="1:13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</row>
    <row r="2479" spans="1:13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</row>
    <row r="2480" spans="1:13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</row>
    <row r="2481" spans="1:13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</row>
    <row r="2482" spans="1:13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</row>
    <row r="2483" spans="1:13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</row>
    <row r="2484" spans="1:13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</row>
    <row r="2485" spans="1:13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</row>
    <row r="2486" spans="1:13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</row>
    <row r="2487" spans="1:13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</row>
    <row r="2488" spans="1:13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</row>
    <row r="2489" spans="1:13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</row>
    <row r="2490" spans="1:13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</row>
    <row r="2491" spans="1:13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</row>
    <row r="2492" spans="1:13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</row>
    <row r="2493" spans="1:13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</row>
    <row r="2494" spans="1:13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</row>
    <row r="2495" spans="1:13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</row>
    <row r="2496" spans="1:13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</row>
    <row r="2497" spans="1:13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</row>
    <row r="2498" spans="1:13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</row>
    <row r="2499" spans="1:13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</row>
    <row r="2500" spans="1:13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</row>
    <row r="2501" spans="1:13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</row>
    <row r="2502" spans="1:13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</row>
    <row r="2503" spans="1:13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</row>
    <row r="2504" spans="1:13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</row>
    <row r="2505" spans="1:13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</row>
    <row r="2506" spans="1:13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</row>
    <row r="2507" spans="1:13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</row>
    <row r="2508" spans="1:13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</row>
    <row r="2509" spans="1:13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</row>
    <row r="2510" spans="1:13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</row>
    <row r="2511" spans="1:13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</row>
    <row r="2512" spans="1:13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</row>
    <row r="2513" spans="1:13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</row>
    <row r="2514" spans="1:13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</row>
    <row r="2515" spans="1:13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</row>
    <row r="2516" spans="1:13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</row>
    <row r="2517" spans="1:13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</row>
    <row r="2518" spans="1:13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</row>
    <row r="2519" spans="1:13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</row>
    <row r="2520" spans="1:13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</row>
    <row r="2521" spans="1:13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</row>
    <row r="2522" spans="1:13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</row>
    <row r="2523" spans="1:13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</row>
    <row r="2524" spans="1:13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</row>
    <row r="2525" spans="1:13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</row>
    <row r="2526" spans="1:13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</row>
    <row r="2527" spans="1:13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</row>
    <row r="2528" spans="1:13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</row>
    <row r="2529" spans="1:13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</row>
    <row r="2530" spans="1:13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</row>
    <row r="2531" spans="1:13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</row>
    <row r="2532" spans="1:13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</row>
    <row r="2533" spans="1:13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</row>
    <row r="2534" spans="1:13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</row>
    <row r="2535" spans="1:13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</row>
    <row r="2536" spans="1:13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</row>
    <row r="2537" spans="1:13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</row>
    <row r="2538" spans="1:13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</row>
    <row r="2539" spans="1:13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</row>
    <row r="2540" spans="1:13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</row>
    <row r="2541" spans="1:13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</row>
    <row r="2542" spans="1:13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</row>
    <row r="2543" spans="1:13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</row>
    <row r="2544" spans="1:13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</row>
    <row r="2545" spans="1:13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</row>
    <row r="2546" spans="1:13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</row>
    <row r="2547" spans="1:13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</row>
    <row r="2548" spans="1:13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</row>
    <row r="2549" spans="1:13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</row>
    <row r="2550" spans="1:13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</row>
    <row r="2551" spans="1:13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</row>
    <row r="2552" spans="1:13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</row>
    <row r="2553" spans="1:13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</row>
    <row r="2554" spans="1:13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</row>
    <row r="2555" spans="1:13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</row>
    <row r="2556" spans="1:13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</row>
    <row r="2557" spans="1:13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</row>
    <row r="2558" spans="1:13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</row>
    <row r="2559" spans="1:13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</row>
    <row r="2560" spans="1:13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</row>
    <row r="2561" spans="1:13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</row>
    <row r="2562" spans="1:13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</row>
    <row r="2563" spans="1:13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</row>
    <row r="2564" spans="1:13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</row>
    <row r="2565" spans="1:13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</row>
    <row r="2566" spans="1:13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</row>
    <row r="2567" spans="1:13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</row>
    <row r="2568" spans="1:13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</row>
    <row r="2569" spans="1:13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</row>
    <row r="2570" spans="1:13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</row>
    <row r="2571" spans="1:13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</row>
    <row r="2572" spans="1:13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</row>
    <row r="2573" spans="1:13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</row>
    <row r="2574" spans="1:13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</row>
    <row r="2575" spans="1:13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</row>
    <row r="2576" spans="1:13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</row>
    <row r="2577" spans="1:13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</row>
    <row r="2578" spans="1:13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</row>
    <row r="2579" spans="1:13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</row>
    <row r="2580" spans="1:13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</row>
    <row r="2581" spans="1:13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</row>
    <row r="2582" spans="1:13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</row>
    <row r="2583" spans="1:13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</row>
    <row r="2584" spans="1:13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</row>
    <row r="2585" spans="1:13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</row>
    <row r="2586" spans="1:13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</row>
    <row r="2587" spans="1:13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</row>
    <row r="2588" spans="1:13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</row>
    <row r="2589" spans="1:13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</row>
    <row r="2590" spans="1:13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</row>
    <row r="2591" spans="1:13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</row>
    <row r="2592" spans="1:13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</row>
    <row r="2593" spans="1:13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</row>
    <row r="2594" spans="1:13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</row>
    <row r="2595" spans="1:13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</row>
    <row r="2596" spans="1:13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</row>
    <row r="2597" spans="1:13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</row>
    <row r="2598" spans="1:13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</row>
    <row r="2599" spans="1:13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</row>
    <row r="2600" spans="1:13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</row>
    <row r="2601" spans="1:13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</row>
    <row r="2602" spans="1:13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</row>
    <row r="2603" spans="1:13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</row>
    <row r="2604" spans="1:13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</row>
    <row r="2605" spans="1:13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</row>
    <row r="2606" spans="1:13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</row>
    <row r="2607" spans="1:13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</row>
    <row r="2608" spans="1:13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</row>
    <row r="2609" spans="1:13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</row>
    <row r="2610" spans="1:13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</row>
    <row r="2611" spans="1:13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</row>
    <row r="2612" spans="1:13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</row>
    <row r="2613" spans="1:13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</row>
    <row r="2614" spans="1:13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</row>
    <row r="2615" spans="1:13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</row>
    <row r="2616" spans="1:13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</row>
    <row r="2617" spans="1:13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</row>
    <row r="2618" spans="1:13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</row>
    <row r="2619" spans="1:13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</row>
    <row r="2620" spans="1:13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</row>
    <row r="2621" spans="1:13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</row>
    <row r="2622" spans="1:13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</row>
    <row r="2623" spans="1:13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</row>
    <row r="2624" spans="1:13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</row>
    <row r="2625" spans="1:13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</row>
    <row r="2626" spans="1:13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</row>
    <row r="2627" spans="1:13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</row>
    <row r="2628" spans="1:13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</row>
    <row r="2629" spans="1:13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</row>
    <row r="2630" spans="1:13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</row>
    <row r="2631" spans="1:13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</row>
    <row r="2632" spans="1:13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</row>
    <row r="2633" spans="1:13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</row>
    <row r="2634" spans="1:13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</row>
    <row r="2635" spans="1:13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</row>
    <row r="2636" spans="1:13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</row>
    <row r="2637" spans="1:13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</row>
    <row r="2638" spans="1:13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</row>
    <row r="2639" spans="1:13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</row>
    <row r="2640" spans="1:13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</row>
    <row r="2641" spans="1:13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</row>
    <row r="2642" spans="1:13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</row>
    <row r="2643" spans="1:13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</row>
    <row r="2644" spans="1:13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</row>
    <row r="2645" spans="1:13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</row>
    <row r="2646" spans="1:13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</row>
    <row r="2647" spans="1:13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</row>
    <row r="2648" spans="1:13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</row>
    <row r="2649" spans="1:13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</row>
    <row r="2650" spans="1:13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</row>
    <row r="2651" spans="1:13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</row>
    <row r="2652" spans="1:13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</row>
    <row r="2653" spans="1:13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</row>
    <row r="2654" spans="1:13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</row>
    <row r="2655" spans="1:13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</row>
    <row r="2656" spans="1:13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</row>
    <row r="2657" spans="1:13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</row>
    <row r="2658" spans="1:13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</row>
    <row r="2659" spans="1:13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</row>
    <row r="2660" spans="1:13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</row>
    <row r="2661" spans="1:13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</row>
    <row r="2662" spans="1:13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</row>
    <row r="2663" spans="1:13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</row>
    <row r="2664" spans="1:13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</row>
    <row r="2665" spans="1:13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</row>
    <row r="2666" spans="1:13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</row>
    <row r="2667" spans="1:13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</row>
    <row r="2668" spans="1:13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</row>
    <row r="2669" spans="1:13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</row>
    <row r="2670" spans="1:13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</row>
    <row r="2671" spans="1:13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</row>
    <row r="2672" spans="1:13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</row>
    <row r="2673" spans="1:13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</row>
    <row r="2674" spans="1:13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</row>
    <row r="2675" spans="1:13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</row>
    <row r="2676" spans="1:13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</row>
    <row r="2677" spans="1:13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</row>
    <row r="2678" spans="1:13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</row>
    <row r="2679" spans="1:13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</row>
    <row r="2680" spans="1:13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</row>
    <row r="2681" spans="1:13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</row>
    <row r="2682" spans="1:13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</row>
    <row r="2683" spans="1:13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</row>
    <row r="2684" spans="1:13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</row>
    <row r="2685" spans="1:13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</row>
    <row r="2686" spans="1:13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</row>
    <row r="2687" spans="1:13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</row>
    <row r="2688" spans="1:13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</row>
    <row r="2689" spans="1:13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</row>
    <row r="2690" spans="1:13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</row>
    <row r="2691" spans="1:13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</row>
    <row r="2692" spans="1:13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</row>
    <row r="2693" spans="1:13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</row>
    <row r="2694" spans="1:13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</row>
    <row r="2695" spans="1:13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</row>
    <row r="2696" spans="1:13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</row>
    <row r="2697" spans="1:13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</row>
    <row r="2698" spans="1:13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</row>
    <row r="2699" spans="1:13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</row>
    <row r="2700" spans="1:13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</row>
    <row r="2701" spans="1:13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</row>
    <row r="2702" spans="1:13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</row>
    <row r="2703" spans="1:13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</row>
    <row r="2704" spans="1:13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</row>
    <row r="2705" spans="1:13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</row>
    <row r="2706" spans="1:13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</row>
    <row r="2707" spans="1:13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</row>
    <row r="2708" spans="1:13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</row>
    <row r="2709" spans="1:13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</row>
    <row r="2710" spans="1:13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</row>
    <row r="2711" spans="1:13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</row>
    <row r="2712" spans="1:13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</row>
    <row r="2713" spans="1:13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</row>
    <row r="2714" spans="1:13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</row>
    <row r="2715" spans="1:13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</row>
    <row r="2716" spans="1:13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</row>
    <row r="2717" spans="1:13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</row>
    <row r="2718" spans="1:13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</row>
    <row r="2719" spans="1:13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</row>
    <row r="2720" spans="1:13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</row>
    <row r="2721" spans="1:13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</row>
    <row r="2722" spans="1:13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</row>
    <row r="2723" spans="1:13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</row>
    <row r="2724" spans="1:13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</row>
    <row r="2725" spans="1:13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</row>
    <row r="2726" spans="1:13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</row>
    <row r="2727" spans="1:13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</row>
    <row r="2728" spans="1:13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</row>
    <row r="2729" spans="1:13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</row>
    <row r="2730" spans="1:13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</row>
    <row r="2731" spans="1:13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</row>
    <row r="2732" spans="1:13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</row>
    <row r="2733" spans="1:13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</row>
    <row r="2734" spans="1:13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</row>
    <row r="2735" spans="1:13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</row>
    <row r="2736" spans="1:13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</row>
    <row r="2737" spans="1:13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</row>
    <row r="2738" spans="1:13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</row>
    <row r="2739" spans="1:13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</row>
    <row r="2740" spans="1:13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</row>
    <row r="2741" spans="1:13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</row>
    <row r="2742" spans="1:13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</row>
    <row r="2743" spans="1:13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</row>
    <row r="2744" spans="1:13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</row>
    <row r="2745" spans="1:13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</row>
    <row r="2746" spans="1:13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</row>
    <row r="2747" spans="1:13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</row>
    <row r="2748" spans="1:13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</row>
    <row r="2749" spans="1:13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</row>
    <row r="2750" spans="1:13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</row>
    <row r="2751" spans="1:13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</row>
    <row r="2752" spans="1:13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</row>
    <row r="2753" spans="1:13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</row>
    <row r="2754" spans="1:13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</row>
    <row r="2755" spans="1:13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</row>
    <row r="2756" spans="1:13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</row>
    <row r="2757" spans="1:13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</row>
    <row r="2758" spans="1:13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</row>
    <row r="2759" spans="1:13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</row>
    <row r="2760" spans="1:13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</row>
    <row r="2761" spans="1:13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</row>
    <row r="2762" spans="1:13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</row>
    <row r="2763" spans="1:13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</row>
    <row r="2764" spans="1:13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</row>
    <row r="2765" spans="1:13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</row>
    <row r="2766" spans="1:13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</row>
    <row r="2767" spans="1:13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</row>
    <row r="2768" spans="1:13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</row>
    <row r="2769" spans="1:13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</row>
    <row r="2770" spans="1:13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</row>
    <row r="2771" spans="1:13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</row>
    <row r="2772" spans="1:13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</row>
    <row r="2773" spans="1:13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</row>
    <row r="2774" spans="1:13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</row>
    <row r="2775" spans="1:13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</row>
    <row r="2776" spans="1:13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</row>
    <row r="2777" spans="1:13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</row>
    <row r="2778" spans="1:13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</row>
    <row r="2779" spans="1:13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</row>
    <row r="2780" spans="1:13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</row>
    <row r="2781" spans="1:13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</row>
    <row r="2782" spans="1:13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</row>
    <row r="2783" spans="1:13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</row>
    <row r="2784" spans="1:13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</row>
    <row r="2785" spans="1:13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</row>
    <row r="2786" spans="1:13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</row>
    <row r="2787" spans="1:13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</row>
    <row r="2788" spans="1:13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</row>
    <row r="2789" spans="1:13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</row>
    <row r="2790" spans="1:13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</row>
    <row r="2791" spans="1:13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</row>
    <row r="2792" spans="1:13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</row>
    <row r="2793" spans="1:13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</row>
    <row r="2794" spans="1:13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</row>
    <row r="2795" spans="1:13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</row>
    <row r="2796" spans="1:13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</row>
    <row r="2797" spans="1:13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</row>
    <row r="2798" spans="1:13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</row>
    <row r="2799" spans="1:13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</row>
    <row r="2800" spans="1:13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</row>
    <row r="2801" spans="1:13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</row>
    <row r="2802" spans="1:13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</row>
    <row r="2803" spans="1:13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</row>
    <row r="2804" spans="1:13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</row>
    <row r="2805" spans="1:13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</row>
    <row r="2806" spans="1:13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</row>
    <row r="2807" spans="1:13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</row>
    <row r="2808" spans="1:13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</row>
    <row r="2809" spans="1:13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</row>
    <row r="2810" spans="1:13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</row>
    <row r="2811" spans="1:13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</row>
    <row r="2812" spans="1:13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</row>
    <row r="2813" spans="1:13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</row>
    <row r="2814" spans="1:13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</row>
    <row r="2815" spans="1:13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</row>
    <row r="2816" spans="1:13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</row>
    <row r="2817" spans="1:13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</row>
    <row r="2818" spans="1:13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</row>
    <row r="2819" spans="1:13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</row>
    <row r="2820" spans="1:13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</row>
    <row r="2821" spans="1:13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</row>
    <row r="2822" spans="1:13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</row>
    <row r="2823" spans="1:13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</row>
    <row r="2824" spans="1:13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</row>
    <row r="2825" spans="1:13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</row>
    <row r="2826" spans="1:13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</row>
    <row r="2827" spans="1:13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</row>
    <row r="2828" spans="1:13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</row>
    <row r="2829" spans="1:13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</row>
    <row r="2830" spans="1:13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</row>
    <row r="2831" spans="1:13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</row>
    <row r="2832" spans="1:13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</row>
    <row r="2833" spans="1:13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</row>
    <row r="2834" spans="1:13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</row>
    <row r="2835" spans="1:13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</row>
    <row r="2836" spans="1:13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</row>
    <row r="2837" spans="1:13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</row>
    <row r="2838" spans="1:13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</row>
    <row r="2839" spans="1:13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</row>
    <row r="2840" spans="1:13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</row>
    <row r="2841" spans="1:13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</row>
    <row r="2842" spans="1:13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</row>
    <row r="2843" spans="1:13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</row>
    <row r="2844" spans="1:13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</row>
    <row r="2845" spans="1:13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</row>
    <row r="2846" spans="1:13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</row>
    <row r="2847" spans="1:13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</row>
    <row r="2848" spans="1:13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</row>
    <row r="2849" spans="1:13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</row>
    <row r="2850" spans="1:13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</row>
    <row r="2851" spans="1:13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</row>
    <row r="2852" spans="1:13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</row>
    <row r="2853" spans="1:13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</row>
    <row r="2854" spans="1:13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</row>
    <row r="2855" spans="1:13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</row>
    <row r="2856" spans="1:13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</row>
    <row r="2857" spans="1:13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</row>
    <row r="2858" spans="1:13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</row>
    <row r="2859" spans="1:13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</row>
    <row r="2860" spans="1:13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</row>
    <row r="2861" spans="1:13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</row>
    <row r="2862" spans="1:13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</row>
    <row r="2863" spans="1:13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</row>
    <row r="2864" spans="1:13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</row>
    <row r="2865" spans="1:13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</row>
    <row r="2866" spans="1:13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</row>
    <row r="2867" spans="1:13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</row>
    <row r="2868" spans="1:13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</row>
    <row r="2869" spans="1:13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</row>
    <row r="2870" spans="1:13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</row>
    <row r="2871" spans="1:13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</row>
    <row r="2872" spans="1:13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</row>
    <row r="2873" spans="1:13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</row>
    <row r="2874" spans="1:13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</row>
    <row r="2875" spans="1:13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</row>
    <row r="2876" spans="1:13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</row>
    <row r="2877" spans="1:13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</row>
    <row r="2878" spans="1:13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</row>
    <row r="2879" spans="1:13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</row>
    <row r="2880" spans="1:13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</row>
    <row r="2881" spans="1:13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</row>
    <row r="2882" spans="1:13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</row>
    <row r="2883" spans="1:13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</row>
    <row r="2884" spans="1:13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</row>
    <row r="2885" spans="1:13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</row>
    <row r="2886" spans="1:13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</row>
    <row r="2887" spans="1:13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</row>
    <row r="2888" spans="1:13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</row>
    <row r="2889" spans="1:13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</row>
    <row r="2890" spans="1:13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</row>
    <row r="2891" spans="1:13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</row>
    <row r="2892" spans="1:13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</row>
    <row r="2893" spans="1:13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</row>
    <row r="2894" spans="1:13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</row>
    <row r="2895" spans="1:13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</row>
    <row r="2896" spans="1:13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</row>
    <row r="2897" spans="1:13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</row>
    <row r="2898" spans="1:13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</row>
    <row r="2899" spans="1:13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</row>
    <row r="2900" spans="1:13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</row>
    <row r="2901" spans="1:13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</row>
    <row r="2902" spans="1:13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</row>
    <row r="2903" spans="1:13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</row>
    <row r="2904" spans="1:13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</row>
    <row r="2905" spans="1:13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</row>
    <row r="2906" spans="1:13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</row>
    <row r="2907" spans="1:13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</row>
    <row r="2908" spans="1:13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</row>
    <row r="2909" spans="1:13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</row>
    <row r="2910" spans="1:13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</row>
    <row r="2911" spans="1:13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</row>
    <row r="2912" spans="1:13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</row>
    <row r="2913" spans="1:13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</row>
    <row r="2914" spans="1:13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</row>
    <row r="2915" spans="1:13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</row>
    <row r="2916" spans="1:13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</row>
    <row r="2917" spans="1:13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</row>
    <row r="2918" spans="1:13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</row>
    <row r="2919" spans="1:13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</row>
    <row r="2920" spans="1:13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</row>
    <row r="2921" spans="1:13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</row>
    <row r="2922" spans="1:13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</row>
    <row r="2923" spans="1:13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</row>
    <row r="2924" spans="1:13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</row>
    <row r="2925" spans="1:13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</row>
    <row r="2926" spans="1:13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</row>
    <row r="2927" spans="1:13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</row>
    <row r="2928" spans="1:13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</row>
    <row r="2929" spans="1:13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</row>
    <row r="2930" spans="1:13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</row>
    <row r="2931" spans="1:13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</row>
    <row r="2932" spans="1:13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</row>
    <row r="2933" spans="1:13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</row>
    <row r="2934" spans="1:13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</row>
    <row r="2935" spans="1:13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</row>
    <row r="2936" spans="1:13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</row>
    <row r="2937" spans="1:13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</row>
    <row r="2938" spans="1:13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</row>
    <row r="2939" spans="1:13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</row>
    <row r="2940" spans="1:13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</row>
    <row r="2941" spans="1:13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</row>
    <row r="2942" spans="1:13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</row>
    <row r="2943" spans="1:13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</row>
    <row r="2944" spans="1:13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</row>
    <row r="2945" spans="1:13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</row>
    <row r="2946" spans="1:13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</row>
    <row r="2947" spans="1:13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</row>
    <row r="2948" spans="1:13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</row>
    <row r="2949" spans="1:13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</row>
    <row r="2950" spans="1:13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</row>
    <row r="2951" spans="1:13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</row>
    <row r="2952" spans="1:13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</row>
    <row r="2953" spans="1:13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</row>
    <row r="2954" spans="1:13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</row>
    <row r="2955" spans="1:13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</row>
    <row r="2956" spans="1:13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</row>
    <row r="2957" spans="1:13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</row>
    <row r="2958" spans="1:13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</row>
    <row r="2959" spans="1:13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</row>
    <row r="2960" spans="1:13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</row>
    <row r="2961" spans="1:13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</row>
    <row r="2962" spans="1:13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</row>
    <row r="2963" spans="1:13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</row>
    <row r="2964" spans="1:13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</row>
    <row r="2965" spans="1:13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</row>
    <row r="2966" spans="1:13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</row>
    <row r="2967" spans="1:13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</row>
    <row r="2968" spans="1:13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</row>
    <row r="2969" spans="1:13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</row>
    <row r="2970" spans="1:13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</row>
    <row r="2971" spans="1:13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</row>
    <row r="2972" spans="1:13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</row>
    <row r="2973" spans="1:13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</row>
    <row r="2974" spans="1:13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</row>
    <row r="2975" spans="1:13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</row>
    <row r="2976" spans="1:13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</row>
    <row r="2977" spans="1:13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</row>
    <row r="2978" spans="1:13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</row>
    <row r="2979" spans="1:13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</row>
    <row r="2980" spans="1:13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</row>
    <row r="2981" spans="1:13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</row>
    <row r="2982" spans="1:13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</row>
    <row r="2983" spans="1:13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</row>
    <row r="2984" spans="1:13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</row>
    <row r="2985" spans="1:13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</row>
    <row r="2986" spans="1:13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</row>
    <row r="2987" spans="1:13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</row>
    <row r="2988" spans="1:13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</row>
    <row r="2989" spans="1:13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</row>
    <row r="2990" spans="1:13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</row>
    <row r="2991" spans="1:13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</row>
    <row r="2992" spans="1:13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</row>
    <row r="2993" spans="1:13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</row>
    <row r="2994" spans="1:13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</row>
    <row r="2995" spans="1:13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</row>
    <row r="2996" spans="1:13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</row>
    <row r="2997" spans="1:13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</row>
    <row r="2998" spans="1:13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</row>
    <row r="2999" spans="1:13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</row>
    <row r="3000" spans="1:13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</row>
    <row r="3001" spans="1:13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</row>
    <row r="3002" spans="1:13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</row>
    <row r="3003" spans="1:13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</row>
    <row r="3004" spans="1:13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</row>
    <row r="3005" spans="1:13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</row>
    <row r="3006" spans="1:13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</row>
    <row r="3007" spans="1:13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</row>
    <row r="3008" spans="1:13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</row>
    <row r="3009" spans="1:13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</row>
    <row r="3010" spans="1:13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</row>
    <row r="3011" spans="1:13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</row>
    <row r="3012" spans="1:13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</row>
    <row r="3013" spans="1:13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</row>
    <row r="3014" spans="1:13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</row>
    <row r="3015" spans="1:13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</row>
    <row r="3016" spans="1:13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</row>
    <row r="3017" spans="1:13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</row>
    <row r="3018" spans="1:13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</row>
    <row r="3019" spans="1:13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</row>
    <row r="3020" spans="1:13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</row>
    <row r="3021" spans="1:13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</row>
    <row r="3022" spans="1:13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</row>
    <row r="3023" spans="1:13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</row>
    <row r="3024" spans="1:13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</row>
    <row r="3025" spans="1:13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</row>
    <row r="3026" spans="1:13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</row>
    <row r="3027" spans="1:13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</row>
    <row r="3028" spans="1:13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</row>
    <row r="3029" spans="1:13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</row>
    <row r="3030" spans="1:13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</row>
    <row r="3031" spans="1:13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</row>
    <row r="3032" spans="1:13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</row>
    <row r="3033" spans="1:13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</row>
    <row r="3034" spans="1:13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</row>
    <row r="3035" spans="1:13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</row>
    <row r="3036" spans="1:13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</row>
    <row r="3037" spans="1:13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</row>
    <row r="3038" spans="1:13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</row>
    <row r="3039" spans="1:13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</row>
    <row r="3040" spans="1:13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</row>
    <row r="3041" spans="1:13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</row>
    <row r="3042" spans="1:13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</row>
    <row r="3043" spans="1:13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</row>
    <row r="3044" spans="1:13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</row>
    <row r="3045" spans="1:13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</row>
    <row r="3046" spans="1:13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</row>
    <row r="3047" spans="1:13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</row>
    <row r="3048" spans="1:13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</row>
    <row r="3049" spans="1:13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</row>
    <row r="3050" spans="1:13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</row>
    <row r="3051" spans="1:13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</row>
    <row r="3052" spans="1:13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</row>
    <row r="3053" spans="1:13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</row>
    <row r="3054" spans="1:13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</row>
    <row r="3055" spans="1:13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</row>
    <row r="3056" spans="1:13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</row>
    <row r="3057" spans="1:13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</row>
    <row r="3058" spans="1:13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</row>
    <row r="3059" spans="1:13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</row>
    <row r="3060" spans="1:13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</row>
    <row r="3061" spans="1:13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</row>
    <row r="3062" spans="1:13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</row>
    <row r="3063" spans="1:13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</row>
    <row r="3064" spans="1:13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</row>
    <row r="3065" spans="1:13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</row>
    <row r="3066" spans="1:13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</row>
    <row r="3067" spans="1:13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</row>
    <row r="3068" spans="1:13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</row>
    <row r="3069" spans="1:13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</row>
    <row r="3070" spans="1:13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</row>
    <row r="3071" spans="1:13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</row>
    <row r="3072" spans="1:13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</row>
    <row r="3073" spans="1:13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</row>
    <row r="3074" spans="1:13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</row>
    <row r="3075" spans="1:13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</row>
    <row r="3076" spans="1:13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</row>
    <row r="3077" spans="1:13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</row>
    <row r="3078" spans="1:13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</row>
    <row r="3079" spans="1:13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</row>
    <row r="3080" spans="1:13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</row>
    <row r="3081" spans="1:13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</row>
    <row r="3082" spans="1:13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</row>
    <row r="3083" spans="1:13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</row>
    <row r="3084" spans="1:13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</row>
    <row r="3085" spans="1:13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</row>
    <row r="3086" spans="1:13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</row>
    <row r="3087" spans="1:13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</row>
    <row r="3088" spans="1:13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</row>
    <row r="3089" spans="1:13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</row>
    <row r="3090" spans="1:13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</row>
    <row r="3091" spans="1:13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</row>
    <row r="3092" spans="1:13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</row>
    <row r="3093" spans="1:13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</row>
    <row r="3094" spans="1:13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</row>
    <row r="3095" spans="1:13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</row>
    <row r="3096" spans="1:13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</row>
    <row r="3097" spans="1:13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</row>
    <row r="3098" spans="1:13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</row>
    <row r="3099" spans="1:13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</row>
    <row r="3100" spans="1:13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</row>
    <row r="3101" spans="1:13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</row>
    <row r="3102" spans="1:13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</row>
    <row r="3103" spans="1:13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</row>
    <row r="3104" spans="1:13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</row>
    <row r="3105" spans="1:13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</row>
    <row r="3106" spans="1:13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</row>
    <row r="3107" spans="1:13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</row>
    <row r="3108" spans="1:13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</row>
    <row r="3109" spans="1:13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</row>
    <row r="3110" spans="1:13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</row>
    <row r="3111" spans="1:13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</row>
    <row r="3112" spans="1:13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</row>
    <row r="3113" spans="1:13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</row>
    <row r="3114" spans="1:13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</row>
    <row r="3115" spans="1:13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</row>
    <row r="3116" spans="1:13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</row>
    <row r="3117" spans="1:13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</row>
    <row r="3118" spans="1:13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</row>
    <row r="3119" spans="1:13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</row>
    <row r="3120" spans="1:13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</row>
    <row r="3121" spans="1:13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</row>
    <row r="3122" spans="1:13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</row>
    <row r="3123" spans="1:13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</row>
    <row r="3124" spans="1:13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</row>
    <row r="3125" spans="1:13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</row>
    <row r="3126" spans="1:13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</row>
    <row r="3127" spans="1:13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</row>
    <row r="3128" spans="1:13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</row>
    <row r="3129" spans="1:13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</row>
    <row r="3130" spans="1:13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</row>
    <row r="3131" spans="1:13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</row>
    <row r="3132" spans="1:13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</row>
    <row r="3133" spans="1:13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</row>
    <row r="3134" spans="1:13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</row>
    <row r="3135" spans="1:13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</row>
    <row r="3136" spans="1:13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</row>
    <row r="3137" spans="1:13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</row>
    <row r="3138" spans="1:13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</row>
    <row r="3139" spans="1:13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</row>
    <row r="3140" spans="1:13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</row>
    <row r="3141" spans="1:13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</row>
    <row r="3142" spans="1:13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</row>
    <row r="3143" spans="1:13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</row>
    <row r="3144" spans="1:13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</row>
    <row r="3145" spans="1:13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</row>
    <row r="3146" spans="1:13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</row>
    <row r="3147" spans="1:13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</row>
    <row r="3148" spans="1:13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</row>
    <row r="3149" spans="1:13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</row>
    <row r="3150" spans="1:13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</row>
    <row r="3151" spans="1:13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</row>
    <row r="3152" spans="1:13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</row>
    <row r="3153" spans="1:13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</row>
    <row r="3154" spans="1:13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</row>
    <row r="3155" spans="1:13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</row>
    <row r="3156" spans="1:13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</row>
    <row r="3157" spans="1:13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</row>
    <row r="3158" spans="1:13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</row>
    <row r="3159" spans="1:13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</row>
    <row r="3160" spans="1:13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</row>
    <row r="3161" spans="1:13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</row>
    <row r="3162" spans="1:13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</row>
    <row r="3163" spans="1:13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</row>
    <row r="3164" spans="1:13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</row>
    <row r="3165" spans="1:13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</row>
    <row r="3166" spans="1:13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</row>
    <row r="3167" spans="1:13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</row>
    <row r="3168" spans="1:13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</row>
    <row r="3169" spans="1:13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</row>
    <row r="3170" spans="1:13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</row>
    <row r="3171" spans="1:13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</row>
    <row r="3172" spans="1:13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</row>
    <row r="3173" spans="1:13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</row>
    <row r="3174" spans="1:13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</row>
    <row r="3175" spans="1:13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</row>
    <row r="3176" spans="1:13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</row>
    <row r="3177" spans="1:13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</row>
    <row r="3178" spans="1:13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</row>
    <row r="3179" spans="1:13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</row>
    <row r="3180" spans="1:13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</row>
    <row r="3181" spans="1:13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</row>
    <row r="3182" spans="1:13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</row>
    <row r="3183" spans="1:13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</row>
    <row r="3184" spans="1:13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</row>
    <row r="3185" spans="1:13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</row>
    <row r="3186" spans="1:13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</row>
    <row r="3187" spans="1:13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</row>
    <row r="3188" spans="1:13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</row>
    <row r="3189" spans="1:13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</row>
    <row r="3190" spans="1:13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</row>
    <row r="3191" spans="1:13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</row>
    <row r="3192" spans="1:13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</row>
    <row r="3193" spans="1:13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</row>
    <row r="3194" spans="1:13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</row>
    <row r="3195" spans="1:13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</row>
    <row r="3196" spans="1:13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</row>
    <row r="3197" spans="1:13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</row>
    <row r="3198" spans="1:13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</row>
    <row r="3199" spans="1:13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</row>
    <row r="3200" spans="1:13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</row>
    <row r="3201" spans="1:13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</row>
    <row r="3202" spans="1:13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</row>
    <row r="3203" spans="1:13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</row>
    <row r="3204" spans="1:13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</row>
    <row r="3205" spans="1:13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</row>
    <row r="3206" spans="1:13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</row>
    <row r="3207" spans="1:13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</row>
    <row r="3208" spans="1:13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</row>
    <row r="3209" spans="1:13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</row>
    <row r="3210" spans="1:13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</row>
    <row r="3211" spans="1:13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</row>
    <row r="3212" spans="1:13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</row>
    <row r="3213" spans="1:13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</row>
    <row r="3214" spans="1:13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</row>
    <row r="3215" spans="1:13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</row>
    <row r="3216" spans="1:13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</row>
    <row r="3217" spans="1:13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</row>
    <row r="3218" spans="1:13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</row>
    <row r="3219" spans="1:13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</row>
    <row r="3220" spans="1:13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</row>
    <row r="3221" spans="1:13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</row>
    <row r="3222" spans="1:13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</row>
    <row r="3223" spans="1:13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</row>
    <row r="3224" spans="1:13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</row>
    <row r="3225" spans="1:13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</row>
    <row r="3226" spans="1:13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</row>
    <row r="3227" spans="1:13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</row>
    <row r="3228" spans="1:13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</row>
    <row r="3229" spans="1:13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</row>
    <row r="3230" spans="1:13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</row>
    <row r="3231" spans="1:13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</row>
    <row r="3232" spans="1:13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</row>
    <row r="3233" spans="1:13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</row>
    <row r="3234" spans="1:13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</row>
    <row r="3235" spans="1:13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</row>
    <row r="3236" spans="1:13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</row>
    <row r="3237" spans="1:13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</row>
    <row r="3238" spans="1:13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</row>
    <row r="3239" spans="1:13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</row>
    <row r="3240" spans="1:13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</row>
    <row r="3241" spans="1:13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</row>
    <row r="3242" spans="1:13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</row>
    <row r="3243" spans="1:13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</row>
    <row r="3244" spans="1:13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</row>
    <row r="3245" spans="1:13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</row>
    <row r="3246" spans="1:13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</row>
    <row r="3247" spans="1:13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</row>
    <row r="3248" spans="1:13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</row>
    <row r="3249" spans="1:13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</row>
    <row r="3250" spans="1:13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</row>
    <row r="3251" spans="1:13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</row>
    <row r="3252" spans="1:13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</row>
    <row r="3253" spans="1:13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</row>
    <row r="3254" spans="1:13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</row>
    <row r="3255" spans="1:13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</row>
    <row r="3256" spans="1:13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</row>
    <row r="3257" spans="1:13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</row>
    <row r="3258" spans="1:13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</row>
    <row r="3259" spans="1:13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</row>
    <row r="3260" spans="1:13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</row>
    <row r="3261" spans="1:13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</row>
    <row r="3262" spans="1:13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</row>
    <row r="3263" spans="1:13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</row>
    <row r="3264" spans="1:13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</row>
    <row r="3265" spans="1:13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</row>
    <row r="3266" spans="1:13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</row>
    <row r="3267" spans="1:13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</row>
    <row r="3268" spans="1:13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</row>
    <row r="3269" spans="1:13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</row>
    <row r="3270" spans="1:13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</row>
    <row r="3271" spans="1:13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</row>
    <row r="3272" spans="1:13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</row>
    <row r="3273" spans="1:13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</row>
    <row r="3274" spans="1:13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</row>
    <row r="3275" spans="1:13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</row>
    <row r="3276" spans="1:13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</row>
    <row r="3277" spans="1:13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</row>
    <row r="3278" spans="1:13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</row>
    <row r="3279" spans="1:13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</row>
    <row r="3280" spans="1:13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</row>
    <row r="3281" spans="1:13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</row>
    <row r="3282" spans="1:13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</row>
    <row r="3283" spans="1:13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</row>
    <row r="3284" spans="1:13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</row>
    <row r="3285" spans="1:13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</row>
    <row r="3286" spans="1:13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</row>
    <row r="3287" spans="1:13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</row>
    <row r="3288" spans="1:13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</row>
    <row r="3289" spans="1:13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</row>
    <row r="3290" spans="1:13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</row>
    <row r="3291" spans="1:13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</row>
    <row r="3292" spans="1:13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</row>
    <row r="3293" spans="1:13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</row>
    <row r="3294" spans="1:13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</row>
    <row r="3295" spans="1:13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</row>
    <row r="3296" spans="1:13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</row>
    <row r="3297" spans="1:13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</row>
    <row r="3298" spans="1:13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</row>
    <row r="3299" spans="1:13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</row>
    <row r="3300" spans="1:13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</row>
    <row r="3301" spans="1:13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</row>
    <row r="3302" spans="1:13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</row>
    <row r="3303" spans="1:13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</row>
    <row r="3304" spans="1:13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</row>
    <row r="3305" spans="1:13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</row>
    <row r="3306" spans="1:13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</row>
    <row r="3307" spans="1:13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</row>
    <row r="3308" spans="1:13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</row>
    <row r="3309" spans="1:13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</row>
    <row r="3310" spans="1:13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</row>
    <row r="3311" spans="1:13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</row>
    <row r="3312" spans="1:13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</row>
    <row r="3313" spans="1:13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</row>
    <row r="3314" spans="1:13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</row>
    <row r="3315" spans="1:13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</row>
    <row r="3316" spans="1:13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</row>
    <row r="3317" spans="1:13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</row>
    <row r="3318" spans="1:13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</row>
    <row r="3319" spans="1:13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</row>
    <row r="3320" spans="1:13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</row>
    <row r="3321" spans="1:13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</row>
    <row r="3322" spans="1:13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</row>
    <row r="3323" spans="1:13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</row>
    <row r="3324" spans="1:13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</row>
    <row r="3325" spans="1:13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</row>
    <row r="3326" spans="1:13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</row>
    <row r="3327" spans="1:13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</row>
    <row r="3328" spans="1:13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</row>
    <row r="3329" spans="1:13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</row>
    <row r="3330" spans="1:13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</row>
    <row r="3331" spans="1:13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</row>
    <row r="3332" spans="1:13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</row>
    <row r="3333" spans="1:13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</row>
    <row r="3334" spans="1:13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</row>
    <row r="3335" spans="1:13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</row>
    <row r="3336" spans="1:13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</row>
    <row r="3337" spans="1:13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</row>
    <row r="3338" spans="1:13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</row>
    <row r="3339" spans="1:13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</row>
    <row r="3340" spans="1:13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</row>
    <row r="3341" spans="1:13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</row>
    <row r="3342" spans="1:13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</row>
    <row r="3343" spans="1:13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</row>
    <row r="3344" spans="1:13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</row>
    <row r="3345" spans="1:13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</row>
    <row r="3346" spans="1:13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</row>
    <row r="3347" spans="1:13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</row>
    <row r="3348" spans="1:13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</row>
    <row r="3349" spans="1:13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</row>
    <row r="3350" spans="1:13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</row>
    <row r="3351" spans="1:13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</row>
    <row r="3352" spans="1:13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</row>
    <row r="3353" spans="1:13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</row>
    <row r="3354" spans="1:13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</row>
    <row r="3355" spans="1:13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</row>
    <row r="3356" spans="1:13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</row>
    <row r="3357" spans="1:13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</row>
    <row r="3358" spans="1:13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</row>
    <row r="3359" spans="1:13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</row>
    <row r="3360" spans="1:13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</row>
    <row r="3361" spans="1:13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</row>
    <row r="3362" spans="1:13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</row>
    <row r="3363" spans="1:13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</row>
    <row r="3364" spans="1:13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</row>
    <row r="3365" spans="1:13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</row>
    <row r="3366" spans="1:13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</row>
    <row r="3367" spans="1:13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</row>
    <row r="3368" spans="1:13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</row>
    <row r="3369" spans="1:13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</row>
    <row r="3370" spans="1:13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</row>
    <row r="3371" spans="1:13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</row>
    <row r="3372" spans="1:13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</row>
    <row r="3373" spans="1:13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</row>
    <row r="3374" spans="1:13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</row>
    <row r="3375" spans="1:13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</row>
    <row r="3376" spans="1:13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</row>
    <row r="3377" spans="1:13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</row>
    <row r="3378" spans="1:13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</row>
    <row r="3379" spans="1:13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</row>
    <row r="3380" spans="1:13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</row>
    <row r="3381" spans="1:13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</row>
    <row r="3382" spans="1:13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</row>
    <row r="3383" spans="1:13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</row>
    <row r="3384" spans="1:13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</row>
    <row r="3385" spans="1:13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</row>
    <row r="3386" spans="1:13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</row>
    <row r="3387" spans="1:13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</row>
    <row r="3388" spans="1:13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</row>
    <row r="3389" spans="1:13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</row>
    <row r="3390" spans="1:13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</row>
    <row r="3391" spans="1:13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</row>
    <row r="3392" spans="1:13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</row>
    <row r="3393" spans="1:13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</row>
    <row r="3394" spans="1:13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</row>
    <row r="3395" spans="1:13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</row>
    <row r="3396" spans="1:13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</row>
    <row r="3397" spans="1:13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</row>
    <row r="3398" spans="1:13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</row>
    <row r="3399" spans="1:13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</row>
    <row r="3400" spans="1:13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</row>
    <row r="3401" spans="1:13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</row>
    <row r="3402" spans="1:13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</row>
    <row r="3403" spans="1:13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</row>
    <row r="3404" spans="1:13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</row>
    <row r="3405" spans="1:13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</row>
    <row r="3406" spans="1:13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</row>
    <row r="3407" spans="1:13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</row>
    <row r="3408" spans="1:13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</row>
    <row r="3409" spans="1:13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</row>
    <row r="3410" spans="1:13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</row>
    <row r="3411" spans="1:13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</row>
    <row r="3412" spans="1:13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</row>
    <row r="3413" spans="1:13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</row>
    <row r="3414" spans="1:13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</row>
    <row r="3415" spans="1:13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</row>
    <row r="3416" spans="1:13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</row>
    <row r="3417" spans="1:13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</row>
    <row r="3418" spans="1:13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</row>
    <row r="3419" spans="1:13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</row>
    <row r="3420" spans="1:13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</row>
    <row r="3421" spans="1:13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</row>
    <row r="3422" spans="1:13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</row>
    <row r="3423" spans="1:13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</row>
    <row r="3424" spans="1:13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</row>
    <row r="3425" spans="1:13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</row>
    <row r="3426" spans="1:13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</row>
    <row r="3427" spans="1:13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</row>
    <row r="3428" spans="1:13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</row>
    <row r="3429" spans="1:13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</row>
    <row r="3430" spans="1:13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</row>
    <row r="3431" spans="1:13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</row>
    <row r="3432" spans="1:13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</row>
    <row r="3433" spans="1:13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</row>
    <row r="3434" spans="1:13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</row>
    <row r="3435" spans="1:13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</row>
    <row r="3436" spans="1:13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</row>
    <row r="3437" spans="1:13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</row>
    <row r="3438" spans="1:13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</row>
    <row r="3439" spans="1:13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</row>
    <row r="3440" spans="1:13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</row>
    <row r="3441" spans="1:13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</row>
    <row r="3442" spans="1:13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</row>
    <row r="3443" spans="1:13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</row>
    <row r="3444" spans="1:13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</row>
    <row r="3445" spans="1:13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</row>
    <row r="3446" spans="1:13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</row>
    <row r="3447" spans="1:13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</row>
    <row r="3448" spans="1:13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</row>
    <row r="3449" spans="1:13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</row>
    <row r="3450" spans="1:13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</row>
    <row r="3451" spans="1:13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</row>
    <row r="3452" spans="1:13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</row>
    <row r="3453" spans="1:13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</row>
    <row r="3454" spans="1:13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</row>
    <row r="3455" spans="1:13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</row>
    <row r="3456" spans="1:13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</row>
    <row r="3457" spans="1:13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</row>
    <row r="3458" spans="1:13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</row>
    <row r="3459" spans="1:13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</row>
    <row r="3460" spans="1:13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</row>
    <row r="3461" spans="1:13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</row>
    <row r="3462" spans="1:13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</row>
    <row r="3463" spans="1:13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</row>
    <row r="3464" spans="1:13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</row>
    <row r="3465" spans="1:13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</row>
    <row r="3466" spans="1:13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</row>
    <row r="3467" spans="1:13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</row>
    <row r="3468" spans="1:13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</row>
    <row r="3469" spans="1:13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</row>
    <row r="3470" spans="1:13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</row>
    <row r="3471" spans="1:13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</row>
    <row r="3472" spans="1:13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</row>
    <row r="3473" spans="1:13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</row>
    <row r="3474" spans="1:13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</row>
    <row r="3475" spans="1:13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</row>
    <row r="3476" spans="1:13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</row>
    <row r="3477" spans="1:13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</row>
    <row r="3478" spans="1:13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</row>
    <row r="3479" spans="1:13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</row>
    <row r="3480" spans="1:13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</row>
    <row r="3481" spans="1:13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</row>
    <row r="3482" spans="1:13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</row>
    <row r="3483" spans="1:13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</row>
    <row r="3484" spans="1:13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</row>
    <row r="3485" spans="1:13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</row>
    <row r="3486" spans="1:13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</row>
    <row r="3487" spans="1:13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</row>
    <row r="3488" spans="1:13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</row>
    <row r="3489" spans="1:13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</row>
    <row r="3490" spans="1:13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</row>
    <row r="3491" spans="1:13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</row>
    <row r="3492" spans="1:13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</row>
    <row r="3493" spans="1:13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</row>
    <row r="3494" spans="1:13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</row>
    <row r="3495" spans="1:13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</row>
    <row r="3496" spans="1:13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</row>
    <row r="3497" spans="1:13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</row>
    <row r="3498" spans="1:13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</row>
    <row r="3499" spans="1:13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</row>
    <row r="3500" spans="1:13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</row>
    <row r="3501" spans="1:13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</row>
    <row r="3502" spans="1:13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</row>
    <row r="3503" spans="1:13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</row>
    <row r="3504" spans="1:13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</row>
    <row r="3505" spans="1:13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</row>
    <row r="3506" spans="1:13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</row>
    <row r="3507" spans="1:13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</row>
    <row r="3508" spans="1:13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</row>
    <row r="3509" spans="1:13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</row>
    <row r="3510" spans="1:13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</row>
    <row r="3511" spans="1:13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</row>
    <row r="3512" spans="1:13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</row>
    <row r="3513" spans="1:13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</row>
    <row r="3514" spans="1:13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</row>
    <row r="3515" spans="1:13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</row>
    <row r="3516" spans="1:13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</row>
    <row r="3517" spans="1:13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</row>
    <row r="3518" spans="1:13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</row>
    <row r="3519" spans="1:13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</row>
    <row r="3520" spans="1:13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</row>
    <row r="3521" spans="1:13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</row>
    <row r="3522" spans="1:13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</row>
    <row r="3523" spans="1:13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</row>
    <row r="3524" spans="1:13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</row>
    <row r="3525" spans="1:13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</row>
    <row r="3526" spans="1:13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</row>
    <row r="3527" spans="1:13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</row>
    <row r="3528" spans="1:13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</row>
    <row r="3529" spans="1:13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</row>
    <row r="3530" spans="1:13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</row>
    <row r="3531" spans="1:13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</row>
    <row r="3532" spans="1:13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</row>
    <row r="3533" spans="1:13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</row>
    <row r="3534" spans="1:13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</row>
    <row r="3535" spans="1:13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</row>
    <row r="3536" spans="1:13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</row>
    <row r="3537" spans="1:13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</row>
    <row r="3538" spans="1:13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</row>
    <row r="3539" spans="1:13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</row>
    <row r="3540" spans="1:13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</row>
    <row r="3541" spans="1:13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</row>
    <row r="3542" spans="1:13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</row>
    <row r="3543" spans="1:13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</row>
    <row r="3544" spans="1:13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</row>
    <row r="3545" spans="1:13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</row>
    <row r="3546" spans="1:13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</row>
    <row r="3547" spans="1:13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</row>
    <row r="3548" spans="1:13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</row>
    <row r="3549" spans="1:13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</row>
    <row r="3550" spans="1:13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</row>
    <row r="3551" spans="1:13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</row>
    <row r="3552" spans="1:13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</row>
    <row r="3553" spans="1:13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</row>
    <row r="3554" spans="1:13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</row>
    <row r="3555" spans="1:13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</row>
    <row r="3556" spans="1:13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</row>
    <row r="3557" spans="1:13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</row>
    <row r="3558" spans="1:13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</row>
    <row r="3559" spans="1:13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</row>
    <row r="3560" spans="1:13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</row>
    <row r="3561" spans="1:13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</row>
    <row r="3562" spans="1:13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</row>
    <row r="3563" spans="1:13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</row>
    <row r="3564" spans="1:13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</row>
    <row r="3565" spans="1:13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</row>
    <row r="3566" spans="1:13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</row>
    <row r="3567" spans="1:13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</row>
    <row r="3568" spans="1:13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</row>
    <row r="3569" spans="1:13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</row>
    <row r="3570" spans="1:13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</row>
    <row r="3571" spans="1:13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</row>
    <row r="3572" spans="1:13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</row>
    <row r="3573" spans="1:13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</row>
    <row r="3574" spans="1:13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</row>
    <row r="3575" spans="1:13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</row>
    <row r="3576" spans="1:13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</row>
    <row r="3577" spans="1:13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</row>
    <row r="3578" spans="1:13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</row>
    <row r="3579" spans="1:13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</row>
    <row r="3580" spans="1:13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</row>
    <row r="3581" spans="1:13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</row>
    <row r="3582" spans="1:13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</row>
    <row r="3583" spans="1:13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</row>
    <row r="3584" spans="1:13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</row>
    <row r="3585" spans="1:13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</row>
    <row r="3586" spans="1:13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</row>
    <row r="3587" spans="1:13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</row>
    <row r="3588" spans="1:13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</row>
    <row r="3589" spans="1:13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</row>
    <row r="3590" spans="1:13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</row>
    <row r="3591" spans="1:13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</row>
    <row r="3592" spans="1:13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</row>
    <row r="3593" spans="1:13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</row>
    <row r="3594" spans="1:13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</row>
    <row r="3595" spans="1:13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</row>
    <row r="3596" spans="1:13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</row>
    <row r="3597" spans="1:13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</row>
    <row r="3598" spans="1:13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</row>
    <row r="3599" spans="1:13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</row>
    <row r="3600" spans="1:13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</row>
    <row r="3601" spans="1:13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</row>
    <row r="3602" spans="1:13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</row>
    <row r="3603" spans="1:13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</row>
    <row r="3604" spans="1:13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</row>
    <row r="3605" spans="1:13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</row>
    <row r="3606" spans="1:13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</row>
    <row r="3607" spans="1:13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</row>
    <row r="3608" spans="1:13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</row>
    <row r="3609" spans="1:13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</row>
    <row r="3610" spans="1:13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</row>
    <row r="3611" spans="1:13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</row>
    <row r="3612" spans="1:13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</row>
    <row r="3613" spans="1:13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</row>
    <row r="3614" spans="1:13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</row>
    <row r="3615" spans="1:13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</row>
    <row r="3616" spans="1:13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</row>
    <row r="3617" spans="1:13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</row>
    <row r="3618" spans="1:13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</row>
    <row r="3619" spans="1:13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</row>
    <row r="3620" spans="1:13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</row>
    <row r="3621" spans="1:13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</row>
    <row r="3622" spans="1:13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</row>
    <row r="3623" spans="1:13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</row>
    <row r="3624" spans="1:13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</row>
    <row r="3625" spans="1:13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</row>
    <row r="3626" spans="1:13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</row>
    <row r="3627" spans="1:13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</row>
    <row r="3628" spans="1:13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</row>
    <row r="3629" spans="1:13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</row>
    <row r="3630" spans="1:13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</row>
    <row r="3631" spans="1:13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</row>
    <row r="3632" spans="1:13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</row>
    <row r="3633" spans="1:13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</row>
    <row r="3634" spans="1:13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</row>
    <row r="3635" spans="1:13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</row>
    <row r="3636" spans="1:13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</row>
    <row r="3637" spans="1:13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</row>
    <row r="3638" spans="1:13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</row>
    <row r="3639" spans="1:13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</row>
    <row r="3640" spans="1:13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</row>
    <row r="3641" spans="1:13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</row>
    <row r="3642" spans="1:13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</row>
    <row r="3643" spans="1:13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</row>
    <row r="3644" spans="1:13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</row>
    <row r="3645" spans="1:13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</row>
    <row r="3646" spans="1:13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</row>
    <row r="3647" spans="1:13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</row>
    <row r="3648" spans="1:13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</row>
    <row r="3649" spans="1:13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</row>
    <row r="3650" spans="1:13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</row>
    <row r="3651" spans="1:13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</row>
    <row r="3652" spans="1:13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</row>
    <row r="3653" spans="1:13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</row>
    <row r="3654" spans="1:13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</row>
    <row r="3655" spans="1:13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</row>
    <row r="3656" spans="1:13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</row>
    <row r="3657" spans="1:13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</row>
    <row r="3658" spans="1:13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</row>
    <row r="3659" spans="1:13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</row>
    <row r="3660" spans="1:13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</row>
    <row r="3661" spans="1:13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</row>
    <row r="3662" spans="1:13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</row>
    <row r="3663" spans="1:13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</row>
    <row r="3664" spans="1:13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</row>
    <row r="3665" spans="1:13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</row>
    <row r="3666" spans="1:13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</row>
    <row r="3667" spans="1:13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</row>
    <row r="3668" spans="1:13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</row>
    <row r="3669" spans="1:13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</row>
    <row r="3670" spans="1:13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</row>
    <row r="3671" spans="1:13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</row>
    <row r="3672" spans="1:13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</row>
    <row r="3673" spans="1:13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</row>
    <row r="3674" spans="1:13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</row>
    <row r="3675" spans="1:13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</row>
    <row r="3676" spans="1:13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</row>
    <row r="3677" spans="1:13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</row>
    <row r="3678" spans="1:13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</row>
    <row r="3679" spans="1:13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</row>
    <row r="3680" spans="1:13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</row>
    <row r="3681" spans="1:13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</row>
    <row r="3682" spans="1:13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</row>
    <row r="3683" spans="1:13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</row>
    <row r="3684" spans="1:13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</row>
    <row r="3685" spans="1:13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</row>
    <row r="3686" spans="1:13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</row>
    <row r="3687" spans="1:13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</row>
    <row r="3688" spans="1:13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</row>
    <row r="3689" spans="1:13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</row>
    <row r="3690" spans="1:13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</row>
    <row r="3691" spans="1:13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</row>
    <row r="3692" spans="1:13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</row>
    <row r="3693" spans="1:13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</row>
    <row r="3694" spans="1:13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</row>
    <row r="3695" spans="1:13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</row>
    <row r="3696" spans="1:13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</row>
    <row r="3697" spans="1:13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</row>
    <row r="3698" spans="1:13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</row>
    <row r="3699" spans="1:13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</row>
    <row r="3700" spans="1:13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</row>
    <row r="3701" spans="1:13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</row>
    <row r="3702" spans="1:13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</row>
    <row r="3703" spans="1:13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</row>
    <row r="3704" spans="1:13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</row>
    <row r="3705" spans="1:13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</row>
    <row r="3706" spans="1:13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</row>
    <row r="3707" spans="1:13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</row>
    <row r="3708" spans="1:13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</row>
    <row r="3709" spans="1:13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</row>
    <row r="3710" spans="1:13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</row>
    <row r="3711" spans="1:13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</row>
    <row r="3712" spans="1:13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</row>
    <row r="3713" spans="1:13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</row>
    <row r="3714" spans="1:13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</row>
    <row r="3715" spans="1:13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</row>
    <row r="3716" spans="1:13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</row>
    <row r="3717" spans="1:13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</row>
    <row r="3718" spans="1:13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</row>
    <row r="3719" spans="1:13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</row>
    <row r="3720" spans="1:13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</row>
    <row r="3721" spans="1:13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</row>
    <row r="3722" spans="1:13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</row>
    <row r="3723" spans="1:13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</row>
    <row r="3724" spans="1:13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</row>
    <row r="3725" spans="1:13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</row>
    <row r="3726" spans="1:13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</row>
    <row r="3727" spans="1:13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</row>
    <row r="3728" spans="1:13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</row>
    <row r="3729" spans="1:13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</row>
    <row r="3730" spans="1:13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</row>
    <row r="3731" spans="1:13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</row>
    <row r="3732" spans="1:13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</row>
    <row r="3733" spans="1:13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</row>
    <row r="3734" spans="1:13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</row>
    <row r="3735" spans="1:13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</row>
    <row r="3736" spans="1:13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</row>
    <row r="3737" spans="1:13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</row>
    <row r="3738" spans="1:13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</row>
    <row r="3739" spans="1:13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</row>
    <row r="3740" spans="1:13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</row>
    <row r="3741" spans="1:13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</row>
    <row r="3742" spans="1:13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</row>
    <row r="3743" spans="1:13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</row>
    <row r="3744" spans="1:13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</row>
    <row r="3745" spans="1:13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</row>
    <row r="3746" spans="1:13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</row>
    <row r="3747" spans="1:13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</row>
    <row r="3748" spans="1:13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</row>
    <row r="3749" spans="1:13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</row>
    <row r="3750" spans="1:13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</row>
    <row r="3751" spans="1:13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</row>
    <row r="3752" spans="1:13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</row>
    <row r="3753" spans="1:13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</row>
    <row r="3754" spans="1:13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</row>
    <row r="3755" spans="1:13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</row>
    <row r="3756" spans="1:13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</row>
    <row r="3757" spans="1:13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</row>
    <row r="3758" spans="1:13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</row>
    <row r="3759" spans="1:13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</row>
    <row r="3760" spans="1:13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</row>
    <row r="3761" spans="1:13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</row>
    <row r="3762" spans="1:13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</row>
    <row r="3763" spans="1:13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</row>
    <row r="3764" spans="1:13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</row>
    <row r="3765" spans="1:13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</row>
    <row r="3766" spans="1:13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</row>
    <row r="3767" spans="1:13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</row>
    <row r="3768" spans="1:13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</row>
    <row r="3769" spans="1:13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</row>
    <row r="3770" spans="1:13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</row>
    <row r="3771" spans="1:13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</row>
    <row r="3772" spans="1:13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</row>
    <row r="3773" spans="1:13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</row>
    <row r="3774" spans="1:13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</row>
    <row r="3775" spans="1:13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</row>
    <row r="3776" spans="1:13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</row>
    <row r="3777" spans="1:13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</row>
    <row r="3778" spans="1:13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</row>
    <row r="3779" spans="1:13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</row>
    <row r="3780" spans="1:13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</row>
    <row r="3781" spans="1:13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</row>
    <row r="3782" spans="1:13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</row>
    <row r="3783" spans="1:13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</row>
    <row r="3784" spans="1:13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</row>
    <row r="3785" spans="1:13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</row>
    <row r="3786" spans="1:13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</row>
    <row r="3787" spans="1:13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</row>
    <row r="3788" spans="1:13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</row>
    <row r="3789" spans="1:13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</row>
    <row r="3790" spans="1:13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</row>
    <row r="3791" spans="1:13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</row>
    <row r="3792" spans="1:13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</row>
    <row r="3793" spans="1:13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</row>
    <row r="3794" spans="1:13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</row>
    <row r="3795" spans="1:13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</row>
    <row r="3796" spans="1:13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</row>
    <row r="3797" spans="1:13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</row>
    <row r="3798" spans="1:13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</row>
    <row r="3799" spans="1:13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</row>
    <row r="3800" spans="1:13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</row>
    <row r="3801" spans="1:13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</row>
    <row r="3802" spans="1:13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</row>
    <row r="3803" spans="1:13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</row>
    <row r="3804" spans="1:13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</row>
    <row r="3805" spans="1:13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</row>
    <row r="3806" spans="1:13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</row>
    <row r="3807" spans="1:13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</row>
    <row r="3808" spans="1:13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</row>
    <row r="3809" spans="1:13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</row>
    <row r="3810" spans="1:13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</row>
    <row r="3811" spans="1:13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</row>
    <row r="3812" spans="1:13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</row>
    <row r="3813" spans="1:13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</row>
    <row r="3814" spans="1:13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</row>
    <row r="3815" spans="1:13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</row>
    <row r="3816" spans="1:13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</row>
    <row r="3817" spans="1:13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</row>
    <row r="3818" spans="1:13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</row>
    <row r="3819" spans="1:13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</row>
    <row r="3820" spans="1:13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</row>
    <row r="3821" spans="1:13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</row>
    <row r="3822" spans="1:13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</row>
    <row r="3823" spans="1:13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</row>
    <row r="3824" spans="1:13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</row>
    <row r="3825" spans="1:13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</row>
    <row r="3826" spans="1:13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</row>
    <row r="3827" spans="1:13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</row>
    <row r="3828" spans="1:13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</row>
    <row r="3829" spans="1:13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</row>
    <row r="3830" spans="1:13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</row>
    <row r="3831" spans="1:13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</row>
    <row r="3832" spans="1:13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</row>
    <row r="3833" spans="1:13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</row>
    <row r="3834" spans="1:13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</row>
    <row r="3835" spans="1:13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</row>
    <row r="3836" spans="1:13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</row>
    <row r="3837" spans="1:13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</row>
    <row r="3838" spans="1:13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</row>
    <row r="3839" spans="1:13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</row>
    <row r="3840" spans="1:13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</row>
    <row r="3841" spans="1:13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</row>
    <row r="3842" spans="1:13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</row>
    <row r="3843" spans="1:13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</row>
    <row r="3844" spans="1:13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</row>
    <row r="3845" spans="1:13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</row>
    <row r="3846" spans="1:13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</row>
    <row r="3847" spans="1:13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</row>
    <row r="3848" spans="1:13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</row>
    <row r="3849" spans="1:13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</row>
    <row r="3850" spans="1:13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</row>
    <row r="3851" spans="1:13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</row>
    <row r="3852" spans="1:13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</row>
    <row r="3853" spans="1:13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</row>
    <row r="3854" spans="1:13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</row>
    <row r="3855" spans="1:13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</row>
    <row r="3856" spans="1:13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</row>
    <row r="3857" spans="1:13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</row>
    <row r="3858" spans="1:13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</row>
    <row r="3859" spans="1:13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</row>
    <row r="3860" spans="1:13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</row>
    <row r="3861" spans="1:13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</row>
    <row r="3862" spans="1:13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</row>
    <row r="3863" spans="1:13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</row>
    <row r="3864" spans="1:13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</row>
    <row r="3865" spans="1:13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</row>
    <row r="3866" spans="1:13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</row>
    <row r="3867" spans="1:13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</row>
    <row r="3868" spans="1:13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</row>
    <row r="3869" spans="1:13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</row>
    <row r="3870" spans="1:13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</row>
    <row r="3871" spans="1:13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</row>
    <row r="3872" spans="1:13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</row>
    <row r="3873" spans="1:13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</row>
    <row r="3874" spans="1:13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</row>
    <row r="3875" spans="1:13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</row>
    <row r="3876" spans="1:13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</row>
    <row r="3877" spans="1:13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</row>
    <row r="3878" spans="1:13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</row>
    <row r="3879" spans="1:13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</row>
    <row r="3880" spans="1:13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</row>
    <row r="3881" spans="1:13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</row>
    <row r="3882" spans="1:13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</row>
    <row r="3883" spans="1:13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</row>
    <row r="3884" spans="1:13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</row>
    <row r="3885" spans="1:13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</row>
    <row r="3886" spans="1:13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</row>
    <row r="3887" spans="1:13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</row>
    <row r="3888" spans="1:13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</row>
    <row r="3889" spans="1:13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</row>
    <row r="3890" spans="1:13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</row>
    <row r="3891" spans="1:13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</row>
    <row r="3892" spans="1:13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</row>
    <row r="3893" spans="1:13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</row>
    <row r="3894" spans="1:13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</row>
    <row r="3895" spans="1:13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</row>
    <row r="3896" spans="1:13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</row>
    <row r="3897" spans="1:13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</row>
    <row r="3898" spans="1:13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</row>
    <row r="3899" spans="1:13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</row>
    <row r="3900" spans="1:13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</row>
    <row r="3901" spans="1:13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</row>
    <row r="3902" spans="1:13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</row>
    <row r="3903" spans="1:13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</row>
    <row r="3904" spans="1:13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</row>
    <row r="3905" spans="1:13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</row>
    <row r="3906" spans="1:13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</row>
    <row r="3907" spans="1:13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</row>
    <row r="3908" spans="1:13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</row>
    <row r="3909" spans="1:13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</row>
    <row r="3910" spans="1:13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</row>
    <row r="3911" spans="1:13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</row>
    <row r="3912" spans="1:13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</row>
    <row r="3913" spans="1:13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</row>
    <row r="3914" spans="1:13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</row>
    <row r="3915" spans="1:13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</row>
    <row r="3916" spans="1:13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</row>
    <row r="3917" spans="1:13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</row>
    <row r="3918" spans="1:13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</row>
    <row r="3919" spans="1:13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</row>
    <row r="3920" spans="1:13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</row>
    <row r="3921" spans="1:13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</row>
    <row r="3922" spans="1:13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</row>
    <row r="3923" spans="1:13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</row>
    <row r="3924" spans="1:13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</row>
    <row r="3925" spans="1:13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</row>
    <row r="3926" spans="1:13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</row>
    <row r="3927" spans="1:13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</row>
    <row r="3928" spans="1:13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</row>
    <row r="3929" spans="1:13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</row>
    <row r="3930" spans="1:13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</row>
    <row r="3931" spans="1:13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</row>
    <row r="3932" spans="1:13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</row>
    <row r="3933" spans="1:13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</row>
    <row r="3934" spans="1:13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</row>
    <row r="3935" spans="1:13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</row>
    <row r="3936" spans="1:13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</row>
    <row r="3937" spans="1:13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</row>
    <row r="3938" spans="1:13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</row>
    <row r="3939" spans="1:13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</row>
    <row r="3940" spans="1:13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</row>
    <row r="3941" spans="1:13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</row>
    <row r="3942" spans="1:13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</row>
    <row r="3943" spans="1:13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</row>
    <row r="3944" spans="1:13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</row>
    <row r="3945" spans="1:13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</row>
    <row r="3946" spans="1:13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</row>
    <row r="3947" spans="1:13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</row>
    <row r="3948" spans="1:13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</row>
    <row r="3949" spans="1:13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</row>
    <row r="3950" spans="1:13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</row>
    <row r="3951" spans="1:13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</row>
    <row r="3952" spans="1:13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</row>
    <row r="3953" spans="1:13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</row>
    <row r="3954" spans="1:13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</row>
    <row r="3955" spans="1:13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</row>
    <row r="3956" spans="1:13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</row>
    <row r="3957" spans="1:13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</row>
    <row r="3958" spans="1:13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</row>
    <row r="3959" spans="1:13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</row>
    <row r="3960" spans="1:13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</row>
    <row r="3961" spans="1:13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</row>
    <row r="3962" spans="1:13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</row>
    <row r="3963" spans="1:13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</row>
    <row r="3964" spans="1:13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</row>
    <row r="3965" spans="1:13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</row>
    <row r="3966" spans="1:13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</row>
    <row r="3967" spans="1:13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</row>
    <row r="3968" spans="1:13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</row>
    <row r="3969" spans="1:13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</row>
    <row r="3970" spans="1:13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</row>
    <row r="3971" spans="1:13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</row>
    <row r="3972" spans="1:13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</row>
    <row r="3973" spans="1:13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</row>
    <row r="3974" spans="1:13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</row>
    <row r="3975" spans="1:13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</row>
    <row r="3976" spans="1:13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</row>
    <row r="3977" spans="1:13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</row>
    <row r="3978" spans="1:13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</row>
    <row r="3979" spans="1:13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</row>
    <row r="3980" spans="1:13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</row>
    <row r="3981" spans="1:13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</row>
    <row r="3982" spans="1:13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</row>
    <row r="3983" spans="1:13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</row>
    <row r="3984" spans="1:13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</row>
    <row r="3985" spans="1:13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</row>
    <row r="3986" spans="1:13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</row>
    <row r="3987" spans="1:13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</row>
    <row r="3988" spans="1:13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</row>
    <row r="3989" spans="1:13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</row>
    <row r="3990" spans="1:13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</row>
    <row r="3991" spans="1:13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</row>
    <row r="3992" spans="1:13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</row>
    <row r="3993" spans="1:13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</row>
    <row r="3994" spans="1:13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</row>
    <row r="3995" spans="1:13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</row>
    <row r="3996" spans="1:13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</row>
    <row r="3997" spans="1:13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</row>
    <row r="3998" spans="1:13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</row>
    <row r="3999" spans="1:13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</row>
    <row r="4000" spans="1:13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</row>
    <row r="4001" spans="1:13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</row>
    <row r="4002" spans="1:13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</row>
    <row r="4003" spans="1:13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</row>
    <row r="4004" spans="1:13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</row>
    <row r="4005" spans="1:13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</row>
    <row r="4006" spans="1:13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</row>
    <row r="4007" spans="1:13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</row>
    <row r="4008" spans="1:13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</row>
    <row r="4009" spans="1:13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</row>
    <row r="4010" spans="1:13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</row>
    <row r="4011" spans="1:13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</row>
    <row r="4012" spans="1:13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</row>
    <row r="4013" spans="1:13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</row>
    <row r="4014" spans="1:13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</row>
    <row r="4015" spans="1:13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</row>
    <row r="4016" spans="1:13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</row>
    <row r="4017" spans="1:13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</row>
    <row r="4018" spans="1:13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</row>
    <row r="4019" spans="1:13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</row>
    <row r="4020" spans="1:13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</row>
    <row r="4021" spans="1:13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</row>
    <row r="4022" spans="1:13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</row>
    <row r="4023" spans="1:13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</row>
    <row r="4024" spans="1:13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</row>
    <row r="4025" spans="1:13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</row>
    <row r="4026" spans="1:13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</row>
    <row r="4027" spans="1:13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</row>
    <row r="4028" spans="1:13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</row>
    <row r="4029" spans="1:13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</row>
    <row r="4030" spans="1:13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</row>
    <row r="4031" spans="1:13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</row>
    <row r="4032" spans="1:13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</row>
    <row r="4033" spans="1:13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</row>
    <row r="4034" spans="1:13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</row>
    <row r="4035" spans="1:13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</row>
    <row r="4036" spans="1:13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</row>
    <row r="4037" spans="1:13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</row>
    <row r="4038" spans="1:13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</row>
    <row r="4039" spans="1:13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</row>
    <row r="4040" spans="1:13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</row>
    <row r="4041" spans="1:13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</row>
    <row r="4042" spans="1:13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</row>
    <row r="4043" spans="1:13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</row>
    <row r="4044" spans="1:13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</row>
    <row r="4045" spans="1:13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</row>
    <row r="4046" spans="1:13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</row>
    <row r="4047" spans="1:13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</row>
    <row r="4048" spans="1:13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</row>
    <row r="4049" spans="1:13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</row>
    <row r="4050" spans="1:13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</row>
    <row r="4051" spans="1:13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</row>
    <row r="4052" spans="1:13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</row>
    <row r="4053" spans="1:13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</row>
    <row r="4054" spans="1:13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</row>
    <row r="4055" spans="1:13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</row>
    <row r="4056" spans="1:13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</row>
    <row r="4057" spans="1:13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</row>
    <row r="4058" spans="1:13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</row>
    <row r="4059" spans="1:13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</row>
    <row r="4060" spans="1:13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</row>
    <row r="4061" spans="1:13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</row>
    <row r="4062" spans="1:13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</row>
    <row r="4063" spans="1:13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</row>
    <row r="4064" spans="1:13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</row>
    <row r="4065" spans="1:13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</row>
    <row r="4066" spans="1:13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</row>
    <row r="4067" spans="1:13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</row>
    <row r="4068" spans="1:13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</row>
    <row r="4069" spans="1:13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</row>
    <row r="4070" spans="1:13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</row>
    <row r="4071" spans="1:13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</row>
    <row r="4072" spans="1:13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</row>
    <row r="4073" spans="1:13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</row>
    <row r="4074" spans="1:13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</row>
    <row r="4075" spans="1:13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</row>
    <row r="4076" spans="1:13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</row>
    <row r="4077" spans="1:13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</row>
    <row r="4078" spans="1:13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</row>
    <row r="4079" spans="1:13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</row>
    <row r="4080" spans="1:13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</row>
    <row r="4081" spans="1:13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</row>
    <row r="4082" spans="1:13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</row>
    <row r="4083" spans="1:13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</row>
    <row r="4084" spans="1:13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</row>
    <row r="4085" spans="1:13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</row>
    <row r="4086" spans="1:13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</row>
    <row r="4087" spans="1:13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</row>
    <row r="4088" spans="1:13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</row>
    <row r="4089" spans="1:13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</row>
    <row r="4090" spans="1:13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</row>
    <row r="4091" spans="1:13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</row>
    <row r="4092" spans="1:13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</row>
    <row r="4093" spans="1:13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</row>
    <row r="4094" spans="1:13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</row>
    <row r="4095" spans="1:13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</row>
    <row r="4096" spans="1:13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</row>
    <row r="4097" spans="1:13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</row>
    <row r="4098" spans="1:13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</row>
    <row r="4099" spans="1:13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</row>
    <row r="4100" spans="1:13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</row>
    <row r="4101" spans="1:13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</row>
    <row r="4102" spans="1:13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</row>
    <row r="4103" spans="1:13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</row>
    <row r="4104" spans="1:13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</row>
    <row r="4105" spans="1:13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</row>
    <row r="4106" spans="1:13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</row>
    <row r="4107" spans="1:13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</row>
    <row r="4108" spans="1:13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</row>
    <row r="4109" spans="1:13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</row>
    <row r="4110" spans="1:13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</row>
    <row r="4111" spans="1:13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</row>
    <row r="4112" spans="1:13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</row>
    <row r="4113" spans="1:13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</row>
    <row r="4114" spans="1:13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</row>
    <row r="4115" spans="1:13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</row>
    <row r="4116" spans="1:13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</row>
    <row r="4117" spans="1:13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</row>
    <row r="4118" spans="1:13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</row>
    <row r="4119" spans="1:13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</row>
    <row r="4120" spans="1:13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</row>
    <row r="4121" spans="1:13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</row>
    <row r="4122" spans="1:13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</row>
    <row r="4123" spans="1:13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</row>
    <row r="4124" spans="1:13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</row>
    <row r="4125" spans="1:13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</row>
    <row r="4126" spans="1:13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</row>
    <row r="4127" spans="1:13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</row>
    <row r="4128" spans="1:13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</row>
    <row r="4129" spans="1:13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</row>
    <row r="4130" spans="1:13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</row>
    <row r="4131" spans="1:13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</row>
    <row r="4132" spans="1:13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</row>
    <row r="4133" spans="1:13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</row>
    <row r="4134" spans="1:13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</row>
    <row r="4135" spans="1:13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</row>
    <row r="4136" spans="1:13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</row>
    <row r="4137" spans="1:13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</row>
    <row r="4138" spans="1:13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</row>
    <row r="4139" spans="1:13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</row>
    <row r="4140" spans="1:13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</row>
    <row r="4141" spans="1:13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</row>
    <row r="4142" spans="1:13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</row>
    <row r="4143" spans="1:13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</row>
    <row r="4144" spans="1:13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</row>
    <row r="4145" spans="1:13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</row>
    <row r="4146" spans="1:13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</row>
    <row r="4147" spans="1:13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</row>
    <row r="4148" spans="1:13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</row>
    <row r="4149" spans="1:13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</row>
    <row r="4150" spans="1:13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</row>
    <row r="4151" spans="1:13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</row>
    <row r="4152" spans="1:13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</row>
    <row r="4153" spans="1:13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</row>
    <row r="4154" spans="1:13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</row>
    <row r="4155" spans="1:13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</row>
    <row r="4156" spans="1:13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</row>
    <row r="4157" spans="1:13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</row>
    <row r="4158" spans="1:13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</row>
    <row r="4159" spans="1:13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</row>
    <row r="4160" spans="1:13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</row>
    <row r="4161" spans="1:13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</row>
    <row r="4162" spans="1:13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</row>
    <row r="4163" spans="1:13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</row>
    <row r="4164" spans="1:13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</row>
    <row r="4165" spans="1:13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</row>
    <row r="4166" spans="1:13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</row>
    <row r="4167" spans="1:13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</row>
    <row r="4168" spans="1:13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</row>
    <row r="4169" spans="1:13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</row>
    <row r="4170" spans="1:13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</row>
    <row r="4171" spans="1:13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</row>
    <row r="4172" spans="1:13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</row>
    <row r="4173" spans="1:13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</row>
    <row r="4174" spans="1:13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</row>
    <row r="4175" spans="1:13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</row>
    <row r="4176" spans="1:13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</row>
    <row r="4177" spans="1:13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</row>
    <row r="4178" spans="1:13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</row>
    <row r="4179" spans="1:13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</row>
    <row r="4180" spans="1:13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</row>
    <row r="4181" spans="1:13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</row>
    <row r="4182" spans="1:13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</row>
    <row r="4183" spans="1:13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</row>
    <row r="4184" spans="1:13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</row>
    <row r="4185" spans="1:13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</row>
    <row r="4186" spans="1:13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</row>
    <row r="4187" spans="1:13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</row>
    <row r="4188" spans="1:13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</row>
    <row r="4189" spans="1:13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</row>
    <row r="4190" spans="1:13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</row>
    <row r="4191" spans="1:13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</row>
    <row r="4192" spans="1:13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</row>
    <row r="4193" spans="1:13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</row>
    <row r="4194" spans="1:13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</row>
    <row r="4195" spans="1:13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</row>
    <row r="4196" spans="1:13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</row>
    <row r="4197" spans="1:13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</row>
    <row r="4198" spans="1:13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</row>
    <row r="4199" spans="1:13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</row>
    <row r="4200" spans="1:13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</row>
    <row r="4201" spans="1:13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</row>
    <row r="4202" spans="1:13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</row>
    <row r="4203" spans="1:13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</row>
    <row r="4204" spans="1:13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</row>
    <row r="4205" spans="1:13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</row>
    <row r="4206" spans="1:13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</row>
    <row r="4207" spans="1:13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</row>
    <row r="4208" spans="1:13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</row>
    <row r="4209" spans="1:13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</row>
    <row r="4210" spans="1:13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</row>
    <row r="4211" spans="1:13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</row>
    <row r="4212" spans="1:13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</row>
    <row r="4213" spans="1:13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</row>
    <row r="4214" spans="1:13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</row>
    <row r="4215" spans="1:13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</row>
    <row r="4216" spans="1:13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</row>
    <row r="4217" spans="1:13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</row>
    <row r="4218" spans="1:13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</row>
    <row r="4219" spans="1:13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</row>
    <row r="4220" spans="1:13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</row>
    <row r="4221" spans="1:13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</row>
    <row r="4222" spans="1:13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</row>
    <row r="4223" spans="1:13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</row>
    <row r="4224" spans="1:13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</row>
    <row r="4225" spans="1:13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</row>
    <row r="4226" spans="1:13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</row>
    <row r="4227" spans="1:13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</row>
    <row r="4228" spans="1:13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</row>
    <row r="4229" spans="1:13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</row>
    <row r="4230" spans="1:13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</row>
    <row r="4231" spans="1:13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</row>
    <row r="4232" spans="1:13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</row>
    <row r="4233" spans="1:13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</row>
    <row r="4234" spans="1:13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</row>
    <row r="4235" spans="1:13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</row>
    <row r="4236" spans="1:13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</row>
    <row r="4237" spans="1:13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</row>
    <row r="4238" spans="1:13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</row>
    <row r="4239" spans="1:13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</row>
    <row r="4240" spans="1:13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</row>
    <row r="4241" spans="1:13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</row>
    <row r="4242" spans="1:13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</row>
    <row r="4243" spans="1:13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</row>
    <row r="4244" spans="1:13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</row>
    <row r="4245" spans="1:13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</row>
    <row r="4246" spans="1:13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</row>
    <row r="4247" spans="1:13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</row>
    <row r="4248" spans="1:13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</row>
    <row r="4249" spans="1:13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</row>
    <row r="4250" spans="1:13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</row>
    <row r="4251" spans="1:13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</row>
    <row r="4252" spans="1:13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</row>
    <row r="4253" spans="1:13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</row>
    <row r="4254" spans="1:13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</row>
    <row r="4255" spans="1:13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</row>
    <row r="4256" spans="1:13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</row>
    <row r="4257" spans="1:13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</row>
    <row r="4258" spans="1:13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</row>
    <row r="4259" spans="1:13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</row>
    <row r="4260" spans="1:13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</row>
    <row r="4261" spans="1:13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</row>
    <row r="4262" spans="1:13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</row>
    <row r="4263" spans="1:13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</row>
    <row r="4264" spans="1:13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</row>
    <row r="4265" spans="1:13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</row>
    <row r="4266" spans="1:13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</row>
    <row r="4267" spans="1:13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</row>
    <row r="4268" spans="1:13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</row>
    <row r="4269" spans="1:13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</row>
    <row r="4270" spans="1:13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</row>
    <row r="4271" spans="1:13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</row>
    <row r="4272" spans="1:13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</row>
    <row r="4273" spans="1:13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</row>
    <row r="4274" spans="1:13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</row>
    <row r="4275" spans="1:13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</row>
    <row r="4276" spans="1:13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</row>
    <row r="4277" spans="1:13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</row>
    <row r="4278" spans="1:13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</row>
    <row r="4279" spans="1:13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</row>
    <row r="4280" spans="1:13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</row>
    <row r="4281" spans="1:13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</row>
    <row r="4282" spans="1:13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</row>
    <row r="4283" spans="1:13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</row>
    <row r="4284" spans="1:13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</row>
    <row r="4285" spans="1:13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</row>
    <row r="4286" spans="1:13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</row>
    <row r="4287" spans="1:13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</row>
    <row r="4288" spans="1:13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</row>
    <row r="4289" spans="1:13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</row>
    <row r="4290" spans="1:13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</row>
    <row r="4291" spans="1:13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</row>
    <row r="4292" spans="1:13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</row>
    <row r="4293" spans="1:13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</row>
    <row r="4294" spans="1:13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</row>
    <row r="4295" spans="1:13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</row>
    <row r="4296" spans="1:13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</row>
    <row r="4297" spans="1:13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</row>
    <row r="4298" spans="1:13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</row>
    <row r="4299" spans="1:13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</row>
    <row r="4300" spans="1:13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</row>
    <row r="4301" spans="1:13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</row>
    <row r="4302" spans="1:13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</row>
    <row r="4303" spans="1:13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</row>
    <row r="4304" spans="1:13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</row>
    <row r="4305" spans="1:13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</row>
    <row r="4306" spans="1:13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</row>
    <row r="4307" spans="1:13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</row>
    <row r="4308" spans="1:13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</row>
    <row r="4309" spans="1:13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</row>
    <row r="4310" spans="1:13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</row>
    <row r="4311" spans="1:13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</row>
    <row r="4312" spans="1:13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</row>
    <row r="4313" spans="1:13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</row>
    <row r="4314" spans="1:13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</row>
    <row r="4315" spans="1:13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</row>
    <row r="4316" spans="1:13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</row>
    <row r="4317" spans="1:13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</row>
    <row r="4318" spans="1:13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</row>
    <row r="4319" spans="1:13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</row>
    <row r="4320" spans="1:13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</row>
    <row r="4321" spans="1:13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</row>
    <row r="4322" spans="1:13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</row>
    <row r="4323" spans="1:13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</row>
    <row r="4324" spans="1:13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</row>
    <row r="4325" spans="1:13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</row>
    <row r="4326" spans="1:13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</row>
    <row r="4327" spans="1:13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</row>
    <row r="4328" spans="1:13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</row>
    <row r="4329" spans="1:13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</row>
    <row r="4330" spans="1:13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</row>
    <row r="4331" spans="1:13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</row>
    <row r="4332" spans="1:13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</row>
    <row r="4333" spans="1:13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</row>
    <row r="4334" spans="1:13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</row>
    <row r="4335" spans="1:13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</row>
    <row r="4336" spans="1:13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</row>
    <row r="4337" spans="1:13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</row>
    <row r="4338" spans="1:13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</row>
    <row r="4339" spans="1:13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</row>
    <row r="4340" spans="1:13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</row>
    <row r="4341" spans="1:13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</row>
    <row r="4342" spans="1:13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</row>
    <row r="4343" spans="1:13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</row>
    <row r="4344" spans="1:13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</row>
    <row r="4345" spans="1:13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</row>
    <row r="4346" spans="1:13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</row>
    <row r="4347" spans="1:13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</row>
    <row r="4348" spans="1:13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</row>
    <row r="4349" spans="1:13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</row>
    <row r="4350" spans="1:13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</row>
    <row r="4351" spans="1:13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</row>
    <row r="4352" spans="1:13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</row>
    <row r="4353" spans="1:13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</row>
    <row r="4354" spans="1:13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</row>
    <row r="4355" spans="1:13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</row>
    <row r="4356" spans="1:13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</row>
    <row r="4357" spans="1:13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</row>
    <row r="4358" spans="1:13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</row>
    <row r="4359" spans="1:13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</row>
    <row r="4360" spans="1:13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</row>
    <row r="4361" spans="1:13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</row>
    <row r="4362" spans="1:13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</row>
    <row r="4363" spans="1:13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</row>
    <row r="4364" spans="1:13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</row>
    <row r="4365" spans="1:13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</row>
    <row r="4366" spans="1:13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</row>
    <row r="4367" spans="1:13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</row>
    <row r="4368" spans="1:13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</row>
    <row r="4369" spans="1:13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</row>
    <row r="4370" spans="1:13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</row>
    <row r="4371" spans="1:13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</row>
    <row r="4372" spans="1:13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</row>
    <row r="4373" spans="1:13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</row>
    <row r="4374" spans="1:13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</row>
    <row r="4375" spans="1:13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</row>
    <row r="4376" spans="1:13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</row>
    <row r="4377" spans="1:13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</row>
    <row r="4378" spans="1:13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</row>
    <row r="4379" spans="1:13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</row>
    <row r="4380" spans="1:13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</row>
    <row r="4381" spans="1:13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</row>
    <row r="4382" spans="1:13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</row>
    <row r="4383" spans="1:13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</row>
    <row r="4384" spans="1:13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</row>
    <row r="4385" spans="1:13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</row>
    <row r="4386" spans="1:13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</row>
    <row r="4387" spans="1:13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</row>
    <row r="4388" spans="1:13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</row>
    <row r="4389" spans="1:13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</row>
    <row r="4390" spans="1:13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</row>
    <row r="4391" spans="1:13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</row>
    <row r="4392" spans="1:13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</row>
    <row r="4393" spans="1:13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</row>
    <row r="4394" spans="1:13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</row>
    <row r="4395" spans="1:13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</row>
    <row r="4396" spans="1:13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</row>
    <row r="4397" spans="1:13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</row>
    <row r="4398" spans="1:13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</row>
    <row r="4399" spans="1:13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</row>
    <row r="4400" spans="1:13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</row>
    <row r="4401" spans="1:13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</row>
    <row r="4402" spans="1:13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</row>
    <row r="4403" spans="1:13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</row>
    <row r="4404" spans="1:13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</row>
    <row r="4405" spans="1:13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</row>
    <row r="4406" spans="1:13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</row>
    <row r="4407" spans="1:13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</row>
    <row r="4408" spans="1:13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</row>
    <row r="4409" spans="1:13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</row>
    <row r="4410" spans="1:13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</row>
    <row r="4411" spans="1:13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</row>
    <row r="4412" spans="1:13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</row>
    <row r="4413" spans="1:13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</row>
    <row r="4414" spans="1:13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</row>
    <row r="4415" spans="1:13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</row>
    <row r="4416" spans="1:13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</row>
    <row r="4417" spans="1:13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</row>
    <row r="4418" spans="1:13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</row>
    <row r="4419" spans="1:13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</row>
    <row r="4420" spans="1:13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</row>
    <row r="4421" spans="1:13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</row>
    <row r="4422" spans="1:13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</row>
    <row r="4423" spans="1:13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</row>
    <row r="4424" spans="1:13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</row>
    <row r="4425" spans="1:13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</row>
    <row r="4426" spans="1:13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</row>
    <row r="4427" spans="1:13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</row>
    <row r="4428" spans="1:13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</row>
    <row r="4429" spans="1:13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</row>
    <row r="4430" spans="1:13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</row>
    <row r="4431" spans="1:13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</row>
    <row r="4432" spans="1:13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</row>
    <row r="4433" spans="1:13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</row>
    <row r="4434" spans="1:13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</row>
    <row r="4435" spans="1:13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</row>
    <row r="4436" spans="1:13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</row>
    <row r="4437" spans="1:13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</row>
    <row r="4438" spans="1:13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</row>
    <row r="4439" spans="1:13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</row>
    <row r="4440" spans="1:13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</row>
    <row r="4441" spans="1:13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</row>
    <row r="4442" spans="1:13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</row>
    <row r="4443" spans="1:13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</row>
    <row r="4444" spans="1:13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</row>
    <row r="4445" spans="1:13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</row>
    <row r="4446" spans="1:13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</row>
    <row r="4447" spans="1:13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</row>
    <row r="4448" spans="1:13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</row>
    <row r="4449" spans="1:13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</row>
    <row r="4450" spans="1:13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</row>
    <row r="4451" spans="1:13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</row>
    <row r="4452" spans="1:13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</row>
    <row r="4453" spans="1:13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</row>
    <row r="4454" spans="1:13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</row>
    <row r="4455" spans="1:13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</row>
    <row r="4456" spans="1:13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</row>
    <row r="4457" spans="1:13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</row>
    <row r="4458" spans="1:13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</row>
    <row r="4459" spans="1:13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</row>
    <row r="4460" spans="1:13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</row>
    <row r="4461" spans="1:13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</row>
    <row r="4462" spans="1:13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</row>
    <row r="4463" spans="1:13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</row>
    <row r="4464" spans="1:13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</row>
    <row r="4465" spans="1:13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</row>
    <row r="4466" spans="1:13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</row>
    <row r="4467" spans="1:13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</row>
    <row r="4468" spans="1:13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</row>
    <row r="4469" spans="1:13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</row>
    <row r="4470" spans="1:13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</row>
    <row r="4471" spans="1:13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</row>
    <row r="4472" spans="1:13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</row>
    <row r="4473" spans="1:13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</row>
    <row r="4474" spans="1:13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</row>
    <row r="4475" spans="1:13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</row>
    <row r="4476" spans="1:13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</row>
    <row r="4477" spans="1:13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</row>
    <row r="4478" spans="1:13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</row>
    <row r="4479" spans="1:13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</row>
    <row r="4480" spans="1:13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</row>
    <row r="4481" spans="1:13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</row>
    <row r="4482" spans="1:13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</row>
    <row r="4483" spans="1:13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</row>
    <row r="4484" spans="1:13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</row>
    <row r="4485" spans="1:13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</row>
    <row r="4486" spans="1:13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</row>
    <row r="4487" spans="1:13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</row>
    <row r="4488" spans="1:13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</row>
    <row r="4489" spans="1:13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</row>
    <row r="4490" spans="1:13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</row>
    <row r="4491" spans="1:13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</row>
    <row r="4492" spans="1:13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</row>
    <row r="4493" spans="1:13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</row>
    <row r="4494" spans="1:13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</row>
    <row r="4495" spans="1:13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</row>
    <row r="4496" spans="1:13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</row>
    <row r="4497" spans="1:13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</row>
    <row r="4498" spans="1:13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</row>
    <row r="4499" spans="1:13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</row>
    <row r="4500" spans="1:13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</row>
    <row r="4501" spans="1:13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</row>
    <row r="4502" spans="1:13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</row>
    <row r="4503" spans="1:13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</row>
    <row r="4504" spans="1:13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</row>
    <row r="4505" spans="1:13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</row>
    <row r="4506" spans="1:13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</row>
    <row r="4507" spans="1:13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</row>
    <row r="4508" spans="1:13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</row>
    <row r="4509" spans="1:13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</row>
    <row r="4510" spans="1:13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</row>
    <row r="4511" spans="1:13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</row>
    <row r="4512" spans="1:13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</row>
    <row r="4513" spans="1:13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</row>
    <row r="4514" spans="1:13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</row>
    <row r="4515" spans="1:13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</row>
    <row r="4516" spans="1:13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</row>
    <row r="4517" spans="1:13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</row>
    <row r="4518" spans="1:13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</row>
    <row r="4519" spans="1:13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</row>
    <row r="4520" spans="1:13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</row>
    <row r="4521" spans="1:13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</row>
    <row r="4522" spans="1:13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</row>
    <row r="4523" spans="1:13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</row>
    <row r="4524" spans="1:13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</row>
    <row r="4525" spans="1:13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</row>
    <row r="4526" spans="1:13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</row>
    <row r="4527" spans="1:13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</row>
    <row r="4528" spans="1:13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</row>
    <row r="4529" spans="1:13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</row>
    <row r="4530" spans="1:13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</row>
    <row r="4531" spans="1:13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</row>
    <row r="4532" spans="1:13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</row>
    <row r="4533" spans="1:13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</row>
    <row r="4534" spans="1:13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</row>
    <row r="4535" spans="1:13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</row>
    <row r="4536" spans="1:13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</row>
    <row r="4537" spans="1:13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</row>
    <row r="4538" spans="1:13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</row>
    <row r="4539" spans="1:13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</row>
    <row r="4540" spans="1:13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</row>
    <row r="4541" spans="1:13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</row>
    <row r="4542" spans="1:13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</row>
    <row r="4543" spans="1:13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</row>
    <row r="4544" spans="1:13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</row>
    <row r="4545" spans="1:13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</row>
    <row r="4546" spans="1:13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</row>
    <row r="4547" spans="1:13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</row>
    <row r="4548" spans="1:13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</row>
    <row r="4549" spans="1:13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</row>
    <row r="4550" spans="1:13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</row>
    <row r="4551" spans="1:13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</row>
    <row r="4552" spans="1:13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</row>
    <row r="4553" spans="1:13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</row>
    <row r="4554" spans="1:13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</row>
    <row r="4555" spans="1:13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</row>
    <row r="4556" spans="1:13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</row>
    <row r="4557" spans="1:13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</row>
    <row r="4558" spans="1:13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</row>
    <row r="4559" spans="1:13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</row>
    <row r="4560" spans="1:13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</row>
    <row r="4561" spans="1:13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</row>
    <row r="4562" spans="1:13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</row>
    <row r="4563" spans="1:13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</row>
    <row r="4564" spans="1:13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</row>
    <row r="4565" spans="1:13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</row>
    <row r="4566" spans="1:13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</row>
    <row r="4567" spans="1:13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</row>
    <row r="4568" spans="1:13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</row>
    <row r="4569" spans="1:13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</row>
    <row r="4570" spans="1:13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</row>
    <row r="4571" spans="1:13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</row>
    <row r="4572" spans="1:13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</row>
    <row r="4573" spans="1:13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</row>
    <row r="4574" spans="1:13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</row>
    <row r="4575" spans="1:13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</row>
    <row r="4576" spans="1:13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</row>
    <row r="4577" spans="1:13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</row>
    <row r="4578" spans="1:13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</row>
    <row r="4579" spans="1:13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</row>
    <row r="4580" spans="1:13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</row>
    <row r="4581" spans="1:13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</row>
    <row r="4582" spans="1:13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</row>
    <row r="4583" spans="1:13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</row>
    <row r="4584" spans="1:13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</row>
    <row r="4585" spans="1:13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</row>
    <row r="4586" spans="1:13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</row>
    <row r="4587" spans="1:13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</row>
    <row r="4588" spans="1:13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</row>
    <row r="4589" spans="1:13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</row>
    <row r="4590" spans="1:13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</row>
    <row r="4591" spans="1:13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</row>
    <row r="4592" spans="1:13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</row>
    <row r="4593" spans="1:13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</row>
    <row r="4594" spans="1:13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</row>
    <row r="4595" spans="1:13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</row>
    <row r="4596" spans="1:13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</row>
    <row r="4597" spans="1:13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</row>
    <row r="4598" spans="1:13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</row>
    <row r="4599" spans="1:13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</row>
    <row r="4600" spans="1:13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</row>
    <row r="4601" spans="1:13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</row>
    <row r="4602" spans="1:13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</row>
    <row r="4603" spans="1:13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</row>
    <row r="4604" spans="1:13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</row>
    <row r="4605" spans="1:13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</row>
    <row r="4606" spans="1:13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</row>
    <row r="4607" spans="1:13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</row>
    <row r="4608" spans="1:13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</row>
    <row r="4609" spans="1:13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</row>
    <row r="4610" spans="1:13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</row>
    <row r="4611" spans="1:13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</row>
    <row r="4612" spans="1:13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</row>
    <row r="4613" spans="1:13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</row>
    <row r="4614" spans="1:13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</row>
    <row r="4615" spans="1:13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</row>
    <row r="4616" spans="1:13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</row>
    <row r="4617" spans="1:13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</row>
    <row r="4618" spans="1:13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</row>
    <row r="4619" spans="1:13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</row>
    <row r="4620" spans="1:13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</row>
    <row r="4621" spans="1:13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</row>
    <row r="4622" spans="1:13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</row>
    <row r="4623" spans="1:13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</row>
    <row r="4624" spans="1:13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</row>
    <row r="4625" spans="1:13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</row>
    <row r="4626" spans="1:13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</row>
    <row r="4627" spans="1:13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</row>
    <row r="4628" spans="1:13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</row>
    <row r="4629" spans="1:13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</row>
    <row r="4630" spans="1:13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</row>
    <row r="4631" spans="1:13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</row>
    <row r="4632" spans="1:13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</row>
    <row r="4633" spans="1:13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</row>
    <row r="4634" spans="1:13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</row>
    <row r="4635" spans="1:13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</row>
    <row r="4636" spans="1:13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</row>
    <row r="4637" spans="1:13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</row>
    <row r="4638" spans="1:13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</row>
    <row r="4639" spans="1:13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</row>
    <row r="4640" spans="1:13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</row>
    <row r="4641" spans="1:13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</row>
    <row r="4642" spans="1:13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</row>
    <row r="4643" spans="1:13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</row>
    <row r="4644" spans="1:13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</row>
    <row r="4645" spans="1:13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</row>
    <row r="4646" spans="1:13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</row>
    <row r="4647" spans="1:13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</row>
    <row r="4648" spans="1:13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</row>
    <row r="4649" spans="1:13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</row>
    <row r="4650" spans="1:13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</row>
    <row r="4651" spans="1:13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</row>
    <row r="4652" spans="1:13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</row>
    <row r="4653" spans="1:13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</row>
    <row r="4654" spans="1:13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</row>
    <row r="4655" spans="1:13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</row>
    <row r="4656" spans="1:13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</row>
    <row r="4657" spans="1:13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</row>
    <row r="4658" spans="1:13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</row>
    <row r="4659" spans="1:13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</row>
    <row r="4660" spans="1:13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</row>
    <row r="4661" spans="1:13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</row>
    <row r="4662" spans="1:13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</row>
    <row r="4663" spans="1:13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</row>
    <row r="4664" spans="1:13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</row>
    <row r="4665" spans="1:13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</row>
    <row r="4666" spans="1:13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</row>
    <row r="4667" spans="1:13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</row>
    <row r="4668" spans="1:13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</row>
    <row r="4669" spans="1:13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</row>
    <row r="4670" spans="1:13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</row>
    <row r="4671" spans="1:13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</row>
    <row r="4672" spans="1:13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</row>
    <row r="4673" spans="1:13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</row>
    <row r="4674" spans="1:13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</row>
    <row r="4675" spans="1:13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</row>
    <row r="4676" spans="1:13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</row>
    <row r="4677" spans="1:13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</row>
    <row r="4678" spans="1:13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</row>
    <row r="4679" spans="1:13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</row>
    <row r="4680" spans="1:13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</row>
    <row r="4681" spans="1:13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</row>
    <row r="4682" spans="1:13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</row>
    <row r="4683" spans="1:13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</row>
    <row r="4684" spans="1:13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</row>
    <row r="4685" spans="1:13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</row>
    <row r="4686" spans="1:13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</row>
    <row r="4687" spans="1:13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</row>
    <row r="4688" spans="1:13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</row>
    <row r="4689" spans="1:13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</row>
    <row r="4690" spans="1:13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</row>
    <row r="4691" spans="1:13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</row>
    <row r="4692" spans="1:13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</row>
    <row r="4693" spans="1:13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</row>
    <row r="4694" spans="1:13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</row>
    <row r="4695" spans="1:13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</row>
    <row r="4696" spans="1:13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</row>
    <row r="4697" spans="1:13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</row>
    <row r="4698" spans="1:13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</row>
    <row r="4699" spans="1:13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</row>
    <row r="4700" spans="1:13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</row>
    <row r="4701" spans="1:13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</row>
    <row r="4702" spans="1:13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</row>
    <row r="4703" spans="1:13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</row>
    <row r="4704" spans="1:13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</row>
    <row r="4705" spans="1:13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</row>
    <row r="4706" spans="1:13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</row>
    <row r="4707" spans="1:13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</row>
    <row r="4708" spans="1:13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</row>
    <row r="4709" spans="1:13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</row>
    <row r="4710" spans="1:13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</row>
    <row r="4711" spans="1:13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</row>
    <row r="4712" spans="1:13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</row>
    <row r="4713" spans="1:13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</row>
    <row r="4714" spans="1:13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</row>
    <row r="4715" spans="1:13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</row>
    <row r="4716" spans="1:13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</row>
    <row r="4717" spans="1:13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</row>
    <row r="4718" spans="1:13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</row>
    <row r="4719" spans="1:13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</row>
    <row r="4720" spans="1:13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</row>
    <row r="4721" spans="1:13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</row>
    <row r="4722" spans="1:13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</row>
    <row r="4723" spans="1:13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</row>
    <row r="4724" spans="1:13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</row>
    <row r="4725" spans="1:13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</row>
    <row r="4726" spans="1:13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</row>
    <row r="4727" spans="1:13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</row>
    <row r="4728" spans="1:13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</row>
    <row r="4729" spans="1:13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</row>
    <row r="4730" spans="1:13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</row>
    <row r="4731" spans="1:13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</row>
    <row r="4732" spans="1:13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</row>
    <row r="4733" spans="1:13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</row>
    <row r="4734" spans="1:13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</row>
    <row r="4735" spans="1:13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</row>
    <row r="4736" spans="1:13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</row>
    <row r="4737" spans="1:13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</row>
    <row r="4738" spans="1:13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</row>
    <row r="4739" spans="1:13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</row>
    <row r="4740" spans="1:13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</row>
    <row r="4741" spans="1:13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</row>
    <row r="4742" spans="1:13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</row>
    <row r="4743" spans="1:13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</row>
    <row r="4744" spans="1:13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</row>
    <row r="4745" spans="1:13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</row>
    <row r="4746" spans="1:13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</row>
    <row r="4747" spans="1:13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</row>
    <row r="4748" spans="1:13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</row>
    <row r="4749" spans="1:13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</row>
    <row r="4750" spans="1:13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</row>
    <row r="4751" spans="1:13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</row>
    <row r="4752" spans="1:13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</row>
    <row r="4753" spans="1:13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</row>
    <row r="4754" spans="1:13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</row>
    <row r="4755" spans="1:13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</row>
    <row r="4756" spans="1:13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</row>
    <row r="4757" spans="1:13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</row>
    <row r="4758" spans="1:13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</row>
    <row r="4759" spans="1:13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</row>
    <row r="4760" spans="1:13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</row>
    <row r="4761" spans="1:13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</row>
    <row r="4762" spans="1:13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</row>
    <row r="4763" spans="1:13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</row>
    <row r="4764" spans="1:13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</row>
    <row r="4765" spans="1:13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</row>
    <row r="4766" spans="1:13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</row>
    <row r="4767" spans="1:13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</row>
    <row r="4768" spans="1:13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</row>
    <row r="4769" spans="1:13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</row>
    <row r="4770" spans="1:13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</row>
    <row r="4771" spans="1:13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</row>
    <row r="4772" spans="1:13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</row>
    <row r="4773" spans="1:13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</row>
    <row r="4774" spans="1:13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</row>
    <row r="4775" spans="1:13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</row>
    <row r="4776" spans="1:13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</row>
    <row r="4777" spans="1:13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</row>
    <row r="4778" spans="1:13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</row>
    <row r="4779" spans="1:13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</row>
    <row r="4780" spans="1:13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</row>
    <row r="4781" spans="1:13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</row>
    <row r="4782" spans="1:13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</row>
    <row r="4783" spans="1:13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</row>
    <row r="4784" spans="1:13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</row>
    <row r="4785" spans="1:13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</row>
    <row r="4786" spans="1:13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</row>
    <row r="4787" spans="1:13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</row>
    <row r="4788" spans="1:13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</row>
    <row r="4789" spans="1:13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</row>
    <row r="4790" spans="1:13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</row>
    <row r="4791" spans="1:13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</row>
    <row r="4792" spans="1:13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</row>
    <row r="4793" spans="1:13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</row>
    <row r="4794" spans="1:13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</row>
    <row r="4795" spans="1:13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</row>
    <row r="4796" spans="1:13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</row>
    <row r="4797" spans="1:13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</row>
    <row r="4798" spans="1:13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</row>
    <row r="4799" spans="1:13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</row>
    <row r="4800" spans="1:13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</row>
    <row r="4801" spans="1:13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</row>
    <row r="4802" spans="1:13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</row>
    <row r="4803" spans="1:13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</row>
    <row r="4804" spans="1:13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</row>
    <row r="4805" spans="1:13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</row>
    <row r="4806" spans="1:13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</row>
    <row r="4807" spans="1:13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</row>
    <row r="4808" spans="1:13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</row>
    <row r="4809" spans="1:13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</row>
    <row r="4810" spans="1:13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</row>
    <row r="4811" spans="1:13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</row>
    <row r="4812" spans="1:13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</row>
    <row r="4813" spans="1:13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</row>
    <row r="4814" spans="1:13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</row>
    <row r="4815" spans="1:13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</row>
    <row r="4816" spans="1:13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</row>
    <row r="4817" spans="1:13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</row>
    <row r="4818" spans="1:13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</row>
    <row r="4819" spans="1:13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</row>
    <row r="4820" spans="1:13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</row>
    <row r="4821" spans="1:13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</row>
    <row r="4822" spans="1:13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</row>
    <row r="4823" spans="1:13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</row>
    <row r="4824" spans="1:13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</row>
    <row r="4825" spans="1:13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</row>
    <row r="4826" spans="1:13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</row>
    <row r="4827" spans="1:13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</row>
    <row r="4828" spans="1:13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</row>
    <row r="4829" spans="1:13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</row>
    <row r="4830" spans="1:13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</row>
    <row r="4831" spans="1:13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</row>
    <row r="4832" spans="1:13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</row>
    <row r="4833" spans="1:13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</row>
    <row r="4834" spans="1:13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</row>
    <row r="4835" spans="1:13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</row>
    <row r="4836" spans="1:13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</row>
    <row r="4837" spans="1:13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</row>
    <row r="4838" spans="1:13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</row>
    <row r="4839" spans="1:13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</row>
    <row r="4840" spans="1:13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</row>
    <row r="4841" spans="1:13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</row>
    <row r="4842" spans="1:13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</row>
    <row r="4843" spans="1:13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</row>
    <row r="4844" spans="1:13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</row>
    <row r="4845" spans="1:13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</row>
    <row r="4846" spans="1:13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</row>
    <row r="4847" spans="1:13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</row>
    <row r="4848" spans="1:13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</row>
    <row r="4849" spans="1:13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</row>
    <row r="4850" spans="1:13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</row>
    <row r="4851" spans="1:13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</row>
    <row r="4852" spans="1:13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</row>
    <row r="4853" spans="1:13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</row>
    <row r="4854" spans="1:13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</row>
    <row r="4855" spans="1:13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</row>
    <row r="4856" spans="1:13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</row>
    <row r="4857" spans="1:13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</row>
    <row r="4858" spans="1:13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</row>
    <row r="4859" spans="1:13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</row>
    <row r="4860" spans="1:13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</row>
    <row r="4861" spans="1:13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</row>
    <row r="4862" spans="1:13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</row>
    <row r="4863" spans="1:13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</row>
    <row r="4864" spans="1:13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</row>
    <row r="4865" spans="1:13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</row>
    <row r="4866" spans="1:13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</row>
    <row r="4867" spans="1:13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</row>
    <row r="4868" spans="1:13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</row>
    <row r="4869" spans="1:13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</row>
    <row r="4870" spans="1:13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</row>
    <row r="4871" spans="1:13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</row>
    <row r="4872" spans="1:13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</row>
    <row r="4873" spans="1:13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</row>
    <row r="4874" spans="1:13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</row>
    <row r="4875" spans="1:13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</row>
    <row r="4876" spans="1:13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</row>
    <row r="4877" spans="1:13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</row>
    <row r="4878" spans="1:13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</row>
    <row r="4879" spans="1:13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</row>
    <row r="4880" spans="1:13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</row>
    <row r="4881" spans="1:13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</row>
    <row r="4882" spans="1:13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</row>
    <row r="4883" spans="1:13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</row>
    <row r="4884" spans="1:13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</row>
    <row r="4885" spans="1:13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</row>
    <row r="4886" spans="1:13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</row>
    <row r="4887" spans="1:13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</row>
    <row r="4888" spans="1:13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</row>
    <row r="4889" spans="1:13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</row>
    <row r="4890" spans="1:13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</row>
    <row r="4891" spans="1:13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</row>
    <row r="4892" spans="1:13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</row>
    <row r="4893" spans="1:13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</row>
    <row r="4894" spans="1:13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</row>
    <row r="4895" spans="1:13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</row>
    <row r="4896" spans="1:13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</row>
    <row r="4897" spans="1:13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</row>
    <row r="4898" spans="1:13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</row>
    <row r="4899" spans="1:13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</row>
    <row r="4900" spans="1:13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</row>
    <row r="4901" spans="1:13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</row>
    <row r="4902" spans="1:13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</row>
    <row r="4903" spans="1:13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</row>
    <row r="4904" spans="1:13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</row>
    <row r="4905" spans="1:13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</row>
    <row r="4906" spans="1:13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</row>
    <row r="4907" spans="1:13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</row>
    <row r="4908" spans="1:13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</row>
    <row r="4909" spans="1:13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</row>
    <row r="4910" spans="1:13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</row>
    <row r="4911" spans="1:13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</row>
    <row r="4912" spans="1:13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</row>
    <row r="4913" spans="1:13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</row>
    <row r="4914" spans="1:13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</row>
    <row r="4915" spans="1:13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</row>
    <row r="4916" spans="1:13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</row>
    <row r="4917" spans="1:13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</row>
    <row r="4918" spans="1:13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</row>
    <row r="4919" spans="1:13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</row>
    <row r="4920" spans="1:13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</row>
    <row r="4921" spans="1:13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</row>
    <row r="4922" spans="1:13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</row>
    <row r="4923" spans="1:13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</row>
    <row r="4924" spans="1:13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</row>
    <row r="4925" spans="1:13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</row>
    <row r="4926" spans="1:13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</row>
    <row r="4927" spans="1:13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</row>
    <row r="4928" spans="1:13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</row>
    <row r="4929" spans="1:13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</row>
    <row r="4930" spans="1:13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</row>
    <row r="4931" spans="1:13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</row>
    <row r="4932" spans="1:13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</row>
    <row r="4933" spans="1:13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</row>
    <row r="4934" spans="1:13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</row>
    <row r="4935" spans="1:13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</row>
    <row r="4936" spans="1:13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</row>
    <row r="4937" spans="1:13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</row>
    <row r="4938" spans="1:13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</row>
    <row r="4939" spans="1:13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</row>
    <row r="4940" spans="1:13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</row>
    <row r="4941" spans="1:13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</row>
    <row r="4942" spans="1:13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</row>
    <row r="4943" spans="1:13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</row>
    <row r="4944" spans="1:13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</row>
    <row r="4945" spans="1:13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</row>
    <row r="4946" spans="1:13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</row>
    <row r="4947" spans="1:13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</row>
    <row r="4948" spans="1:13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</row>
    <row r="4949" spans="1:13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</row>
    <row r="4950" spans="1:13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</row>
    <row r="4951" spans="1:13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</row>
    <row r="4952" spans="1:13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</row>
    <row r="4953" spans="1:13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</row>
    <row r="4954" spans="1:13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</row>
    <row r="4955" spans="1:13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</row>
    <row r="4956" spans="1:13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</row>
    <row r="4957" spans="1:13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</row>
    <row r="4958" spans="1:13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</row>
    <row r="4959" spans="1:13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</row>
    <row r="4960" spans="1:13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</row>
    <row r="4961" spans="1:13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</row>
    <row r="4962" spans="1:13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</row>
    <row r="4963" spans="1:13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</row>
    <row r="4964" spans="1:13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</row>
    <row r="4965" spans="1:13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</row>
    <row r="4966" spans="1:13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</row>
    <row r="4967" spans="1:13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</row>
    <row r="4968" spans="1:13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</row>
    <row r="4969" spans="1:13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</row>
    <row r="4970" spans="1:13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</row>
    <row r="4971" spans="1:13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</row>
    <row r="4972" spans="1:13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</row>
    <row r="4973" spans="1:13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</row>
    <row r="4974" spans="1:13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</row>
    <row r="4975" spans="1:13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</row>
    <row r="4976" spans="1:13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</row>
    <row r="4977" spans="1:13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</row>
    <row r="4978" spans="1:13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</row>
    <row r="4979" spans="1:13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</row>
    <row r="4980" spans="1:13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</row>
    <row r="4981" spans="1:13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</row>
    <row r="4982" spans="1:13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</row>
    <row r="4983" spans="1:13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</row>
    <row r="4984" spans="1:13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</row>
    <row r="4985" spans="1:13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</row>
    <row r="4986" spans="1:13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</row>
    <row r="4987" spans="1:13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</row>
    <row r="4988" spans="1:13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</row>
    <row r="4989" spans="1:13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</row>
    <row r="4990" spans="1:13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</row>
    <row r="4991" spans="1:13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</row>
    <row r="4992" spans="1:13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</row>
    <row r="4993" spans="1:13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</row>
    <row r="4994" spans="1:13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</row>
    <row r="4995" spans="1:13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</row>
    <row r="4996" spans="1:13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</row>
    <row r="4997" spans="1:13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</row>
    <row r="4998" spans="1:13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</row>
    <row r="4999" spans="1:13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</row>
    <row r="5000" spans="1:13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</row>
    <row r="5001" spans="1:13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</row>
    <row r="5002" spans="1:13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</row>
    <row r="5003" spans="1:13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</row>
    <row r="5004" spans="1:13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</row>
    <row r="5005" spans="1:13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</row>
    <row r="5006" spans="1:13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</row>
    <row r="5007" spans="1:13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</row>
    <row r="5008" spans="1:13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</row>
    <row r="5009" spans="1:13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</row>
    <row r="5010" spans="1:13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</row>
    <row r="5011" spans="1:13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</row>
    <row r="5012" spans="1:13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</row>
    <row r="5013" spans="1:13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</row>
    <row r="5014" spans="1:13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</row>
    <row r="5015" spans="1:13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</row>
    <row r="5016" spans="1:13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</row>
    <row r="5017" spans="1:13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</row>
    <row r="5018" spans="1:13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</row>
    <row r="5019" spans="1:13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</row>
    <row r="5020" spans="1:13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</row>
    <row r="5021" spans="1:13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</row>
    <row r="5022" spans="1:13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</row>
    <row r="5023" spans="1:13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</row>
    <row r="5024" spans="1:13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</row>
    <row r="5025" spans="1:13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</row>
    <row r="5026" spans="1:13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</row>
    <row r="5027" spans="1:13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</row>
    <row r="5028" spans="1:13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</row>
    <row r="5029" spans="1:13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</row>
    <row r="5030" spans="1:13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</row>
    <row r="5031" spans="1:13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</row>
    <row r="5032" spans="1:13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</row>
    <row r="5033" spans="1:13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</row>
    <row r="5034" spans="1:13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</row>
    <row r="5035" spans="1:13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</row>
    <row r="5036" spans="1:13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</row>
    <row r="5037" spans="1:13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</row>
    <row r="5038" spans="1:13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</row>
    <row r="5039" spans="1:13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</row>
    <row r="5040" spans="1:13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</row>
    <row r="5041" spans="1:13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</row>
    <row r="5042" spans="1:13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</row>
    <row r="5043" spans="1:13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</row>
    <row r="5044" spans="1:13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</row>
    <row r="5045" spans="1:13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</row>
    <row r="5046" spans="1:13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</row>
    <row r="5047" spans="1:13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</row>
    <row r="5048" spans="1:13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</row>
    <row r="5049" spans="1:13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</row>
    <row r="5050" spans="1:13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</row>
    <row r="5051" spans="1:13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</row>
    <row r="5052" spans="1:13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</row>
    <row r="5053" spans="1:13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</row>
    <row r="5054" spans="1:13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</row>
    <row r="5055" spans="1:13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</row>
    <row r="5056" spans="1:13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</row>
    <row r="5057" spans="1:13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</row>
    <row r="5058" spans="1:13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</row>
    <row r="5059" spans="1:13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</row>
    <row r="5060" spans="1:13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</row>
    <row r="5061" spans="1:13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</row>
    <row r="5062" spans="1:13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</row>
    <row r="5063" spans="1:13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</row>
    <row r="5064" spans="1:13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</row>
    <row r="5065" spans="1:13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</row>
    <row r="5066" spans="1:13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</row>
    <row r="5067" spans="1:13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</row>
    <row r="5068" spans="1:13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</row>
    <row r="5069" spans="1:13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</row>
    <row r="5070" spans="1:13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</row>
    <row r="5071" spans="1:13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</row>
    <row r="5072" spans="1:13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</row>
    <row r="5073" spans="1:13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</row>
    <row r="5074" spans="1:13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</row>
    <row r="5075" spans="1:13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</row>
    <row r="5076" spans="1:13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</row>
    <row r="5077" spans="1:13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</row>
    <row r="5078" spans="1:13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</row>
    <row r="5079" spans="1:13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</row>
    <row r="5080" spans="1:13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</row>
    <row r="5081" spans="1:13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</row>
    <row r="5082" spans="1:13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</row>
    <row r="5083" spans="1:13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</row>
    <row r="5084" spans="1:13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</row>
    <row r="5085" spans="1:13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</row>
    <row r="5086" spans="1:13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</row>
    <row r="5087" spans="1:13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</row>
    <row r="5088" spans="1:13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</row>
    <row r="5089" spans="1:13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</row>
    <row r="5090" spans="1:13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</row>
    <row r="5091" spans="1:13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</row>
    <row r="5092" spans="1:13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</row>
    <row r="5093" spans="1:13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</row>
    <row r="5094" spans="1:13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</row>
    <row r="5095" spans="1:13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</row>
    <row r="5096" spans="1:13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</row>
    <row r="5097" spans="1:13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</row>
    <row r="5098" spans="1:13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</row>
    <row r="5099" spans="1:13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</row>
    <row r="5100" spans="1:13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</row>
    <row r="5101" spans="1:13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</row>
    <row r="5102" spans="1:13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</row>
    <row r="5103" spans="1:13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</row>
    <row r="5104" spans="1:13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</row>
    <row r="5105" spans="1:13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</row>
    <row r="5106" spans="1:13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</row>
    <row r="5107" spans="1:13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</row>
    <row r="5108" spans="1:13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</row>
    <row r="5109" spans="1:13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</row>
    <row r="5110" spans="1:13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</row>
    <row r="5111" spans="1:13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</row>
    <row r="5112" spans="1:13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</row>
    <row r="5113" spans="1:13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</row>
    <row r="5114" spans="1:13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</row>
    <row r="5115" spans="1:13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</row>
    <row r="5116" spans="1:13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</row>
    <row r="5117" spans="1:13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</row>
    <row r="5118" spans="1:13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</row>
    <row r="5119" spans="1:13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</row>
    <row r="5120" spans="1:13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</row>
    <row r="5121" spans="1:13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</row>
    <row r="5122" spans="1:13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</row>
    <row r="5123" spans="1:13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</row>
    <row r="5124" spans="1:13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</row>
    <row r="5125" spans="1:13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</row>
    <row r="5126" spans="1:13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</row>
    <row r="5127" spans="1:13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</row>
    <row r="5128" spans="1:13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</row>
    <row r="5129" spans="1:13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</row>
    <row r="5130" spans="1:13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</row>
    <row r="5131" spans="1:13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</row>
    <row r="5132" spans="1:13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</row>
    <row r="5133" spans="1:13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</row>
    <row r="5134" spans="1:13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</row>
    <row r="5135" spans="1:13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</row>
    <row r="5136" spans="1:13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</row>
    <row r="5137" spans="1:13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</row>
    <row r="5138" spans="1:13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</row>
    <row r="5139" spans="1:13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</row>
    <row r="5140" spans="1:13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</row>
    <row r="5141" spans="1:13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</row>
    <row r="5142" spans="1:13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</row>
    <row r="5143" spans="1:13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</row>
    <row r="5144" spans="1:13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</row>
    <row r="5145" spans="1:13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</row>
    <row r="5146" spans="1:13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</row>
    <row r="5147" spans="1:13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</row>
    <row r="5148" spans="1:13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</row>
    <row r="5149" spans="1:13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</row>
    <row r="5150" spans="1:13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</row>
    <row r="5151" spans="1:13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</row>
    <row r="5152" spans="1:13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</row>
    <row r="5153" spans="1:13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</row>
    <row r="5154" spans="1:13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</row>
    <row r="5155" spans="1:13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</row>
    <row r="5156" spans="1:13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</row>
    <row r="5157" spans="1:13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</row>
    <row r="5158" spans="1:13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</row>
    <row r="5159" spans="1:13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</row>
    <row r="5160" spans="1:13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</row>
    <row r="5161" spans="1:13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</row>
    <row r="5162" spans="1:13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</row>
    <row r="5163" spans="1:13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</row>
    <row r="5164" spans="1:13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</row>
    <row r="5165" spans="1:13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</row>
    <row r="5166" spans="1:13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</row>
    <row r="5167" spans="1:13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</row>
    <row r="5168" spans="1:13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</row>
    <row r="5169" spans="1:13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</row>
    <row r="5170" spans="1:13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</row>
    <row r="5171" spans="1:13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</row>
    <row r="5172" spans="1:13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</row>
    <row r="5173" spans="1:13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</row>
    <row r="5174" spans="1:13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</row>
    <row r="5175" spans="1:13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</row>
    <row r="5176" spans="1:13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</row>
    <row r="5177" spans="1:13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</row>
    <row r="5178" spans="1:13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</row>
    <row r="5179" spans="1:13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</row>
    <row r="5180" spans="1:13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</row>
    <row r="5181" spans="1:13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</row>
    <row r="5182" spans="1:13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</row>
    <row r="5183" spans="1:13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</row>
    <row r="5184" spans="1:13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</row>
    <row r="5185" spans="1:13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</row>
    <row r="5186" spans="1:13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</row>
    <row r="5187" spans="1:13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</row>
    <row r="5188" spans="1:13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</row>
    <row r="5189" spans="1:13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</row>
    <row r="5190" spans="1:13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</row>
    <row r="5191" spans="1:13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</row>
    <row r="5192" spans="1:13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</row>
    <row r="5193" spans="1:13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</row>
    <row r="5194" spans="1:13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</row>
    <row r="5195" spans="1:13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</row>
    <row r="5196" spans="1:13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</row>
    <row r="5197" spans="1:13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</row>
    <row r="5198" spans="1:13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</row>
    <row r="5199" spans="1:13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</row>
    <row r="5200" spans="1:13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</row>
    <row r="5201" spans="1:13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</row>
    <row r="5202" spans="1:13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</row>
    <row r="5203" spans="1:13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</row>
    <row r="5204" spans="1:13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</row>
    <row r="5205" spans="1:13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</row>
    <row r="5206" spans="1:13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</row>
    <row r="5207" spans="1:13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</row>
    <row r="5208" spans="1:13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</row>
    <row r="5209" spans="1:13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</row>
    <row r="5210" spans="1:13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</row>
    <row r="5211" spans="1:13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</row>
    <row r="5212" spans="1:13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</row>
    <row r="5213" spans="1:13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</row>
    <row r="5214" spans="1:13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</row>
    <row r="5215" spans="1:13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</row>
    <row r="5216" spans="1:13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</row>
    <row r="5217" spans="1:13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</row>
    <row r="5218" spans="1:13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</row>
    <row r="5219" spans="1:13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</row>
    <row r="5220" spans="1:13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</row>
    <row r="5221" spans="1:13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</row>
    <row r="5222" spans="1:13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</row>
    <row r="5223" spans="1:13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</row>
    <row r="5224" spans="1:13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</row>
    <row r="5225" spans="1:13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</row>
    <row r="5226" spans="1:13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</row>
    <row r="5227" spans="1:13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</row>
    <row r="5228" spans="1:13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</row>
    <row r="5229" spans="1:13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</row>
    <row r="5230" spans="1:13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</row>
    <row r="5231" spans="1:13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</row>
    <row r="5232" spans="1:13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</row>
    <row r="5233" spans="1:13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</row>
    <row r="5234" spans="1:13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</row>
    <row r="5235" spans="1:13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</row>
    <row r="5236" spans="1:13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</row>
    <row r="5237" spans="1:13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</row>
    <row r="5238" spans="1:13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</row>
    <row r="5239" spans="1:13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</row>
    <row r="5240" spans="1:13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</row>
    <row r="5241" spans="1:13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</row>
    <row r="5242" spans="1:13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</row>
    <row r="5243" spans="1:13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</row>
    <row r="5244" spans="1:13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</row>
    <row r="5245" spans="1:13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</row>
    <row r="5246" spans="1:13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</row>
    <row r="5247" spans="1:13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</row>
    <row r="5248" spans="1:13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</row>
    <row r="5249" spans="1:13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</row>
    <row r="5250" spans="1:13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</row>
    <row r="5251" spans="1:13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</row>
    <row r="5252" spans="1:13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</row>
    <row r="5253" spans="1:13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</row>
    <row r="5254" spans="1:13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</row>
    <row r="5255" spans="1:13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</row>
    <row r="5256" spans="1:13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</row>
    <row r="5257" spans="1:13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</row>
    <row r="5258" spans="1:13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</row>
    <row r="5259" spans="1:13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</row>
    <row r="5260" spans="1:13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</row>
    <row r="5261" spans="1:13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</row>
    <row r="5262" spans="1:13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</row>
    <row r="5263" spans="1:13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</row>
    <row r="5264" spans="1:13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</row>
    <row r="5265" spans="1:13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</row>
    <row r="5266" spans="1:13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</row>
    <row r="5267" spans="1:13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</row>
    <row r="5268" spans="1:13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</row>
    <row r="5269" spans="1:13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</row>
    <row r="5270" spans="1:13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</row>
    <row r="5271" spans="1:13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</row>
    <row r="5272" spans="1:13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</row>
    <row r="5273" spans="1:13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</row>
    <row r="5274" spans="1:13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</row>
    <row r="5275" spans="1:13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</row>
    <row r="5276" spans="1:13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</row>
    <row r="5277" spans="1:13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</row>
    <row r="5278" spans="1:13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</row>
    <row r="5279" spans="1:13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</row>
    <row r="5280" spans="1:13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</row>
    <row r="5281" spans="1:13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</row>
    <row r="5282" spans="1:13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</row>
    <row r="5283" spans="1:13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</row>
    <row r="5284" spans="1:13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</row>
    <row r="5285" spans="1:13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</row>
    <row r="5286" spans="1:13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</row>
    <row r="5287" spans="1:13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</row>
    <row r="5288" spans="1:13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</row>
    <row r="5289" spans="1:13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</row>
    <row r="5290" spans="1:13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</row>
    <row r="5291" spans="1:13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</row>
    <row r="5292" spans="1:13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</row>
    <row r="5293" spans="1:13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</row>
    <row r="5294" spans="1:13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</row>
    <row r="5295" spans="1:13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</row>
    <row r="5296" spans="1:13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</row>
    <row r="5297" spans="1:13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</row>
    <row r="5298" spans="1:13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</row>
    <row r="5299" spans="1:13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</row>
    <row r="5300" spans="1:13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</row>
    <row r="5301" spans="1:13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</row>
    <row r="5302" spans="1:13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</row>
    <row r="5303" spans="1:13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</row>
    <row r="5304" spans="1:13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</row>
    <row r="5305" spans="1:13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</row>
    <row r="5306" spans="1:13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</row>
    <row r="5307" spans="1:13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</row>
    <row r="5308" spans="1:13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</row>
    <row r="5309" spans="1:13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</row>
    <row r="5310" spans="1:13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</row>
    <row r="5311" spans="1:13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</row>
    <row r="5312" spans="1:13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</row>
    <row r="5313" spans="1:13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</row>
    <row r="5314" spans="1:13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</row>
    <row r="5315" spans="1:13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</row>
    <row r="5316" spans="1:13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</row>
    <row r="5317" spans="1:13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</row>
    <row r="5318" spans="1:13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</row>
    <row r="5319" spans="1:13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</row>
    <row r="5320" spans="1:13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</row>
    <row r="5321" spans="1:13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</row>
    <row r="5322" spans="1:13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</row>
    <row r="5323" spans="1:13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</row>
    <row r="5324" spans="1:13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</row>
    <row r="5325" spans="1:13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</row>
    <row r="5326" spans="1:13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</row>
    <row r="5327" spans="1:13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</row>
    <row r="5328" spans="1:13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</row>
    <row r="5329" spans="1:13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</row>
    <row r="5330" spans="1:13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</row>
    <row r="5331" spans="1:13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</row>
    <row r="5332" spans="1:13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</row>
    <row r="5333" spans="1:13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</row>
    <row r="5334" spans="1:13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</row>
    <row r="5335" spans="1:13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</row>
    <row r="5336" spans="1:13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</row>
    <row r="5337" spans="1:13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</row>
    <row r="5338" spans="1:13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</row>
    <row r="5339" spans="1:13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</row>
    <row r="5340" spans="1:13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</row>
    <row r="5341" spans="1:13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</row>
    <row r="5342" spans="1:13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</row>
    <row r="5343" spans="1:13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</row>
    <row r="5344" spans="1:13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</row>
    <row r="5345" spans="1:13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</row>
    <row r="5346" spans="1:13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</row>
    <row r="5347" spans="1:13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</row>
    <row r="5348" spans="1:13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</row>
    <row r="5349" spans="1:13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</row>
    <row r="5350" spans="1:13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</row>
    <row r="5351" spans="1:13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</row>
    <row r="5352" spans="1:13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</row>
    <row r="5353" spans="1:13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</row>
    <row r="5354" spans="1:13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</row>
    <row r="5355" spans="1:13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</row>
    <row r="5356" spans="1:13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</row>
    <row r="5357" spans="1:13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</row>
    <row r="5358" spans="1:13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</row>
    <row r="5359" spans="1:13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</row>
    <row r="5360" spans="1:13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</row>
    <row r="5361" spans="1:13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</row>
    <row r="5362" spans="1:13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</row>
    <row r="5363" spans="1:13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</row>
    <row r="5364" spans="1:13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</row>
    <row r="5365" spans="1:13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</row>
    <row r="5366" spans="1:13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</row>
    <row r="5367" spans="1:13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</row>
    <row r="5368" spans="1:13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</row>
    <row r="5369" spans="1:13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</row>
    <row r="5370" spans="1:13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</row>
    <row r="5371" spans="1:13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</row>
    <row r="5372" spans="1:13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</row>
    <row r="5373" spans="1:13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</row>
    <row r="5374" spans="1:13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</row>
    <row r="5375" spans="1:13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</row>
    <row r="5376" spans="1:13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</row>
    <row r="5377" spans="1:13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</row>
    <row r="5378" spans="1:13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</row>
    <row r="5379" spans="1:13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</row>
    <row r="5380" spans="1:13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</row>
    <row r="5381" spans="1:13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</row>
    <row r="5382" spans="1:13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</row>
    <row r="5383" spans="1:13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</row>
    <row r="5384" spans="1:13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</row>
    <row r="5385" spans="1:13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</row>
    <row r="5386" spans="1:13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</row>
    <row r="5387" spans="1:13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</row>
    <row r="5388" spans="1:13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</row>
    <row r="5389" spans="1:13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</row>
    <row r="5390" spans="1:13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</row>
    <row r="5391" spans="1:13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</row>
    <row r="5392" spans="1:13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</row>
    <row r="5393" spans="1:13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</row>
    <row r="5394" spans="1:13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</row>
    <row r="5395" spans="1:13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</row>
    <row r="5396" spans="1:13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</row>
    <row r="5397" spans="1:13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</row>
    <row r="5398" spans="1:13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</row>
    <row r="5399" spans="1:13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</row>
    <row r="5400" spans="1:13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</row>
    <row r="5401" spans="1:13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</row>
    <row r="5402" spans="1:13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</row>
    <row r="5403" spans="1:13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</row>
    <row r="5404" spans="1:13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</row>
    <row r="5405" spans="1:13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</row>
    <row r="5406" spans="1:13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</row>
    <row r="5407" spans="1:13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</row>
    <row r="5408" spans="1:13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</row>
    <row r="5409" spans="1:13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</row>
    <row r="5410" spans="1:13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</row>
    <row r="5411" spans="1:13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</row>
    <row r="5412" spans="1:13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</row>
    <row r="5413" spans="1:13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</row>
    <row r="5414" spans="1:13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</row>
    <row r="5415" spans="1:13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</row>
    <row r="5416" spans="1:13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</row>
    <row r="5417" spans="1:13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</row>
    <row r="5418" spans="1:13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</row>
    <row r="5419" spans="1:13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</row>
    <row r="5420" spans="1:13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</row>
    <row r="5421" spans="1:13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</row>
    <row r="5422" spans="1:13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</row>
    <row r="5423" spans="1:13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</row>
    <row r="5424" spans="1:13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</row>
    <row r="5425" spans="1:13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</row>
    <row r="5426" spans="1:13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</row>
    <row r="5427" spans="1:13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</row>
    <row r="5428" spans="1:13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</row>
    <row r="5429" spans="1:13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</row>
    <row r="5430" spans="1:13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</row>
    <row r="5431" spans="1:13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</row>
    <row r="5432" spans="1:13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</row>
    <row r="5433" spans="1:13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</row>
    <row r="5434" spans="1:13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</row>
    <row r="5435" spans="1:13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</row>
    <row r="5436" spans="1:13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</row>
    <row r="5437" spans="1:13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</row>
    <row r="5438" spans="1:13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</row>
    <row r="5439" spans="1:13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</row>
    <row r="5440" spans="1:13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</row>
    <row r="5441" spans="1:13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</row>
    <row r="5442" spans="1:13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</row>
    <row r="5443" spans="1:13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</row>
    <row r="5444" spans="1:13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</row>
    <row r="5445" spans="1:13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</row>
    <row r="5446" spans="1:13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</row>
    <row r="5447" spans="1:13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</row>
    <row r="5448" spans="1:13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</row>
    <row r="5449" spans="1:13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</row>
    <row r="5450" spans="1:13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</row>
    <row r="5451" spans="1:13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</row>
    <row r="5452" spans="1:13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</row>
    <row r="5453" spans="1:13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</row>
    <row r="5454" spans="1:13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</row>
    <row r="5455" spans="1:13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</row>
    <row r="5456" spans="1:13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</row>
    <row r="5457" spans="1:13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</row>
    <row r="5458" spans="1:13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</row>
    <row r="5459" spans="1:13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</row>
    <row r="5460" spans="1:13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</row>
    <row r="5461" spans="1:13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</row>
    <row r="5462" spans="1:13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</row>
    <row r="5463" spans="1:13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</row>
    <row r="5464" spans="1:13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</row>
    <row r="5465" spans="1:13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</row>
    <row r="5466" spans="1:13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</row>
    <row r="5467" spans="1:13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</row>
    <row r="5468" spans="1:13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</row>
    <row r="5469" spans="1:13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</row>
    <row r="5470" spans="1:13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</row>
    <row r="5471" spans="1:13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</row>
    <row r="5472" spans="1:13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</row>
    <row r="5473" spans="1:13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</row>
    <row r="5474" spans="1:13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</row>
    <row r="5475" spans="1:13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</row>
    <row r="5476" spans="1:13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</row>
    <row r="5477" spans="1:13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</row>
    <row r="5478" spans="1:13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</row>
    <row r="5479" spans="1:13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</row>
    <row r="5480" spans="1:13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</row>
    <row r="5481" spans="1:13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</row>
    <row r="5482" spans="1:13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</row>
    <row r="5483" spans="1:13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</row>
    <row r="5484" spans="1:13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</row>
    <row r="5485" spans="1:13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</row>
    <row r="5486" spans="1:13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</row>
    <row r="5487" spans="1:13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</row>
    <row r="5488" spans="1:13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</row>
    <row r="5489" spans="1:13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</row>
    <row r="5490" spans="1:13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</row>
    <row r="5491" spans="1:13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</row>
    <row r="5492" spans="1:13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</row>
    <row r="5493" spans="1:13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</row>
    <row r="5494" spans="1:13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</row>
    <row r="5495" spans="1:13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</row>
    <row r="5496" spans="1:13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</row>
    <row r="5497" spans="1:13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</row>
    <row r="5498" spans="1:13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</row>
    <row r="5499" spans="1:13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</row>
    <row r="5500" spans="1:13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</row>
    <row r="5501" spans="1:13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</row>
    <row r="5502" spans="1:13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</row>
    <row r="5503" spans="1:13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</row>
    <row r="5504" spans="1:13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</row>
    <row r="5505" spans="1:13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</row>
    <row r="5506" spans="1:13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</row>
    <row r="5507" spans="1:13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</row>
    <row r="5508" spans="1:13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</row>
    <row r="5509" spans="1:13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</row>
    <row r="5510" spans="1:13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</row>
    <row r="5511" spans="1:13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</row>
    <row r="5512" spans="1:13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</row>
    <row r="5513" spans="1:13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</row>
    <row r="5514" spans="1:13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</row>
    <row r="5515" spans="1:13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</row>
    <row r="5516" spans="1:13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</row>
    <row r="5517" spans="1:13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</row>
    <row r="5518" spans="1:13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</row>
    <row r="5519" spans="1:13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</row>
    <row r="5520" spans="1:13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</row>
    <row r="5521" spans="1:13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</row>
    <row r="5522" spans="1:13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</row>
    <row r="5523" spans="1:13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</row>
    <row r="5524" spans="1:13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</row>
    <row r="5525" spans="1:13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</row>
    <row r="5526" spans="1:13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</row>
    <row r="5527" spans="1:13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</row>
    <row r="5528" spans="1:13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</row>
    <row r="5529" spans="1:13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</row>
    <row r="5530" spans="1:13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</row>
    <row r="5531" spans="1:13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</row>
    <row r="5532" spans="1:13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</row>
    <row r="5533" spans="1:13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</row>
    <row r="5534" spans="1:13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</row>
    <row r="5535" spans="1:13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</row>
    <row r="5536" spans="1:13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</row>
    <row r="5537" spans="1:13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</row>
    <row r="5538" spans="1:13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</row>
    <row r="5539" spans="1:13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</row>
    <row r="5540" spans="1:13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</row>
    <row r="5541" spans="1:13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</row>
    <row r="5542" spans="1:13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</row>
    <row r="5543" spans="1:13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</row>
    <row r="5544" spans="1:13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</row>
    <row r="5545" spans="1:13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</row>
    <row r="5546" spans="1:13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</row>
    <row r="5547" spans="1:13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</row>
    <row r="5548" spans="1:13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</row>
    <row r="5549" spans="1:13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</row>
    <row r="5550" spans="1:13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</row>
    <row r="5551" spans="1:13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</row>
    <row r="5552" spans="1:13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</row>
    <row r="5553" spans="1:13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</row>
    <row r="5554" spans="1:13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</row>
    <row r="5555" spans="1:13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</row>
    <row r="5556" spans="1:13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</row>
    <row r="5557" spans="1:13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</row>
    <row r="5558" spans="1:13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</row>
    <row r="5559" spans="1:13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</row>
    <row r="5560" spans="1:13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</row>
    <row r="5561" spans="1:13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</row>
    <row r="5562" spans="1:13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</row>
    <row r="5563" spans="1:13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</row>
    <row r="5564" spans="1:13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</row>
    <row r="5565" spans="1:13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</row>
    <row r="5566" spans="1:13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</row>
    <row r="5567" spans="1:13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</row>
    <row r="5568" spans="1:13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</row>
    <row r="5569" spans="1:13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</row>
    <row r="5570" spans="1:13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</row>
    <row r="5571" spans="1:13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</row>
    <row r="5572" spans="1:13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</row>
    <row r="5573" spans="1:13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</row>
    <row r="5574" spans="1:13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</row>
    <row r="5575" spans="1:13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</row>
    <row r="5576" spans="1:13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</row>
    <row r="5577" spans="1:13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</row>
    <row r="5578" spans="1:13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</row>
    <row r="5579" spans="1:13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</row>
    <row r="5580" spans="1:13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</row>
    <row r="5581" spans="1:13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</row>
    <row r="5582" spans="1:13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</row>
    <row r="5583" spans="1:13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</row>
    <row r="5584" spans="1:13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</row>
    <row r="5585" spans="1:13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</row>
    <row r="5586" spans="1:13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</row>
    <row r="5587" spans="1:13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</row>
    <row r="5588" spans="1:13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</row>
    <row r="5589" spans="1:13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</row>
    <row r="5590" spans="1:13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</row>
    <row r="5591" spans="1:13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</row>
    <row r="5592" spans="1:13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</row>
    <row r="5593" spans="1:13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</row>
    <row r="5594" spans="1:13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</row>
    <row r="5595" spans="1:13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</row>
    <row r="5596" spans="1:13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</row>
    <row r="5597" spans="1:13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</row>
    <row r="5598" spans="1:13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</row>
    <row r="5599" spans="1:13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</row>
    <row r="5600" spans="1:13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</row>
    <row r="5601" spans="1:13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</row>
    <row r="5602" spans="1:13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</row>
    <row r="5603" spans="1:13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</row>
    <row r="5604" spans="1:13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</row>
    <row r="5605" spans="1:13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</row>
    <row r="5606" spans="1:13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</row>
    <row r="5607" spans="1:13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</row>
    <row r="5608" spans="1:13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</row>
    <row r="5609" spans="1:13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</row>
    <row r="5610" spans="1:13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</row>
    <row r="5611" spans="1:13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</row>
    <row r="5612" spans="1:13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</row>
    <row r="5613" spans="1:13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</row>
    <row r="5614" spans="1:13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</row>
    <row r="5615" spans="1:13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</row>
    <row r="5616" spans="1:13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</row>
    <row r="5617" spans="1:13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</row>
    <row r="5618" spans="1:13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</row>
    <row r="5619" spans="1:13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</row>
    <row r="5620" spans="1:13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</row>
    <row r="5621" spans="1:13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</row>
    <row r="5622" spans="1:13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</row>
    <row r="5623" spans="1:13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</row>
    <row r="5624" spans="1:13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</row>
    <row r="5625" spans="1:13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</row>
    <row r="5626" spans="1:13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</row>
    <row r="5627" spans="1:13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</row>
    <row r="5628" spans="1:13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</row>
    <row r="5629" spans="1:13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</row>
    <row r="5630" spans="1:13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</row>
    <row r="5631" spans="1:13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</row>
    <row r="5632" spans="1:13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</row>
    <row r="5633" spans="1:13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</row>
    <row r="5634" spans="1:13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</row>
    <row r="5635" spans="1:13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</row>
    <row r="5636" spans="1:13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</row>
    <row r="5637" spans="1:13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</row>
    <row r="5638" spans="1:13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</row>
    <row r="5639" spans="1:13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</row>
    <row r="5640" spans="1:13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</row>
    <row r="5641" spans="1:13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</row>
    <row r="5642" spans="1:13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</row>
    <row r="5643" spans="1:13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</row>
    <row r="5644" spans="1:13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</row>
    <row r="5645" spans="1:13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</row>
    <row r="5646" spans="1:13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</row>
    <row r="5647" spans="1:13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</row>
    <row r="5648" spans="1:13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</row>
    <row r="5649" spans="1:13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</row>
    <row r="5650" spans="1:13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</row>
    <row r="5651" spans="1:13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</row>
    <row r="5652" spans="1:13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</row>
    <row r="5653" spans="1:13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</row>
    <row r="5654" spans="1:13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</row>
    <row r="5655" spans="1:13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</row>
    <row r="5656" spans="1:13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</row>
    <row r="5657" spans="1:13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</row>
    <row r="5658" spans="1:13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</row>
    <row r="5659" spans="1:13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</row>
    <row r="5660" spans="1:13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</row>
    <row r="5661" spans="1:13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</row>
    <row r="5662" spans="1:13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</row>
    <row r="5663" spans="1:13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</row>
    <row r="5664" spans="1:13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</row>
    <row r="5665" spans="1:13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</row>
    <row r="5666" spans="1:13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</row>
    <row r="5667" spans="1:13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</row>
    <row r="5668" spans="1:13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</row>
    <row r="5669" spans="1:13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</row>
    <row r="5670" spans="1:13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</row>
    <row r="5671" spans="1:13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</row>
    <row r="5672" spans="1:13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</row>
    <row r="5673" spans="1:13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</row>
    <row r="5674" spans="1:13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</row>
    <row r="5675" spans="1:13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</row>
    <row r="5676" spans="1:13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</row>
    <row r="5677" spans="1:13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</row>
    <row r="5678" spans="1:13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</row>
    <row r="5679" spans="1:13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</row>
    <row r="5680" spans="1:13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</row>
    <row r="5681" spans="1:13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</row>
    <row r="5682" spans="1:13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</row>
    <row r="5683" spans="1:13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</row>
    <row r="5684" spans="1:13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</row>
    <row r="5685" spans="1:13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</row>
    <row r="5686" spans="1:13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</row>
    <row r="5687" spans="1:13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</row>
    <row r="5688" spans="1:13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</row>
    <row r="5689" spans="1:13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</row>
    <row r="5690" spans="1:13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</row>
    <row r="5691" spans="1:13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</row>
    <row r="5692" spans="1:13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</row>
    <row r="5693" spans="1:13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</row>
    <row r="5694" spans="1:13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</row>
    <row r="5695" spans="1:13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</row>
    <row r="5696" spans="1:13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</row>
    <row r="5697" spans="1:13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</row>
    <row r="5698" spans="1:13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</row>
    <row r="5699" spans="1:13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</row>
    <row r="5700" spans="1:13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</row>
    <row r="5701" spans="1:13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</row>
    <row r="5702" spans="1:13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</row>
    <row r="5703" spans="1:13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</row>
    <row r="5704" spans="1:13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</row>
    <row r="5705" spans="1:13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</row>
    <row r="5706" spans="1:13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</row>
    <row r="5707" spans="1:13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</row>
    <row r="5708" spans="1:13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</row>
    <row r="5709" spans="1:13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</row>
    <row r="5710" spans="1:13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</row>
    <row r="5711" spans="1:13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</row>
    <row r="5712" spans="1:13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</row>
    <row r="5713" spans="1:13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</row>
    <row r="5714" spans="1:13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</row>
    <row r="5715" spans="1:13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</row>
    <row r="5716" spans="1:13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</row>
    <row r="5717" spans="1:13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</row>
    <row r="5718" spans="1:13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</row>
    <row r="5719" spans="1:13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</row>
    <row r="5720" spans="1:13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</row>
    <row r="5721" spans="1:13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</row>
    <row r="5722" spans="1:13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</row>
    <row r="5723" spans="1:13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</row>
    <row r="5724" spans="1:13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</row>
    <row r="5725" spans="1:13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</row>
    <row r="5726" spans="1:13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</row>
    <row r="5727" spans="1:13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</row>
    <row r="5728" spans="1:13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</row>
    <row r="5729" spans="1:13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</row>
    <row r="5730" spans="1:13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</row>
    <row r="5731" spans="1:13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</row>
    <row r="5732" spans="1:13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</row>
    <row r="5733" spans="1:13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</row>
    <row r="5734" spans="1:13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</row>
    <row r="5735" spans="1:13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</row>
    <row r="5736" spans="1:13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</row>
    <row r="5737" spans="1:13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</row>
    <row r="5738" spans="1:13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</row>
    <row r="5739" spans="1:13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</row>
    <row r="5740" spans="1:13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</row>
    <row r="5741" spans="1:13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</row>
    <row r="5742" spans="1:13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</row>
    <row r="5743" spans="1:13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</row>
    <row r="5744" spans="1:13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</row>
    <row r="5745" spans="1:13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</row>
    <row r="5746" spans="1:13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</row>
    <row r="5747" spans="1:13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</row>
    <row r="5748" spans="1:13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</row>
    <row r="5749" spans="1:13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</row>
    <row r="5750" spans="1:13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</row>
    <row r="5751" spans="1:13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</row>
    <row r="5752" spans="1:13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</row>
    <row r="5753" spans="1:13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</row>
    <row r="5754" spans="1:13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</row>
    <row r="5755" spans="1:13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</row>
    <row r="5756" spans="1:13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</row>
    <row r="5757" spans="1:13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</row>
    <row r="5758" spans="1:13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</row>
    <row r="5759" spans="1:13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</row>
    <row r="5760" spans="1:13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</row>
    <row r="5761" spans="1:13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</row>
    <row r="5762" spans="1:13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</row>
    <row r="5763" spans="1:13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</row>
    <row r="5764" spans="1:13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</row>
    <row r="5765" spans="1:13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</row>
    <row r="5766" spans="1:13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</row>
    <row r="5767" spans="1:13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</row>
    <row r="5768" spans="1:13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</row>
    <row r="5769" spans="1:13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</row>
    <row r="5770" spans="1:13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</row>
    <row r="5771" spans="1:13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</row>
    <row r="5772" spans="1:13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</row>
    <row r="5773" spans="1:13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</row>
    <row r="5774" spans="1:13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</row>
    <row r="5775" spans="1:13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</row>
    <row r="5776" spans="1:13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</row>
    <row r="5777" spans="1:13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</row>
    <row r="5778" spans="1:13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</row>
    <row r="5779" spans="1:13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</row>
    <row r="5780" spans="1:13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</row>
    <row r="5781" spans="1:13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</row>
    <row r="5782" spans="1:13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</row>
    <row r="5783" spans="1:13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</row>
    <row r="5784" spans="1:13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</row>
    <row r="5785" spans="1:13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</row>
    <row r="5786" spans="1:13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</row>
    <row r="5787" spans="1:13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</row>
    <row r="5788" spans="1:13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</row>
    <row r="5789" spans="1:13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</row>
    <row r="5790" spans="1:13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</row>
    <row r="5791" spans="1:13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</row>
    <row r="5792" spans="1:13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</row>
    <row r="5793" spans="1:13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</row>
    <row r="5794" spans="1:13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</row>
    <row r="5795" spans="1:13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</row>
    <row r="5796" spans="1:13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</row>
    <row r="5797" spans="1:13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</row>
    <row r="5798" spans="1:13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</row>
    <row r="5799" spans="1:13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</row>
    <row r="5800" spans="1:13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</row>
    <row r="5801" spans="1:13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</row>
    <row r="5802" spans="1:13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</row>
    <row r="5803" spans="1:13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</row>
    <row r="5804" spans="1:13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</row>
    <row r="5805" spans="1:13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</row>
    <row r="5806" spans="1:13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</row>
    <row r="5807" spans="1:13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</row>
    <row r="5808" spans="1:13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</row>
    <row r="5809" spans="1:13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</row>
    <row r="5810" spans="1:13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</row>
    <row r="5811" spans="1:13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</row>
    <row r="5812" spans="1:13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</row>
    <row r="5813" spans="1:13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</row>
    <row r="5814" spans="1:13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</row>
    <row r="5815" spans="1:13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</row>
    <row r="5816" spans="1:13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</row>
    <row r="5817" spans="1:13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</row>
    <row r="5818" spans="1:13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</row>
    <row r="5819" spans="1:13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</row>
    <row r="5820" spans="1:13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</row>
    <row r="5821" spans="1:13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</row>
    <row r="5822" spans="1:13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</row>
    <row r="5823" spans="1:13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</row>
    <row r="5824" spans="1:13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</row>
    <row r="5825" spans="1:13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</row>
    <row r="5826" spans="1:13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</row>
    <row r="5827" spans="1:13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</row>
    <row r="5828" spans="1:13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</row>
    <row r="5829" spans="1:13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</row>
    <row r="5830" spans="1:13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</row>
    <row r="5831" spans="1:13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</row>
    <row r="5832" spans="1:13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</row>
    <row r="5833" spans="1:13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</row>
    <row r="5834" spans="1:13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</row>
    <row r="5835" spans="1:13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</row>
    <row r="5836" spans="1:13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</row>
    <row r="5837" spans="1:13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</row>
    <row r="5838" spans="1:13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</row>
    <row r="5839" spans="1:13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</row>
    <row r="5840" spans="1:13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</row>
    <row r="5841" spans="1:13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</row>
    <row r="5842" spans="1:13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</row>
    <row r="5843" spans="1:13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</row>
    <row r="5844" spans="1:13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</row>
    <row r="5845" spans="1:13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</row>
    <row r="5846" spans="1:13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</row>
    <row r="5847" spans="1:13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</row>
    <row r="5848" spans="1:13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</row>
    <row r="5849" spans="1:13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</row>
    <row r="5850" spans="1:13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</row>
    <row r="5851" spans="1:13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</row>
    <row r="5852" spans="1:13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</row>
    <row r="5853" spans="1:13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</row>
    <row r="5854" spans="1:13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</row>
    <row r="5855" spans="1:13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</row>
    <row r="5856" spans="1:13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</row>
    <row r="5857" spans="1:13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</row>
    <row r="5858" spans="1:13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</row>
    <row r="5859" spans="1:13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</row>
    <row r="5860" spans="1:13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</row>
    <row r="5861" spans="1:13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</row>
    <row r="5862" spans="1:13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</row>
    <row r="5863" spans="1:13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</row>
    <row r="5864" spans="1:13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</row>
    <row r="5865" spans="1:13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</row>
    <row r="5866" spans="1:13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</row>
    <row r="5867" spans="1:13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</row>
    <row r="5868" spans="1:13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</row>
    <row r="5869" spans="1:13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</row>
    <row r="5870" spans="1:13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</row>
    <row r="5871" spans="1:13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</row>
    <row r="5872" spans="1:13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</row>
    <row r="5873" spans="1:13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</row>
    <row r="5874" spans="1:13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</row>
    <row r="5875" spans="1:13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</row>
    <row r="5876" spans="1:13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</row>
    <row r="5877" spans="1:13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</row>
    <row r="5878" spans="1:13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</row>
    <row r="5879" spans="1:13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</row>
    <row r="5880" spans="1:13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</row>
    <row r="5881" spans="1:13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</row>
    <row r="5882" spans="1:13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</row>
    <row r="5883" spans="1:13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</row>
    <row r="5884" spans="1:13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</row>
    <row r="5885" spans="1:13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</row>
    <row r="5886" spans="1:13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</row>
    <row r="5887" spans="1:13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</row>
    <row r="5888" spans="1:13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</row>
    <row r="5889" spans="1:13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</row>
    <row r="5890" spans="1:13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</row>
    <row r="5891" spans="1:13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</row>
    <row r="5892" spans="1:13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</row>
    <row r="5893" spans="1:13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</row>
    <row r="5894" spans="1:13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</row>
    <row r="5895" spans="1:13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</row>
    <row r="5896" spans="1:13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</row>
    <row r="5897" spans="1:13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</row>
    <row r="5898" spans="1:13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</row>
    <row r="5899" spans="1:13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</row>
    <row r="5900" spans="1:13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</row>
    <row r="5901" spans="1:13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</row>
    <row r="5902" spans="1:13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</row>
    <row r="5903" spans="1:13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</row>
    <row r="5904" spans="1:13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</row>
    <row r="5905" spans="1:13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</row>
    <row r="5906" spans="1:13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</row>
    <row r="5907" spans="1:13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</row>
    <row r="5908" spans="1:13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</row>
    <row r="5909" spans="1:13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</row>
    <row r="5910" spans="1:13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</row>
    <row r="5911" spans="1:13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</row>
    <row r="5912" spans="1:13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</row>
    <row r="5913" spans="1:13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</row>
    <row r="5914" spans="1:13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</row>
    <row r="5915" spans="1:13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</row>
    <row r="5916" spans="1:13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</row>
    <row r="5917" spans="1:13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</row>
    <row r="5918" spans="1:13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</row>
    <row r="5919" spans="1:13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</row>
    <row r="5920" spans="1:13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</row>
    <row r="5921" spans="1:13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</row>
    <row r="5922" spans="1:13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</row>
    <row r="5923" spans="1:13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</row>
    <row r="5924" spans="1:13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</row>
    <row r="5925" spans="1:13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</row>
    <row r="5926" spans="1:13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</row>
    <row r="5927" spans="1:13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</row>
    <row r="5928" spans="1:13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</row>
    <row r="5929" spans="1:13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</row>
    <row r="5930" spans="1:13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</row>
    <row r="5931" spans="1:13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</row>
    <row r="5932" spans="1:13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</row>
    <row r="5933" spans="1:13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</row>
    <row r="5934" spans="1:13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</row>
    <row r="5935" spans="1:13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</row>
    <row r="5936" spans="1:13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</row>
    <row r="5937" spans="1:13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</row>
    <row r="5938" spans="1:13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</row>
    <row r="5939" spans="1:13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</row>
    <row r="5940" spans="1:13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</row>
    <row r="5941" spans="1:13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</row>
    <row r="5942" spans="1:13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</row>
    <row r="5943" spans="1:13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</row>
    <row r="5944" spans="1:13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</row>
    <row r="5945" spans="1:13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</row>
    <row r="5946" spans="1:13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</row>
    <row r="5947" spans="1:13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</row>
    <row r="5948" spans="1:13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</row>
    <row r="5949" spans="1:13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</row>
    <row r="5950" spans="1:13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</row>
    <row r="5951" spans="1:13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</row>
    <row r="5952" spans="1:13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</row>
    <row r="5953" spans="1:13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</row>
    <row r="5954" spans="1:13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</row>
    <row r="5955" spans="1:13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</row>
    <row r="5956" spans="1:13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</row>
    <row r="5957" spans="1:13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</row>
    <row r="5958" spans="1:13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</row>
    <row r="5959" spans="1:13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</row>
    <row r="5960" spans="1:13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</row>
    <row r="5961" spans="1:13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</row>
    <row r="5962" spans="1:13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</row>
    <row r="5963" spans="1:13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</row>
    <row r="5964" spans="1:13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</row>
    <row r="5965" spans="1:13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</row>
    <row r="5966" spans="1:13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</row>
    <row r="5967" spans="1:13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</row>
    <row r="5968" spans="1:13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</row>
    <row r="5969" spans="1:13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</row>
    <row r="5970" spans="1:13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</row>
    <row r="5971" spans="1:13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</row>
    <row r="5972" spans="1:13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</row>
    <row r="5973" spans="1:13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</row>
    <row r="5974" spans="1:13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</row>
    <row r="5975" spans="1:13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</row>
    <row r="5976" spans="1:13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</row>
    <row r="5977" spans="1:13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</row>
    <row r="5978" spans="1:13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</row>
    <row r="5979" spans="1:13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</row>
    <row r="5980" spans="1:13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</row>
    <row r="5981" spans="1:13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</row>
    <row r="5982" spans="1:13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</row>
    <row r="5983" spans="1:13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</row>
    <row r="5984" spans="1:13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</row>
    <row r="5985" spans="1:13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</row>
    <row r="5986" spans="1:13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</row>
    <row r="5987" spans="1:13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</row>
    <row r="5988" spans="1:13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</row>
    <row r="5989" spans="1:13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</row>
    <row r="5990" spans="1:13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</row>
    <row r="5991" spans="1:13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</row>
    <row r="5992" spans="1:13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</row>
    <row r="5993" spans="1:13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</row>
    <row r="5994" spans="1:13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</row>
    <row r="5995" spans="1:13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</row>
    <row r="5996" spans="1:13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</row>
    <row r="5997" spans="1:13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</row>
    <row r="5998" spans="1:13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</row>
    <row r="5999" spans="1:13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</row>
    <row r="6000" spans="1:13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</row>
    <row r="6001" spans="1:13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</row>
    <row r="6002" spans="1:13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</row>
    <row r="6003" spans="1:13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</row>
    <row r="6004" spans="1:13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</row>
    <row r="6005" spans="1:13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</row>
    <row r="6006" spans="1:13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</row>
    <row r="6007" spans="1:13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</row>
    <row r="6008" spans="1:13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</row>
    <row r="6009" spans="1:13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</row>
    <row r="6010" spans="1:13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</row>
    <row r="6011" spans="1:13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</row>
    <row r="6012" spans="1:13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</row>
    <row r="6013" spans="1:13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</row>
    <row r="6014" spans="1:13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</row>
    <row r="6015" spans="1:13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</row>
    <row r="6016" spans="1:13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</row>
    <row r="6017" spans="1:13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</row>
    <row r="6018" spans="1:13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</row>
    <row r="6019" spans="1:13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</row>
    <row r="6020" spans="1:13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</row>
    <row r="6021" spans="1:13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</row>
    <row r="6022" spans="1:13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</row>
    <row r="6023" spans="1:13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</row>
    <row r="6024" spans="1:13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</row>
    <row r="6025" spans="1:13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</row>
    <row r="6026" spans="1:13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</row>
    <row r="6027" spans="1:13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</row>
    <row r="6028" spans="1:13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</row>
    <row r="6029" spans="1:13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</row>
    <row r="6030" spans="1:13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</row>
    <row r="6031" spans="1:13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</row>
    <row r="6032" spans="1:13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</row>
    <row r="6033" spans="1:13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</row>
    <row r="6034" spans="1:13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</row>
    <row r="6035" spans="1:13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</row>
    <row r="6036" spans="1:13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</row>
    <row r="6037" spans="1:13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</row>
    <row r="6038" spans="1:13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</row>
    <row r="6039" spans="1:13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</row>
    <row r="6040" spans="1:13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</row>
    <row r="6041" spans="1:13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</row>
    <row r="6042" spans="1:13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</row>
    <row r="6043" spans="1:13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</row>
    <row r="6044" spans="1:13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</row>
    <row r="6045" spans="1:13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</row>
    <row r="6046" spans="1:13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</row>
    <row r="6047" spans="1:13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</row>
    <row r="6048" spans="1:13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</row>
    <row r="6049" spans="1:13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</row>
    <row r="6050" spans="1:13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</row>
    <row r="6051" spans="1:13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</row>
    <row r="6052" spans="1:13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</row>
    <row r="6053" spans="1:13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</row>
    <row r="6054" spans="1:13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</row>
    <row r="6055" spans="1:13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</row>
    <row r="6056" spans="1:13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</row>
    <row r="6057" spans="1:13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</row>
    <row r="6058" spans="1:13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</row>
    <row r="6059" spans="1:13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</row>
    <row r="6060" spans="1:13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</row>
    <row r="6061" spans="1:13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</row>
    <row r="6062" spans="1:13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</row>
    <row r="6063" spans="1:13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</row>
    <row r="6064" spans="1:13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</row>
    <row r="6065" spans="1:13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</row>
    <row r="6066" spans="1:13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</row>
    <row r="6067" spans="1:13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</row>
    <row r="6068" spans="1:13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</row>
    <row r="6069" spans="1:13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</row>
    <row r="6070" spans="1:13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</row>
    <row r="6071" spans="1:13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</row>
    <row r="6072" spans="1:13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</row>
    <row r="6073" spans="1:13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</row>
    <row r="6074" spans="1:13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</row>
    <row r="6075" spans="1:13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</row>
    <row r="6076" spans="1:13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</row>
    <row r="6077" spans="1:13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</row>
    <row r="6078" spans="1:13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</row>
    <row r="6079" spans="1:13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</row>
    <row r="6080" spans="1:13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</row>
    <row r="6081" spans="1:13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</row>
    <row r="6082" spans="1:13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</row>
    <row r="6083" spans="1:13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</row>
    <row r="6084" spans="1:13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</row>
    <row r="6085" spans="1:13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</row>
    <row r="6086" spans="1:13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</row>
    <row r="6087" spans="1:13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</row>
    <row r="6088" spans="1:13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</row>
    <row r="6089" spans="1:13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</row>
    <row r="6090" spans="1:13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</row>
    <row r="6091" spans="1:13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</row>
    <row r="6092" spans="1:13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</row>
    <row r="6093" spans="1:13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</row>
    <row r="6094" spans="1:13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</row>
    <row r="6095" spans="1:13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</row>
    <row r="6096" spans="1:13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</row>
    <row r="6097" spans="1:13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</row>
    <row r="6098" spans="1:13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</row>
    <row r="6099" spans="1:13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</row>
    <row r="6100" spans="1:13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</row>
    <row r="6101" spans="1:13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</row>
    <row r="6102" spans="1:13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</row>
    <row r="6103" spans="1:13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</row>
    <row r="6104" spans="1:13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</row>
    <row r="6105" spans="1:13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</row>
    <row r="6106" spans="1:13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</row>
    <row r="6107" spans="1:13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</row>
    <row r="6108" spans="1:13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</row>
    <row r="6109" spans="1:13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</row>
    <row r="6110" spans="1:13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</row>
    <row r="6111" spans="1:13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</row>
    <row r="6112" spans="1:13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</row>
    <row r="6113" spans="1:13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</row>
    <row r="6114" spans="1:13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</row>
    <row r="6115" spans="1:13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</row>
    <row r="6116" spans="1:13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</row>
    <row r="6117" spans="1:13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</row>
    <row r="6118" spans="1:13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</row>
    <row r="6119" spans="1:13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</row>
    <row r="6120" spans="1:13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</row>
    <row r="6121" spans="1:13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</row>
    <row r="6122" spans="1:13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</row>
    <row r="6123" spans="1:13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</row>
    <row r="6124" spans="1:13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</row>
    <row r="6125" spans="1:13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</row>
    <row r="6126" spans="1:13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</row>
    <row r="6127" spans="1:13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</row>
    <row r="6128" spans="1:13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</row>
    <row r="6129" spans="1:13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</row>
    <row r="6130" spans="1:13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</row>
    <row r="6131" spans="1:13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</row>
    <row r="6132" spans="1:13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</row>
    <row r="6133" spans="1:13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</row>
    <row r="6134" spans="1:13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</row>
    <row r="6135" spans="1:13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</row>
    <row r="6136" spans="1:13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</row>
    <row r="6137" spans="1:13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</row>
    <row r="6138" spans="1:13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</row>
    <row r="6139" spans="1:13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</row>
    <row r="6140" spans="1:13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</row>
    <row r="6141" spans="1:13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</row>
    <row r="6142" spans="1:13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</row>
    <row r="6143" spans="1:13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</row>
    <row r="6144" spans="1:13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</row>
    <row r="6145" spans="1:13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</row>
    <row r="6146" spans="1:13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</row>
    <row r="6147" spans="1:13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</row>
    <row r="6148" spans="1:13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</row>
    <row r="6149" spans="1:13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</row>
    <row r="6150" spans="1:13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</row>
    <row r="6151" spans="1:13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</row>
    <row r="6152" spans="1:13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</row>
    <row r="6153" spans="1:13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</row>
    <row r="6154" spans="1:13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</row>
    <row r="6155" spans="1:13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</row>
    <row r="6156" spans="1:13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</row>
    <row r="6157" spans="1:13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</row>
    <row r="6158" spans="1:13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</row>
    <row r="6159" spans="1:13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</row>
    <row r="6160" spans="1:13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</row>
    <row r="6161" spans="1:13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</row>
    <row r="6162" spans="1:13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</row>
    <row r="6163" spans="1:13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</row>
    <row r="6164" spans="1:13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</row>
    <row r="6165" spans="1:13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</row>
    <row r="6166" spans="1:13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</row>
    <row r="6167" spans="1:13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</row>
    <row r="6168" spans="1:13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</row>
    <row r="6169" spans="1:13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</row>
    <row r="6170" spans="1:13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</row>
    <row r="6171" spans="1:13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</row>
    <row r="6172" spans="1:13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</row>
    <row r="6173" spans="1:13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</row>
    <row r="6174" spans="1:13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</row>
    <row r="6175" spans="1:13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</row>
    <row r="6176" spans="1:13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</row>
    <row r="6177" spans="1:13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</row>
    <row r="6178" spans="1:13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</row>
    <row r="6179" spans="1:13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</row>
    <row r="6180" spans="1:13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</row>
    <row r="6181" spans="1:13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</row>
    <row r="6182" spans="1:13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</row>
    <row r="6183" spans="1:13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</row>
    <row r="6184" spans="1:13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</row>
    <row r="6185" spans="1:13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</row>
    <row r="6186" spans="1:13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</row>
    <row r="6187" spans="1:13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</row>
    <row r="6188" spans="1:13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</row>
    <row r="6189" spans="1:13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</row>
    <row r="6190" spans="1:13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</row>
    <row r="6191" spans="1:13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</row>
    <row r="6192" spans="1:13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</row>
    <row r="6193" spans="1:13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</row>
    <row r="6194" spans="1:13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</row>
    <row r="6195" spans="1:13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</row>
    <row r="6196" spans="1:13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</row>
    <row r="6197" spans="1:13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</row>
    <row r="6198" spans="1:13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</row>
    <row r="6199" spans="1:13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</row>
    <row r="6200" spans="1:13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</row>
    <row r="6201" spans="1:13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</row>
    <row r="6202" spans="1:13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</row>
    <row r="6203" spans="1:13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</row>
    <row r="6204" spans="1:13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</row>
    <row r="6205" spans="1:13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</row>
    <row r="6206" spans="1:13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</row>
    <row r="6207" spans="1:13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</row>
    <row r="6208" spans="1:13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</row>
    <row r="6209" spans="1:13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</row>
    <row r="6210" spans="1:13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</row>
    <row r="6211" spans="1:13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</row>
    <row r="6212" spans="1:13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</row>
    <row r="6213" spans="1:13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</row>
    <row r="6214" spans="1:13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</row>
    <row r="6215" spans="1:13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</row>
    <row r="6216" spans="1:13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</row>
    <row r="6217" spans="1:13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</row>
    <row r="6218" spans="1:13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</row>
    <row r="6219" spans="1:13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</row>
    <row r="6220" spans="1:13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</row>
    <row r="6221" spans="1:13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</row>
    <row r="6222" spans="1:13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</row>
    <row r="6223" spans="1:13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</row>
    <row r="6224" spans="1:13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</row>
    <row r="6225" spans="1:13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</row>
    <row r="6226" spans="1:13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</row>
    <row r="6227" spans="1:13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</row>
    <row r="6228" spans="1:13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</row>
    <row r="6229" spans="1:13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</row>
    <row r="6230" spans="1:13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</row>
    <row r="6231" spans="1:13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</row>
    <row r="6232" spans="1:13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</row>
    <row r="6233" spans="1:13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</row>
    <row r="6234" spans="1:13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</row>
    <row r="6235" spans="1:13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</row>
    <row r="6236" spans="1:13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</row>
    <row r="6237" spans="1:13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</row>
    <row r="6238" spans="1:13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</row>
    <row r="6239" spans="1:13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</row>
    <row r="6240" spans="1:13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</row>
    <row r="6241" spans="1:13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</row>
    <row r="6242" spans="1:13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</row>
    <row r="6243" spans="1:13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</row>
    <row r="6244" spans="1:13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</row>
    <row r="6245" spans="1:13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</row>
    <row r="6246" spans="1:13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</row>
    <row r="6247" spans="1:13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</row>
    <row r="6248" spans="1:13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</row>
    <row r="6249" spans="1:13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</row>
    <row r="6250" spans="1:13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</row>
    <row r="6251" spans="1:13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</row>
    <row r="6252" spans="1:13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</row>
    <row r="6253" spans="1:13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</row>
    <row r="6254" spans="1:13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</row>
    <row r="6255" spans="1:13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</row>
    <row r="6256" spans="1:13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</row>
    <row r="6257" spans="1:13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</row>
    <row r="6258" spans="1:13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</row>
    <row r="6259" spans="1:13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</row>
    <row r="6260" spans="1:13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</row>
    <row r="6261" spans="1:13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</row>
    <row r="6262" spans="1:13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</row>
    <row r="6263" spans="1:13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</row>
    <row r="6264" spans="1:13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</row>
    <row r="6265" spans="1:13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</row>
    <row r="6266" spans="1:13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</row>
    <row r="6267" spans="1:13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</row>
    <row r="6268" spans="1:13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</row>
    <row r="6269" spans="1:13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</row>
    <row r="6270" spans="1:13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</row>
    <row r="6271" spans="1:13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</row>
    <row r="6272" spans="1:13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</row>
    <row r="6273" spans="1:13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</row>
    <row r="6274" spans="1:13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</row>
    <row r="6275" spans="1:13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</row>
    <row r="6276" spans="1:13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</row>
    <row r="6277" spans="1:13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</row>
    <row r="6278" spans="1:13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</row>
    <row r="6279" spans="1:13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</row>
    <row r="6280" spans="1:13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</row>
    <row r="6281" spans="1:13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</row>
    <row r="6282" spans="1:13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</row>
    <row r="6283" spans="1:13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</row>
    <row r="6284" spans="1:13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</row>
    <row r="6285" spans="1:13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</row>
    <row r="6286" spans="1:13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</row>
    <row r="6287" spans="1:13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</row>
    <row r="6288" spans="1:13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</row>
    <row r="6289" spans="1:13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</row>
    <row r="6290" spans="1:13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</row>
    <row r="6291" spans="1:13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</row>
    <row r="6292" spans="1:13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</row>
    <row r="6293" spans="1:13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</row>
    <row r="6294" spans="1:13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</row>
    <row r="6295" spans="1:13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</row>
    <row r="6296" spans="1:13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</row>
    <row r="6297" spans="1:13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</row>
    <row r="6298" spans="1:13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</row>
    <row r="6299" spans="1:13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</row>
    <row r="6300" spans="1:13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</row>
    <row r="6301" spans="1:13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</row>
    <row r="6302" spans="1:13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</row>
    <row r="6303" spans="1:13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</row>
    <row r="6304" spans="1:13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</row>
    <row r="6305" spans="1:13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</row>
    <row r="6306" spans="1:13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</row>
    <row r="6307" spans="1:13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</row>
    <row r="6308" spans="1:13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</row>
    <row r="6309" spans="1:13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</row>
    <row r="6310" spans="1:13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</row>
    <row r="6311" spans="1:13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</row>
    <row r="6312" spans="1:13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</row>
    <row r="6313" spans="1:13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</row>
    <row r="6314" spans="1:13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</row>
    <row r="6315" spans="1:13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</row>
    <row r="6316" spans="1:13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</row>
    <row r="6317" spans="1:13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</row>
    <row r="6318" spans="1:13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</row>
    <row r="6319" spans="1:13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</row>
    <row r="6320" spans="1:13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</row>
    <row r="6321" spans="1:13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</row>
    <row r="6322" spans="1:13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</row>
    <row r="6323" spans="1:13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</row>
    <row r="6324" spans="1:13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</row>
    <row r="6325" spans="1:13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</row>
    <row r="6326" spans="1:13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</row>
    <row r="6327" spans="1:13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</row>
    <row r="6328" spans="1:13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</row>
    <row r="6329" spans="1:13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</row>
    <row r="6330" spans="1:13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</row>
    <row r="6331" spans="1:13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</row>
    <row r="6332" spans="1:13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</row>
    <row r="6333" spans="1:13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</row>
    <row r="6334" spans="1:13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</row>
    <row r="6335" spans="1:13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</row>
    <row r="6336" spans="1:13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</row>
    <row r="6337" spans="1:13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</row>
    <row r="6338" spans="1:13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</row>
    <row r="6339" spans="1:13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</row>
    <row r="6340" spans="1:13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</row>
    <row r="6341" spans="1:13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</row>
    <row r="6342" spans="1:13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</row>
    <row r="6343" spans="1:13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</row>
    <row r="6344" spans="1:13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</row>
    <row r="6345" spans="1:13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</row>
    <row r="6346" spans="1:13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</row>
    <row r="6347" spans="1:13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</row>
    <row r="6348" spans="1:13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</row>
    <row r="6349" spans="1:13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</row>
    <row r="6350" spans="1:13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</row>
    <row r="6351" spans="1:13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</row>
    <row r="6352" spans="1:13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</row>
    <row r="6353" spans="1:13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</row>
    <row r="6354" spans="1:13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</row>
    <row r="6355" spans="1:13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</row>
    <row r="6356" spans="1:13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</row>
    <row r="6357" spans="1:13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</row>
    <row r="6358" spans="1:13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</row>
    <row r="6359" spans="1:13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</row>
    <row r="6360" spans="1:13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</row>
    <row r="6361" spans="1:13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</row>
    <row r="6362" spans="1:13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</row>
    <row r="6363" spans="1:13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</row>
    <row r="6364" spans="1:13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</row>
    <row r="6365" spans="1:13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</row>
    <row r="6366" spans="1:13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</row>
    <row r="6367" spans="1:13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</row>
    <row r="6368" spans="1:13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</row>
    <row r="6369" spans="1:13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</row>
    <row r="6370" spans="1:13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</row>
    <row r="6371" spans="1:13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</row>
    <row r="6372" spans="1:13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</row>
    <row r="6373" spans="1:13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</row>
    <row r="6374" spans="1:13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</row>
    <row r="6375" spans="1:13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</row>
    <row r="6376" spans="1:13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</row>
    <row r="6377" spans="1:13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</row>
    <row r="6378" spans="1:13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</row>
    <row r="6379" spans="1:13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</row>
    <row r="6380" spans="1:13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</row>
    <row r="6381" spans="1:13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</row>
    <row r="6382" spans="1:13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</row>
    <row r="6383" spans="1:13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</row>
    <row r="6384" spans="1:13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</row>
    <row r="6385" spans="1:13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</row>
    <row r="6386" spans="1:13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</row>
    <row r="6387" spans="1:13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</row>
    <row r="6388" spans="1:13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</row>
    <row r="6389" spans="1:13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</row>
    <row r="6390" spans="1:13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</row>
    <row r="6391" spans="1:13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</row>
    <row r="6392" spans="1:13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</row>
    <row r="6393" spans="1:13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</row>
    <row r="6394" spans="1:13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</row>
    <row r="6395" spans="1:13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</row>
    <row r="6396" spans="1:13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</row>
    <row r="6397" spans="1:13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</row>
    <row r="6398" spans="1:13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</row>
    <row r="6399" spans="1:13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</row>
    <row r="6400" spans="1:13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</row>
    <row r="6401" spans="1:13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</row>
    <row r="6402" spans="1:13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</row>
    <row r="6403" spans="1:13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</row>
    <row r="6404" spans="1:13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</row>
    <row r="6405" spans="1:13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</row>
    <row r="6406" spans="1:13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</row>
    <row r="6407" spans="1:13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</row>
    <row r="6408" spans="1:13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</row>
    <row r="6409" spans="1:13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</row>
    <row r="6410" spans="1:13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</row>
    <row r="6411" spans="1:13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</row>
    <row r="6412" spans="1:13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</row>
    <row r="6413" spans="1:13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</row>
    <row r="6414" spans="1:13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</row>
    <row r="6415" spans="1:13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</row>
    <row r="6416" spans="1:13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</row>
    <row r="6417" spans="1:13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</row>
    <row r="6418" spans="1:13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</row>
    <row r="6419" spans="1:13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</row>
    <row r="6420" spans="1:13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</row>
    <row r="6421" spans="1:13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</row>
    <row r="6422" spans="1:13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</row>
    <row r="6423" spans="1:13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</row>
    <row r="6424" spans="1:13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</row>
    <row r="6425" spans="1:13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</row>
    <row r="6426" spans="1:13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</row>
    <row r="6427" spans="1:13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</row>
    <row r="6428" spans="1:13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</row>
    <row r="6429" spans="1:13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</row>
    <row r="6430" spans="1:13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</row>
    <row r="6431" spans="1:13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</row>
    <row r="6432" spans="1:13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</row>
    <row r="6433" spans="1:13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</row>
    <row r="6434" spans="1:13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</row>
    <row r="6435" spans="1:13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</row>
    <row r="6436" spans="1:13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</row>
    <row r="6437" spans="1:13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</row>
    <row r="6438" spans="1:13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</row>
    <row r="6439" spans="1:13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</row>
    <row r="6440" spans="1:13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</row>
    <row r="6441" spans="1:13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</row>
    <row r="6442" spans="1:13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</row>
    <row r="6443" spans="1:13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</row>
    <row r="6444" spans="1:13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</row>
    <row r="6445" spans="1:13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</row>
    <row r="6446" spans="1:13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</row>
    <row r="6447" spans="1:13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</row>
    <row r="6448" spans="1:13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</row>
    <row r="6449" spans="1:13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</row>
    <row r="6450" spans="1:13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</row>
    <row r="6451" spans="1:13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</row>
    <row r="6452" spans="1:13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</row>
    <row r="6453" spans="1:13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</row>
    <row r="6454" spans="1:13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</row>
    <row r="6455" spans="1:13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</row>
    <row r="6456" spans="1:13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</row>
    <row r="6457" spans="1:13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</row>
    <row r="6458" spans="1:13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</row>
    <row r="6459" spans="1:13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</row>
    <row r="6460" spans="1:13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</row>
    <row r="6461" spans="1:13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</row>
    <row r="6462" spans="1:13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</row>
    <row r="6463" spans="1:13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</row>
    <row r="6464" spans="1:13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</row>
    <row r="6465" spans="1:13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</row>
    <row r="6466" spans="1:13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</row>
    <row r="6467" spans="1:13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</row>
    <row r="6468" spans="1:13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</row>
    <row r="6469" spans="1:13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</row>
    <row r="6470" spans="1:13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</row>
    <row r="6471" spans="1:13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</row>
    <row r="6472" spans="1:13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</row>
    <row r="6473" spans="1:13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</row>
    <row r="6474" spans="1:13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</row>
    <row r="6475" spans="1:13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</row>
    <row r="6476" spans="1:13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</row>
    <row r="6477" spans="1:13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</row>
    <row r="6478" spans="1:13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</row>
    <row r="6479" spans="1:13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</row>
    <row r="6480" spans="1:13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</row>
    <row r="6481" spans="1:13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</row>
    <row r="6482" spans="1:13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</row>
    <row r="6483" spans="1:13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</row>
    <row r="6484" spans="1:13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</row>
    <row r="6485" spans="1:13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</row>
    <row r="6486" spans="1:13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</row>
    <row r="6487" spans="1:13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</row>
    <row r="6488" spans="1:13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</row>
    <row r="6489" spans="1:13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</row>
    <row r="6490" spans="1:13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</row>
    <row r="6491" spans="1:13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</row>
    <row r="6492" spans="1:13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</row>
    <row r="6493" spans="1:13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</row>
    <row r="6494" spans="1:13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</row>
    <row r="6495" spans="1:13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</row>
    <row r="6496" spans="1:13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</row>
    <row r="6497" spans="1:13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</row>
    <row r="6498" spans="1:13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</row>
    <row r="6499" spans="1:13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</row>
    <row r="6500" spans="1:13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</row>
    <row r="6501" spans="1:13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</row>
    <row r="6502" spans="1:13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</row>
    <row r="6503" spans="1:13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</row>
    <row r="6504" spans="1:13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</row>
    <row r="6505" spans="1:13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</row>
    <row r="6506" spans="1:13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</row>
    <row r="6507" spans="1:13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</row>
    <row r="6508" spans="1:13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</row>
    <row r="6509" spans="1:13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</row>
    <row r="6510" spans="1:13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</row>
    <row r="6511" spans="1:13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</row>
    <row r="6512" spans="1:13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</row>
    <row r="6513" spans="1:13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</row>
    <row r="6514" spans="1:13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</row>
    <row r="6515" spans="1:13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</row>
    <row r="6516" spans="1:13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</row>
    <row r="6517" spans="1:13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</row>
    <row r="6518" spans="1:13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</row>
    <row r="6519" spans="1:13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</row>
    <row r="6520" spans="1:13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</row>
    <row r="6521" spans="1:13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</row>
    <row r="6522" spans="1:13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</row>
    <row r="6523" spans="1:13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</row>
    <row r="6524" spans="1:13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</row>
    <row r="6525" spans="1:13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</row>
    <row r="6526" spans="1:13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</row>
    <row r="6527" spans="1:13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</row>
    <row r="6528" spans="1:13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</row>
    <row r="6529" spans="1:13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</row>
    <row r="6530" spans="1:13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</row>
    <row r="6531" spans="1:13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</row>
    <row r="6532" spans="1:13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</row>
    <row r="6533" spans="1:13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</row>
    <row r="6534" spans="1:13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</row>
    <row r="6535" spans="1:13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</row>
    <row r="6536" spans="1:13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</row>
    <row r="6537" spans="1:13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</row>
    <row r="6538" spans="1:13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</row>
    <row r="6539" spans="1:13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</row>
    <row r="6540" spans="1:13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</row>
    <row r="6541" spans="1:13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</row>
    <row r="6542" spans="1:13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</row>
    <row r="6543" spans="1:13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</row>
    <row r="6544" spans="1:13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</row>
    <row r="6545" spans="1:13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</row>
    <row r="6546" spans="1:13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</row>
    <row r="6547" spans="1:13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</row>
    <row r="6548" spans="1:13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</row>
    <row r="6549" spans="1:13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</row>
    <row r="6550" spans="1:13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</row>
    <row r="6551" spans="1:13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</row>
    <row r="6552" spans="1:13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</row>
    <row r="6553" spans="1:13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</row>
    <row r="6554" spans="1:13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</row>
    <row r="6555" spans="1:13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</row>
    <row r="6556" spans="1:13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</row>
    <row r="6557" spans="1:13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</row>
    <row r="6558" spans="1:13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</row>
    <row r="6559" spans="1:13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</row>
    <row r="6560" spans="1:13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</row>
    <row r="6561" spans="1:13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</row>
    <row r="6562" spans="1:13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</row>
    <row r="6563" spans="1:13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</row>
    <row r="6564" spans="1:13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</row>
    <row r="6565" spans="1:13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</row>
    <row r="6566" spans="1:13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</row>
    <row r="6567" spans="1:13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</row>
    <row r="6568" spans="1:13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</row>
    <row r="6569" spans="1:13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</row>
    <row r="6570" spans="1:13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</row>
    <row r="6571" spans="1:13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</row>
    <row r="6572" spans="1:13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</row>
    <row r="6573" spans="1:13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</row>
    <row r="6574" spans="1:13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</row>
    <row r="6575" spans="1:13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</row>
    <row r="6576" spans="1:13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</row>
    <row r="6577" spans="1:13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</row>
    <row r="6578" spans="1:13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</row>
    <row r="6579" spans="1:13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</row>
    <row r="6580" spans="1:13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</row>
    <row r="6581" spans="1:13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</row>
    <row r="6582" spans="1:13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</row>
    <row r="6583" spans="1:13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</row>
    <row r="6584" spans="1:13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</row>
    <row r="6585" spans="1:13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</row>
    <row r="6586" spans="1:13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</row>
    <row r="6587" spans="1:13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</row>
    <row r="6588" spans="1:13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</row>
    <row r="6589" spans="1:13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</row>
    <row r="6590" spans="1:13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</row>
    <row r="6591" spans="1:13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</row>
    <row r="6592" spans="1:13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</row>
    <row r="6593" spans="1:13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</row>
    <row r="6594" spans="1:13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</row>
    <row r="6595" spans="1:13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</row>
    <row r="6596" spans="1:13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</row>
    <row r="6597" spans="1:13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</row>
    <row r="6598" spans="1:13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</row>
    <row r="6599" spans="1:13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</row>
    <row r="6600" spans="1:13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</row>
    <row r="6601" spans="1:13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</row>
    <row r="6602" spans="1:13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</row>
    <row r="6603" spans="1:13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</row>
    <row r="6604" spans="1:13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</row>
    <row r="6605" spans="1:13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</row>
    <row r="6606" spans="1:13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</row>
    <row r="6607" spans="1:13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</row>
    <row r="6608" spans="1:13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</row>
    <row r="6609" spans="1:13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</row>
    <row r="6610" spans="1:13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</row>
    <row r="6611" spans="1:13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</row>
    <row r="6612" spans="1:13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</row>
    <row r="6613" spans="1:13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</row>
    <row r="6614" spans="1:13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</row>
    <row r="6615" spans="1:13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</row>
    <row r="6616" spans="1:13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</row>
    <row r="6617" spans="1:13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</row>
    <row r="6618" spans="1:13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</row>
    <row r="6619" spans="1:13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</row>
    <row r="6620" spans="1:13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</row>
    <row r="6621" spans="1:13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</row>
    <row r="6622" spans="1:13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</row>
    <row r="6623" spans="1:13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</row>
    <row r="6624" spans="1:13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</row>
    <row r="6625" spans="1:13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</row>
    <row r="6626" spans="1:13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</row>
    <row r="6627" spans="1:13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</row>
    <row r="6628" spans="1:13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</row>
    <row r="6629" spans="1:13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</row>
    <row r="6630" spans="1:13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</row>
    <row r="6631" spans="1:13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</row>
    <row r="6632" spans="1:13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</row>
    <row r="6633" spans="1:13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</row>
    <row r="6634" spans="1:13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</row>
    <row r="6635" spans="1:13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</row>
    <row r="6636" spans="1:13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</row>
    <row r="6637" spans="1:13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</row>
    <row r="6638" spans="1:13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</row>
    <row r="6639" spans="1:13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</row>
    <row r="6640" spans="1:13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</row>
    <row r="6641" spans="1:13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</row>
    <row r="6642" spans="1:13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</row>
    <row r="6643" spans="1:13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</row>
    <row r="6644" spans="1:13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</row>
    <row r="6645" spans="1:13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</row>
    <row r="6646" spans="1:13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</row>
    <row r="6647" spans="1:13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</row>
    <row r="6648" spans="1:13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</row>
    <row r="6649" spans="1:13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</row>
    <row r="6650" spans="1:13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</row>
    <row r="6651" spans="1:13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</row>
    <row r="6652" spans="1:13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</row>
    <row r="6653" spans="1:13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</row>
    <row r="6654" spans="1:13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</row>
    <row r="6655" spans="1:13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</row>
    <row r="6656" spans="1:13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</row>
    <row r="6657" spans="1:13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</row>
    <row r="6658" spans="1:13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</row>
    <row r="6659" spans="1:13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</row>
    <row r="6660" spans="1:13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</row>
    <row r="6661" spans="1:13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</row>
    <row r="6662" spans="1:13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</row>
    <row r="6663" spans="1:13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</row>
    <row r="6664" spans="1:13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</row>
    <row r="6665" spans="1:13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</row>
    <row r="6666" spans="1:13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</row>
    <row r="6667" spans="1:13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</row>
    <row r="6668" spans="1:13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</row>
    <row r="6669" spans="1:13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</row>
    <row r="6670" spans="1:13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</row>
    <row r="6671" spans="1:13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</row>
    <row r="6672" spans="1:13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</row>
    <row r="6673" spans="1:13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</row>
    <row r="6674" spans="1:13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</row>
    <row r="6675" spans="1:13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</row>
    <row r="6676" spans="1:13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</row>
    <row r="6677" spans="1:13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</row>
    <row r="6678" spans="1:13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</row>
    <row r="6679" spans="1:13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</row>
    <row r="6680" spans="1:13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</row>
    <row r="6681" spans="1:13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</row>
    <row r="6682" spans="1:13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</row>
    <row r="6683" spans="1:13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</row>
    <row r="6684" spans="1:13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</row>
    <row r="6685" spans="1:13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</row>
    <row r="6686" spans="1:13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</row>
    <row r="6687" spans="1:13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</row>
    <row r="6688" spans="1:13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</row>
    <row r="6689" spans="1:13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</row>
    <row r="6690" spans="1:13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</row>
    <row r="6691" spans="1:13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</row>
    <row r="6692" spans="1:13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</row>
    <row r="6693" spans="1:13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</row>
    <row r="6694" spans="1:13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</row>
    <row r="6695" spans="1:13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</row>
    <row r="6696" spans="1:13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</row>
    <row r="6697" spans="1:13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</row>
    <row r="6698" spans="1:13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</row>
    <row r="6699" spans="1:13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</row>
    <row r="6700" spans="1:13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</row>
    <row r="6701" spans="1:13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</row>
    <row r="6702" spans="1:13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</row>
    <row r="6703" spans="1:13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</row>
    <row r="6704" spans="1:13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</row>
    <row r="6705" spans="1:13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</row>
    <row r="6706" spans="1:13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</row>
    <row r="6707" spans="1:13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</row>
    <row r="6708" spans="1:13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</row>
    <row r="6709" spans="1:13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</row>
    <row r="6710" spans="1:13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</row>
    <row r="6711" spans="1:13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</row>
    <row r="6712" spans="1:13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</row>
    <row r="6713" spans="1:13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</row>
    <row r="6714" spans="1:13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</row>
    <row r="6715" spans="1:13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</row>
    <row r="6716" spans="1:13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</row>
    <row r="6717" spans="1:13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</row>
    <row r="6718" spans="1:13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</row>
    <row r="6719" spans="1:13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</row>
    <row r="6720" spans="1:13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</row>
    <row r="6721" spans="1:13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</row>
    <row r="6722" spans="1:13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</row>
    <row r="6723" spans="1:13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</row>
    <row r="6724" spans="1:13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</row>
    <row r="6725" spans="1:13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</row>
    <row r="6726" spans="1:13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</row>
    <row r="6727" spans="1:13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</row>
    <row r="6728" spans="1:13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</row>
    <row r="6729" spans="1:13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</row>
    <row r="6730" spans="1:13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</row>
    <row r="6731" spans="1:13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</row>
    <row r="6732" spans="1:13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</row>
    <row r="6733" spans="1:13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</row>
    <row r="6734" spans="1:13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</row>
    <row r="6735" spans="1:13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</row>
    <row r="6736" spans="1:13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</row>
    <row r="6737" spans="1:13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</row>
    <row r="6738" spans="1:13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</row>
    <row r="6739" spans="1:13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</row>
    <row r="6740" spans="1:13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</row>
    <row r="6741" spans="1:13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</row>
    <row r="6742" spans="1:13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</row>
    <row r="6743" spans="1:13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</row>
    <row r="6744" spans="1:13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</row>
    <row r="6745" spans="1:13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</row>
    <row r="6746" spans="1:13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</row>
    <row r="6747" spans="1:13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</row>
    <row r="6748" spans="1:13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</row>
    <row r="6749" spans="1:13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</row>
    <row r="6750" spans="1:13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</row>
    <row r="6751" spans="1:13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</row>
    <row r="6752" spans="1:13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</row>
    <row r="6753" spans="1:13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</row>
    <row r="6754" spans="1:13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</row>
    <row r="6755" spans="1:13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</row>
    <row r="6756" spans="1:13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</row>
    <row r="6757" spans="1:13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</row>
    <row r="6758" spans="1:13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</row>
    <row r="6759" spans="1:13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</row>
    <row r="6760" spans="1:13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</row>
    <row r="6761" spans="1:13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</row>
    <row r="6762" spans="1:13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</row>
    <row r="6763" spans="1:13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</row>
    <row r="6764" spans="1:13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</row>
    <row r="6765" spans="1:13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</row>
    <row r="6766" spans="1:13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</row>
    <row r="6767" spans="1:13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</row>
    <row r="6768" spans="1:13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</row>
    <row r="6769" spans="1:13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</row>
    <row r="6770" spans="1:13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</row>
    <row r="6771" spans="1:13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</row>
    <row r="6772" spans="1:13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</row>
    <row r="6773" spans="1:13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</row>
    <row r="6774" spans="1:13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</row>
    <row r="6775" spans="1:13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</row>
    <row r="6776" spans="1:13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</row>
    <row r="6777" spans="1:13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</row>
    <row r="6778" spans="1:13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</row>
    <row r="6779" spans="1:13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</row>
    <row r="6780" spans="1:13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</row>
    <row r="6781" spans="1:13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</row>
    <row r="6782" spans="1:13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</row>
    <row r="6783" spans="1:13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</row>
    <row r="6784" spans="1:13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</row>
    <row r="6785" spans="1:13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</row>
    <row r="6786" spans="1:13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</row>
    <row r="6787" spans="1:13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</row>
    <row r="6788" spans="1:13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</row>
    <row r="6789" spans="1:13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</row>
    <row r="6790" spans="1:13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</row>
    <row r="6791" spans="1:13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</row>
    <row r="6792" spans="1:13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</row>
    <row r="6793" spans="1:13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</row>
    <row r="6794" spans="1:13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</row>
    <row r="6795" spans="1:13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</row>
    <row r="6796" spans="1:13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</row>
    <row r="6797" spans="1:13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</row>
    <row r="6798" spans="1:13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</row>
    <row r="6799" spans="1:13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</row>
    <row r="6800" spans="1:13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</row>
    <row r="6801" spans="1:13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</row>
    <row r="6802" spans="1:13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</row>
    <row r="6803" spans="1:13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</row>
    <row r="6804" spans="1:13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</row>
    <row r="6805" spans="1:13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</row>
    <row r="6806" spans="1:13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</row>
    <row r="6807" spans="1:13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</row>
    <row r="6808" spans="1:13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</row>
    <row r="6809" spans="1:13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</row>
    <row r="6810" spans="1:13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</row>
    <row r="6811" spans="1:13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</row>
    <row r="6812" spans="1:13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</row>
    <row r="6813" spans="1:13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</row>
    <row r="6814" spans="1:13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</row>
    <row r="6815" spans="1:13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</row>
    <row r="6816" spans="1:13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</row>
    <row r="6817" spans="1:13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</row>
    <row r="6818" spans="1:13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</row>
    <row r="6819" spans="1:13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</row>
    <row r="6820" spans="1:13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</row>
    <row r="6821" spans="1:13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</row>
    <row r="6822" spans="1:13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</row>
    <row r="6823" spans="1:13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</row>
    <row r="6824" spans="1:13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</row>
    <row r="6825" spans="1:13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</row>
    <row r="6826" spans="1:13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</row>
    <row r="6827" spans="1:13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</row>
    <row r="6828" spans="1:13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</row>
    <row r="6829" spans="1:13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</row>
    <row r="6830" spans="1:13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</row>
    <row r="6831" spans="1:13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</row>
    <row r="6832" spans="1:13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</row>
    <row r="6833" spans="1:13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</row>
    <row r="6834" spans="1:13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</row>
    <row r="6835" spans="1:13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</row>
    <row r="6836" spans="1:13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</row>
    <row r="6837" spans="1:13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</row>
    <row r="6838" spans="1:13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</row>
    <row r="6839" spans="1:13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</row>
    <row r="6840" spans="1:13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</row>
    <row r="6841" spans="1:13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</row>
    <row r="6842" spans="1:13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</row>
    <row r="6843" spans="1:13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</row>
    <row r="6844" spans="1:13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</row>
    <row r="6845" spans="1:13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</row>
    <row r="6846" spans="1:13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</row>
    <row r="6847" spans="1:13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</row>
    <row r="6848" spans="1:13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</row>
    <row r="6849" spans="1:13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</row>
    <row r="6850" spans="1:13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</row>
    <row r="6851" spans="1:13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</row>
    <row r="6852" spans="1:13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</row>
    <row r="6853" spans="1:13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</row>
    <row r="6854" spans="1:13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</row>
    <row r="6855" spans="1:13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</row>
    <row r="6856" spans="1:13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</row>
    <row r="6857" spans="1:13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</row>
    <row r="6858" spans="1:13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</row>
    <row r="6859" spans="1:13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</row>
    <row r="6860" spans="1:13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</row>
    <row r="6861" spans="1:13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</row>
    <row r="6862" spans="1:13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</row>
    <row r="6863" spans="1:13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</row>
    <row r="6864" spans="1:13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</row>
    <row r="6865" spans="1:13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</row>
    <row r="6866" spans="1:13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</row>
    <row r="6867" spans="1:13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</row>
    <row r="6868" spans="1:13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</row>
    <row r="6869" spans="1:13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</row>
    <row r="6870" spans="1:13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</row>
    <row r="6871" spans="1:13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</row>
    <row r="6872" spans="1:13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</row>
    <row r="6873" spans="1:13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</row>
    <row r="6874" spans="1:13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</row>
    <row r="6875" spans="1:13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</row>
    <row r="6876" spans="1:13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</row>
    <row r="6877" spans="1:13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</row>
    <row r="6878" spans="1:13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</row>
    <row r="6879" spans="1:13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</row>
    <row r="6880" spans="1:13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</row>
    <row r="6881" spans="1:13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</row>
    <row r="6882" spans="1:13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</row>
    <row r="6883" spans="1:13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</row>
    <row r="6884" spans="1:13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</row>
    <row r="6885" spans="1:13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</row>
    <row r="6886" spans="1:13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</row>
    <row r="6887" spans="1:13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</row>
    <row r="6888" spans="1:13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</row>
    <row r="6889" spans="1:13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</row>
    <row r="6890" spans="1:13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</row>
    <row r="6891" spans="1:13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</row>
    <row r="6892" spans="1:13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</row>
    <row r="6893" spans="1:13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</row>
    <row r="6894" spans="1:13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</row>
    <row r="6895" spans="1:13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</row>
    <row r="6896" spans="1:13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</row>
    <row r="6897" spans="1:13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</row>
    <row r="6898" spans="1:13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</row>
    <row r="6899" spans="1:13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</row>
    <row r="6900" spans="1:13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</row>
    <row r="6901" spans="1:13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</row>
    <row r="6902" spans="1:13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</row>
    <row r="6903" spans="1:13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</row>
    <row r="6904" spans="1:13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</row>
    <row r="6905" spans="1:13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</row>
    <row r="6906" spans="1:13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</row>
    <row r="6907" spans="1:13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</row>
    <row r="6908" spans="1:13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</row>
    <row r="6909" spans="1:13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</row>
    <row r="6910" spans="1:13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</row>
    <row r="6911" spans="1:13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</row>
    <row r="6912" spans="1:13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</row>
    <row r="6913" spans="1:13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</row>
    <row r="6914" spans="1:13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</row>
    <row r="6915" spans="1:13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</row>
    <row r="6916" spans="1:13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</row>
    <row r="6917" spans="1:13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</row>
    <row r="6918" spans="1:13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</row>
    <row r="6919" spans="1:13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</row>
    <row r="6920" spans="1:13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</row>
    <row r="6921" spans="1:13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</row>
    <row r="6922" spans="1:13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</row>
    <row r="6923" spans="1:13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</row>
    <row r="6924" spans="1:13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</row>
    <row r="6925" spans="1:13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</row>
    <row r="6926" spans="1:13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</row>
    <row r="6927" spans="1:13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</row>
    <row r="6928" spans="1:13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</row>
    <row r="6929" spans="1:13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</row>
    <row r="6930" spans="1:13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</row>
    <row r="6931" spans="1:13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</row>
    <row r="6932" spans="1:13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</row>
    <row r="6933" spans="1:13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</row>
    <row r="6934" spans="1:13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</row>
    <row r="6935" spans="1:13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</row>
    <row r="6936" spans="1:13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</row>
    <row r="6937" spans="1:13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</row>
    <row r="6938" spans="1:13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</row>
    <row r="6939" spans="1:13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</row>
    <row r="6940" spans="1:13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</row>
    <row r="6941" spans="1:13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</row>
    <row r="6942" spans="1:13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</row>
    <row r="6943" spans="1:13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</row>
    <row r="6944" spans="1:13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</row>
    <row r="6945" spans="1:13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</row>
    <row r="6946" spans="1:13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</row>
    <row r="6947" spans="1:13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</row>
    <row r="6948" spans="1:13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</row>
    <row r="6949" spans="1:13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</row>
    <row r="6950" spans="1:13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</row>
    <row r="6951" spans="1:13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</row>
    <row r="6952" spans="1:13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</row>
    <row r="6953" spans="1:13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</row>
    <row r="6954" spans="1:13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</row>
    <row r="6955" spans="1:13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</row>
    <row r="6956" spans="1:13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</row>
    <row r="6957" spans="1:13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</row>
    <row r="6958" spans="1:13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</row>
    <row r="6959" spans="1:13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</row>
    <row r="6960" spans="1:13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</row>
    <row r="6961" spans="1:13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</row>
    <row r="6962" spans="1:13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</row>
    <row r="6963" spans="1:13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</row>
    <row r="6964" spans="1:13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</row>
    <row r="6965" spans="1:13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</row>
    <row r="6966" spans="1:13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</row>
    <row r="6967" spans="1:13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</row>
    <row r="6968" spans="1:13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</row>
    <row r="6969" spans="1:13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</row>
    <row r="6970" spans="1:13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</row>
    <row r="6971" spans="1:13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</row>
    <row r="6972" spans="1:13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</row>
    <row r="6973" spans="1:13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</row>
    <row r="6974" spans="1:13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</row>
    <row r="6975" spans="1:13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</row>
    <row r="6976" spans="1:13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</row>
    <row r="6977" spans="1:13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</row>
    <row r="6978" spans="1:13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</row>
    <row r="6979" spans="1:13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</row>
    <row r="6980" spans="1:13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</row>
    <row r="6981" spans="1:13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</row>
    <row r="6982" spans="1:13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</row>
    <row r="6983" spans="1:13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</row>
    <row r="6984" spans="1:13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</row>
    <row r="6985" spans="1:13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</row>
    <row r="6986" spans="1:13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</row>
    <row r="6987" spans="1:13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</row>
    <row r="6988" spans="1:13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</row>
    <row r="6989" spans="1:13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</row>
    <row r="6990" spans="1:13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</row>
    <row r="6991" spans="1:13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</row>
    <row r="6992" spans="1:13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</row>
    <row r="6993" spans="1:13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</row>
    <row r="6994" spans="1:13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</row>
    <row r="6995" spans="1:13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</row>
    <row r="6996" spans="1:13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</row>
    <row r="6997" spans="1:13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</row>
    <row r="6998" spans="1:13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</row>
    <row r="6999" spans="1:13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</row>
    <row r="7000" spans="1:13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</row>
    <row r="7001" spans="1:13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</row>
    <row r="7002" spans="1:13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</row>
    <row r="7003" spans="1:13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</row>
    <row r="7004" spans="1:13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</row>
    <row r="7005" spans="1:13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</row>
    <row r="7006" spans="1:13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</row>
    <row r="7007" spans="1:13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</row>
    <row r="7008" spans="1:13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</row>
    <row r="7009" spans="1:13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</row>
    <row r="7010" spans="1:13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</row>
    <row r="7011" spans="1:13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</row>
    <row r="7012" spans="1:13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</row>
    <row r="7013" spans="1:13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</row>
    <row r="7014" spans="1:13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</row>
    <row r="7015" spans="1:13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</row>
    <row r="7016" spans="1:13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</row>
    <row r="7017" spans="1:13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</row>
    <row r="7018" spans="1:13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</row>
    <row r="7019" spans="1:13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</row>
    <row r="7020" spans="1:13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</row>
    <row r="7021" spans="1:13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</row>
    <row r="7022" spans="1:13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</row>
    <row r="7023" spans="1:13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</row>
    <row r="7024" spans="1:13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</row>
    <row r="7025" spans="1:13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</row>
    <row r="7026" spans="1:13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</row>
    <row r="7027" spans="1:13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</row>
    <row r="7028" spans="1:13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</row>
    <row r="7029" spans="1:13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</row>
    <row r="7030" spans="1:13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</row>
    <row r="7031" spans="1:13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</row>
    <row r="7032" spans="1:13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</row>
    <row r="7033" spans="1:13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</row>
    <row r="7034" spans="1:13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</row>
    <row r="7035" spans="1:13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</row>
    <row r="7036" spans="1:13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</row>
    <row r="7037" spans="1:13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</row>
    <row r="7038" spans="1:13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</row>
    <row r="7039" spans="1:13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</row>
    <row r="7040" spans="1:13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</row>
    <row r="7041" spans="1:13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</row>
    <row r="7042" spans="1:13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</row>
    <row r="7043" spans="1:13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</row>
    <row r="7044" spans="1:13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</row>
    <row r="7045" spans="1:13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</row>
    <row r="7046" spans="1:13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</row>
    <row r="7047" spans="1:13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</row>
    <row r="7048" spans="1:13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</row>
    <row r="7049" spans="1:13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</row>
    <row r="7050" spans="1:13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</row>
    <row r="7051" spans="1:13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</row>
    <row r="7052" spans="1:13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</row>
    <row r="7053" spans="1:13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</row>
    <row r="7054" spans="1:13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</row>
    <row r="7055" spans="1:13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</row>
    <row r="7056" spans="1:13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</row>
    <row r="7057" spans="1:13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</row>
    <row r="7058" spans="1:13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</row>
    <row r="7059" spans="1:13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</row>
    <row r="7060" spans="1:13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</row>
    <row r="7061" spans="1:13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</row>
    <row r="7062" spans="1:13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</row>
    <row r="7063" spans="1:13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</row>
    <row r="7064" spans="1:13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</row>
    <row r="7065" spans="1:13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</row>
    <row r="7066" spans="1:13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</row>
    <row r="7067" spans="1:13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</row>
    <row r="7068" spans="1:13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</row>
    <row r="7069" spans="1:13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</row>
    <row r="7070" spans="1:13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</row>
    <row r="7071" spans="1:13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</row>
    <row r="7072" spans="1:13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</row>
    <row r="7073" spans="1:13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</row>
    <row r="7074" spans="1:13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</row>
    <row r="7075" spans="1:13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</row>
    <row r="7076" spans="1:13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</row>
    <row r="7077" spans="1:13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</row>
    <row r="7078" spans="1:13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</row>
    <row r="7079" spans="1:13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</row>
    <row r="7080" spans="1:13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</row>
    <row r="7081" spans="1:13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</row>
    <row r="7082" spans="1:13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</row>
    <row r="7083" spans="1:13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</row>
    <row r="7084" spans="1:13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</row>
    <row r="7085" spans="1:13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</row>
    <row r="7086" spans="1:13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</row>
    <row r="7087" spans="1:13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</row>
    <row r="7088" spans="1:13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</row>
    <row r="7089" spans="1:13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</row>
    <row r="7090" spans="1:13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</row>
    <row r="7091" spans="1:13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</row>
    <row r="7092" spans="1:13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</row>
    <row r="7093" spans="1:13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</row>
    <row r="7094" spans="1:13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</row>
    <row r="7095" spans="1:13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</row>
    <row r="7096" spans="1:13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</row>
    <row r="7097" spans="1:13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</row>
    <row r="7098" spans="1:13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</row>
    <row r="7099" spans="1:13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</row>
    <row r="7100" spans="1:13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</row>
    <row r="7101" spans="1:13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</row>
    <row r="7102" spans="1:13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</row>
    <row r="7103" spans="1:13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</row>
    <row r="7104" spans="1:13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</row>
    <row r="7105" spans="1:13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</row>
    <row r="7106" spans="1:13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</row>
    <row r="7107" spans="1:13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</row>
    <row r="7108" spans="1:13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</row>
    <row r="7109" spans="1:13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</row>
    <row r="7110" spans="1:13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</row>
    <row r="7111" spans="1:13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</row>
    <row r="7112" spans="1:13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</row>
    <row r="7113" spans="1:13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</row>
    <row r="7114" spans="1:13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</row>
    <row r="7115" spans="1:13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</row>
    <row r="7116" spans="1:13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</row>
    <row r="7117" spans="1:13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</row>
    <row r="7118" spans="1:13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</row>
    <row r="7119" spans="1:13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</row>
    <row r="7120" spans="1:13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</row>
    <row r="7121" spans="1:13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</row>
    <row r="7122" spans="1:13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</row>
    <row r="7123" spans="1:13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</row>
    <row r="7124" spans="1:13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</row>
    <row r="7125" spans="1:13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</row>
    <row r="7126" spans="1:13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</row>
    <row r="7127" spans="1:13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</row>
    <row r="7128" spans="1:13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</row>
    <row r="7129" spans="1:13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</row>
    <row r="7130" spans="1:13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</row>
    <row r="7131" spans="1:13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</row>
    <row r="7132" spans="1:13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</row>
    <row r="7133" spans="1:13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</row>
    <row r="7134" spans="1:13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</row>
    <row r="7135" spans="1:13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</row>
    <row r="7136" spans="1:13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</row>
    <row r="7137" spans="1:13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</row>
    <row r="7138" spans="1:13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</row>
    <row r="7139" spans="1:13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</row>
    <row r="7140" spans="1:13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</row>
    <row r="7141" spans="1:13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</row>
    <row r="7142" spans="1:13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</row>
    <row r="7143" spans="1:13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</row>
    <row r="7144" spans="1:13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</row>
    <row r="7145" spans="1:13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</row>
    <row r="7146" spans="1:13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</row>
    <row r="7147" spans="1:13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</row>
    <row r="7148" spans="1:13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</row>
    <row r="7149" spans="1:13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</row>
    <row r="7150" spans="1:13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</row>
    <row r="7151" spans="1:13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</row>
    <row r="7152" spans="1:13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</row>
    <row r="7153" spans="1:13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</row>
    <row r="7154" spans="1:13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</row>
    <row r="7155" spans="1:13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</row>
    <row r="7156" spans="1:13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</row>
    <row r="7157" spans="1:13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</row>
    <row r="7158" spans="1:13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</row>
    <row r="7159" spans="1:13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</row>
    <row r="7160" spans="1:13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</row>
    <row r="7161" spans="1:13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</row>
    <row r="7162" spans="1:13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</row>
    <row r="7163" spans="1:13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</row>
    <row r="7164" spans="1:13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</row>
    <row r="7165" spans="1:13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</row>
    <row r="7166" spans="1:13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</row>
    <row r="7167" spans="1:13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</row>
    <row r="7168" spans="1:13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</row>
    <row r="7169" spans="1:13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</row>
    <row r="7170" spans="1:13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</row>
    <row r="7171" spans="1:13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</row>
    <row r="7172" spans="1:13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</row>
    <row r="7173" spans="1:13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</row>
    <row r="7174" spans="1:13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</row>
    <row r="7175" spans="1:13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</row>
    <row r="7176" spans="1:13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</row>
    <row r="7177" spans="1:13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</row>
    <row r="7178" spans="1:13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</row>
    <row r="7179" spans="1:13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</row>
    <row r="7180" spans="1:13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</row>
    <row r="7181" spans="1:13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</row>
    <row r="7182" spans="1:13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</row>
    <row r="7183" spans="1:13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</row>
    <row r="7184" spans="1:13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</row>
    <row r="7185" spans="1:13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</row>
    <row r="7186" spans="1:13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</row>
    <row r="7187" spans="1:13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</row>
    <row r="7188" spans="1:13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</row>
    <row r="7189" spans="1:13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</row>
    <row r="7190" spans="1:13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</row>
    <row r="7191" spans="1:13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</row>
    <row r="7192" spans="1:13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</row>
    <row r="7193" spans="1:13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</row>
    <row r="7194" spans="1:13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</row>
    <row r="7195" spans="1:13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</row>
    <row r="7196" spans="1:13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</row>
    <row r="7197" spans="1:13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</row>
    <row r="7198" spans="1:13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</row>
    <row r="7199" spans="1:13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</row>
    <row r="7200" spans="1:13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</row>
    <row r="7201" spans="1:13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</row>
    <row r="7202" spans="1:13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</row>
    <row r="7203" spans="1:13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</row>
    <row r="7204" spans="1:13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</row>
    <row r="7205" spans="1:13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</row>
    <row r="7206" spans="1:13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</row>
    <row r="7207" spans="1:13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</row>
    <row r="7208" spans="1:13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</row>
    <row r="7209" spans="1:13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</row>
    <row r="7210" spans="1:13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</row>
    <row r="7211" spans="1:13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</row>
    <row r="7212" spans="1:13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</row>
    <row r="7213" spans="1:13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</row>
    <row r="7214" spans="1:13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</row>
    <row r="7215" spans="1:13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</row>
    <row r="7216" spans="1:13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</row>
    <row r="7217" spans="1:13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</row>
    <row r="7218" spans="1:13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</row>
    <row r="7219" spans="1:13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</row>
    <row r="7220" spans="1:13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</row>
    <row r="7221" spans="1:13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</row>
    <row r="7222" spans="1:13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</row>
    <row r="7223" spans="1:13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</row>
    <row r="7224" spans="1:13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</row>
    <row r="7225" spans="1:13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</row>
    <row r="7226" spans="1:13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</row>
    <row r="7227" spans="1:13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</row>
    <row r="7228" spans="1:13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</row>
    <row r="7229" spans="1:13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</row>
    <row r="7230" spans="1:13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</row>
    <row r="7231" spans="1:13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</row>
    <row r="7232" spans="1:13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</row>
    <row r="7233" spans="1:13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</row>
    <row r="7234" spans="1:13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</row>
    <row r="7235" spans="1:13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</row>
    <row r="7236" spans="1:13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</row>
    <row r="7237" spans="1:13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</row>
    <row r="7238" spans="1:13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</row>
    <row r="7239" spans="1:13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</row>
    <row r="7240" spans="1:13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</row>
    <row r="7241" spans="1:13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</row>
    <row r="7242" spans="1:13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</row>
    <row r="7243" spans="1:13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</row>
    <row r="7244" spans="1:13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</row>
    <row r="7245" spans="1:13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</row>
    <row r="7246" spans="1:13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</row>
    <row r="7247" spans="1:13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</row>
    <row r="7248" spans="1:13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</row>
    <row r="7249" spans="1:13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</row>
    <row r="7250" spans="1:13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</row>
    <row r="7251" spans="1:13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</row>
    <row r="7252" spans="1:13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</row>
    <row r="7253" spans="1:13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</row>
    <row r="7254" spans="1:13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</row>
    <row r="7255" spans="1:13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</row>
    <row r="7256" spans="1:13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</row>
    <row r="7257" spans="1:13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</row>
    <row r="7258" spans="1:13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</row>
    <row r="7259" spans="1:13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</row>
    <row r="7260" spans="1:13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</row>
    <row r="7261" spans="1:13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</row>
    <row r="7262" spans="1:13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</row>
    <row r="7263" spans="1:13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</row>
    <row r="7264" spans="1:13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</row>
    <row r="7265" spans="1:13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</row>
    <row r="7266" spans="1:13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</row>
    <row r="7267" spans="1:13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</row>
    <row r="7268" spans="1:13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</row>
    <row r="7269" spans="1:13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</row>
    <row r="7270" spans="1:13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</row>
    <row r="7271" spans="1:13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</row>
    <row r="7272" spans="1:13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</row>
    <row r="7273" spans="1:13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</row>
    <row r="7274" spans="1:13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</row>
    <row r="7275" spans="1:13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</row>
    <row r="7276" spans="1:13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</row>
    <row r="7277" spans="1:13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</row>
    <row r="7278" spans="1:13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</row>
    <row r="7279" spans="1:13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</row>
    <row r="7280" spans="1:13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</row>
    <row r="7281" spans="1:13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</row>
    <row r="7282" spans="1:13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</row>
    <row r="7283" spans="1:13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</row>
    <row r="7284" spans="1:13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</row>
    <row r="7285" spans="1:13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</row>
    <row r="7286" spans="1:13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</row>
    <row r="7287" spans="1:13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</row>
    <row r="7288" spans="1:13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</row>
    <row r="7289" spans="1:13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</row>
    <row r="7290" spans="1:13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</row>
    <row r="7291" spans="1:13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</row>
    <row r="7292" spans="1:13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</row>
    <row r="7293" spans="1:13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</row>
    <row r="7294" spans="1:13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</row>
    <row r="7295" spans="1:13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</row>
    <row r="7296" spans="1:13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</row>
    <row r="7297" spans="1:13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</row>
    <row r="7298" spans="1:13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</row>
    <row r="7299" spans="1:13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</row>
    <row r="7300" spans="1:13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</row>
    <row r="7301" spans="1:13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</row>
    <row r="7302" spans="1:13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</row>
    <row r="7303" spans="1:13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</row>
    <row r="7304" spans="1:13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</row>
    <row r="7305" spans="1:13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</row>
    <row r="7306" spans="1:13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</row>
    <row r="7307" spans="1:13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</row>
    <row r="7308" spans="1:13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</row>
    <row r="7309" spans="1:13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</row>
    <row r="7310" spans="1:13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</row>
    <row r="7311" spans="1:13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</row>
    <row r="7312" spans="1:13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</row>
    <row r="7313" spans="1:13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</row>
    <row r="7314" spans="1:13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</row>
    <row r="7315" spans="1:13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</row>
    <row r="7316" spans="1:13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</row>
    <row r="7317" spans="1:13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</row>
    <row r="7318" spans="1:13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</row>
    <row r="7319" spans="1:13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</row>
    <row r="7320" spans="1:13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</row>
    <row r="7321" spans="1:13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</row>
    <row r="7322" spans="1:13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</row>
    <row r="7323" spans="1:13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</row>
    <row r="7324" spans="1:13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</row>
    <row r="7325" spans="1:13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</row>
    <row r="7326" spans="1:13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</row>
    <row r="7327" spans="1:13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</row>
    <row r="7328" spans="1:13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</row>
    <row r="7329" spans="1:13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</row>
    <row r="7330" spans="1:13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</row>
    <row r="7331" spans="1:13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</row>
    <row r="7332" spans="1:13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</row>
    <row r="7333" spans="1:13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</row>
    <row r="7334" spans="1:13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</row>
    <row r="7335" spans="1:13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</row>
    <row r="7336" spans="1:13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</row>
    <row r="7337" spans="1:13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</row>
    <row r="7338" spans="1:13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</row>
    <row r="7339" spans="1:13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</row>
    <row r="7340" spans="1:13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</row>
    <row r="7341" spans="1:13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</row>
    <row r="7342" spans="1:13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</row>
    <row r="7343" spans="1:13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</row>
    <row r="7344" spans="1:13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</row>
    <row r="7345" spans="1:13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</row>
    <row r="7346" spans="1:13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</row>
    <row r="7347" spans="1:13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</row>
    <row r="7348" spans="1:13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</row>
    <row r="7349" spans="1:13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</row>
    <row r="7350" spans="1:13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</row>
    <row r="7351" spans="1:13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</row>
    <row r="7352" spans="1:13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</row>
    <row r="7353" spans="1:13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</row>
    <row r="7354" spans="1:13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</row>
    <row r="7355" spans="1:13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</row>
    <row r="7356" spans="1:13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</row>
    <row r="7357" spans="1:13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</row>
    <row r="7358" spans="1:13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</row>
    <row r="7359" spans="1:13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</row>
    <row r="7360" spans="1:13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</row>
    <row r="7361" spans="1:13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</row>
    <row r="7362" spans="1:13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</row>
    <row r="7363" spans="1:13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</row>
    <row r="7364" spans="1:13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</row>
    <row r="7365" spans="1:13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</row>
    <row r="7366" spans="1:13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</row>
    <row r="7367" spans="1:13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</row>
    <row r="7368" spans="1:13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</row>
    <row r="7369" spans="1:13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</row>
    <row r="7370" spans="1:13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</row>
    <row r="7371" spans="1:13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</row>
    <row r="7372" spans="1:13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</row>
    <row r="7373" spans="1:13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</row>
    <row r="7374" spans="1:13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</row>
    <row r="7375" spans="1:13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</row>
    <row r="7376" spans="1:13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</row>
    <row r="7377" spans="1:13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</row>
    <row r="7378" spans="1:13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</row>
    <row r="7379" spans="1:13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</row>
    <row r="7380" spans="1:13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</row>
    <row r="7381" spans="1:13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</row>
    <row r="7382" spans="1:13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</row>
    <row r="7383" spans="1:13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</row>
    <row r="7384" spans="1:13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</row>
    <row r="7385" spans="1:13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</row>
    <row r="7386" spans="1:13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</row>
    <row r="7387" spans="1:13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</row>
    <row r="7388" spans="1:13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</row>
    <row r="7389" spans="1:13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</row>
    <row r="7390" spans="1:13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</row>
    <row r="7391" spans="1:13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</row>
    <row r="7392" spans="1:13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</row>
    <row r="7393" spans="1:13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</row>
    <row r="7394" spans="1:13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</row>
    <row r="7395" spans="1:13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</row>
    <row r="7396" spans="1:13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</row>
    <row r="7397" spans="1:13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</row>
    <row r="7398" spans="1:13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</row>
    <row r="7399" spans="1:13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</row>
    <row r="7400" spans="1:13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</row>
    <row r="7401" spans="1:13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</row>
    <row r="7402" spans="1:13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</row>
    <row r="7403" spans="1:13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</row>
    <row r="7404" spans="1:13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</row>
    <row r="7405" spans="1:13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</row>
    <row r="7406" spans="1:13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</row>
    <row r="7407" spans="1:13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</row>
    <row r="7408" spans="1:13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</row>
    <row r="7409" spans="1:13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</row>
    <row r="7410" spans="1:13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</row>
    <row r="7411" spans="1:13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</row>
    <row r="7412" spans="1:13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</row>
    <row r="7413" spans="1:13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</row>
    <row r="7414" spans="1:13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</row>
    <row r="7415" spans="1:13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</row>
    <row r="7416" spans="1:13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</row>
    <row r="7417" spans="1:13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</row>
    <row r="7418" spans="1:13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</row>
    <row r="7419" spans="1:13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</row>
    <row r="7420" spans="1:13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</row>
    <row r="7421" spans="1:13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</row>
    <row r="7422" spans="1:13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</row>
    <row r="7423" spans="1:13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</row>
    <row r="7424" spans="1:13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</row>
    <row r="7425" spans="1:13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</row>
    <row r="7426" spans="1:13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</row>
    <row r="7427" spans="1:13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</row>
    <row r="7428" spans="1:13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</row>
    <row r="7429" spans="1:13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</row>
    <row r="7430" spans="1:13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</row>
    <row r="7431" spans="1:13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</row>
    <row r="7432" spans="1:13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</row>
    <row r="7433" spans="1:13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</row>
    <row r="7434" spans="1:13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</row>
    <row r="7435" spans="1:13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</row>
    <row r="7436" spans="1:13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</row>
    <row r="7437" spans="1:13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</row>
    <row r="7438" spans="1:13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</row>
    <row r="7439" spans="1:13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</row>
    <row r="7440" spans="1:13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</row>
    <row r="7441" spans="1:13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</row>
    <row r="7442" spans="1:13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</row>
    <row r="7443" spans="1:13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</row>
    <row r="7444" spans="1:13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</row>
    <row r="7445" spans="1:13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</row>
    <row r="7446" spans="1:13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</row>
    <row r="7447" spans="1:13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</row>
    <row r="7448" spans="1:13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</row>
    <row r="7449" spans="1:13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</row>
    <row r="7450" spans="1:13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</row>
    <row r="7451" spans="1:13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</row>
    <row r="7452" spans="1:13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</row>
    <row r="7453" spans="1:13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</row>
    <row r="7454" spans="1:13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</row>
    <row r="7455" spans="1:13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</row>
    <row r="7456" spans="1:13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</row>
    <row r="7457" spans="1:13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</row>
    <row r="7458" spans="1:13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</row>
    <row r="7459" spans="1:13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</row>
    <row r="7460" spans="1:13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</row>
    <row r="7461" spans="1:13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</row>
    <row r="7462" spans="1:13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</row>
    <row r="7463" spans="1:13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</row>
    <row r="7464" spans="1:13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</row>
    <row r="7465" spans="1:13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</row>
    <row r="7466" spans="1:13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</row>
    <row r="7467" spans="1:13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</row>
    <row r="7468" spans="1:13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</row>
    <row r="7469" spans="1:13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</row>
    <row r="7470" spans="1:13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</row>
    <row r="7471" spans="1:13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</row>
    <row r="7472" spans="1:13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</row>
    <row r="7473" spans="1:13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</row>
    <row r="7474" spans="1:13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</row>
    <row r="7475" spans="1:13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</row>
    <row r="7476" spans="1:13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</row>
    <row r="7477" spans="1:13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</row>
    <row r="7478" spans="1:13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</row>
    <row r="7479" spans="1:13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</row>
    <row r="7480" spans="1:13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</row>
    <row r="7481" spans="1:13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</row>
    <row r="7482" spans="1:13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</row>
    <row r="7483" spans="1:13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</row>
    <row r="7484" spans="1:13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</row>
    <row r="7485" spans="1:13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</row>
    <row r="7486" spans="1:13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</row>
    <row r="7487" spans="1:13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</row>
    <row r="7488" spans="1:13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</row>
    <row r="7489" spans="1:13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</row>
    <row r="7490" spans="1:13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</row>
    <row r="7491" spans="1:13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</row>
    <row r="7492" spans="1:13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</row>
    <row r="7493" spans="1:13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</row>
    <row r="7494" spans="1:13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</row>
    <row r="7495" spans="1:13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</row>
    <row r="7496" spans="1:13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</row>
    <row r="7497" spans="1:13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</row>
    <row r="7498" spans="1:13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</row>
    <row r="7499" spans="1:13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</row>
    <row r="7500" spans="1:13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</row>
    <row r="7501" spans="1:13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</row>
    <row r="7502" spans="1:13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</row>
    <row r="7503" spans="1:13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</row>
    <row r="7504" spans="1:13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</row>
    <row r="7505" spans="1:13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</row>
    <row r="7506" spans="1:13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</row>
    <row r="7507" spans="1:13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</row>
    <row r="7508" spans="1:13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</row>
    <row r="7509" spans="1:13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</row>
    <row r="7510" spans="1:13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</row>
    <row r="7511" spans="1:13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</row>
    <row r="7512" spans="1:13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</row>
    <row r="7513" spans="1:13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</row>
    <row r="7514" spans="1:13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</row>
    <row r="7515" spans="1:13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</row>
    <row r="7516" spans="1:13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</row>
    <row r="7517" spans="1:13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</row>
    <row r="7518" spans="1:13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</row>
    <row r="7519" spans="1:13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</row>
    <row r="7520" spans="1:13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</row>
    <row r="7521" spans="1:13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</row>
    <row r="7522" spans="1:13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</row>
    <row r="7523" spans="1:13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</row>
    <row r="7524" spans="1:13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</row>
    <row r="7525" spans="1:13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</row>
    <row r="7526" spans="1:13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</row>
    <row r="7527" spans="1:13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</row>
    <row r="7528" spans="1:13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</row>
    <row r="7529" spans="1:13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</row>
    <row r="7530" spans="1:13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</row>
    <row r="7531" spans="1:13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</row>
    <row r="7532" spans="1:13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</row>
    <row r="7533" spans="1:13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</row>
    <row r="7534" spans="1:13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</row>
    <row r="7535" spans="1:13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</row>
    <row r="7536" spans="1:13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</row>
    <row r="7537" spans="1:13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</row>
    <row r="7538" spans="1:13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</row>
    <row r="7539" spans="1:13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</row>
    <row r="7540" spans="1:13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</row>
    <row r="7541" spans="1:13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</row>
    <row r="7542" spans="1:13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</row>
    <row r="7543" spans="1:13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</row>
    <row r="7544" spans="1:13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</row>
    <row r="7545" spans="1:13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</row>
    <row r="7546" spans="1:13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</row>
    <row r="7547" spans="1:13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</row>
    <row r="7548" spans="1:13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</row>
    <row r="7549" spans="1:13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</row>
    <row r="7550" spans="1:13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</row>
    <row r="7551" spans="1:13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</row>
    <row r="7552" spans="1:13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</row>
    <row r="7553" spans="1:13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</row>
    <row r="7554" spans="1:13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</row>
    <row r="7555" spans="1:13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</row>
    <row r="7556" spans="1:13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</row>
    <row r="7557" spans="1:13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</row>
    <row r="7558" spans="1:13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</row>
    <row r="7559" spans="1:13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</row>
    <row r="7560" spans="1:13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</row>
    <row r="7561" spans="1:13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</row>
    <row r="7562" spans="1:13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</row>
    <row r="7563" spans="1:13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</row>
    <row r="7564" spans="1:13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</row>
    <row r="7565" spans="1:13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</row>
    <row r="7566" spans="1:13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</row>
    <row r="7567" spans="1:13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</row>
    <row r="7568" spans="1:13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</row>
    <row r="7569" spans="1:13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</row>
    <row r="7570" spans="1:13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</row>
    <row r="7571" spans="1:13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</row>
    <row r="7572" spans="1:13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</row>
    <row r="7573" spans="1:13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</row>
    <row r="7574" spans="1:13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</row>
    <row r="7575" spans="1:13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</row>
    <row r="7576" spans="1:13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</row>
    <row r="7577" spans="1:13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</row>
    <row r="7578" spans="1:13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</row>
    <row r="7579" spans="1:13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</row>
    <row r="7580" spans="1:13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</row>
    <row r="7581" spans="1:13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</row>
    <row r="7582" spans="1:13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</row>
    <row r="7583" spans="1:13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</row>
    <row r="7584" spans="1:13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</row>
    <row r="7585" spans="1:13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</row>
    <row r="7586" spans="1:13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</row>
    <row r="7587" spans="1:13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</row>
    <row r="7588" spans="1:13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</row>
    <row r="7589" spans="1:13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</row>
    <row r="7590" spans="1:13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</row>
    <row r="7591" spans="1:13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</row>
    <row r="7592" spans="1:13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</row>
    <row r="7593" spans="1:13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</row>
    <row r="7594" spans="1:13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</row>
    <row r="7595" spans="1:13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</row>
    <row r="7596" spans="1:13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</row>
    <row r="7597" spans="1:13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</row>
    <row r="7598" spans="1:13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</row>
    <row r="7599" spans="1:13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</row>
    <row r="7600" spans="1:13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</row>
    <row r="7601" spans="1:13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</row>
    <row r="7602" spans="1:13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</row>
    <row r="7603" spans="1:13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</row>
    <row r="7604" spans="1:13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</row>
    <row r="7605" spans="1:13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</row>
    <row r="7606" spans="1:13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</row>
    <row r="7607" spans="1:13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</row>
    <row r="7608" spans="1:13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</row>
    <row r="7609" spans="1:13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</row>
    <row r="7610" spans="1:13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</row>
    <row r="7611" spans="1:13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</row>
    <row r="7612" spans="1:13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</row>
    <row r="7613" spans="1:13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</row>
    <row r="7614" spans="1:13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</row>
    <row r="7615" spans="1:13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</row>
    <row r="7616" spans="1:13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</row>
    <row r="7617" spans="1:13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</row>
    <row r="7618" spans="1:13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</row>
    <row r="7619" spans="1:13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</row>
    <row r="7620" spans="1:13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</row>
    <row r="7621" spans="1:13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</row>
    <row r="7622" spans="1:13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</row>
    <row r="7623" spans="1:13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</row>
    <row r="7624" spans="1:13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</row>
    <row r="7625" spans="1:13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</row>
    <row r="7626" spans="1:13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</row>
    <row r="7627" spans="1:13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</row>
    <row r="7628" spans="1:13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</row>
    <row r="7629" spans="1:13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</row>
    <row r="7630" spans="1:13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</row>
    <row r="7631" spans="1:13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</row>
    <row r="7632" spans="1:13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</row>
    <row r="7633" spans="1:13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</row>
    <row r="7634" spans="1:13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</row>
    <row r="7635" spans="1:13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</row>
    <row r="7636" spans="1:13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</row>
    <row r="7637" spans="1:13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</row>
    <row r="7638" spans="1:13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</row>
    <row r="7639" spans="1:13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</row>
    <row r="7640" spans="1:13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</row>
    <row r="7641" spans="1:13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</row>
    <row r="7642" spans="1:13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</row>
    <row r="7643" spans="1:13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</row>
    <row r="7644" spans="1:13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</row>
    <row r="7645" spans="1:13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</row>
    <row r="7646" spans="1:13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</row>
    <row r="7647" spans="1:13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</row>
    <row r="7648" spans="1:13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</row>
    <row r="7649" spans="1:13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</row>
    <row r="7650" spans="1:13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</row>
    <row r="7651" spans="1:13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</row>
    <row r="7652" spans="1:13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</row>
    <row r="7653" spans="1:13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</row>
    <row r="7654" spans="1:13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</row>
    <row r="7655" spans="1:13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</row>
    <row r="7656" spans="1:13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</row>
    <row r="7657" spans="1:13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</row>
    <row r="7658" spans="1:13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</row>
    <row r="7659" spans="1:13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</row>
    <row r="7660" spans="1:13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</row>
    <row r="7661" spans="1:13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</row>
    <row r="7662" spans="1:13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</row>
    <row r="7663" spans="1:13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</row>
    <row r="7664" spans="1:13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</row>
    <row r="7665" spans="1:13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</row>
    <row r="7666" spans="1:13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</row>
    <row r="7667" spans="1:13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</row>
    <row r="7668" spans="1:13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</row>
    <row r="7669" spans="1:13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</row>
    <row r="7670" spans="1:13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</row>
    <row r="7671" spans="1:13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</row>
    <row r="7672" spans="1:13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</row>
    <row r="7673" spans="1:13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</row>
    <row r="7674" spans="1:13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</row>
    <row r="7675" spans="1:13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</row>
    <row r="7676" spans="1:13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</row>
    <row r="7677" spans="1:13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</row>
    <row r="7678" spans="1:13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</row>
    <row r="7679" spans="1:13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</row>
    <row r="7680" spans="1:13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</row>
    <row r="7681" spans="1:13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</row>
    <row r="7682" spans="1:13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</row>
    <row r="7683" spans="1:13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</row>
    <row r="7684" spans="1:13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</row>
    <row r="7685" spans="1:13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</row>
    <row r="7686" spans="1:13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</row>
    <row r="7687" spans="1:13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</row>
    <row r="7688" spans="1:13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</row>
    <row r="7689" spans="1:13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</row>
    <row r="7690" spans="1:13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</row>
    <row r="7691" spans="1:13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</row>
    <row r="7692" spans="1:13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</row>
    <row r="7693" spans="1:13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</row>
    <row r="7694" spans="1:13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</row>
    <row r="7695" spans="1:13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</row>
    <row r="7696" spans="1:13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</row>
    <row r="7697" spans="1:13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</row>
    <row r="7698" spans="1:13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</row>
    <row r="7699" spans="1:13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</row>
    <row r="7700" spans="1:13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</row>
    <row r="7701" spans="1:13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</row>
    <row r="7702" spans="1:13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</row>
    <row r="7703" spans="1:13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</row>
    <row r="7704" spans="1:13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</row>
    <row r="7705" spans="1:13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</row>
    <row r="7706" spans="1:13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</row>
    <row r="7707" spans="1:13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</row>
    <row r="7708" spans="1:13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</row>
    <row r="7709" spans="1:13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</row>
    <row r="7710" spans="1:13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</row>
    <row r="7711" spans="1:13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</row>
    <row r="7712" spans="1:13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</row>
    <row r="7713" spans="1:13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</row>
    <row r="7714" spans="1:13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</row>
    <row r="7715" spans="1:13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</row>
    <row r="7716" spans="1:13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</row>
    <row r="7717" spans="1:13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</row>
    <row r="7718" spans="1:13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</row>
    <row r="7719" spans="1:13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</row>
    <row r="7720" spans="1:13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</row>
    <row r="7721" spans="1:13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</row>
    <row r="7722" spans="1:13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</row>
    <row r="7723" spans="1:13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</row>
    <row r="7724" spans="1:13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</row>
    <row r="7725" spans="1:13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</row>
    <row r="7726" spans="1:13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</row>
    <row r="7727" spans="1:13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</row>
    <row r="7728" spans="1:13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</row>
    <row r="7729" spans="1:13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</row>
    <row r="7730" spans="1:13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</row>
    <row r="7731" spans="1:13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</row>
    <row r="7732" spans="1:13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</row>
    <row r="7733" spans="1:13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</row>
    <row r="7734" spans="1:13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</row>
    <row r="7735" spans="1:13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</row>
    <row r="7736" spans="1:13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</row>
    <row r="7737" spans="1:13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</row>
    <row r="7738" spans="1:13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</row>
    <row r="7739" spans="1:13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</row>
    <row r="7740" spans="1:13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</row>
    <row r="7741" spans="1:13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</row>
    <row r="7742" spans="1:13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</row>
    <row r="7743" spans="1:13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</row>
    <row r="7744" spans="1:13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</row>
    <row r="7745" spans="1:13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</row>
    <row r="7746" spans="1:13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</row>
    <row r="7747" spans="1:13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</row>
    <row r="7748" spans="1:13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</row>
    <row r="7749" spans="1:13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</row>
    <row r="7750" spans="1:13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</row>
    <row r="7751" spans="1:13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</row>
    <row r="7752" spans="1:13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</row>
    <row r="7753" spans="1:13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</row>
    <row r="7754" spans="1:13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</row>
    <row r="7755" spans="1:13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</row>
    <row r="7756" spans="1:13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</row>
    <row r="7757" spans="1:13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</row>
    <row r="7758" spans="1:13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</row>
    <row r="7759" spans="1:13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</row>
    <row r="7760" spans="1:13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</row>
    <row r="7761" spans="1:13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</row>
    <row r="7762" spans="1:13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</row>
    <row r="7763" spans="1:13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</row>
    <row r="7764" spans="1:13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</row>
    <row r="7765" spans="1:13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</row>
    <row r="7766" spans="1:13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</row>
    <row r="7767" spans="1:13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</row>
    <row r="7768" spans="1:13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</row>
    <row r="7769" spans="1:13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</row>
    <row r="7770" spans="1:13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</row>
    <row r="7771" spans="1:13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</row>
    <row r="7772" spans="1:13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</row>
    <row r="7773" spans="1:13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</row>
    <row r="7774" spans="1:13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</row>
    <row r="7775" spans="1:13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</row>
    <row r="7776" spans="1:13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</row>
    <row r="7777" spans="1:13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</row>
    <row r="7778" spans="1:13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</row>
    <row r="7779" spans="1:13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</row>
    <row r="7780" spans="1:13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</row>
    <row r="7781" spans="1:13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</row>
    <row r="7782" spans="1:13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</row>
    <row r="7783" spans="1:13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</row>
    <row r="7784" spans="1:13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</row>
    <row r="7785" spans="1:13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</row>
    <row r="7786" spans="1:13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</row>
    <row r="7787" spans="1:13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</row>
    <row r="7788" spans="1:13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</row>
    <row r="7789" spans="1:13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</row>
    <row r="7790" spans="1:13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</row>
    <row r="7791" spans="1:13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</row>
    <row r="7792" spans="1:13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</row>
    <row r="7793" spans="1:13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</row>
    <row r="7794" spans="1:13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</row>
    <row r="7795" spans="1:13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</row>
    <row r="7796" spans="1:13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</row>
    <row r="7797" spans="1:13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</row>
    <row r="7798" spans="1:13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</row>
    <row r="7799" spans="1:13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</row>
    <row r="7800" spans="1:13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</row>
    <row r="7801" spans="1:13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</row>
    <row r="7802" spans="1:13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</row>
    <row r="7803" spans="1:13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</row>
    <row r="7804" spans="1:13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</row>
    <row r="7805" spans="1:13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</row>
    <row r="7806" spans="1:13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</row>
    <row r="7807" spans="1:13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</row>
    <row r="7808" spans="1:13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</row>
    <row r="7809" spans="1:13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</row>
    <row r="7810" spans="1:13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</row>
    <row r="7811" spans="1:13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</row>
    <row r="7812" spans="1:13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</row>
    <row r="7813" spans="1:13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</row>
    <row r="7814" spans="1:13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</row>
    <row r="7815" spans="1:13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</row>
    <row r="7816" spans="1:13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</row>
    <row r="7817" spans="1:13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</row>
    <row r="7818" spans="1:13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</row>
    <row r="7819" spans="1:13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</row>
    <row r="7820" spans="1:13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</row>
    <row r="7821" spans="1:13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</row>
    <row r="7822" spans="1:13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</row>
    <row r="7823" spans="1:13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</row>
    <row r="7824" spans="1:13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</row>
    <row r="7825" spans="1:13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</row>
    <row r="7826" spans="1:13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</row>
    <row r="7827" spans="1:13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</row>
    <row r="7828" spans="1:13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</row>
    <row r="7829" spans="1:13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</row>
    <row r="7830" spans="1:13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</row>
    <row r="7831" spans="1:13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</row>
    <row r="7832" spans="1:13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</row>
    <row r="7833" spans="1:13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</row>
    <row r="7834" spans="1:13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</row>
    <row r="7835" spans="1:13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</row>
    <row r="7836" spans="1:13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</row>
    <row r="7837" spans="1:13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</row>
    <row r="7838" spans="1:13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</row>
    <row r="7839" spans="1:13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</row>
    <row r="7840" spans="1:13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</row>
    <row r="7841" spans="1:13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</row>
    <row r="7842" spans="1:13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</row>
    <row r="7843" spans="1:13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</row>
    <row r="7844" spans="1:13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</row>
    <row r="7845" spans="1:13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</row>
    <row r="7846" spans="1:13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</row>
    <row r="7847" spans="1:13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</row>
    <row r="7848" spans="1:13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</row>
    <row r="7849" spans="1:13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</row>
    <row r="7850" spans="1:13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</row>
    <row r="7851" spans="1:13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</row>
    <row r="7852" spans="1:13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</row>
    <row r="7853" spans="1:13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</row>
    <row r="7854" spans="1:13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</row>
    <row r="7855" spans="1:13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</row>
    <row r="7856" spans="1:13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</row>
    <row r="7857" spans="1:13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</row>
    <row r="7858" spans="1:13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</row>
    <row r="7859" spans="1:13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</row>
    <row r="7860" spans="1:13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</row>
    <row r="7861" spans="1:13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</row>
    <row r="7862" spans="1:13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</row>
    <row r="7863" spans="1:13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</row>
    <row r="7864" spans="1:13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</row>
    <row r="7865" spans="1:13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</row>
    <row r="7866" spans="1:13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</row>
    <row r="7867" spans="1:13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</row>
    <row r="7868" spans="1:13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</row>
    <row r="7869" spans="1:13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</row>
    <row r="7870" spans="1:13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</row>
    <row r="7871" spans="1:13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</row>
    <row r="7872" spans="1:13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</row>
    <row r="7873" spans="1:13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</row>
    <row r="7874" spans="1:13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</row>
    <row r="7875" spans="1:13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</row>
    <row r="7876" spans="1:13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</row>
    <row r="7877" spans="1:13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</row>
    <row r="7878" spans="1:13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</row>
    <row r="7879" spans="1:13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</row>
    <row r="7880" spans="1:13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</row>
    <row r="7881" spans="1:13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</row>
    <row r="7882" spans="1:13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</row>
    <row r="7883" spans="1:13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</row>
    <row r="7884" spans="1:13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</row>
    <row r="7885" spans="1:13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</row>
    <row r="7886" spans="1:13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</row>
    <row r="7887" spans="1:13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</row>
    <row r="7888" spans="1:13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</row>
    <row r="7889" spans="1:13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</row>
    <row r="7890" spans="1:13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</row>
    <row r="7891" spans="1:13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</row>
    <row r="7892" spans="1:13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</row>
    <row r="7893" spans="1:13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</row>
    <row r="7894" spans="1:13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</row>
    <row r="7895" spans="1:13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</row>
    <row r="7896" spans="1:13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</row>
    <row r="7897" spans="1:13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</row>
    <row r="7898" spans="1:13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</row>
    <row r="7899" spans="1:13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</row>
    <row r="7900" spans="1:13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</row>
    <row r="7901" spans="1:13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</row>
    <row r="7902" spans="1:13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</row>
    <row r="7903" spans="1:13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</row>
    <row r="7904" spans="1:13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</row>
    <row r="7905" spans="1:13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</row>
    <row r="7906" spans="1:13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</row>
    <row r="7907" spans="1:13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</row>
    <row r="7908" spans="1:13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</row>
    <row r="7909" spans="1:13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</row>
    <row r="7910" spans="1:13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</row>
    <row r="7911" spans="1:13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</row>
    <row r="7912" spans="1:13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</row>
    <row r="7913" spans="1:13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</row>
    <row r="7914" spans="1:13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</row>
    <row r="7915" spans="1:13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</row>
    <row r="7916" spans="1:13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</row>
    <row r="7917" spans="1:13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</row>
    <row r="7918" spans="1:13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</row>
    <row r="7919" spans="1:13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</row>
    <row r="7920" spans="1:13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</row>
    <row r="7921" spans="1:13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</row>
    <row r="7922" spans="1:13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</row>
    <row r="7923" spans="1:13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</row>
    <row r="7924" spans="1:13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</row>
    <row r="7925" spans="1:13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</row>
    <row r="7926" spans="1:13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</row>
    <row r="7927" spans="1:13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</row>
    <row r="7928" spans="1:13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</row>
    <row r="7929" spans="1:13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</row>
    <row r="7930" spans="1:13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</row>
    <row r="7931" spans="1:13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</row>
    <row r="7932" spans="1:13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</row>
    <row r="7933" spans="1:13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</row>
    <row r="7934" spans="1:13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</row>
    <row r="7935" spans="1:13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</row>
    <row r="7936" spans="1:13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</row>
    <row r="7937" spans="1:13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</row>
    <row r="7938" spans="1:13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</row>
    <row r="7939" spans="1:13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</row>
    <row r="7940" spans="1:13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</row>
    <row r="7941" spans="1:13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</row>
    <row r="7942" spans="1:13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</row>
    <row r="7943" spans="1:13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</row>
    <row r="7944" spans="1:13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</row>
    <row r="7945" spans="1:13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</row>
    <row r="7946" spans="1:13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</row>
    <row r="7947" spans="1:13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</row>
    <row r="7948" spans="1:13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</row>
    <row r="7949" spans="1:13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</row>
    <row r="7950" spans="1:13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</row>
    <row r="7951" spans="1:13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</row>
    <row r="7952" spans="1:13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</row>
    <row r="7953" spans="1:13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</row>
    <row r="7954" spans="1:13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</row>
    <row r="7955" spans="1:13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</row>
    <row r="7956" spans="1:13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</row>
    <row r="7957" spans="1:13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</row>
    <row r="7958" spans="1:13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</row>
    <row r="7959" spans="1:13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</row>
    <row r="7960" spans="1:13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</row>
    <row r="7961" spans="1:13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</row>
    <row r="7962" spans="1:13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</row>
    <row r="7963" spans="1:13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</row>
    <row r="7964" spans="1:13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</row>
    <row r="7965" spans="1:13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</row>
    <row r="7966" spans="1:13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</row>
    <row r="7967" spans="1:13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</row>
    <row r="7968" spans="1:13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</row>
    <row r="7969" spans="1:13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</row>
    <row r="7970" spans="1:13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</row>
    <row r="7971" spans="1:13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</row>
    <row r="7972" spans="1:13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</row>
    <row r="7973" spans="1:13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</row>
    <row r="7974" spans="1:13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</row>
    <row r="7975" spans="1:13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</row>
    <row r="7976" spans="1:13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</row>
    <row r="7977" spans="1:13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</row>
    <row r="7978" spans="1:13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</row>
    <row r="7979" spans="1:13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</row>
    <row r="7980" spans="1:13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</row>
    <row r="7981" spans="1:13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</row>
    <row r="7982" spans="1:13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</row>
    <row r="7983" spans="1:13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</row>
    <row r="7984" spans="1:13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</row>
    <row r="7985" spans="1:13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</row>
    <row r="7986" spans="1:13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</row>
    <row r="7987" spans="1:13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</row>
    <row r="7988" spans="1:13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</row>
    <row r="7989" spans="1:13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</row>
    <row r="7990" spans="1:13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</row>
    <row r="7991" spans="1:13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</row>
    <row r="7992" spans="1:13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</row>
    <row r="7993" spans="1:13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</row>
    <row r="7994" spans="1:13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</row>
    <row r="7995" spans="1:13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</row>
    <row r="7996" spans="1:13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</row>
    <row r="7997" spans="1:13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</row>
    <row r="7998" spans="1:13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</row>
    <row r="7999" spans="1:13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</row>
    <row r="8000" spans="1:13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</row>
    <row r="8001" spans="1:13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</row>
    <row r="8002" spans="1:13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</row>
    <row r="8003" spans="1:13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</row>
    <row r="8004" spans="1:13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</row>
    <row r="8005" spans="1:13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</row>
    <row r="8006" spans="1:13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</row>
    <row r="8007" spans="1:13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</row>
    <row r="8008" spans="1:13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</row>
    <row r="8009" spans="1:13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</row>
    <row r="8010" spans="1:13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</row>
    <row r="8011" spans="1:13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</row>
    <row r="8012" spans="1:13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</row>
    <row r="8013" spans="1:13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</row>
    <row r="8014" spans="1:13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</row>
    <row r="8015" spans="1:13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</row>
    <row r="8016" spans="1:13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</row>
    <row r="8017" spans="1:13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</row>
    <row r="8018" spans="1:13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</row>
    <row r="8019" spans="1:13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</row>
    <row r="8020" spans="1:13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</row>
    <row r="8021" spans="1:13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</row>
    <row r="8022" spans="1:13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</row>
    <row r="8023" spans="1:13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</row>
    <row r="8024" spans="1:13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</row>
    <row r="8025" spans="1:13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</row>
    <row r="8026" spans="1:13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</row>
    <row r="8027" spans="1:13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</row>
    <row r="8028" spans="1:13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</row>
    <row r="8029" spans="1:13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</row>
    <row r="8030" spans="1:13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</row>
    <row r="8031" spans="1:13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</row>
    <row r="8032" spans="1:13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</row>
    <row r="8033" spans="1:13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</row>
    <row r="8034" spans="1:13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</row>
    <row r="8035" spans="1:13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</row>
    <row r="8036" spans="1:13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</row>
    <row r="8037" spans="1:13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</row>
    <row r="8038" spans="1:13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</row>
    <row r="8039" spans="1:13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</row>
    <row r="8040" spans="1:13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</row>
    <row r="8041" spans="1:13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</row>
    <row r="8042" spans="1:13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</row>
    <row r="8043" spans="1:13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</row>
    <row r="8044" spans="1:13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</row>
    <row r="8045" spans="1:13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</row>
    <row r="8046" spans="1:13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</row>
    <row r="8047" spans="1:13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</row>
    <row r="8048" spans="1:13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</row>
    <row r="8049" spans="1:13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</row>
    <row r="8050" spans="1:13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</row>
    <row r="8051" spans="1:13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</row>
    <row r="8052" spans="1:13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</row>
    <row r="8053" spans="1:13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</row>
    <row r="8054" spans="1:13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</row>
    <row r="8055" spans="1:13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</row>
    <row r="8056" spans="1:13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</row>
    <row r="8057" spans="1:13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</row>
    <row r="8058" spans="1:13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</row>
    <row r="8059" spans="1:13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</row>
    <row r="8060" spans="1:13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</row>
    <row r="8061" spans="1:13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</row>
    <row r="8062" spans="1:13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</row>
    <row r="8063" spans="1:13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</row>
    <row r="8064" spans="1:13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</row>
    <row r="8065" spans="1:13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</row>
    <row r="8066" spans="1:13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</row>
    <row r="8067" spans="1:13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</row>
    <row r="8068" spans="1:13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</row>
    <row r="8069" spans="1:13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</row>
    <row r="8070" spans="1:13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</row>
    <row r="8071" spans="1:13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</row>
    <row r="8072" spans="1:13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</row>
    <row r="8073" spans="1:13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</row>
    <row r="8074" spans="1:13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</row>
    <row r="8075" spans="1:13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</row>
    <row r="8076" spans="1:13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</row>
    <row r="8077" spans="1:13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</row>
    <row r="8078" spans="1:13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</row>
    <row r="8079" spans="1:13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</row>
    <row r="8080" spans="1:13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</row>
    <row r="8081" spans="1:13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</row>
    <row r="8082" spans="1:13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</row>
    <row r="8083" spans="1:13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</row>
    <row r="8084" spans="1:13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</row>
    <row r="8085" spans="1:13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</row>
    <row r="8086" spans="1:13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</row>
    <row r="8087" spans="1:13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</row>
    <row r="8088" spans="1:13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</row>
    <row r="8089" spans="1:13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</row>
    <row r="8090" spans="1:13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</row>
    <row r="8091" spans="1:13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</row>
    <row r="8092" spans="1:13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</row>
    <row r="8093" spans="1:13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</row>
    <row r="8094" spans="1:13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</row>
    <row r="8095" spans="1:13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</row>
    <row r="8096" spans="1:13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</row>
    <row r="8097" spans="1:13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</row>
    <row r="8098" spans="1:13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</row>
    <row r="8099" spans="1:13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</row>
    <row r="8100" spans="1:13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</row>
    <row r="8101" spans="1:13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</row>
    <row r="8102" spans="1:13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</row>
    <row r="8103" spans="1:13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</row>
    <row r="8104" spans="1:13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</row>
    <row r="8105" spans="1:13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</row>
    <row r="8106" spans="1:13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</row>
    <row r="8107" spans="1:13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</row>
    <row r="8108" spans="1:13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</row>
    <row r="8109" spans="1:13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</row>
    <row r="8110" spans="1:13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</row>
    <row r="8111" spans="1:13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</row>
    <row r="8112" spans="1:13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</row>
    <row r="8113" spans="1:13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</row>
    <row r="8114" spans="1:13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</row>
    <row r="8115" spans="1:13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</row>
    <row r="8116" spans="1:13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</row>
    <row r="8117" spans="1:13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</row>
    <row r="8118" spans="1:13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</row>
    <row r="8119" spans="1:13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</row>
    <row r="8120" spans="1:13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</row>
    <row r="8121" spans="1:13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</row>
    <row r="8122" spans="1:13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</row>
    <row r="8123" spans="1:13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</row>
    <row r="8124" spans="1:13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</row>
    <row r="8125" spans="1:13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</row>
    <row r="8126" spans="1:13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</row>
    <row r="8127" spans="1:13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</row>
    <row r="8128" spans="1:13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</row>
    <row r="8129" spans="1:13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</row>
    <row r="8130" spans="1:13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</row>
    <row r="8131" spans="1:13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</row>
    <row r="8132" spans="1:13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</row>
    <row r="8133" spans="1:13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</row>
    <row r="8134" spans="1:13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</row>
    <row r="8135" spans="1:13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</row>
    <row r="8136" spans="1:13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</row>
    <row r="8137" spans="1:13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</row>
    <row r="8138" spans="1:13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</row>
    <row r="8139" spans="1:13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</row>
    <row r="8140" spans="1:13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</row>
    <row r="8141" spans="1:13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</row>
    <row r="8142" spans="1:13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</row>
    <row r="8143" spans="1:13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</row>
    <row r="8144" spans="1:13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</row>
    <row r="8145" spans="1:13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</row>
    <row r="8146" spans="1:13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</row>
    <row r="8147" spans="1:13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</row>
    <row r="8148" spans="1:13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</row>
    <row r="8149" spans="1:13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</row>
    <row r="8150" spans="1:13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</row>
    <row r="8151" spans="1:13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</row>
    <row r="8152" spans="1:13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</row>
    <row r="8153" spans="1:13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</row>
    <row r="8154" spans="1:13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</row>
    <row r="8155" spans="1:13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</row>
    <row r="8156" spans="1:13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</row>
    <row r="8157" spans="1:13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</row>
    <row r="8158" spans="1:13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</row>
    <row r="8159" spans="1:13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</row>
    <row r="8160" spans="1:13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</row>
    <row r="8161" spans="1:13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</row>
    <row r="8162" spans="1:13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</row>
    <row r="8163" spans="1:13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</row>
    <row r="8164" spans="1:13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</row>
    <row r="8165" spans="1:13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</row>
    <row r="8166" spans="1:13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</row>
    <row r="8167" spans="1:13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</row>
    <row r="8168" spans="1:13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</row>
    <row r="8169" spans="1:13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</row>
    <row r="8170" spans="1:13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</row>
    <row r="8171" spans="1:13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</row>
    <row r="8172" spans="1:13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</row>
    <row r="8173" spans="1:13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</row>
    <row r="8174" spans="1:13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</row>
    <row r="8175" spans="1:13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</row>
    <row r="8176" spans="1:13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</row>
    <row r="8177" spans="1:13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</row>
    <row r="8178" spans="1:13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</row>
    <row r="8179" spans="1:13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</row>
    <row r="8180" spans="1:13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</row>
    <row r="8181" spans="1:13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</row>
    <row r="8182" spans="1:13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</row>
    <row r="8183" spans="1:13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</row>
    <row r="8184" spans="1:13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</row>
    <row r="8185" spans="1:13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</row>
    <row r="8186" spans="1:13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</row>
    <row r="8187" spans="1:13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</row>
    <row r="8188" spans="1:13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</row>
    <row r="8189" spans="1:13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</row>
    <row r="8190" spans="1:13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</row>
    <row r="8191" spans="1:13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</row>
    <row r="8192" spans="1:13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</row>
    <row r="8193" spans="1:13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</row>
    <row r="8194" spans="1:13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</row>
    <row r="8195" spans="1:13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</row>
    <row r="8196" spans="1:13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</row>
    <row r="8197" spans="1:13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</row>
    <row r="8198" spans="1:13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</row>
    <row r="8199" spans="1:13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</row>
    <row r="8200" spans="1:13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</row>
    <row r="8201" spans="1:13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</row>
    <row r="8202" spans="1:13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</row>
    <row r="8203" spans="1:13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</row>
    <row r="8204" spans="1:13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</row>
    <row r="8205" spans="1:13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</row>
    <row r="8206" spans="1:13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</row>
    <row r="8207" spans="1:13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</row>
    <row r="8208" spans="1:13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</row>
    <row r="8209" spans="1:13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</row>
    <row r="8210" spans="1:13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</row>
    <row r="8211" spans="1:13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</row>
    <row r="8212" spans="1:13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</row>
    <row r="8213" spans="1:13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</row>
    <row r="8214" spans="1:13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</row>
    <row r="8215" spans="1:13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</row>
    <row r="8216" spans="1:13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</row>
    <row r="8217" spans="1:13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</row>
    <row r="8218" spans="1:13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</row>
    <row r="8219" spans="1:13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</row>
    <row r="8220" spans="1:13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</row>
    <row r="8221" spans="1:13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</row>
    <row r="8222" spans="1:13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</row>
    <row r="8223" spans="1:13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</row>
    <row r="8224" spans="1:13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</row>
    <row r="8225" spans="1:13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</row>
    <row r="8226" spans="1:13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</row>
    <row r="8227" spans="1:13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</row>
    <row r="8228" spans="1:13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</row>
    <row r="8229" spans="1:13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</row>
    <row r="8230" spans="1:13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</row>
    <row r="8231" spans="1:13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</row>
    <row r="8232" spans="1:13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</row>
    <row r="8233" spans="1:13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</row>
    <row r="8234" spans="1:13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</row>
    <row r="8235" spans="1:13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</row>
    <row r="8236" spans="1:13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</row>
    <row r="8237" spans="1:13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</row>
    <row r="8238" spans="1:13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</row>
    <row r="8239" spans="1:13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</row>
    <row r="8240" spans="1:13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</row>
    <row r="8241" spans="1:13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</row>
    <row r="8242" spans="1:13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</row>
    <row r="8243" spans="1:13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</row>
    <row r="8244" spans="1:13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</row>
    <row r="8245" spans="1:13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</row>
    <row r="8246" spans="1:13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</row>
    <row r="8247" spans="1:13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</row>
    <row r="8248" spans="1:13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</row>
    <row r="8249" spans="1:13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</row>
    <row r="8250" spans="1:13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</row>
    <row r="8251" spans="1:13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</row>
    <row r="8252" spans="1:13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</row>
    <row r="8253" spans="1:13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</row>
    <row r="8254" spans="1:13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</row>
    <row r="8255" spans="1:13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</row>
    <row r="8256" spans="1:13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</row>
    <row r="8257" spans="1:13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</row>
    <row r="8258" spans="1:13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</row>
    <row r="8259" spans="1:13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</row>
    <row r="8260" spans="1:13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</row>
    <row r="8261" spans="1:13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</row>
    <row r="8262" spans="1:13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</row>
    <row r="8263" spans="1:13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</row>
    <row r="8264" spans="1:13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</row>
    <row r="8265" spans="1:13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</row>
    <row r="8266" spans="1:13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</row>
    <row r="8267" spans="1:13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</row>
    <row r="8268" spans="1:13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</row>
    <row r="8269" spans="1:13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</row>
    <row r="8270" spans="1:13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</row>
    <row r="8271" spans="1:13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</row>
    <row r="8272" spans="1:13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</row>
    <row r="8273" spans="1:13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</row>
    <row r="8274" spans="1:13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</row>
    <row r="8275" spans="1:13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</row>
    <row r="8276" spans="1:13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</row>
    <row r="8277" spans="1:13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</row>
    <row r="8278" spans="1:13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</row>
    <row r="8279" spans="1:13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</row>
    <row r="8280" spans="1:13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</row>
    <row r="8281" spans="1:13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</row>
    <row r="8282" spans="1:13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</row>
    <row r="8283" spans="1:13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</row>
    <row r="8284" spans="1:13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</row>
    <row r="8285" spans="1:13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</row>
    <row r="8286" spans="1:13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</row>
    <row r="8287" spans="1:13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</row>
    <row r="8288" spans="1:13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</row>
    <row r="8289" spans="1:13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</row>
    <row r="8290" spans="1:13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</row>
    <row r="8291" spans="1:13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</row>
    <row r="8292" spans="1:13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</row>
    <row r="8293" spans="1:13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</row>
    <row r="8294" spans="1:13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</row>
    <row r="8295" spans="1:13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</row>
    <row r="8296" spans="1:13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</row>
    <row r="8297" spans="1:13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</row>
    <row r="8298" spans="1:13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</row>
    <row r="8299" spans="1:13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</row>
    <row r="8300" spans="1:13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</row>
    <row r="8301" spans="1:13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</row>
    <row r="8302" spans="1:13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</row>
    <row r="8303" spans="1:13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</row>
    <row r="8304" spans="1:13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</row>
    <row r="8305" spans="1:13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</row>
    <row r="8306" spans="1:13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</row>
    <row r="8307" spans="1:13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</row>
    <row r="8308" spans="1:13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</row>
    <row r="8309" spans="1:13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</row>
    <row r="8310" spans="1:13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</row>
    <row r="8311" spans="1:13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</row>
    <row r="8312" spans="1:13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</row>
    <row r="8313" spans="1:13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</row>
    <row r="8314" spans="1:13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</row>
    <row r="8315" spans="1:13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</row>
    <row r="8316" spans="1:13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</row>
    <row r="8317" spans="1:13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</row>
    <row r="8318" spans="1:13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</row>
    <row r="8319" spans="1:13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</row>
    <row r="8320" spans="1:13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</row>
    <row r="8321" spans="1:13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</row>
    <row r="8322" spans="1:13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</row>
    <row r="8323" spans="1:13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</row>
    <row r="8324" spans="1:13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</row>
    <row r="8325" spans="1:13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</row>
    <row r="8326" spans="1:13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</row>
    <row r="8327" spans="1:13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</row>
    <row r="8328" spans="1:13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</row>
    <row r="8329" spans="1:13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</row>
    <row r="8330" spans="1:13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</row>
    <row r="8331" spans="1:13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</row>
    <row r="8332" spans="1:13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</row>
    <row r="8333" spans="1:13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</row>
    <row r="8334" spans="1:13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</row>
    <row r="8335" spans="1:13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</row>
    <row r="8336" spans="1:13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</row>
    <row r="8337" spans="1:13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</row>
    <row r="8338" spans="1:13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</row>
    <row r="8339" spans="1:13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</row>
    <row r="8340" spans="1:13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</row>
    <row r="8341" spans="1:13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</row>
    <row r="8342" spans="1:13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</row>
    <row r="8343" spans="1:13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</row>
    <row r="8344" spans="1:13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</row>
    <row r="8345" spans="1:13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</row>
    <row r="8346" spans="1:13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</row>
    <row r="8347" spans="1:13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</row>
    <row r="8348" spans="1:13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</row>
    <row r="8349" spans="1:13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</row>
    <row r="8350" spans="1:13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</row>
    <row r="8351" spans="1:13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</row>
    <row r="8352" spans="1:13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</row>
    <row r="8353" spans="1:13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</row>
    <row r="8354" spans="1:13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</row>
    <row r="8355" spans="1:13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</row>
    <row r="8356" spans="1:13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</row>
    <row r="8357" spans="1:13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</row>
    <row r="8358" spans="1:13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</row>
    <row r="8359" spans="1:13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</row>
    <row r="8360" spans="1:13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</row>
    <row r="8361" spans="1:13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</row>
    <row r="8362" spans="1:13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</row>
    <row r="8363" spans="1:13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</row>
    <row r="8364" spans="1:13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</row>
    <row r="8365" spans="1:13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</row>
    <row r="8366" spans="1:13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</row>
    <row r="8367" spans="1:13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</row>
    <row r="8368" spans="1:13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</row>
    <row r="8369" spans="1:13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</row>
    <row r="8370" spans="1:13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</row>
    <row r="8371" spans="1:13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</row>
    <row r="8372" spans="1:13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</row>
    <row r="8373" spans="1:13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</row>
    <row r="8374" spans="1:13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</row>
    <row r="8375" spans="1:13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</row>
    <row r="8376" spans="1:13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</row>
    <row r="8377" spans="1:13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</row>
    <row r="8378" spans="1:13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</row>
    <row r="8379" spans="1:13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</row>
    <row r="8380" spans="1:13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</row>
    <row r="8381" spans="1:13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</row>
    <row r="8382" spans="1:13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</row>
    <row r="8383" spans="1:13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</row>
    <row r="8384" spans="1:13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</row>
    <row r="8385" spans="1:13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</row>
    <row r="8386" spans="1:13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</row>
    <row r="8387" spans="1:13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</row>
    <row r="8388" spans="1:13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</row>
    <row r="8389" spans="1:13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</row>
    <row r="8390" spans="1:13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</row>
    <row r="8391" spans="1:13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</row>
    <row r="8392" spans="1:13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</row>
    <row r="8393" spans="1:13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</row>
    <row r="8394" spans="1:13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</row>
    <row r="8395" spans="1:13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</row>
    <row r="8396" spans="1:13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</row>
    <row r="8397" spans="1:13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</row>
    <row r="8398" spans="1:13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</row>
    <row r="8399" spans="1:13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</row>
    <row r="8400" spans="1:13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</row>
    <row r="8401" spans="1:13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</row>
    <row r="8402" spans="1:13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</row>
    <row r="8403" spans="1:13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</row>
    <row r="8404" spans="1:13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</row>
    <row r="8405" spans="1:13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</row>
    <row r="8406" spans="1:13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</row>
    <row r="8407" spans="1:13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</row>
    <row r="8408" spans="1:13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</row>
    <row r="8409" spans="1:13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</row>
    <row r="8410" spans="1:13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</row>
    <row r="8411" spans="1:13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</row>
    <row r="8412" spans="1:13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</row>
    <row r="8413" spans="1:13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</row>
    <row r="8414" spans="1:13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</row>
    <row r="8415" spans="1:13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</row>
    <row r="8416" spans="1:13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</row>
    <row r="8417" spans="1:13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</row>
    <row r="8418" spans="1:13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</row>
    <row r="8419" spans="1:13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</row>
    <row r="8420" spans="1:13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</row>
    <row r="8421" spans="1:13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</row>
    <row r="8422" spans="1:13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</row>
    <row r="8423" spans="1:13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</row>
    <row r="8424" spans="1:13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</row>
    <row r="8425" spans="1:13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</row>
    <row r="8426" spans="1:13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</row>
    <row r="8427" spans="1:13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</row>
    <row r="8428" spans="1:13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</row>
    <row r="8429" spans="1:13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</row>
    <row r="8430" spans="1:13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</row>
    <row r="8431" spans="1:13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</row>
    <row r="8432" spans="1:13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</row>
    <row r="8433" spans="1:13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</row>
    <row r="8434" spans="1:13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</row>
    <row r="8435" spans="1:13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</row>
    <row r="8436" spans="1:13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</row>
    <row r="8437" spans="1:13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</row>
    <row r="8438" spans="1:13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</row>
    <row r="8439" spans="1:13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</row>
    <row r="8440" spans="1:13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</row>
    <row r="8441" spans="1:13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</row>
    <row r="8442" spans="1:13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</row>
    <row r="8443" spans="1:13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</row>
    <row r="8444" spans="1:13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</row>
    <row r="8445" spans="1:13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</row>
    <row r="8446" spans="1:13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</row>
    <row r="8447" spans="1:13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</row>
    <row r="8448" spans="1:13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</row>
    <row r="8449" spans="1:13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</row>
    <row r="8450" spans="1:13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</row>
    <row r="8451" spans="1:13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</row>
    <row r="8452" spans="1:13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</row>
    <row r="8453" spans="1:13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</row>
    <row r="8454" spans="1:13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</row>
    <row r="8455" spans="1:13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</row>
    <row r="8456" spans="1:13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</row>
    <row r="8457" spans="1:13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</row>
    <row r="8458" spans="1:13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</row>
    <row r="8459" spans="1:13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</row>
    <row r="8460" spans="1:13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</row>
    <row r="8461" spans="1:13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</row>
    <row r="8462" spans="1:13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</row>
    <row r="8463" spans="1:13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</row>
    <row r="8464" spans="1:13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</row>
    <row r="8465" spans="1:13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</row>
    <row r="8466" spans="1:13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</row>
    <row r="8467" spans="1:13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</row>
    <row r="8468" spans="1:13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</row>
    <row r="8469" spans="1:13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</row>
    <row r="8470" spans="1:13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</row>
    <row r="8471" spans="1:13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</row>
    <row r="8472" spans="1:13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</row>
    <row r="8473" spans="1:13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</row>
    <row r="8474" spans="1:13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</row>
    <row r="8475" spans="1:13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</row>
    <row r="8476" spans="1:13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</row>
    <row r="8477" spans="1:13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</row>
    <row r="8478" spans="1:13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</row>
    <row r="8479" spans="1:13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</row>
    <row r="8480" spans="1:13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</row>
    <row r="8481" spans="1:13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</row>
    <row r="8482" spans="1:13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</row>
    <row r="8483" spans="1:13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</row>
    <row r="8484" spans="1:13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</row>
    <row r="8485" spans="1:13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</row>
    <row r="8486" spans="1:13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</row>
    <row r="8487" spans="1:13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</row>
    <row r="8488" spans="1:13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</row>
    <row r="8489" spans="1:13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</row>
    <row r="8490" spans="1:13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</row>
    <row r="8491" spans="1:13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</row>
    <row r="8492" spans="1:13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</row>
    <row r="8493" spans="1:13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</row>
    <row r="8494" spans="1:13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</row>
    <row r="8495" spans="1:13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</row>
    <row r="8496" spans="1:13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</row>
    <row r="8497" spans="1:13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</row>
    <row r="8498" spans="1:13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</row>
    <row r="8499" spans="1:13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</row>
    <row r="8500" spans="1:13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</row>
    <row r="8501" spans="1:13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</row>
    <row r="8502" spans="1:13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</row>
    <row r="8503" spans="1:13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</row>
    <row r="8504" spans="1:13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</row>
    <row r="8505" spans="1:13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</row>
    <row r="8506" spans="1:13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</row>
    <row r="8507" spans="1:13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</row>
    <row r="8508" spans="1:13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</row>
    <row r="8509" spans="1:13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</row>
    <row r="8510" spans="1:13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</row>
    <row r="8511" spans="1:13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</row>
    <row r="8512" spans="1:13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</row>
    <row r="8513" spans="1:13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</row>
    <row r="8514" spans="1:13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</row>
    <row r="8515" spans="1:13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</row>
    <row r="8516" spans="1:13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</row>
    <row r="8517" spans="1:13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</row>
    <row r="8518" spans="1:13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</row>
    <row r="8519" spans="1:13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</row>
    <row r="8520" spans="1:13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</row>
    <row r="8521" spans="1:13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</row>
    <row r="8522" spans="1:13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</row>
    <row r="8523" spans="1:13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</row>
    <row r="8524" spans="1:13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</row>
    <row r="8525" spans="1:13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</row>
    <row r="8526" spans="1:13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</row>
    <row r="8527" spans="1:13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</row>
    <row r="8528" spans="1:13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</row>
    <row r="8529" spans="1:13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</row>
    <row r="8530" spans="1:13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</row>
    <row r="8531" spans="1:13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</row>
    <row r="8532" spans="1:13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</row>
    <row r="8533" spans="1:13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</row>
    <row r="8534" spans="1:13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</row>
    <row r="8535" spans="1:13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</row>
    <row r="8536" spans="1:13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</row>
    <row r="8537" spans="1:13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</row>
    <row r="8538" spans="1:13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</row>
    <row r="8539" spans="1:13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</row>
    <row r="8540" spans="1:13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</row>
    <row r="8541" spans="1:13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</row>
    <row r="8542" spans="1:13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</row>
    <row r="8543" spans="1:13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</row>
    <row r="8544" spans="1:13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</row>
    <row r="8545" spans="1:13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</row>
    <row r="8546" spans="1:13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</row>
    <row r="8547" spans="1:13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</row>
    <row r="8548" spans="1:13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</row>
    <row r="8549" spans="1:13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</row>
    <row r="8550" spans="1:13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</row>
    <row r="8551" spans="1:13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</row>
    <row r="8552" spans="1:13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</row>
    <row r="8553" spans="1:13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</row>
    <row r="8554" spans="1:13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</row>
    <row r="8555" spans="1:13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</row>
    <row r="8556" spans="1:13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</row>
    <row r="8557" spans="1:13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</row>
    <row r="8558" spans="1:13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</row>
    <row r="8559" spans="1:13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</row>
    <row r="8560" spans="1:13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</row>
    <row r="8561" spans="1:13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</row>
    <row r="8562" spans="1:13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</row>
    <row r="8563" spans="1:13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</row>
    <row r="8564" spans="1:13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</row>
    <row r="8565" spans="1:13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</row>
    <row r="8566" spans="1:13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</row>
    <row r="8567" spans="1:13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</row>
    <row r="8568" spans="1:13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</row>
    <row r="8569" spans="1:13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</row>
    <row r="8570" spans="1:13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</row>
    <row r="8571" spans="1:13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</row>
    <row r="8572" spans="1:13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</row>
    <row r="8573" spans="1:13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</row>
    <row r="8574" spans="1:13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</row>
    <row r="8575" spans="1:13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</row>
    <row r="8576" spans="1:13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</row>
    <row r="8577" spans="1:13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</row>
    <row r="8578" spans="1:13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</row>
    <row r="8579" spans="1:13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</row>
    <row r="8580" spans="1:13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</row>
    <row r="8581" spans="1:13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</row>
    <row r="8582" spans="1:13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</row>
    <row r="8583" spans="1:13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</row>
    <row r="8584" spans="1:13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</row>
    <row r="8585" spans="1:13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</row>
    <row r="8586" spans="1:13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</row>
    <row r="8587" spans="1:13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</row>
    <row r="8588" spans="1:13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</row>
    <row r="8589" spans="1:13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</row>
    <row r="8590" spans="1:13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</row>
    <row r="8591" spans="1:13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</row>
    <row r="8592" spans="1:13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</row>
    <row r="8593" spans="1:13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</row>
    <row r="8594" spans="1:13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</row>
    <row r="8595" spans="1:13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</row>
    <row r="8596" spans="1:13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</row>
    <row r="8597" spans="1:13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</row>
    <row r="8598" spans="1:13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</row>
    <row r="8599" spans="1:13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</row>
    <row r="8600" spans="1:13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</row>
    <row r="8601" spans="1:13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</row>
    <row r="8602" spans="1:13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</row>
    <row r="8603" spans="1:13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</row>
    <row r="8604" spans="1:13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</row>
    <row r="8605" spans="1:13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</row>
    <row r="8606" spans="1:13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</row>
    <row r="8607" spans="1:13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</row>
    <row r="8608" spans="1:13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</row>
    <row r="8609" spans="1:13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</row>
    <row r="8610" spans="1:13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</row>
    <row r="8611" spans="1:13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</row>
    <row r="8612" spans="1:13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</row>
    <row r="8613" spans="1:13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</row>
    <row r="8614" spans="1:13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</row>
    <row r="8615" spans="1:13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</row>
    <row r="8616" spans="1:13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</row>
    <row r="8617" spans="1:13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</row>
    <row r="8618" spans="1:13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</row>
    <row r="8619" spans="1:13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</row>
    <row r="8620" spans="1:13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</row>
    <row r="8621" spans="1:13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</row>
    <row r="8622" spans="1:13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</row>
    <row r="8623" spans="1:13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</row>
    <row r="8624" spans="1:13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</row>
    <row r="8625" spans="1:13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</row>
    <row r="8626" spans="1:13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</row>
    <row r="8627" spans="1:13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</row>
    <row r="8628" spans="1:13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</row>
    <row r="8629" spans="1:13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</row>
    <row r="8630" spans="1:13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</row>
    <row r="8631" spans="1:13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</row>
    <row r="8632" spans="1:13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</row>
    <row r="8633" spans="1:13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</row>
    <row r="8634" spans="1:13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</row>
    <row r="8635" spans="1:13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</row>
    <row r="8636" spans="1:13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</row>
    <row r="8637" spans="1:13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</row>
    <row r="8638" spans="1:13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</row>
    <row r="8639" spans="1:13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</row>
    <row r="8640" spans="1:13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</row>
    <row r="8641" spans="1:13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</row>
    <row r="8642" spans="1:13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</row>
    <row r="8643" spans="1:13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</row>
    <row r="8644" spans="1:13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</row>
    <row r="8645" spans="1:13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</row>
    <row r="8646" spans="1:13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</row>
    <row r="8647" spans="1:13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</row>
    <row r="8648" spans="1:13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</row>
    <row r="8649" spans="1:13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</row>
    <row r="8650" spans="1:13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</row>
    <row r="8651" spans="1:13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</row>
    <row r="8652" spans="1:13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</row>
    <row r="8653" spans="1:13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</row>
    <row r="8654" spans="1:13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</row>
    <row r="8655" spans="1:13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</row>
    <row r="8656" spans="1:13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</row>
    <row r="8657" spans="1:13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</row>
    <row r="8658" spans="1:13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</row>
    <row r="8659" spans="1:13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</row>
    <row r="8660" spans="1:13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</row>
    <row r="8661" spans="1:13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</row>
    <row r="8662" spans="1:13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</row>
    <row r="8663" spans="1:13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</row>
    <row r="8664" spans="1:13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</row>
    <row r="8665" spans="1:13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</row>
    <row r="8666" spans="1:13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</row>
    <row r="8667" spans="1:13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</row>
    <row r="8668" spans="1:13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</row>
    <row r="8669" spans="1:13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</row>
    <row r="8670" spans="1:13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</row>
    <row r="8671" spans="1:13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</row>
    <row r="8672" spans="1:13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</row>
    <row r="8673" spans="1:13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</row>
    <row r="8674" spans="1:13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</row>
    <row r="8675" spans="1:13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</row>
    <row r="8676" spans="1:13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</row>
    <row r="8677" spans="1:13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</row>
    <row r="8678" spans="1:13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</row>
    <row r="8679" spans="1:13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</row>
    <row r="8680" spans="1:13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</row>
    <row r="8681" spans="1:13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</row>
    <row r="8682" spans="1:13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</row>
    <row r="8683" spans="1:13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</row>
    <row r="8684" spans="1:13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</row>
    <row r="8685" spans="1:13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</row>
    <row r="8686" spans="1:13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</row>
    <row r="8687" spans="1:13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</row>
    <row r="8688" spans="1:13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</row>
    <row r="8689" spans="1:13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</row>
    <row r="8690" spans="1:13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</row>
    <row r="8691" spans="1:13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</row>
    <row r="8692" spans="1:13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</row>
    <row r="8693" spans="1:13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</row>
    <row r="8694" spans="1:13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</row>
    <row r="8695" spans="1:13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</row>
    <row r="8696" spans="1:13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</row>
    <row r="8697" spans="1:13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</row>
    <row r="8698" spans="1:13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</row>
    <row r="8699" spans="1:13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</row>
    <row r="8700" spans="1:13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</row>
    <row r="8701" spans="1:13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</row>
    <row r="8702" spans="1:13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</row>
    <row r="8703" spans="1:13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</row>
    <row r="8704" spans="1:13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</row>
    <row r="8705" spans="1:13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</row>
    <row r="8706" spans="1:13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</row>
    <row r="8707" spans="1:13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</row>
    <row r="8708" spans="1:13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</row>
    <row r="8709" spans="1:13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</row>
    <row r="8710" spans="1:13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</row>
    <row r="8711" spans="1:13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</row>
    <row r="8712" spans="1:13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</row>
    <row r="8713" spans="1:13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</row>
    <row r="8714" spans="1:13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</row>
    <row r="8715" spans="1:13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</row>
    <row r="8716" spans="1:13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</row>
    <row r="8717" spans="1:13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</row>
    <row r="8718" spans="1:13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</row>
    <row r="8719" spans="1:13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</row>
    <row r="8720" spans="1:13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</row>
    <row r="8721" spans="1:13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</row>
    <row r="8722" spans="1:13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</row>
    <row r="8723" spans="1:13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</row>
    <row r="8724" spans="1:13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</row>
    <row r="8725" spans="1:13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</row>
    <row r="8726" spans="1:13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</row>
    <row r="8727" spans="1:13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</row>
    <row r="8728" spans="1:13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</row>
    <row r="8729" spans="1:13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</row>
    <row r="8730" spans="1:13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</row>
    <row r="8731" spans="1:13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</row>
    <row r="8732" spans="1:13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</row>
    <row r="8733" spans="1:13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</row>
    <row r="8734" spans="1:13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</row>
    <row r="8735" spans="1:13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</row>
    <row r="8736" spans="1:13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</row>
    <row r="8737" spans="1:13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</row>
    <row r="8738" spans="1:13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</row>
    <row r="8739" spans="1:13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</row>
    <row r="8740" spans="1:13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</row>
    <row r="8741" spans="1:13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</row>
    <row r="8742" spans="1:13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</row>
    <row r="8743" spans="1:13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</row>
    <row r="8744" spans="1:13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</row>
    <row r="8745" spans="1:13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</row>
    <row r="8746" spans="1:13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</row>
    <row r="8747" spans="1:13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</row>
    <row r="8748" spans="1:13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</row>
    <row r="8749" spans="1:13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</row>
    <row r="8750" spans="1:13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</row>
    <row r="8751" spans="1:13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</row>
    <row r="8752" spans="1:13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</row>
    <row r="8753" spans="1:13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</row>
    <row r="8754" spans="1:13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</row>
    <row r="8755" spans="1:13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</row>
    <row r="8756" spans="1:13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</row>
    <row r="8757" spans="1:13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</row>
    <row r="8758" spans="1:13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</row>
    <row r="8759" spans="1:13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</row>
    <row r="8760" spans="1:13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</row>
    <row r="8761" spans="1:13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</row>
    <row r="8762" spans="1:13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</row>
    <row r="8763" spans="1:13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</row>
    <row r="8764" spans="1:13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</row>
    <row r="8765" spans="1:13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</row>
    <row r="8766" spans="1:13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</row>
    <row r="8767" spans="1:13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</row>
    <row r="8768" spans="1:13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</row>
    <row r="8769" spans="1:13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</row>
    <row r="8770" spans="1:13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</row>
    <row r="8771" spans="1:13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</row>
    <row r="8772" spans="1:13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</row>
    <row r="8773" spans="1:13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</row>
    <row r="8774" spans="1:13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</row>
    <row r="8775" spans="1:13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</row>
    <row r="8776" spans="1:13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</row>
    <row r="8777" spans="1:13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</row>
    <row r="8778" spans="1:13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</row>
    <row r="8779" spans="1:13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</row>
    <row r="8780" spans="1:13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</row>
    <row r="8781" spans="1:13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</row>
    <row r="8782" spans="1:13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</row>
    <row r="8783" spans="1:13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</row>
    <row r="8784" spans="1:13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</row>
    <row r="8785" spans="1:13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</row>
    <row r="8786" spans="1:13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</row>
    <row r="8787" spans="1:13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</row>
    <row r="8788" spans="1:13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</row>
    <row r="8789" spans="1:13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</row>
    <row r="8790" spans="1:13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</row>
    <row r="8791" spans="1:13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</row>
    <row r="8792" spans="1:13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</row>
    <row r="8793" spans="1:13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</row>
    <row r="8794" spans="1:13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</row>
    <row r="8795" spans="1:13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</row>
    <row r="8796" spans="1:13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</row>
    <row r="8797" spans="1:13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</row>
    <row r="8798" spans="1:13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</row>
    <row r="8799" spans="1:13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</row>
    <row r="8800" spans="1:13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</row>
    <row r="8801" spans="1:13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</row>
    <row r="8802" spans="1:13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</row>
    <row r="8803" spans="1:13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</row>
    <row r="8804" spans="1:13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</row>
    <row r="8805" spans="1:13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</row>
    <row r="8806" spans="1:13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</row>
    <row r="8807" spans="1:13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</row>
    <row r="8808" spans="1:13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</row>
    <row r="8809" spans="1:13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</row>
    <row r="8810" spans="1:13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</row>
    <row r="8811" spans="1:13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</row>
    <row r="8812" spans="1:13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</row>
    <row r="8813" spans="1:13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</row>
    <row r="8814" spans="1:13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</row>
    <row r="8815" spans="1:13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</row>
    <row r="8816" spans="1:13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</row>
    <row r="8817" spans="1:13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</row>
    <row r="8818" spans="1:13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</row>
    <row r="8819" spans="1:13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</row>
    <row r="8820" spans="1:13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</row>
    <row r="8821" spans="1:13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</row>
    <row r="8822" spans="1:13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</row>
    <row r="8823" spans="1:13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</row>
    <row r="8824" spans="1:13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</row>
    <row r="8825" spans="1:13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</row>
    <row r="8826" spans="1:13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</row>
    <row r="8827" spans="1:13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</row>
    <row r="8828" spans="1:13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</row>
    <row r="8829" spans="1:13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</row>
    <row r="8830" spans="1:13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</row>
    <row r="8831" spans="1:13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</row>
    <row r="8832" spans="1:13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</row>
    <row r="8833" spans="1:13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</row>
    <row r="8834" spans="1:13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</row>
    <row r="8835" spans="1:13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</row>
    <row r="8836" spans="1:13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</row>
    <row r="8837" spans="1:13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</row>
    <row r="8838" spans="1:13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</row>
    <row r="8839" spans="1:13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</row>
    <row r="8840" spans="1:13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</row>
    <row r="8841" spans="1:13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</row>
    <row r="8842" spans="1:13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</row>
    <row r="8843" spans="1:13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</row>
    <row r="8844" spans="1:13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</row>
    <row r="8845" spans="1:13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</row>
    <row r="8846" spans="1:13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</row>
    <row r="8847" spans="1:13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</row>
    <row r="8848" spans="1:13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</row>
    <row r="8849" spans="1:13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</row>
    <row r="8850" spans="1:13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</row>
    <row r="8851" spans="1:13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</row>
    <row r="8852" spans="1:13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</row>
    <row r="8853" spans="1:13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</row>
    <row r="8854" spans="1:13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</row>
    <row r="8855" spans="1:13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</row>
    <row r="8856" spans="1:13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</row>
    <row r="8857" spans="1:13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</row>
    <row r="8858" spans="1:13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</row>
    <row r="8859" spans="1:13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</row>
    <row r="8860" spans="1:13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</row>
    <row r="8861" spans="1:13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</row>
    <row r="8862" spans="1:13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</row>
    <row r="8863" spans="1:13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</row>
    <row r="8864" spans="1:13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</row>
    <row r="8865" spans="1:13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</row>
    <row r="8866" spans="1:13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</row>
    <row r="8867" spans="1:13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</row>
    <row r="8868" spans="1:13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</row>
    <row r="8869" spans="1:13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</row>
    <row r="8870" spans="1:13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</row>
    <row r="8871" spans="1:13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</row>
    <row r="8872" spans="1:13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</row>
    <row r="8873" spans="1:13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</row>
    <row r="8874" spans="1:13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</row>
    <row r="8875" spans="1:13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</row>
    <row r="8876" spans="1:13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</row>
    <row r="8877" spans="1:13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</row>
    <row r="8878" spans="1:13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</row>
    <row r="8879" spans="1:13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</row>
    <row r="8880" spans="1:13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</row>
    <row r="8881" spans="1:13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</row>
    <row r="8882" spans="1:13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</row>
    <row r="8883" spans="1:13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</row>
    <row r="8884" spans="1:13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</row>
    <row r="8885" spans="1:13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</row>
    <row r="8886" spans="1:13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</row>
    <row r="8887" spans="1:13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</row>
    <row r="8888" spans="1:13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</row>
    <row r="8889" spans="1:13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</row>
    <row r="8890" spans="1:13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</row>
    <row r="8891" spans="1:13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</row>
    <row r="8892" spans="1:13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</row>
    <row r="8893" spans="1:13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</row>
    <row r="8894" spans="1:13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</row>
    <row r="8895" spans="1:13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</row>
    <row r="8896" spans="1:13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</row>
    <row r="8897" spans="1:13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</row>
    <row r="8898" spans="1:13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</row>
    <row r="8899" spans="1:13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</row>
    <row r="8900" spans="1:13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</row>
    <row r="8901" spans="1:13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</row>
    <row r="8902" spans="1:13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</row>
    <row r="8903" spans="1:13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</row>
    <row r="8904" spans="1:13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</row>
    <row r="8905" spans="1:13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</row>
    <row r="8906" spans="1:13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</row>
    <row r="8907" spans="1:13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</row>
    <row r="8908" spans="1:13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</row>
    <row r="8909" spans="1:13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</row>
    <row r="8910" spans="1:13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</row>
    <row r="8911" spans="1:13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</row>
    <row r="8912" spans="1:13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</row>
    <row r="8913" spans="1:13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</row>
    <row r="8914" spans="1:13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</row>
    <row r="8915" spans="1:13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</row>
    <row r="8916" spans="1:13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</row>
    <row r="8917" spans="1:13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</row>
    <row r="8918" spans="1:13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</row>
    <row r="8919" spans="1:13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</row>
    <row r="8920" spans="1:13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</row>
    <row r="8921" spans="1:13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</row>
    <row r="8922" spans="1:13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</row>
    <row r="8923" spans="1:13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</row>
    <row r="8924" spans="1:13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</row>
    <row r="8925" spans="1:13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</row>
    <row r="8926" spans="1:13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</row>
    <row r="8927" spans="1:13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</row>
    <row r="8928" spans="1:13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</row>
    <row r="8929" spans="1:13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</row>
    <row r="8930" spans="1:13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</row>
    <row r="8931" spans="1:13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</row>
    <row r="8932" spans="1:13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</row>
    <row r="8933" spans="1:13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</row>
    <row r="8934" spans="1:13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</row>
    <row r="8935" spans="1:13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</row>
    <row r="8936" spans="1:13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</row>
    <row r="8937" spans="1:13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</row>
    <row r="8938" spans="1:13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</row>
    <row r="8939" spans="1:13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</row>
    <row r="8940" spans="1:13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</row>
    <row r="8941" spans="1:13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</row>
    <row r="8942" spans="1:13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</row>
    <row r="8943" spans="1:13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</row>
    <row r="8944" spans="1:13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</row>
    <row r="8945" spans="1:13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</row>
    <row r="8946" spans="1:13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</row>
    <row r="8947" spans="1:13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</row>
    <row r="8948" spans="1:13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</row>
    <row r="8949" spans="1:13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</row>
    <row r="8950" spans="1:13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</row>
    <row r="8951" spans="1:13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</row>
    <row r="8952" spans="1:13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</row>
    <row r="8953" spans="1:13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</row>
    <row r="8954" spans="1:13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</row>
    <row r="8955" spans="1:13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</row>
    <row r="8956" spans="1:13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</row>
    <row r="8957" spans="1:13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</row>
    <row r="8958" spans="1:13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</row>
    <row r="8959" spans="1:13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</row>
    <row r="8960" spans="1:13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</row>
    <row r="8961" spans="1:13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</row>
    <row r="8962" spans="1:13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</row>
    <row r="8963" spans="1:13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</row>
    <row r="8964" spans="1:13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</row>
    <row r="8965" spans="1:13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</row>
    <row r="8966" spans="1:13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</row>
    <row r="8967" spans="1:13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</row>
    <row r="8968" spans="1:13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</row>
    <row r="8969" spans="1:13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</row>
    <row r="8970" spans="1:13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</row>
    <row r="8971" spans="1:13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</row>
    <row r="8972" spans="1:13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</row>
    <row r="8973" spans="1:13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</row>
    <row r="8974" spans="1:13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</row>
    <row r="8975" spans="1:13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</row>
    <row r="8976" spans="1:13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</row>
    <row r="8977" spans="1:13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</row>
    <row r="8978" spans="1:13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</row>
    <row r="8979" spans="1:13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</row>
    <row r="8980" spans="1:13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</row>
    <row r="8981" spans="1:13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</row>
    <row r="8982" spans="1:13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</row>
    <row r="8983" spans="1:13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</row>
    <row r="8984" spans="1:13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</row>
    <row r="8985" spans="1:13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</row>
    <row r="8986" spans="1:13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</row>
    <row r="8987" spans="1:13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</row>
    <row r="8988" spans="1:13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</row>
    <row r="8989" spans="1:13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</row>
    <row r="8990" spans="1:13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</row>
    <row r="8991" spans="1:13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</row>
    <row r="8992" spans="1:13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</row>
    <row r="8993" spans="1:13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</row>
    <row r="8994" spans="1:13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</row>
    <row r="8995" spans="1:13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</row>
    <row r="8996" spans="1:13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</row>
    <row r="8997" spans="1:13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</row>
    <row r="8998" spans="1:13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</row>
    <row r="8999" spans="1:13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</row>
    <row r="9000" spans="1:13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</row>
    <row r="9001" spans="1:13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</row>
    <row r="9002" spans="1:13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</row>
    <row r="9003" spans="1:13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</row>
    <row r="9004" spans="1:13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</row>
    <row r="9005" spans="1:13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</row>
    <row r="9006" spans="1:13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</row>
    <row r="9007" spans="1:13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</row>
    <row r="9008" spans="1:13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</row>
    <row r="9009" spans="1:13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</row>
    <row r="9010" spans="1:13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</row>
    <row r="9011" spans="1:13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</row>
    <row r="9012" spans="1:13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</row>
    <row r="9013" spans="1:13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</row>
    <row r="9014" spans="1:13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</row>
    <row r="9015" spans="1:13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</row>
    <row r="9016" spans="1:13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</row>
    <row r="9017" spans="1:13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</row>
    <row r="9018" spans="1:13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</row>
    <row r="9019" spans="1:13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</row>
    <row r="9020" spans="1:13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</row>
    <row r="9021" spans="1:13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</row>
    <row r="9022" spans="1:13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</row>
    <row r="9023" spans="1:13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</row>
    <row r="9024" spans="1:13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</row>
    <row r="9025" spans="1:13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</row>
    <row r="9026" spans="1:13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</row>
    <row r="9027" spans="1:13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</row>
    <row r="9028" spans="1:13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</row>
    <row r="9029" spans="1:13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</row>
    <row r="9030" spans="1:13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</row>
    <row r="9031" spans="1:13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</row>
    <row r="9032" spans="1:13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</row>
    <row r="9033" spans="1:13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</row>
    <row r="9034" spans="1:13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</row>
    <row r="9035" spans="1:13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</row>
    <row r="9036" spans="1:13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</row>
    <row r="9037" spans="1:13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</row>
    <row r="9038" spans="1:13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</row>
    <row r="9039" spans="1:13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</row>
    <row r="9040" spans="1:13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</row>
    <row r="9041" spans="1:13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</row>
    <row r="9042" spans="1:13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</row>
    <row r="9043" spans="1:13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</row>
    <row r="9044" spans="1:13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</row>
    <row r="9045" spans="1:13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</row>
    <row r="9046" spans="1:13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</row>
    <row r="9047" spans="1:13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</row>
    <row r="9048" spans="1:13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</row>
    <row r="9049" spans="1:13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</row>
    <row r="9050" spans="1:13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</row>
    <row r="9051" spans="1:13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</row>
    <row r="9052" spans="1:13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</row>
    <row r="9053" spans="1:13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</row>
    <row r="9054" spans="1:13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</row>
    <row r="9055" spans="1:13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</row>
    <row r="9056" spans="1:13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</row>
    <row r="9057" spans="1:13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</row>
    <row r="9058" spans="1:13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</row>
    <row r="9059" spans="1:13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</row>
    <row r="9060" spans="1:13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</row>
    <row r="9061" spans="1:13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</row>
    <row r="9062" spans="1:13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</row>
    <row r="9063" spans="1:13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</row>
    <row r="9064" spans="1:13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</row>
    <row r="9065" spans="1:13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</row>
    <row r="9066" spans="1:13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</row>
    <row r="9067" spans="1:13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</row>
    <row r="9068" spans="1:13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</row>
    <row r="9069" spans="1:13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</row>
    <row r="9070" spans="1:13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</row>
    <row r="9071" spans="1:13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</row>
    <row r="9072" spans="1:13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</row>
    <row r="9073" spans="1:13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</row>
    <row r="9074" spans="1:13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</row>
    <row r="9075" spans="1:13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</row>
    <row r="9076" spans="1:13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</row>
    <row r="9077" spans="1:13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</row>
    <row r="9078" spans="1:13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</row>
    <row r="9079" spans="1:13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</row>
    <row r="9080" spans="1:13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</row>
    <row r="9081" spans="1:13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</row>
    <row r="9082" spans="1:13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</row>
    <row r="9083" spans="1:13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</row>
    <row r="9084" spans="1:13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</row>
    <row r="9085" spans="1:13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</row>
    <row r="9086" spans="1:13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</row>
    <row r="9087" spans="1:13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</row>
    <row r="9088" spans="1:13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</row>
    <row r="9089" spans="1:13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</row>
    <row r="9090" spans="1:13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</row>
    <row r="9091" spans="1:13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</row>
    <row r="9092" spans="1:13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</row>
    <row r="9093" spans="1:13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</row>
    <row r="9094" spans="1:13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</row>
    <row r="9095" spans="1:13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</row>
    <row r="9096" spans="1:13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</row>
    <row r="9097" spans="1:13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</row>
    <row r="9098" spans="1:13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</row>
    <row r="9099" spans="1:13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</row>
    <row r="9100" spans="1:13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</row>
    <row r="9101" spans="1:13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</row>
    <row r="9102" spans="1:13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</row>
    <row r="9103" spans="1:13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</row>
    <row r="9104" spans="1:13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</row>
    <row r="9105" spans="1:13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</row>
    <row r="9106" spans="1:13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</row>
    <row r="9107" spans="1:13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</row>
    <row r="9108" spans="1:13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</row>
    <row r="9109" spans="1:13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</row>
    <row r="9110" spans="1:13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</row>
    <row r="9111" spans="1:13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</row>
    <row r="9112" spans="1:13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</row>
    <row r="9113" spans="1:13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</row>
    <row r="9114" spans="1:13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</row>
    <row r="9115" spans="1:13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</row>
    <row r="9116" spans="1:13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</row>
    <row r="9117" spans="1:13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</row>
    <row r="9118" spans="1:13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</row>
    <row r="9119" spans="1:13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</row>
    <row r="9120" spans="1:13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</row>
    <row r="9121" spans="1:13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</row>
    <row r="9122" spans="1:13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</row>
    <row r="9123" spans="1:13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</row>
    <row r="9124" spans="1:13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</row>
    <row r="9125" spans="1:13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</row>
    <row r="9126" spans="1:13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</row>
    <row r="9127" spans="1:13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</row>
    <row r="9128" spans="1:13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</row>
    <row r="9129" spans="1:13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</row>
    <row r="9130" spans="1:13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</row>
    <row r="9131" spans="1:13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</row>
    <row r="9132" spans="1:13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</row>
    <row r="9133" spans="1:13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</row>
    <row r="9134" spans="1:13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</row>
    <row r="9135" spans="1:13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</row>
    <row r="9136" spans="1:13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</row>
    <row r="9137" spans="1:13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</row>
    <row r="9138" spans="1:13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</row>
    <row r="9139" spans="1:13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</row>
    <row r="9140" spans="1:13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</row>
    <row r="9141" spans="1:13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</row>
    <row r="9142" spans="1:13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</row>
    <row r="9143" spans="1:13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</row>
    <row r="9144" spans="1:13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</row>
    <row r="9145" spans="1:13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</row>
    <row r="9146" spans="1:13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</row>
    <row r="9147" spans="1:13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</row>
    <row r="9148" spans="1:13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</row>
    <row r="9149" spans="1:13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</row>
    <row r="9150" spans="1:13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</row>
    <row r="9151" spans="1:13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</row>
    <row r="9152" spans="1:13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</row>
    <row r="9153" spans="1:13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</row>
    <row r="9154" spans="1:13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</row>
    <row r="9155" spans="1:13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</row>
    <row r="9156" spans="1:13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</row>
    <row r="9157" spans="1:13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</row>
    <row r="9158" spans="1:13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</row>
    <row r="9159" spans="1:13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</row>
    <row r="9160" spans="1:13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</row>
    <row r="9161" spans="1:13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</row>
    <row r="9162" spans="1:13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</row>
    <row r="9163" spans="1:13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</row>
    <row r="9164" spans="1:13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</row>
    <row r="9165" spans="1:13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</row>
    <row r="9166" spans="1:13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</row>
    <row r="9167" spans="1:13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</row>
    <row r="9168" spans="1:13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</row>
    <row r="9169" spans="1:13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</row>
    <row r="9170" spans="1:13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</row>
    <row r="9171" spans="1:13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</row>
    <row r="9172" spans="1:13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</row>
    <row r="9173" spans="1:13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</row>
    <row r="9174" spans="1:13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</row>
    <row r="9175" spans="1:13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</row>
    <row r="9176" spans="1:13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</row>
    <row r="9177" spans="1:13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</row>
    <row r="9178" spans="1:13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</row>
    <row r="9179" spans="1:13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</row>
    <row r="9180" spans="1:13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</row>
    <row r="9181" spans="1:13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</row>
    <row r="9182" spans="1:13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</row>
    <row r="9183" spans="1:13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</row>
    <row r="9184" spans="1:13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</row>
    <row r="9185" spans="1:13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</row>
    <row r="9186" spans="1:13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</row>
    <row r="9187" spans="1:13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</row>
    <row r="9188" spans="1:13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</row>
    <row r="9189" spans="1:13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</row>
    <row r="9190" spans="1:13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</row>
    <row r="9191" spans="1:13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</row>
    <row r="9192" spans="1:13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</row>
    <row r="9193" spans="1:13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</row>
    <row r="9194" spans="1:13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</row>
    <row r="9195" spans="1:13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</row>
    <row r="9196" spans="1:13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</row>
    <row r="9197" spans="1:13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</row>
    <row r="9198" spans="1:13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</row>
    <row r="9199" spans="1:13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</row>
    <row r="9200" spans="1:13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</row>
    <row r="9201" spans="1:13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</row>
    <row r="9202" spans="1:13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</row>
    <row r="9203" spans="1:13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</row>
    <row r="9204" spans="1:13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</row>
    <row r="9205" spans="1:13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</row>
    <row r="9206" spans="1:13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</row>
    <row r="9207" spans="1:13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</row>
    <row r="9208" spans="1:13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</row>
    <row r="9209" spans="1:13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</row>
    <row r="9210" spans="1:13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</row>
    <row r="9211" spans="1:13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</row>
    <row r="9212" spans="1:13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</row>
    <row r="9213" spans="1:13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</row>
    <row r="9214" spans="1:13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</row>
    <row r="9215" spans="1:13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</row>
    <row r="9216" spans="1:13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</row>
    <row r="9217" spans="1:13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</row>
    <row r="9218" spans="1:13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</row>
    <row r="9219" spans="1:13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</row>
    <row r="9220" spans="1:13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</row>
    <row r="9221" spans="1:13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</row>
    <row r="9222" spans="1:13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</row>
    <row r="9223" spans="1:13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</row>
    <row r="9224" spans="1:13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</row>
    <row r="9225" spans="1:13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</row>
    <row r="9226" spans="1:13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</row>
    <row r="9227" spans="1:13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</row>
    <row r="9228" spans="1:13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</row>
    <row r="9229" spans="1:13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</row>
    <row r="9230" spans="1:13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</row>
    <row r="9231" spans="1:13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</row>
    <row r="9232" spans="1:13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</row>
    <row r="9233" spans="1:13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</row>
    <row r="9234" spans="1:13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</row>
    <row r="9235" spans="1:13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</row>
    <row r="9236" spans="1:13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</row>
    <row r="9237" spans="1:13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</row>
    <row r="9238" spans="1:13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</row>
    <row r="9239" spans="1:13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</row>
    <row r="9240" spans="1:13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</row>
    <row r="9241" spans="1:13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</row>
    <row r="9242" spans="1:13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</row>
    <row r="9243" spans="1:13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</row>
    <row r="9244" spans="1:13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</row>
    <row r="9245" spans="1:13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</row>
    <row r="9246" spans="1:13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</row>
    <row r="9247" spans="1:13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</row>
    <row r="9248" spans="1:13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</row>
    <row r="9249" spans="1:13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</row>
    <row r="9250" spans="1:13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</row>
    <row r="9251" spans="1:13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</row>
    <row r="9252" spans="1:13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</row>
    <row r="9253" spans="1:13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</row>
    <row r="9254" spans="1:13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</row>
    <row r="9255" spans="1:13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</row>
    <row r="9256" spans="1:13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</row>
    <row r="9257" spans="1:13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</row>
    <row r="9258" spans="1:13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</row>
    <row r="9259" spans="1:13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</row>
    <row r="9260" spans="1:13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</row>
    <row r="9261" spans="1:13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</row>
    <row r="9262" spans="1:13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</row>
    <row r="9263" spans="1:13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</row>
    <row r="9264" spans="1:13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</row>
    <row r="9265" spans="1:13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</row>
    <row r="9266" spans="1:13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</row>
    <row r="9267" spans="1:13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</row>
    <row r="9268" spans="1:13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</row>
    <row r="9269" spans="1:13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</row>
    <row r="9270" spans="1:13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</row>
    <row r="9271" spans="1:13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</row>
    <row r="9272" spans="1:13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</row>
    <row r="9273" spans="1:13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</row>
    <row r="9274" spans="1:13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</row>
    <row r="9275" spans="1:13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</row>
    <row r="9276" spans="1:13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</row>
    <row r="9277" spans="1:13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</row>
    <row r="9278" spans="1:13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</row>
    <row r="9279" spans="1:13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</row>
    <row r="9280" spans="1:13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</row>
    <row r="9281" spans="1:13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</row>
    <row r="9282" spans="1:13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</row>
    <row r="9283" spans="1:13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</row>
    <row r="9284" spans="1:13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</row>
    <row r="9285" spans="1:13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</row>
    <row r="9286" spans="1:13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</row>
    <row r="9287" spans="1:13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</row>
    <row r="9288" spans="1:13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</row>
    <row r="9289" spans="1:13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</row>
    <row r="9290" spans="1:13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</row>
    <row r="9291" spans="1:13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</row>
    <row r="9292" spans="1:13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</row>
    <row r="9293" spans="1:13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</row>
    <row r="9294" spans="1:13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</row>
    <row r="9295" spans="1:13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</row>
    <row r="9296" spans="1:13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</row>
    <row r="9297" spans="1:13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</row>
    <row r="9298" spans="1:13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</row>
    <row r="9299" spans="1:13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</row>
    <row r="9300" spans="1:13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</row>
    <row r="9301" spans="1:13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</row>
    <row r="9302" spans="1:13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</row>
    <row r="9303" spans="1:13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</row>
    <row r="9304" spans="1:13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</row>
    <row r="9305" spans="1:13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</row>
    <row r="9306" spans="1:13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</row>
    <row r="9307" spans="1:13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</row>
    <row r="9308" spans="1:13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</row>
    <row r="9309" spans="1:13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</row>
    <row r="9310" spans="1:13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</row>
    <row r="9311" spans="1:13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</row>
    <row r="9312" spans="1:13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</row>
    <row r="9313" spans="1:13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</row>
    <row r="9314" spans="1:13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</row>
    <row r="9315" spans="1:13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</row>
    <row r="9316" spans="1:13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</row>
    <row r="9317" spans="1:13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</row>
    <row r="9318" spans="1:13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</row>
    <row r="9319" spans="1:13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</row>
    <row r="9320" spans="1:13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</row>
    <row r="9321" spans="1:13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</row>
    <row r="9322" spans="1:13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</row>
    <row r="9323" spans="1:13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</row>
    <row r="9324" spans="1:13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</row>
    <row r="9325" spans="1:13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</row>
    <row r="9326" spans="1:13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</row>
    <row r="9327" spans="1:13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</row>
    <row r="9328" spans="1:13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</row>
    <row r="9329" spans="1:13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</row>
    <row r="9330" spans="1:13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</row>
    <row r="9331" spans="1:13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</row>
    <row r="9332" spans="1:13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</row>
    <row r="9333" spans="1:13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</row>
    <row r="9334" spans="1:13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</row>
    <row r="9335" spans="1:13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</row>
    <row r="9336" spans="1:13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</row>
    <row r="9337" spans="1:13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</row>
    <row r="9338" spans="1:13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</row>
    <row r="9339" spans="1:13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</row>
    <row r="9340" spans="1:13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</row>
    <row r="9341" spans="1:13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</row>
    <row r="9342" spans="1:13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</row>
    <row r="9343" spans="1:13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</row>
    <row r="9344" spans="1:13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</row>
    <row r="9345" spans="1:13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</row>
    <row r="9346" spans="1:13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</row>
    <row r="9347" spans="1:13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</row>
    <row r="9348" spans="1:13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</row>
    <row r="9349" spans="1:13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</row>
    <row r="9350" spans="1:13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</row>
    <row r="9351" spans="1:13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</row>
    <row r="9352" spans="1:13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</row>
    <row r="9353" spans="1:13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</row>
    <row r="9354" spans="1:13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</row>
    <row r="9355" spans="1:13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</row>
    <row r="9356" spans="1:13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</row>
    <row r="9357" spans="1:13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</row>
    <row r="9358" spans="1:13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</row>
    <row r="9359" spans="1:13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</row>
    <row r="9360" spans="1:13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</row>
    <row r="9361" spans="1:13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</row>
    <row r="9362" spans="1:13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</row>
    <row r="9363" spans="1:13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</row>
    <row r="9364" spans="1:13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</row>
    <row r="9365" spans="1:13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</row>
    <row r="9366" spans="1:13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</row>
    <row r="9367" spans="1:13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</row>
    <row r="9368" spans="1:13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</row>
    <row r="9369" spans="1:13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</row>
    <row r="9370" spans="1:13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</row>
    <row r="9371" spans="1:13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</row>
    <row r="9372" spans="1:13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</row>
    <row r="9373" spans="1:13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</row>
    <row r="9374" spans="1:13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</row>
    <row r="9375" spans="1:13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</row>
    <row r="9376" spans="1:13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</row>
    <row r="9377" spans="1:13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</row>
    <row r="9378" spans="1:13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</row>
    <row r="9379" spans="1:13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</row>
    <row r="9380" spans="1:13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</row>
    <row r="9381" spans="1:13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</row>
    <row r="9382" spans="1:13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</row>
    <row r="9383" spans="1:13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</row>
    <row r="9384" spans="1:13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</row>
    <row r="9385" spans="1:13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</row>
    <row r="9386" spans="1:13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</row>
    <row r="9387" spans="1:13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</row>
    <row r="9388" spans="1:13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</row>
    <row r="9389" spans="1:13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</row>
    <row r="9390" spans="1:13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</row>
    <row r="9391" spans="1:13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</row>
    <row r="9392" spans="1:13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</row>
    <row r="9393" spans="1:13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</row>
    <row r="9394" spans="1:13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</row>
    <row r="9395" spans="1:13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</row>
    <row r="9396" spans="1:13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</row>
    <row r="9397" spans="1:13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</row>
    <row r="9398" spans="1:13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</row>
    <row r="9399" spans="1:13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</row>
    <row r="9400" spans="1:13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</row>
    <row r="9401" spans="1:13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</row>
    <row r="9402" spans="1:13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</row>
    <row r="9403" spans="1:13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</row>
    <row r="9404" spans="1:13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</row>
    <row r="9405" spans="1:13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</row>
    <row r="9406" spans="1:13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</row>
    <row r="9407" spans="1:13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</row>
    <row r="9408" spans="1:13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</row>
    <row r="9409" spans="1:13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</row>
    <row r="9410" spans="1:13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</row>
    <row r="9411" spans="1:13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</row>
    <row r="9412" spans="1:13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</row>
    <row r="9413" spans="1:13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</row>
    <row r="9414" spans="1:13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</row>
    <row r="9415" spans="1:13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</row>
    <row r="9416" spans="1:13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</row>
    <row r="9417" spans="1:13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</row>
    <row r="9418" spans="1:13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</row>
    <row r="9419" spans="1:13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</row>
    <row r="9420" spans="1:13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</row>
    <row r="9421" spans="1:13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</row>
    <row r="9422" spans="1:13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</row>
    <row r="9423" spans="1:13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</row>
    <row r="9424" spans="1:13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</row>
    <row r="9425" spans="1:13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</row>
    <row r="9426" spans="1:13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</row>
    <row r="9427" spans="1:13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</row>
    <row r="9428" spans="1:13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</row>
    <row r="9429" spans="1:13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</row>
    <row r="9430" spans="1:13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</row>
    <row r="9431" spans="1:13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</row>
    <row r="9432" spans="1:13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</row>
    <row r="9433" spans="1:13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</row>
    <row r="9434" spans="1:13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</row>
    <row r="9435" spans="1:13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</row>
    <row r="9436" spans="1:13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</row>
    <row r="9437" spans="1:13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</row>
    <row r="9438" spans="1:13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</row>
    <row r="9439" spans="1:13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</row>
    <row r="9440" spans="1:13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</row>
    <row r="9441" spans="1:13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</row>
    <row r="9442" spans="1:13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</row>
    <row r="9443" spans="1:13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</row>
    <row r="9444" spans="1:13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</row>
    <row r="9445" spans="1:13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</row>
    <row r="9446" spans="1:13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</row>
    <row r="9447" spans="1:13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</row>
    <row r="9448" spans="1:13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</row>
    <row r="9449" spans="1:13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</row>
    <row r="9450" spans="1:13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</row>
    <row r="9451" spans="1:13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</row>
    <row r="9452" spans="1:13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</row>
    <row r="9453" spans="1:13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</row>
    <row r="9454" spans="1:13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</row>
    <row r="9455" spans="1:13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</row>
    <row r="9456" spans="1:13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</row>
    <row r="9457" spans="1:13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</row>
    <row r="9458" spans="1:13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</row>
    <row r="9459" spans="1:13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</row>
    <row r="9460" spans="1:13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</row>
    <row r="9461" spans="1:13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</row>
    <row r="9462" spans="1:13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</row>
    <row r="9463" spans="1:13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</row>
    <row r="9464" spans="1:13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</row>
    <row r="9465" spans="1:13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</row>
    <row r="9466" spans="1:13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</row>
    <row r="9467" spans="1:13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</row>
    <row r="9468" spans="1:13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</row>
    <row r="9469" spans="1:13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</row>
    <row r="9470" spans="1:13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</row>
    <row r="9471" spans="1:13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</row>
    <row r="9472" spans="1:13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</row>
    <row r="9473" spans="1:13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</row>
    <row r="9474" spans="1:13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</row>
    <row r="9475" spans="1:13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</row>
    <row r="9476" spans="1:13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</row>
    <row r="9477" spans="1:13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</row>
    <row r="9478" spans="1:13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</row>
    <row r="9479" spans="1:13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</row>
    <row r="9480" spans="1:13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</row>
    <row r="9481" spans="1:13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</row>
    <row r="9482" spans="1:13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</row>
    <row r="9483" spans="1:13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</row>
    <row r="9484" spans="1:13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</row>
    <row r="9485" spans="1:13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</row>
    <row r="9486" spans="1:13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</row>
    <row r="9487" spans="1:13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</row>
    <row r="9488" spans="1:13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</row>
    <row r="9489" spans="1:13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</row>
    <row r="9490" spans="1:13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</row>
    <row r="9491" spans="1:13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</row>
    <row r="9492" spans="1:13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</row>
    <row r="9493" spans="1:13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</row>
    <row r="9494" spans="1:13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</row>
    <row r="9495" spans="1:13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</row>
    <row r="9496" spans="1:13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</row>
    <row r="9497" spans="1:13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</row>
    <row r="9498" spans="1:13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</row>
    <row r="9499" spans="1:13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</row>
    <row r="9500" spans="1:13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</row>
    <row r="9501" spans="1:13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</row>
    <row r="9502" spans="1:13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</row>
    <row r="9503" spans="1:13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</row>
    <row r="9504" spans="1:13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</row>
    <row r="9505" spans="1:13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</row>
    <row r="9506" spans="1:13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</row>
    <row r="9507" spans="1:13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</row>
    <row r="9508" spans="1:13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</row>
    <row r="9509" spans="1:13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</row>
    <row r="9510" spans="1:13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</row>
    <row r="9511" spans="1:13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</row>
    <row r="9512" spans="1:13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</row>
    <row r="9513" spans="1:13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</row>
    <row r="9514" spans="1:13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</row>
    <row r="9515" spans="1:13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</row>
    <row r="9516" spans="1:13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</row>
    <row r="9517" spans="1:13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</row>
    <row r="9518" spans="1:13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</row>
    <row r="9519" spans="1:13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</row>
    <row r="9520" spans="1:13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</row>
    <row r="9521" spans="1:13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</row>
    <row r="9522" spans="1:13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</row>
    <row r="9523" spans="1:13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</row>
    <row r="9524" spans="1:13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</row>
    <row r="9525" spans="1:13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</row>
    <row r="9526" spans="1:13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</row>
    <row r="9527" spans="1:13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</row>
    <row r="9528" spans="1:13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</row>
    <row r="9529" spans="1:13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</row>
    <row r="9530" spans="1:13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</row>
    <row r="9531" spans="1:13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</row>
    <row r="9532" spans="1:13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</row>
    <row r="9533" spans="1:13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</row>
    <row r="9534" spans="1:13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</row>
    <row r="9535" spans="1:13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</row>
    <row r="9536" spans="1:13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</row>
    <row r="9537" spans="1:13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</row>
    <row r="9538" spans="1:13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</row>
    <row r="9539" spans="1:13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</row>
    <row r="9540" spans="1:13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</row>
    <row r="9541" spans="1:13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</row>
    <row r="9542" spans="1:13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</row>
    <row r="9543" spans="1:13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</row>
    <row r="9544" spans="1:13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</row>
    <row r="9545" spans="1:13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</row>
    <row r="9546" spans="1:13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</row>
    <row r="9547" spans="1:13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</row>
    <row r="9548" spans="1:13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</row>
    <row r="9549" spans="1:13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</row>
    <row r="9550" spans="1:13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</row>
    <row r="9551" spans="1:13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</row>
    <row r="9552" spans="1:13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</row>
    <row r="9553" spans="1:13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</row>
    <row r="9554" spans="1:13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</row>
    <row r="9555" spans="1:13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</row>
    <row r="9556" spans="1:13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</row>
    <row r="9557" spans="1:13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</row>
    <row r="9558" spans="1:13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</row>
    <row r="9559" spans="1:13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</row>
    <row r="9560" spans="1:13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</row>
    <row r="9561" spans="1:13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</row>
    <row r="9562" spans="1:13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</row>
    <row r="9563" spans="1:13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</row>
    <row r="9564" spans="1:13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</row>
    <row r="9565" spans="1:13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</row>
    <row r="9566" spans="1:13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</row>
    <row r="9567" spans="1:13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</row>
    <row r="9568" spans="1:13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</row>
    <row r="9569" spans="1:13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</row>
    <row r="9570" spans="1:13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</row>
    <row r="9571" spans="1:13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</row>
    <row r="9572" spans="1:13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</row>
    <row r="9573" spans="1:13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</row>
    <row r="9574" spans="1:13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</row>
    <row r="9575" spans="1:13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</row>
    <row r="9576" spans="1:13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</row>
    <row r="9577" spans="1:13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</row>
    <row r="9578" spans="1:13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</row>
    <row r="9579" spans="1:13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</row>
    <row r="9580" spans="1:13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</row>
    <row r="9581" spans="1:13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</row>
    <row r="9582" spans="1:13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</row>
    <row r="9583" spans="1:13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</row>
    <row r="9584" spans="1:13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</row>
    <row r="9585" spans="1:13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</row>
    <row r="9586" spans="1:13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</row>
    <row r="9587" spans="1:13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</row>
    <row r="9588" spans="1:13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</row>
    <row r="9589" spans="1:13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</row>
    <row r="9590" spans="1:13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</row>
    <row r="9591" spans="1:13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</row>
    <row r="9592" spans="1:13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</row>
    <row r="9593" spans="1:13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</row>
    <row r="9594" spans="1:13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</row>
    <row r="9595" spans="1:13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</row>
    <row r="9596" spans="1:13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</row>
    <row r="9597" spans="1:13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</row>
    <row r="9598" spans="1:13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</row>
    <row r="9599" spans="1:13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</row>
    <row r="9600" spans="1:13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</row>
    <row r="9601" spans="1:13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</row>
    <row r="9602" spans="1:13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</row>
    <row r="9603" spans="1:13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</row>
    <row r="9604" spans="1:13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</row>
    <row r="9605" spans="1:13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</row>
    <row r="9606" spans="1:13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</row>
    <row r="9607" spans="1:13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</row>
    <row r="9608" spans="1:13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</row>
    <row r="9609" spans="1:13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</row>
    <row r="9610" spans="1:13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</row>
    <row r="9611" spans="1:13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</row>
    <row r="9612" spans="1:13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</row>
    <row r="9613" spans="1:13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</row>
    <row r="9614" spans="1:13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</row>
    <row r="9615" spans="1:13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</row>
    <row r="9616" spans="1:13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</row>
    <row r="9617" spans="1:13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</row>
    <row r="9618" spans="1:13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</row>
    <row r="9619" spans="1:13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</row>
    <row r="9620" spans="1:13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</row>
    <row r="9621" spans="1:13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</row>
    <row r="9622" spans="1:13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</row>
    <row r="9623" spans="1:13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</row>
    <row r="9624" spans="1:13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</row>
    <row r="9625" spans="1:13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</row>
    <row r="9626" spans="1:13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</row>
    <row r="9627" spans="1:13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</row>
    <row r="9628" spans="1:13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</row>
    <row r="9629" spans="1:13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</row>
    <row r="9630" spans="1:13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</row>
    <row r="9631" spans="1:13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</row>
    <row r="9632" spans="1:13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</row>
    <row r="9633" spans="1:13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</row>
    <row r="9634" spans="1:13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</row>
    <row r="9635" spans="1:13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</row>
    <row r="9636" spans="1:13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</row>
    <row r="9637" spans="1:13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</row>
    <row r="9638" spans="1:13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</row>
    <row r="9639" spans="1:13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</row>
    <row r="9640" spans="1:13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</row>
    <row r="9641" spans="1:13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</row>
    <row r="9642" spans="1:13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</row>
    <row r="9643" spans="1:13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</row>
    <row r="9644" spans="1:13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</row>
    <row r="9645" spans="1:13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</row>
    <row r="9646" spans="1:13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</row>
    <row r="9647" spans="1:13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</row>
    <row r="9648" spans="1:13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</row>
    <row r="9649" spans="1:13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</row>
    <row r="9650" spans="1:13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</row>
    <row r="9651" spans="1:13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</row>
    <row r="9652" spans="1:13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</row>
    <row r="9653" spans="1:13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</row>
    <row r="9654" spans="1:13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</row>
    <row r="9655" spans="1:13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</row>
    <row r="9656" spans="1:13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</row>
    <row r="9657" spans="1:13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</row>
    <row r="9658" spans="1:13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</row>
    <row r="9659" spans="1:13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</row>
    <row r="9660" spans="1:13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</row>
    <row r="9661" spans="1:13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</row>
    <row r="9662" spans="1:13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</row>
    <row r="9663" spans="1:13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</row>
    <row r="9664" spans="1:13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</row>
    <row r="9665" spans="1:13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</row>
    <row r="9666" spans="1:13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</row>
    <row r="9667" spans="1:13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</row>
    <row r="9668" spans="1:13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</row>
    <row r="9669" spans="1:13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</row>
    <row r="9670" spans="1:13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</row>
    <row r="9671" spans="1:13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</row>
    <row r="9672" spans="1:13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</row>
    <row r="9673" spans="1:13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</row>
    <row r="9674" spans="1:13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</row>
    <row r="9675" spans="1:13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</row>
    <row r="9676" spans="1:13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</row>
    <row r="9677" spans="1:13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</row>
    <row r="9678" spans="1:13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</row>
    <row r="9679" spans="1:13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</row>
    <row r="9680" spans="1:13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</row>
    <row r="9681" spans="1:13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</row>
    <row r="9682" spans="1:13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</row>
    <row r="9683" spans="1:13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</row>
    <row r="9684" spans="1:13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</row>
    <row r="9685" spans="1:13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</row>
    <row r="9686" spans="1:13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</row>
    <row r="9687" spans="1:13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</row>
    <row r="9688" spans="1:13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</row>
    <row r="9689" spans="1:13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</row>
    <row r="9690" spans="1:13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</row>
    <row r="9691" spans="1:13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</row>
    <row r="9692" spans="1:13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</row>
    <row r="9693" spans="1:13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</row>
    <row r="9694" spans="1:13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</row>
    <row r="9695" spans="1:13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</row>
    <row r="9696" spans="1:13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</row>
    <row r="9697" spans="1:13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</row>
    <row r="9698" spans="1:13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</row>
    <row r="9699" spans="1:13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</row>
    <row r="9700" spans="1:13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</row>
    <row r="9701" spans="1:13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</row>
    <row r="9702" spans="1:13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</row>
    <row r="9703" spans="1:13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</row>
    <row r="9704" spans="1:13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</row>
    <row r="9705" spans="1:13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</row>
    <row r="9706" spans="1:13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</row>
    <row r="9707" spans="1:13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</row>
    <row r="9708" spans="1:13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</row>
    <row r="9709" spans="1:13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</row>
    <row r="9710" spans="1:13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</row>
    <row r="9711" spans="1:13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</row>
    <row r="9712" spans="1:13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</row>
    <row r="9713" spans="1:13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</row>
    <row r="9714" spans="1:13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</row>
    <row r="9715" spans="1:13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</row>
    <row r="9716" spans="1:13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</row>
    <row r="9717" spans="1:13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</row>
    <row r="9718" spans="1:13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</row>
    <row r="9719" spans="1:13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</row>
    <row r="9720" spans="1:13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</row>
    <row r="9721" spans="1:13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</row>
    <row r="9722" spans="1:13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</row>
    <row r="9723" spans="1:13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</row>
    <row r="9724" spans="1:13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</row>
    <row r="9725" spans="1:13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</row>
    <row r="9726" spans="1:13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</row>
    <row r="9727" spans="1:13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</row>
    <row r="9728" spans="1:13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</row>
    <row r="9729" spans="1:13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</row>
    <row r="9730" spans="1:13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</row>
    <row r="9731" spans="1:13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</row>
    <row r="9732" spans="1:13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</row>
    <row r="9733" spans="1:13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</row>
    <row r="9734" spans="1:13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</row>
    <row r="9735" spans="1:13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</row>
    <row r="9736" spans="1:13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</row>
    <row r="9737" spans="1:13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</row>
    <row r="9738" spans="1:13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</row>
    <row r="9739" spans="1:13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</row>
    <row r="9740" spans="1:13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</row>
    <row r="9741" spans="1:13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</row>
    <row r="9742" spans="1:13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</row>
    <row r="9743" spans="1:13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</row>
    <row r="9744" spans="1:13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</row>
    <row r="9745" spans="1:13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</row>
    <row r="9746" spans="1:13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</row>
    <row r="9747" spans="1:13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</row>
    <row r="9748" spans="1:13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</row>
    <row r="9749" spans="1:13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</row>
    <row r="9750" spans="1:13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</row>
    <row r="9751" spans="1:13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</row>
    <row r="9752" spans="1:13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</row>
    <row r="9753" spans="1:13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</row>
    <row r="9754" spans="1:13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</row>
    <row r="9755" spans="1:13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</row>
    <row r="9756" spans="1:13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</row>
    <row r="9757" spans="1:13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</row>
    <row r="9758" spans="1:13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</row>
    <row r="9759" spans="1:13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</row>
    <row r="9760" spans="1:13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</row>
    <row r="9761" spans="1:13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</row>
    <row r="9762" spans="1:13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</row>
    <row r="9763" spans="1:13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</row>
    <row r="9764" spans="1:13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</row>
    <row r="9765" spans="1:13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</row>
    <row r="9766" spans="1:13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</row>
    <row r="9767" spans="1:13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</row>
    <row r="9768" spans="1:13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</row>
    <row r="9769" spans="1:13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</row>
    <row r="9770" spans="1:13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</row>
    <row r="9771" spans="1:13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</row>
    <row r="9772" spans="1:13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</row>
    <row r="9773" spans="1:13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</row>
    <row r="9774" spans="1:13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</row>
    <row r="9775" spans="1:13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</row>
    <row r="9776" spans="1:13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</row>
    <row r="9777" spans="1:13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</row>
    <row r="9778" spans="1:13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</row>
    <row r="9779" spans="1:13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</row>
    <row r="9780" spans="1:13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</row>
    <row r="9781" spans="1:13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</row>
    <row r="9782" spans="1:13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</row>
    <row r="9783" spans="1:13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</row>
    <row r="9784" spans="1:13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</row>
    <row r="9785" spans="1:13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</row>
    <row r="9786" spans="1:13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</row>
    <row r="9787" spans="1:13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</row>
    <row r="9788" spans="1:13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</row>
    <row r="9789" spans="1:13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</row>
    <row r="9790" spans="1:13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</row>
    <row r="9791" spans="1:13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</row>
    <row r="9792" spans="1:13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</row>
    <row r="9793" spans="1:13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</row>
    <row r="9794" spans="1:13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</row>
    <row r="9795" spans="1:13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</row>
    <row r="9796" spans="1:13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</row>
    <row r="9797" spans="1:13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</row>
    <row r="9798" spans="1:13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</row>
    <row r="9799" spans="1:13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</row>
    <row r="9800" spans="1:13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</row>
    <row r="9801" spans="1:13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</row>
    <row r="9802" spans="1:13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</row>
    <row r="9803" spans="1:13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</row>
    <row r="9804" spans="1:13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</row>
    <row r="9805" spans="1:13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</row>
    <row r="9806" spans="1:13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</row>
    <row r="9807" spans="1:13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</row>
    <row r="9808" spans="1:13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</row>
    <row r="9809" spans="1:13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</row>
    <row r="9810" spans="1:13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</row>
    <row r="9811" spans="1:13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</row>
    <row r="9812" spans="1:13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</row>
    <row r="9813" spans="1:13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</row>
    <row r="9814" spans="1:13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</row>
    <row r="9815" spans="1:13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</row>
    <row r="9816" spans="1:13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</row>
    <row r="9817" spans="1:13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</row>
    <row r="9818" spans="1:13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</row>
    <row r="9819" spans="1:13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</row>
    <row r="9820" spans="1:13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</row>
    <row r="9821" spans="1:13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</row>
    <row r="9822" spans="1:13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</row>
    <row r="9823" spans="1:13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</row>
    <row r="9824" spans="1:13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</row>
    <row r="9825" spans="1:13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</row>
    <row r="9826" spans="1:13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</row>
    <row r="9827" spans="1:13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</row>
    <row r="9828" spans="1:13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</row>
    <row r="9829" spans="1:13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</row>
    <row r="9830" spans="1:13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</row>
    <row r="9831" spans="1:13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</row>
    <row r="9832" spans="1:13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</row>
    <row r="9833" spans="1:13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</row>
    <row r="9834" spans="1:13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</row>
    <row r="9835" spans="1:13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</row>
    <row r="9836" spans="1:13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</row>
    <row r="9837" spans="1:13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</row>
    <row r="9838" spans="1:13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</row>
    <row r="9839" spans="1:13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</row>
    <row r="9840" spans="1:13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</row>
    <row r="9841" spans="1:13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</row>
    <row r="9842" spans="1:13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</row>
    <row r="9843" spans="1:13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</row>
    <row r="9844" spans="1:13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</row>
    <row r="9845" spans="1:13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</row>
    <row r="9846" spans="1:13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</row>
    <row r="9847" spans="1:13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</row>
    <row r="9848" spans="1:13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</row>
    <row r="9849" spans="1:13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</row>
    <row r="9850" spans="1:13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</row>
    <row r="9851" spans="1:13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</row>
    <row r="9852" spans="1:13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</row>
    <row r="9853" spans="1:13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</row>
    <row r="9854" spans="1:13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</row>
    <row r="9855" spans="1:13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</row>
    <row r="9856" spans="1:13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</row>
    <row r="9857" spans="1:13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</row>
    <row r="9858" spans="1:13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</row>
    <row r="9859" spans="1:13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</row>
    <row r="9860" spans="1:13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</row>
    <row r="9861" spans="1:13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</row>
    <row r="9862" spans="1:13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</row>
    <row r="9863" spans="1:13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</row>
    <row r="9864" spans="1:13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</row>
    <row r="9865" spans="1:13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</row>
    <row r="9866" spans="1:13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</row>
    <row r="9867" spans="1:13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</row>
    <row r="9868" spans="1:13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</row>
    <row r="9869" spans="1:13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</row>
    <row r="9870" spans="1:13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</row>
    <row r="9871" spans="1:13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</row>
    <row r="9872" spans="1:13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</row>
    <row r="9873" spans="1:13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</row>
    <row r="9874" spans="1:13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</row>
    <row r="9875" spans="1:13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</row>
    <row r="9876" spans="1:13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</row>
    <row r="9877" spans="1:13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</row>
    <row r="9878" spans="1:13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</row>
    <row r="9879" spans="1:13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</row>
    <row r="9880" spans="1:13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</row>
    <row r="9881" spans="1:13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</row>
    <row r="9882" spans="1:13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</row>
    <row r="9883" spans="1:13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</row>
    <row r="9884" spans="1:13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</row>
    <row r="9885" spans="1:13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</row>
    <row r="9886" spans="1:13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</row>
    <row r="9887" spans="1:13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</row>
    <row r="9888" spans="1:13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</row>
    <row r="9889" spans="1:13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</row>
    <row r="9890" spans="1:13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</row>
    <row r="9891" spans="1:13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</row>
    <row r="9892" spans="1:13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</row>
    <row r="9893" spans="1:13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</row>
    <row r="9894" spans="1:13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</row>
    <row r="9895" spans="1:13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</row>
    <row r="9896" spans="1:13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</row>
    <row r="9897" spans="1:13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</row>
    <row r="9898" spans="1:13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</row>
    <row r="9899" spans="1:13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</row>
    <row r="9900" spans="1:13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</row>
    <row r="9901" spans="1:13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</row>
    <row r="9902" spans="1:13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</row>
    <row r="9903" spans="1:13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</row>
    <row r="9904" spans="1:13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</row>
    <row r="9905" spans="1:13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</row>
    <row r="9906" spans="1:13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</row>
    <row r="9907" spans="1:13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</row>
    <row r="9908" spans="1:13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</row>
    <row r="9909" spans="1:13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</row>
    <row r="9910" spans="1:13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</row>
    <row r="9911" spans="1:13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</row>
    <row r="9912" spans="1:13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</row>
    <row r="9913" spans="1:13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</row>
    <row r="9914" spans="1:13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</row>
    <row r="9915" spans="1:13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</row>
    <row r="9916" spans="1:13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</row>
    <row r="9917" spans="1:13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</row>
    <row r="9918" spans="1:13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</row>
    <row r="9919" spans="1:13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</row>
    <row r="9920" spans="1:13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</row>
    <row r="9921" spans="1:13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</row>
    <row r="9922" spans="1:13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</row>
    <row r="9923" spans="1:13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</row>
    <row r="9924" spans="1:13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</row>
    <row r="9925" spans="1:13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</row>
    <row r="9926" spans="1:13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</row>
    <row r="9927" spans="1:13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</row>
    <row r="9928" spans="1:13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</row>
    <row r="9929" spans="1:13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</row>
    <row r="9930" spans="1:13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</row>
    <row r="9931" spans="1:13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</row>
    <row r="9932" spans="1:13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</row>
    <row r="9933" spans="1:13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</row>
    <row r="9934" spans="1:13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</row>
    <row r="9935" spans="1:13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</row>
    <row r="9936" spans="1:13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</row>
    <row r="9937" spans="1:13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</row>
    <row r="9938" spans="1:13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</row>
    <row r="9939" spans="1:13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</row>
    <row r="9940" spans="1:13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</row>
    <row r="9941" spans="1:13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</row>
    <row r="9942" spans="1:13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</row>
    <row r="9943" spans="1:13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</row>
    <row r="9944" spans="1:13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</row>
    <row r="9945" spans="1:13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</row>
    <row r="9946" spans="1:13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</row>
    <row r="9947" spans="1:13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</row>
    <row r="9948" spans="1:13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</row>
    <row r="9949" spans="1:13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</row>
    <row r="9950" spans="1:13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</row>
    <row r="9951" spans="1:13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</row>
    <row r="9952" spans="1:13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</row>
    <row r="9953" spans="1:13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</row>
    <row r="9954" spans="1:13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</row>
    <row r="9955" spans="1:13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</row>
    <row r="9956" spans="1:13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</row>
    <row r="9957" spans="1:13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</row>
    <row r="9958" spans="1:13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</row>
    <row r="9959" spans="1:13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</row>
    <row r="9960" spans="1:13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</row>
    <row r="9961" spans="1:13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</row>
    <row r="9962" spans="1:13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</row>
    <row r="9963" spans="1:13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</row>
    <row r="9964" spans="1:13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</row>
    <row r="9965" spans="1:13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</row>
    <row r="9966" spans="1:13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</row>
    <row r="9967" spans="1:13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</row>
    <row r="9968" spans="1:13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</row>
    <row r="9969" spans="1:13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</row>
    <row r="9970" spans="1:13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</row>
    <row r="9971" spans="1:13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</row>
    <row r="9972" spans="1:13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</row>
    <row r="9973" spans="1:13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</row>
    <row r="9974" spans="1:13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</row>
    <row r="9975" spans="1:13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</row>
    <row r="9976" spans="1:13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</row>
    <row r="9977" spans="1:13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</row>
    <row r="9978" spans="1:13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</row>
    <row r="9979" spans="1:13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</row>
    <row r="9980" spans="1:13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</row>
    <row r="9981" spans="1:13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</row>
    <row r="9982" spans="1:13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</row>
    <row r="9983" spans="1:13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</row>
    <row r="9984" spans="1:13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</row>
    <row r="9985" spans="1:13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</row>
    <row r="9986" spans="1:13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</row>
    <row r="9987" spans="1:13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</row>
    <row r="9988" spans="1:13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</row>
    <row r="9989" spans="1:13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</row>
    <row r="9990" spans="1:13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</row>
    <row r="9991" spans="1:13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</row>
    <row r="9992" spans="1:13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</row>
    <row r="9993" spans="1:13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</row>
    <row r="9994" spans="1:13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</row>
    <row r="9995" spans="1:13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</row>
    <row r="9996" spans="1:13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</row>
    <row r="9997" spans="1:13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</row>
    <row r="9998" spans="1:13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</row>
    <row r="9999" spans="1:13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</row>
  </sheetData>
  <conditionalFormatting sqref="D2:D21">
    <cfRule type="containsText" dxfId="290" priority="174" operator="containsText" text="Fri">
      <formula>NOT(ISERROR(SEARCH("Fri",D2)))</formula>
    </cfRule>
    <cfRule type="containsText" dxfId="289" priority="175" operator="containsText" text="Thu">
      <formula>NOT(ISERROR(SEARCH("Thu",D2)))</formula>
    </cfRule>
    <cfRule type="containsText" dxfId="288" priority="176" operator="containsText" text="Wed">
      <formula>NOT(ISERROR(SEARCH("Wed",D2)))</formula>
    </cfRule>
    <cfRule type="containsText" dxfId="287" priority="177" operator="containsText" text="Tue">
      <formula>NOT(ISERROR(SEARCH("Tue",D2)))</formula>
    </cfRule>
    <cfRule type="containsText" dxfId="286" priority="178" operator="containsText" text="Mon">
      <formula>NOT(ISERROR(SEARCH("Mon",D2)))</formula>
    </cfRule>
  </conditionalFormatting>
  <conditionalFormatting sqref="E101:K105 E2:K100">
    <cfRule type="cellIs" dxfId="285" priority="173" operator="equal">
      <formula>0</formula>
    </cfRule>
  </conditionalFormatting>
  <conditionalFormatting sqref="A2:B12">
    <cfRule type="cellIs" dxfId="284" priority="172" operator="equal">
      <formula>0</formula>
    </cfRule>
  </conditionalFormatting>
  <conditionalFormatting sqref="D22:D23">
    <cfRule type="containsText" dxfId="283" priority="167" operator="containsText" text="Fri">
      <formula>NOT(ISERROR(SEARCH("Fri",D22)))</formula>
    </cfRule>
    <cfRule type="containsText" dxfId="282" priority="168" operator="containsText" text="Thu">
      <formula>NOT(ISERROR(SEARCH("Thu",D22)))</formula>
    </cfRule>
    <cfRule type="containsText" dxfId="281" priority="169" operator="containsText" text="Wed">
      <formula>NOT(ISERROR(SEARCH("Wed",D22)))</formula>
    </cfRule>
    <cfRule type="containsText" dxfId="280" priority="170" operator="containsText" text="Tue">
      <formula>NOT(ISERROR(SEARCH("Tue",D22)))</formula>
    </cfRule>
    <cfRule type="containsText" dxfId="279" priority="171" operator="containsText" text="Mon">
      <formula>NOT(ISERROR(SEARCH("Mon",D22)))</formula>
    </cfRule>
  </conditionalFormatting>
  <conditionalFormatting sqref="A13:B23">
    <cfRule type="cellIs" dxfId="278" priority="166" operator="equal">
      <formula>0</formula>
    </cfRule>
  </conditionalFormatting>
  <conditionalFormatting sqref="D24:D34">
    <cfRule type="containsText" dxfId="277" priority="161" operator="containsText" text="Fri">
      <formula>NOT(ISERROR(SEARCH("Fri",D24)))</formula>
    </cfRule>
    <cfRule type="containsText" dxfId="276" priority="162" operator="containsText" text="Thu">
      <formula>NOT(ISERROR(SEARCH("Thu",D24)))</formula>
    </cfRule>
    <cfRule type="containsText" dxfId="275" priority="163" operator="containsText" text="Wed">
      <formula>NOT(ISERROR(SEARCH("Wed",D24)))</formula>
    </cfRule>
    <cfRule type="containsText" dxfId="274" priority="164" operator="containsText" text="Tue">
      <formula>NOT(ISERROR(SEARCH("Tue",D24)))</formula>
    </cfRule>
    <cfRule type="containsText" dxfId="273" priority="165" operator="containsText" text="Mon">
      <formula>NOT(ISERROR(SEARCH("Mon",D24)))</formula>
    </cfRule>
  </conditionalFormatting>
  <conditionalFormatting sqref="A24:B34">
    <cfRule type="cellIs" dxfId="272" priority="160" operator="equal">
      <formula>0</formula>
    </cfRule>
  </conditionalFormatting>
  <conditionalFormatting sqref="D35:D40 D42:D43">
    <cfRule type="containsText" dxfId="271" priority="155" operator="containsText" text="Fri">
      <formula>NOT(ISERROR(SEARCH("Fri",D35)))</formula>
    </cfRule>
    <cfRule type="containsText" dxfId="270" priority="156" operator="containsText" text="Thu">
      <formula>NOT(ISERROR(SEARCH("Thu",D35)))</formula>
    </cfRule>
    <cfRule type="containsText" dxfId="269" priority="157" operator="containsText" text="Wed">
      <formula>NOT(ISERROR(SEARCH("Wed",D35)))</formula>
    </cfRule>
    <cfRule type="containsText" dxfId="268" priority="158" operator="containsText" text="Tue">
      <formula>NOT(ISERROR(SEARCH("Tue",D35)))</formula>
    </cfRule>
    <cfRule type="containsText" dxfId="267" priority="159" operator="containsText" text="Mon">
      <formula>NOT(ISERROR(SEARCH("Mon",D35)))</formula>
    </cfRule>
  </conditionalFormatting>
  <conditionalFormatting sqref="D41">
    <cfRule type="containsText" dxfId="266" priority="150" operator="containsText" text="Fri">
      <formula>NOT(ISERROR(SEARCH("Fri",D41)))</formula>
    </cfRule>
    <cfRule type="containsText" dxfId="265" priority="151" operator="containsText" text="Thu">
      <formula>NOT(ISERROR(SEARCH("Thu",D41)))</formula>
    </cfRule>
    <cfRule type="containsText" dxfId="264" priority="152" operator="containsText" text="Wed">
      <formula>NOT(ISERROR(SEARCH("Wed",D41)))</formula>
    </cfRule>
    <cfRule type="containsText" dxfId="263" priority="153" operator="containsText" text="Tue">
      <formula>NOT(ISERROR(SEARCH("Tue",D41)))</formula>
    </cfRule>
    <cfRule type="containsText" dxfId="262" priority="154" operator="containsText" text="Mon">
      <formula>NOT(ISERROR(SEARCH("Mon",D41)))</formula>
    </cfRule>
  </conditionalFormatting>
  <conditionalFormatting sqref="D44:D45">
    <cfRule type="containsText" dxfId="261" priority="145" operator="containsText" text="Fri">
      <formula>NOT(ISERROR(SEARCH("Fri",D44)))</formula>
    </cfRule>
    <cfRule type="containsText" dxfId="260" priority="146" operator="containsText" text="Thu">
      <formula>NOT(ISERROR(SEARCH("Thu",D44)))</formula>
    </cfRule>
    <cfRule type="containsText" dxfId="259" priority="147" operator="containsText" text="Wed">
      <formula>NOT(ISERROR(SEARCH("Wed",D44)))</formula>
    </cfRule>
    <cfRule type="containsText" dxfId="258" priority="148" operator="containsText" text="Tue">
      <formula>NOT(ISERROR(SEARCH("Tue",D44)))</formula>
    </cfRule>
    <cfRule type="containsText" dxfId="257" priority="149" operator="containsText" text="Mon">
      <formula>NOT(ISERROR(SEARCH("Mon",D44)))</formula>
    </cfRule>
  </conditionalFormatting>
  <conditionalFormatting sqref="A35:B45">
    <cfRule type="cellIs" dxfId="256" priority="144" operator="equal">
      <formula>0</formula>
    </cfRule>
  </conditionalFormatting>
  <conditionalFormatting sqref="D46:D58">
    <cfRule type="containsText" dxfId="255" priority="139" operator="containsText" text="Fri">
      <formula>NOT(ISERROR(SEARCH("Fri",D46)))</formula>
    </cfRule>
    <cfRule type="containsText" dxfId="254" priority="140" operator="containsText" text="Thu">
      <formula>NOT(ISERROR(SEARCH("Thu",D46)))</formula>
    </cfRule>
    <cfRule type="containsText" dxfId="253" priority="141" operator="containsText" text="Wed">
      <formula>NOT(ISERROR(SEARCH("Wed",D46)))</formula>
    </cfRule>
    <cfRule type="containsText" dxfId="252" priority="142" operator="containsText" text="Tue">
      <formula>NOT(ISERROR(SEARCH("Tue",D46)))</formula>
    </cfRule>
    <cfRule type="containsText" dxfId="251" priority="143" operator="containsText" text="Mon">
      <formula>NOT(ISERROR(SEARCH("Mon",D46)))</formula>
    </cfRule>
  </conditionalFormatting>
  <conditionalFormatting sqref="A46:B58">
    <cfRule type="cellIs" dxfId="250" priority="138" operator="equal">
      <formula>0</formula>
    </cfRule>
  </conditionalFormatting>
  <conditionalFormatting sqref="D59">
    <cfRule type="containsText" dxfId="249" priority="133" operator="containsText" text="Fri">
      <formula>NOT(ISERROR(SEARCH("Fri",D59)))</formula>
    </cfRule>
    <cfRule type="containsText" dxfId="248" priority="134" operator="containsText" text="Thu">
      <formula>NOT(ISERROR(SEARCH("Thu",D59)))</formula>
    </cfRule>
    <cfRule type="containsText" dxfId="247" priority="135" operator="containsText" text="Wed">
      <formula>NOT(ISERROR(SEARCH("Wed",D59)))</formula>
    </cfRule>
    <cfRule type="containsText" dxfId="246" priority="136" operator="containsText" text="Tue">
      <formula>NOT(ISERROR(SEARCH("Tue",D59)))</formula>
    </cfRule>
    <cfRule type="containsText" dxfId="245" priority="137" operator="containsText" text="Mon">
      <formula>NOT(ISERROR(SEARCH("Mon",D59)))</formula>
    </cfRule>
  </conditionalFormatting>
  <conditionalFormatting sqref="A59:B59">
    <cfRule type="cellIs" dxfId="244" priority="132" operator="equal">
      <formula>0</formula>
    </cfRule>
  </conditionalFormatting>
  <conditionalFormatting sqref="D60">
    <cfRule type="containsText" dxfId="243" priority="127" operator="containsText" text="Fri">
      <formula>NOT(ISERROR(SEARCH("Fri",D60)))</formula>
    </cfRule>
    <cfRule type="containsText" dxfId="242" priority="128" operator="containsText" text="Thu">
      <formula>NOT(ISERROR(SEARCH("Thu",D60)))</formula>
    </cfRule>
    <cfRule type="containsText" dxfId="241" priority="129" operator="containsText" text="Wed">
      <formula>NOT(ISERROR(SEARCH("Wed",D60)))</formula>
    </cfRule>
    <cfRule type="containsText" dxfId="240" priority="130" operator="containsText" text="Tue">
      <formula>NOT(ISERROR(SEARCH("Tue",D60)))</formula>
    </cfRule>
    <cfRule type="containsText" dxfId="239" priority="131" operator="containsText" text="Mon">
      <formula>NOT(ISERROR(SEARCH("Mon",D60)))</formula>
    </cfRule>
  </conditionalFormatting>
  <conditionalFormatting sqref="A60:B60">
    <cfRule type="cellIs" dxfId="238" priority="126" operator="equal">
      <formula>0</formula>
    </cfRule>
  </conditionalFormatting>
  <conditionalFormatting sqref="D61">
    <cfRule type="containsText" dxfId="237" priority="121" operator="containsText" text="Fri">
      <formula>NOT(ISERROR(SEARCH("Fri",D61)))</formula>
    </cfRule>
    <cfRule type="containsText" dxfId="236" priority="122" operator="containsText" text="Thu">
      <formula>NOT(ISERROR(SEARCH("Thu",D61)))</formula>
    </cfRule>
    <cfRule type="containsText" dxfId="235" priority="123" operator="containsText" text="Wed">
      <formula>NOT(ISERROR(SEARCH("Wed",D61)))</formula>
    </cfRule>
    <cfRule type="containsText" dxfId="234" priority="124" operator="containsText" text="Tue">
      <formula>NOT(ISERROR(SEARCH("Tue",D61)))</formula>
    </cfRule>
    <cfRule type="containsText" dxfId="233" priority="125" operator="containsText" text="Mon">
      <formula>NOT(ISERROR(SEARCH("Mon",D61)))</formula>
    </cfRule>
  </conditionalFormatting>
  <conditionalFormatting sqref="A61:B61">
    <cfRule type="cellIs" dxfId="232" priority="120" operator="equal">
      <formula>0</formula>
    </cfRule>
  </conditionalFormatting>
  <conditionalFormatting sqref="D62">
    <cfRule type="containsText" dxfId="231" priority="115" operator="containsText" text="Fri">
      <formula>NOT(ISERROR(SEARCH("Fri",D62)))</formula>
    </cfRule>
    <cfRule type="containsText" dxfId="230" priority="116" operator="containsText" text="Thu">
      <formula>NOT(ISERROR(SEARCH("Thu",D62)))</formula>
    </cfRule>
    <cfRule type="containsText" dxfId="229" priority="117" operator="containsText" text="Wed">
      <formula>NOT(ISERROR(SEARCH("Wed",D62)))</formula>
    </cfRule>
    <cfRule type="containsText" dxfId="228" priority="118" operator="containsText" text="Tue">
      <formula>NOT(ISERROR(SEARCH("Tue",D62)))</formula>
    </cfRule>
    <cfRule type="containsText" dxfId="227" priority="119" operator="containsText" text="Mon">
      <formula>NOT(ISERROR(SEARCH("Mon",D62)))</formula>
    </cfRule>
  </conditionalFormatting>
  <conditionalFormatting sqref="A62:B62">
    <cfRule type="cellIs" dxfId="226" priority="114" operator="equal">
      <formula>0</formula>
    </cfRule>
  </conditionalFormatting>
  <conditionalFormatting sqref="D63">
    <cfRule type="containsText" dxfId="225" priority="109" operator="containsText" text="Fri">
      <formula>NOT(ISERROR(SEARCH("Fri",D63)))</formula>
    </cfRule>
    <cfRule type="containsText" dxfId="224" priority="110" operator="containsText" text="Thu">
      <formula>NOT(ISERROR(SEARCH("Thu",D63)))</formula>
    </cfRule>
    <cfRule type="containsText" dxfId="223" priority="111" operator="containsText" text="Wed">
      <formula>NOT(ISERROR(SEARCH("Wed",D63)))</formula>
    </cfRule>
    <cfRule type="containsText" dxfId="222" priority="112" operator="containsText" text="Tue">
      <formula>NOT(ISERROR(SEARCH("Tue",D63)))</formula>
    </cfRule>
    <cfRule type="containsText" dxfId="221" priority="113" operator="containsText" text="Mon">
      <formula>NOT(ISERROR(SEARCH("Mon",D63)))</formula>
    </cfRule>
  </conditionalFormatting>
  <conditionalFormatting sqref="A63:B63">
    <cfRule type="cellIs" dxfId="220" priority="108" operator="equal">
      <formula>0</formula>
    </cfRule>
  </conditionalFormatting>
  <conditionalFormatting sqref="D64:D65">
    <cfRule type="containsText" dxfId="219" priority="103" operator="containsText" text="Fri">
      <formula>NOT(ISERROR(SEARCH("Fri",D64)))</formula>
    </cfRule>
    <cfRule type="containsText" dxfId="218" priority="104" operator="containsText" text="Thu">
      <formula>NOT(ISERROR(SEARCH("Thu",D64)))</formula>
    </cfRule>
    <cfRule type="containsText" dxfId="217" priority="105" operator="containsText" text="Wed">
      <formula>NOT(ISERROR(SEARCH("Wed",D64)))</formula>
    </cfRule>
    <cfRule type="containsText" dxfId="216" priority="106" operator="containsText" text="Tue">
      <formula>NOT(ISERROR(SEARCH("Tue",D64)))</formula>
    </cfRule>
    <cfRule type="containsText" dxfId="215" priority="107" operator="containsText" text="Mon">
      <formula>NOT(ISERROR(SEARCH("Mon",D64)))</formula>
    </cfRule>
  </conditionalFormatting>
  <conditionalFormatting sqref="A64:B65">
    <cfRule type="cellIs" dxfId="214" priority="102" operator="equal">
      <formula>0</formula>
    </cfRule>
  </conditionalFormatting>
  <conditionalFormatting sqref="D66:D67">
    <cfRule type="containsText" dxfId="213" priority="97" operator="containsText" text="Fri">
      <formula>NOT(ISERROR(SEARCH("Fri",D66)))</formula>
    </cfRule>
    <cfRule type="containsText" dxfId="212" priority="98" operator="containsText" text="Thu">
      <formula>NOT(ISERROR(SEARCH("Thu",D66)))</formula>
    </cfRule>
    <cfRule type="containsText" dxfId="211" priority="99" operator="containsText" text="Wed">
      <formula>NOT(ISERROR(SEARCH("Wed",D66)))</formula>
    </cfRule>
    <cfRule type="containsText" dxfId="210" priority="100" operator="containsText" text="Tue">
      <formula>NOT(ISERROR(SEARCH("Tue",D66)))</formula>
    </cfRule>
    <cfRule type="containsText" dxfId="209" priority="101" operator="containsText" text="Mon">
      <formula>NOT(ISERROR(SEARCH("Mon",D66)))</formula>
    </cfRule>
  </conditionalFormatting>
  <conditionalFormatting sqref="A66:B67">
    <cfRule type="cellIs" dxfId="208" priority="96" operator="equal">
      <formula>0</formula>
    </cfRule>
  </conditionalFormatting>
  <conditionalFormatting sqref="D68">
    <cfRule type="containsText" dxfId="207" priority="91" operator="containsText" text="Fri">
      <formula>NOT(ISERROR(SEARCH("Fri",D68)))</formula>
    </cfRule>
    <cfRule type="containsText" dxfId="206" priority="92" operator="containsText" text="Thu">
      <formula>NOT(ISERROR(SEARCH("Thu",D68)))</formula>
    </cfRule>
    <cfRule type="containsText" dxfId="205" priority="93" operator="containsText" text="Wed">
      <formula>NOT(ISERROR(SEARCH("Wed",D68)))</formula>
    </cfRule>
    <cfRule type="containsText" dxfId="204" priority="94" operator="containsText" text="Tue">
      <formula>NOT(ISERROR(SEARCH("Tue",D68)))</formula>
    </cfRule>
    <cfRule type="containsText" dxfId="203" priority="95" operator="containsText" text="Mon">
      <formula>NOT(ISERROR(SEARCH("Mon",D68)))</formula>
    </cfRule>
  </conditionalFormatting>
  <conditionalFormatting sqref="A68:B69">
    <cfRule type="cellIs" dxfId="202" priority="90" operator="equal">
      <formula>0</formula>
    </cfRule>
  </conditionalFormatting>
  <conditionalFormatting sqref="D69">
    <cfRule type="containsText" dxfId="201" priority="85" operator="containsText" text="Fri">
      <formula>NOT(ISERROR(SEARCH("Fri",D69)))</formula>
    </cfRule>
    <cfRule type="containsText" dxfId="200" priority="86" operator="containsText" text="Thu">
      <formula>NOT(ISERROR(SEARCH("Thu",D69)))</formula>
    </cfRule>
    <cfRule type="containsText" dxfId="199" priority="87" operator="containsText" text="Wed">
      <formula>NOT(ISERROR(SEARCH("Wed",D69)))</formula>
    </cfRule>
    <cfRule type="containsText" dxfId="198" priority="88" operator="containsText" text="Tue">
      <formula>NOT(ISERROR(SEARCH("Tue",D69)))</formula>
    </cfRule>
    <cfRule type="containsText" dxfId="197" priority="89" operator="containsText" text="Mon">
      <formula>NOT(ISERROR(SEARCH("Mon",D69)))</formula>
    </cfRule>
  </conditionalFormatting>
  <conditionalFormatting sqref="D70">
    <cfRule type="containsText" dxfId="196" priority="80" operator="containsText" text="Fri">
      <formula>NOT(ISERROR(SEARCH("Fri",D70)))</formula>
    </cfRule>
    <cfRule type="containsText" dxfId="195" priority="81" operator="containsText" text="Thu">
      <formula>NOT(ISERROR(SEARCH("Thu",D70)))</formula>
    </cfRule>
    <cfRule type="containsText" dxfId="194" priority="82" operator="containsText" text="Wed">
      <formula>NOT(ISERROR(SEARCH("Wed",D70)))</formula>
    </cfRule>
    <cfRule type="containsText" dxfId="193" priority="83" operator="containsText" text="Tue">
      <formula>NOT(ISERROR(SEARCH("Tue",D70)))</formula>
    </cfRule>
    <cfRule type="containsText" dxfId="192" priority="84" operator="containsText" text="Mon">
      <formula>NOT(ISERROR(SEARCH("Mon",D70)))</formula>
    </cfRule>
  </conditionalFormatting>
  <conditionalFormatting sqref="A70:B70">
    <cfRule type="cellIs" dxfId="191" priority="79" operator="equal">
      <formula>0</formula>
    </cfRule>
  </conditionalFormatting>
  <conditionalFormatting sqref="D71">
    <cfRule type="containsText" dxfId="190" priority="74" operator="containsText" text="Fri">
      <formula>NOT(ISERROR(SEARCH("Fri",D71)))</formula>
    </cfRule>
    <cfRule type="containsText" dxfId="189" priority="75" operator="containsText" text="Thu">
      <formula>NOT(ISERROR(SEARCH("Thu",D71)))</formula>
    </cfRule>
    <cfRule type="containsText" dxfId="188" priority="76" operator="containsText" text="Wed">
      <formula>NOT(ISERROR(SEARCH("Wed",D71)))</formula>
    </cfRule>
    <cfRule type="containsText" dxfId="187" priority="77" operator="containsText" text="Tue">
      <formula>NOT(ISERROR(SEARCH("Tue",D71)))</formula>
    </cfRule>
    <cfRule type="containsText" dxfId="186" priority="78" operator="containsText" text="Mon">
      <formula>NOT(ISERROR(SEARCH("Mon",D71)))</formula>
    </cfRule>
  </conditionalFormatting>
  <conditionalFormatting sqref="A71:B71">
    <cfRule type="cellIs" dxfId="185" priority="73" operator="equal">
      <formula>0</formula>
    </cfRule>
  </conditionalFormatting>
  <conditionalFormatting sqref="D72">
    <cfRule type="containsText" dxfId="184" priority="68" operator="containsText" text="Fri">
      <formula>NOT(ISERROR(SEARCH("Fri",D72)))</formula>
    </cfRule>
    <cfRule type="containsText" dxfId="183" priority="69" operator="containsText" text="Thu">
      <formula>NOT(ISERROR(SEARCH("Thu",D72)))</formula>
    </cfRule>
    <cfRule type="containsText" dxfId="182" priority="70" operator="containsText" text="Wed">
      <formula>NOT(ISERROR(SEARCH("Wed",D72)))</formula>
    </cfRule>
    <cfRule type="containsText" dxfId="181" priority="71" operator="containsText" text="Tue">
      <formula>NOT(ISERROR(SEARCH("Tue",D72)))</formula>
    </cfRule>
    <cfRule type="containsText" dxfId="180" priority="72" operator="containsText" text="Mon">
      <formula>NOT(ISERROR(SEARCH("Mon",D72)))</formula>
    </cfRule>
  </conditionalFormatting>
  <conditionalFormatting sqref="A72:B72">
    <cfRule type="cellIs" dxfId="179" priority="67" operator="equal">
      <formula>0</formula>
    </cfRule>
  </conditionalFormatting>
  <conditionalFormatting sqref="D73">
    <cfRule type="containsText" dxfId="178" priority="62" operator="containsText" text="Fri">
      <formula>NOT(ISERROR(SEARCH("Fri",D73)))</formula>
    </cfRule>
    <cfRule type="containsText" dxfId="177" priority="63" operator="containsText" text="Thu">
      <formula>NOT(ISERROR(SEARCH("Thu",D73)))</formula>
    </cfRule>
    <cfRule type="containsText" dxfId="176" priority="64" operator="containsText" text="Wed">
      <formula>NOT(ISERROR(SEARCH("Wed",D73)))</formula>
    </cfRule>
    <cfRule type="containsText" dxfId="175" priority="65" operator="containsText" text="Tue">
      <formula>NOT(ISERROR(SEARCH("Tue",D73)))</formula>
    </cfRule>
    <cfRule type="containsText" dxfId="174" priority="66" operator="containsText" text="Mon">
      <formula>NOT(ISERROR(SEARCH("Mon",D73)))</formula>
    </cfRule>
  </conditionalFormatting>
  <conditionalFormatting sqref="A73:B73">
    <cfRule type="cellIs" dxfId="173" priority="61" operator="equal">
      <formula>0</formula>
    </cfRule>
  </conditionalFormatting>
  <conditionalFormatting sqref="D74">
    <cfRule type="containsText" dxfId="172" priority="56" operator="containsText" text="Fri">
      <formula>NOT(ISERROR(SEARCH("Fri",D74)))</formula>
    </cfRule>
    <cfRule type="containsText" dxfId="171" priority="57" operator="containsText" text="Thu">
      <formula>NOT(ISERROR(SEARCH("Thu",D74)))</formula>
    </cfRule>
    <cfRule type="containsText" dxfId="170" priority="58" operator="containsText" text="Wed">
      <formula>NOT(ISERROR(SEARCH("Wed",D74)))</formula>
    </cfRule>
    <cfRule type="containsText" dxfId="169" priority="59" operator="containsText" text="Tue">
      <formula>NOT(ISERROR(SEARCH("Tue",D74)))</formula>
    </cfRule>
    <cfRule type="containsText" dxfId="168" priority="60" operator="containsText" text="Mon">
      <formula>NOT(ISERROR(SEARCH("Mon",D74)))</formula>
    </cfRule>
  </conditionalFormatting>
  <conditionalFormatting sqref="A74:B74">
    <cfRule type="cellIs" dxfId="167" priority="55" operator="equal">
      <formula>0</formula>
    </cfRule>
  </conditionalFormatting>
  <conditionalFormatting sqref="D75">
    <cfRule type="containsText" dxfId="166" priority="50" operator="containsText" text="Fri">
      <formula>NOT(ISERROR(SEARCH("Fri",D75)))</formula>
    </cfRule>
    <cfRule type="containsText" dxfId="165" priority="51" operator="containsText" text="Thu">
      <formula>NOT(ISERROR(SEARCH("Thu",D75)))</formula>
    </cfRule>
    <cfRule type="containsText" dxfId="164" priority="52" operator="containsText" text="Wed">
      <formula>NOT(ISERROR(SEARCH("Wed",D75)))</formula>
    </cfRule>
    <cfRule type="containsText" dxfId="163" priority="53" operator="containsText" text="Tue">
      <formula>NOT(ISERROR(SEARCH("Tue",D75)))</formula>
    </cfRule>
    <cfRule type="containsText" dxfId="162" priority="54" operator="containsText" text="Mon">
      <formula>NOT(ISERROR(SEARCH("Mon",D75)))</formula>
    </cfRule>
  </conditionalFormatting>
  <conditionalFormatting sqref="A75:B75">
    <cfRule type="cellIs" dxfId="161" priority="49" operator="equal">
      <formula>0</formula>
    </cfRule>
  </conditionalFormatting>
  <conditionalFormatting sqref="D82:D83 D76:D80">
    <cfRule type="containsText" dxfId="160" priority="44" operator="containsText" text="Fri">
      <formula>NOT(ISERROR(SEARCH("Fri",D76)))</formula>
    </cfRule>
    <cfRule type="containsText" dxfId="159" priority="45" operator="containsText" text="Thu">
      <formula>NOT(ISERROR(SEARCH("Thu",D76)))</formula>
    </cfRule>
    <cfRule type="containsText" dxfId="158" priority="46" operator="containsText" text="Wed">
      <formula>NOT(ISERROR(SEARCH("Wed",D76)))</formula>
    </cfRule>
    <cfRule type="containsText" dxfId="157" priority="47" operator="containsText" text="Tue">
      <formula>NOT(ISERROR(SEARCH("Tue",D76)))</formula>
    </cfRule>
    <cfRule type="containsText" dxfId="156" priority="48" operator="containsText" text="Mon">
      <formula>NOT(ISERROR(SEARCH("Mon",D76)))</formula>
    </cfRule>
  </conditionalFormatting>
  <conditionalFormatting sqref="A76:B85">
    <cfRule type="cellIs" dxfId="155" priority="43" operator="equal">
      <formula>0</formula>
    </cfRule>
  </conditionalFormatting>
  <conditionalFormatting sqref="D81">
    <cfRule type="containsText" dxfId="154" priority="38" operator="containsText" text="Fri">
      <formula>NOT(ISERROR(SEARCH("Fri",D81)))</formula>
    </cfRule>
    <cfRule type="containsText" dxfId="153" priority="39" operator="containsText" text="Thu">
      <formula>NOT(ISERROR(SEARCH("Thu",D81)))</formula>
    </cfRule>
    <cfRule type="containsText" dxfId="152" priority="40" operator="containsText" text="Wed">
      <formula>NOT(ISERROR(SEARCH("Wed",D81)))</formula>
    </cfRule>
    <cfRule type="containsText" dxfId="151" priority="41" operator="containsText" text="Tue">
      <formula>NOT(ISERROR(SEARCH("Tue",D81)))</formula>
    </cfRule>
    <cfRule type="containsText" dxfId="150" priority="42" operator="containsText" text="Mon">
      <formula>NOT(ISERROR(SEARCH("Mon",D81)))</formula>
    </cfRule>
  </conditionalFormatting>
  <conditionalFormatting sqref="D84:D85">
    <cfRule type="containsText" dxfId="149" priority="33" operator="containsText" text="Fri">
      <formula>NOT(ISERROR(SEARCH("Fri",D84)))</formula>
    </cfRule>
    <cfRule type="containsText" dxfId="148" priority="34" operator="containsText" text="Thu">
      <formula>NOT(ISERROR(SEARCH("Thu",D84)))</formula>
    </cfRule>
    <cfRule type="containsText" dxfId="147" priority="35" operator="containsText" text="Wed">
      <formula>NOT(ISERROR(SEARCH("Wed",D84)))</formula>
    </cfRule>
    <cfRule type="containsText" dxfId="146" priority="36" operator="containsText" text="Tue">
      <formula>NOT(ISERROR(SEARCH("Tue",D84)))</formula>
    </cfRule>
    <cfRule type="containsText" dxfId="145" priority="37" operator="containsText" text="Mon">
      <formula>NOT(ISERROR(SEARCH("Mon",D84)))</formula>
    </cfRule>
  </conditionalFormatting>
  <conditionalFormatting sqref="D92:D93 D86:D90">
    <cfRule type="containsText" dxfId="144" priority="28" operator="containsText" text="Fri">
      <formula>NOT(ISERROR(SEARCH("Fri",D86)))</formula>
    </cfRule>
    <cfRule type="containsText" dxfId="143" priority="29" operator="containsText" text="Thu">
      <formula>NOT(ISERROR(SEARCH("Thu",D86)))</formula>
    </cfRule>
    <cfRule type="containsText" dxfId="142" priority="30" operator="containsText" text="Wed">
      <formula>NOT(ISERROR(SEARCH("Wed",D86)))</formula>
    </cfRule>
    <cfRule type="containsText" dxfId="141" priority="31" operator="containsText" text="Tue">
      <formula>NOT(ISERROR(SEARCH("Tue",D86)))</formula>
    </cfRule>
    <cfRule type="containsText" dxfId="140" priority="32" operator="containsText" text="Mon">
      <formula>NOT(ISERROR(SEARCH("Mon",D86)))</formula>
    </cfRule>
  </conditionalFormatting>
  <conditionalFormatting sqref="A86:B95">
    <cfRule type="cellIs" dxfId="139" priority="27" operator="equal">
      <formula>0</formula>
    </cfRule>
  </conditionalFormatting>
  <conditionalFormatting sqref="D91">
    <cfRule type="containsText" dxfId="138" priority="22" operator="containsText" text="Fri">
      <formula>NOT(ISERROR(SEARCH("Fri",D91)))</formula>
    </cfRule>
    <cfRule type="containsText" dxfId="137" priority="23" operator="containsText" text="Thu">
      <formula>NOT(ISERROR(SEARCH("Thu",D91)))</formula>
    </cfRule>
    <cfRule type="containsText" dxfId="136" priority="24" operator="containsText" text="Wed">
      <formula>NOT(ISERROR(SEARCH("Wed",D91)))</formula>
    </cfRule>
    <cfRule type="containsText" dxfId="135" priority="25" operator="containsText" text="Tue">
      <formula>NOT(ISERROR(SEARCH("Tue",D91)))</formula>
    </cfRule>
    <cfRule type="containsText" dxfId="134" priority="26" operator="containsText" text="Mon">
      <formula>NOT(ISERROR(SEARCH("Mon",D91)))</formula>
    </cfRule>
  </conditionalFormatting>
  <conditionalFormatting sqref="D94:D95">
    <cfRule type="containsText" dxfId="133" priority="17" operator="containsText" text="Fri">
      <formula>NOT(ISERROR(SEARCH("Fri",D94)))</formula>
    </cfRule>
    <cfRule type="containsText" dxfId="132" priority="18" operator="containsText" text="Thu">
      <formula>NOT(ISERROR(SEARCH("Thu",D94)))</formula>
    </cfRule>
    <cfRule type="containsText" dxfId="131" priority="19" operator="containsText" text="Wed">
      <formula>NOT(ISERROR(SEARCH("Wed",D94)))</formula>
    </cfRule>
    <cfRule type="containsText" dxfId="130" priority="20" operator="containsText" text="Tue">
      <formula>NOT(ISERROR(SEARCH("Tue",D94)))</formula>
    </cfRule>
    <cfRule type="containsText" dxfId="129" priority="21" operator="containsText" text="Mon">
      <formula>NOT(ISERROR(SEARCH("Mon",D94)))</formula>
    </cfRule>
  </conditionalFormatting>
  <conditionalFormatting sqref="D102:D103 D96:D100">
    <cfRule type="containsText" dxfId="128" priority="12" operator="containsText" text="Fri">
      <formula>NOT(ISERROR(SEARCH("Fri",D96)))</formula>
    </cfRule>
    <cfRule type="containsText" dxfId="127" priority="13" operator="containsText" text="Thu">
      <formula>NOT(ISERROR(SEARCH("Thu",D96)))</formula>
    </cfRule>
    <cfRule type="containsText" dxfId="126" priority="14" operator="containsText" text="Wed">
      <formula>NOT(ISERROR(SEARCH("Wed",D96)))</formula>
    </cfRule>
    <cfRule type="containsText" dxfId="125" priority="15" operator="containsText" text="Tue">
      <formula>NOT(ISERROR(SEARCH("Tue",D96)))</formula>
    </cfRule>
    <cfRule type="containsText" dxfId="124" priority="16" operator="containsText" text="Mon">
      <formula>NOT(ISERROR(SEARCH("Mon",D96)))</formula>
    </cfRule>
  </conditionalFormatting>
  <conditionalFormatting sqref="A96:B105">
    <cfRule type="cellIs" dxfId="123" priority="11" operator="equal">
      <formula>0</formula>
    </cfRule>
  </conditionalFormatting>
  <conditionalFormatting sqref="D101">
    <cfRule type="containsText" dxfId="122" priority="6" operator="containsText" text="Fri">
      <formula>NOT(ISERROR(SEARCH("Fri",D101)))</formula>
    </cfRule>
    <cfRule type="containsText" dxfId="121" priority="7" operator="containsText" text="Thu">
      <formula>NOT(ISERROR(SEARCH("Thu",D101)))</formula>
    </cfRule>
    <cfRule type="containsText" dxfId="120" priority="8" operator="containsText" text="Wed">
      <formula>NOT(ISERROR(SEARCH("Wed",D101)))</formula>
    </cfRule>
    <cfRule type="containsText" dxfId="119" priority="9" operator="containsText" text="Tue">
      <formula>NOT(ISERROR(SEARCH("Tue",D101)))</formula>
    </cfRule>
    <cfRule type="containsText" dxfId="118" priority="10" operator="containsText" text="Mon">
      <formula>NOT(ISERROR(SEARCH("Mon",D101)))</formula>
    </cfRule>
  </conditionalFormatting>
  <conditionalFormatting sqref="D104:D105">
    <cfRule type="containsText" dxfId="117" priority="1" operator="containsText" text="Fri">
      <formula>NOT(ISERROR(SEARCH("Fri",D104)))</formula>
    </cfRule>
    <cfRule type="containsText" dxfId="116" priority="2" operator="containsText" text="Thu">
      <formula>NOT(ISERROR(SEARCH("Thu",D104)))</formula>
    </cfRule>
    <cfRule type="containsText" dxfId="115" priority="3" operator="containsText" text="Wed">
      <formula>NOT(ISERROR(SEARCH("Wed",D104)))</formula>
    </cfRule>
    <cfRule type="containsText" dxfId="114" priority="4" operator="containsText" text="Tue">
      <formula>NOT(ISERROR(SEARCH("Tue",D104)))</formula>
    </cfRule>
    <cfRule type="containsText" dxfId="113" priority="5" operator="containsText" text="Mon">
      <formula>NOT(ISERROR(SEARCH("Mon",D104)))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1:M37"/>
  <sheetViews>
    <sheetView showGridLines="0" tabSelected="1" workbookViewId="0">
      <selection activeCell="F10" sqref="F10"/>
    </sheetView>
  </sheetViews>
  <sheetFormatPr defaultRowHeight="15.75"/>
  <cols>
    <col min="1" max="1" width="28.140625" style="27" customWidth="1"/>
    <col min="2" max="2" width="15.7109375" style="27" customWidth="1"/>
    <col min="3" max="3" width="14.28515625" style="27" customWidth="1"/>
    <col min="4" max="4" width="10.7109375" style="27" customWidth="1"/>
    <col min="5" max="5" width="9.140625" style="27"/>
    <col min="6" max="6" width="14.85546875" style="27" bestFit="1" customWidth="1"/>
    <col min="7" max="7" width="15.140625" style="27" bestFit="1" customWidth="1"/>
    <col min="8" max="8" width="15.42578125" style="27" bestFit="1" customWidth="1"/>
    <col min="9" max="12" width="15" style="27" customWidth="1"/>
    <col min="13" max="13" width="9.28515625" style="27" customWidth="1"/>
    <col min="14" max="16384" width="9.140625" style="27"/>
  </cols>
  <sheetData>
    <row r="1" spans="1:13">
      <c r="L1" s="27" t="s">
        <v>248</v>
      </c>
      <c r="M1" s="27" t="s">
        <v>251</v>
      </c>
    </row>
    <row r="2" spans="1:13">
      <c r="L2" s="27" t="s">
        <v>249</v>
      </c>
      <c r="M2" s="27" t="s">
        <v>250</v>
      </c>
    </row>
    <row r="3" spans="1:13">
      <c r="L3" s="27" t="s">
        <v>252</v>
      </c>
      <c r="M3" s="27" t="s">
        <v>253</v>
      </c>
    </row>
    <row r="7" spans="1:13">
      <c r="B7" s="27" t="str">
        <f>IF(Temp!$C2="","",TEXT(DATE(YEAR(Temp!$C2),MONTH(Temp!$C2),DAY(Temp!$C2)),"MMM")&amp;"_"&amp;YEAR(Temp!$C2))</f>
        <v>Jul_2019</v>
      </c>
    </row>
    <row r="8" spans="1:13">
      <c r="A8" s="103" t="s">
        <v>243</v>
      </c>
      <c r="B8" s="104" t="s">
        <v>694</v>
      </c>
    </row>
    <row r="10" spans="1:13" ht="47.25">
      <c r="A10" s="103" t="s">
        <v>244</v>
      </c>
      <c r="B10" s="107" t="s">
        <v>246</v>
      </c>
      <c r="C10" s="107" t="s">
        <v>247</v>
      </c>
      <c r="D10"/>
    </row>
    <row r="11" spans="1:13">
      <c r="A11" s="105" t="s">
        <v>22</v>
      </c>
      <c r="B11" s="108">
        <v>263.5</v>
      </c>
      <c r="C11" s="108">
        <v>263.5</v>
      </c>
      <c r="D11"/>
    </row>
    <row r="12" spans="1:13">
      <c r="A12" s="106" t="s">
        <v>78</v>
      </c>
      <c r="B12" s="108">
        <v>4.4999999999999991</v>
      </c>
      <c r="C12" s="108">
        <v>4.4999999999999991</v>
      </c>
      <c r="D12"/>
    </row>
    <row r="13" spans="1:13">
      <c r="A13" s="106" t="s">
        <v>26</v>
      </c>
      <c r="B13" s="108">
        <v>36.499999999999993</v>
      </c>
      <c r="C13" s="108">
        <v>36.499999999999993</v>
      </c>
      <c r="D13"/>
    </row>
    <row r="14" spans="1:13">
      <c r="A14" s="106" t="s">
        <v>662</v>
      </c>
      <c r="B14" s="108">
        <v>200</v>
      </c>
      <c r="C14" s="108">
        <v>200</v>
      </c>
      <c r="D14"/>
    </row>
    <row r="15" spans="1:13">
      <c r="A15" s="106" t="s">
        <v>679</v>
      </c>
      <c r="B15" s="108">
        <v>16</v>
      </c>
      <c r="C15" s="108">
        <v>16</v>
      </c>
      <c r="D15"/>
    </row>
    <row r="16" spans="1:13">
      <c r="A16" s="106" t="s">
        <v>897</v>
      </c>
      <c r="B16" s="108">
        <v>6.5</v>
      </c>
      <c r="C16" s="108">
        <v>6.5</v>
      </c>
      <c r="D16"/>
    </row>
    <row r="17" spans="1:4">
      <c r="A17" s="105" t="s">
        <v>11</v>
      </c>
      <c r="B17" s="108">
        <v>304.49999999999994</v>
      </c>
      <c r="C17" s="108">
        <v>304.49999999999994</v>
      </c>
      <c r="D17"/>
    </row>
    <row r="18" spans="1:4">
      <c r="A18" s="106" t="s">
        <v>19</v>
      </c>
      <c r="B18" s="108">
        <v>32.499999999999986</v>
      </c>
      <c r="C18" s="108">
        <v>32.499999999999986</v>
      </c>
      <c r="D18"/>
    </row>
    <row r="19" spans="1:4">
      <c r="A19" s="106" t="s">
        <v>161</v>
      </c>
      <c r="B19" s="108">
        <v>31.999999999999979</v>
      </c>
      <c r="C19" s="108">
        <v>31.999999999999979</v>
      </c>
      <c r="D19"/>
    </row>
    <row r="20" spans="1:4">
      <c r="A20" s="106" t="s">
        <v>149</v>
      </c>
      <c r="B20" s="108">
        <v>32.499999999999993</v>
      </c>
      <c r="C20" s="108">
        <v>32.499999999999993</v>
      </c>
      <c r="D20"/>
    </row>
    <row r="21" spans="1:4">
      <c r="A21" s="106" t="s">
        <v>542</v>
      </c>
      <c r="B21" s="108">
        <v>32.499999999999986</v>
      </c>
      <c r="C21" s="108">
        <v>32.499999999999986</v>
      </c>
      <c r="D21"/>
    </row>
    <row r="22" spans="1:4">
      <c r="A22" s="106" t="s">
        <v>547</v>
      </c>
      <c r="B22" s="108">
        <v>19.999999999999993</v>
      </c>
      <c r="C22" s="108">
        <v>19.999999999999993</v>
      </c>
      <c r="D22"/>
    </row>
    <row r="23" spans="1:4">
      <c r="A23" s="106" t="s">
        <v>684</v>
      </c>
      <c r="B23" s="108">
        <v>33.999999999999986</v>
      </c>
      <c r="C23" s="108">
        <v>33.999999999999986</v>
      </c>
      <c r="D23"/>
    </row>
    <row r="24" spans="1:4">
      <c r="A24" s="106" t="s">
        <v>779</v>
      </c>
      <c r="B24" s="108">
        <v>32.499999999999993</v>
      </c>
      <c r="C24" s="108">
        <v>32.499999999999993</v>
      </c>
      <c r="D24"/>
    </row>
    <row r="25" spans="1:4">
      <c r="A25" s="106" t="s">
        <v>811</v>
      </c>
      <c r="B25" s="108">
        <v>31.999999999999993</v>
      </c>
      <c r="C25" s="108">
        <v>31.999999999999993</v>
      </c>
    </row>
    <row r="26" spans="1:4">
      <c r="A26" s="106" t="s">
        <v>910</v>
      </c>
      <c r="B26" s="108">
        <v>23.999999999999993</v>
      </c>
      <c r="C26" s="108">
        <v>23.999999999999993</v>
      </c>
    </row>
    <row r="27" spans="1:4">
      <c r="A27" s="106" t="s">
        <v>912</v>
      </c>
      <c r="B27" s="108">
        <v>32.499999999999993</v>
      </c>
      <c r="C27" s="108">
        <v>32.499999999999993</v>
      </c>
    </row>
    <row r="28" spans="1:4">
      <c r="A28" s="105" t="s">
        <v>245</v>
      </c>
      <c r="B28" s="108">
        <v>568</v>
      </c>
      <c r="C28" s="108">
        <v>568</v>
      </c>
    </row>
    <row r="29" spans="1:4">
      <c r="A29"/>
      <c r="B29"/>
      <c r="C29"/>
    </row>
    <row r="30" spans="1:4">
      <c r="A30"/>
      <c r="B30"/>
      <c r="C30"/>
    </row>
    <row r="31" spans="1:4">
      <c r="A31"/>
      <c r="B31"/>
      <c r="C31"/>
    </row>
    <row r="32" spans="1:4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</sheetData>
  <pageMargins left="0.7" right="0.7" top="0.75" bottom="0.75" header="0.3" footer="0.3"/>
  <pageSetup paperSize="9" orientation="portrait" horizontalDpi="300" verticalDpi="3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"/>
  <sheetViews>
    <sheetView showGridLines="0" topLeftCell="A6" zoomScaleNormal="100" workbookViewId="0">
      <selection activeCell="O19" sqref="O19"/>
    </sheetView>
  </sheetViews>
  <sheetFormatPr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1"/>
  <sheetViews>
    <sheetView showGridLines="0" workbookViewId="0">
      <pane xSplit="1" ySplit="3" topLeftCell="B29" activePane="bottomRight" state="frozen"/>
      <selection pane="topRight" activeCell="B1" sqref="B1"/>
      <selection pane="bottomLeft" activeCell="A4" sqref="A4"/>
      <selection pane="bottomRight" activeCell="I28" sqref="A28:I28"/>
    </sheetView>
  </sheetViews>
  <sheetFormatPr defaultRowHeight="15"/>
  <cols>
    <col min="1" max="1" width="14.85546875" bestFit="1" customWidth="1"/>
    <col min="2" max="2" width="11.28515625" bestFit="1" customWidth="1"/>
    <col min="3" max="3" width="10.28515625" bestFit="1" customWidth="1"/>
    <col min="4" max="4" width="15.140625" bestFit="1" customWidth="1"/>
    <col min="5" max="5" width="15.42578125" bestFit="1" customWidth="1"/>
    <col min="6" max="6" width="5.28515625" customWidth="1"/>
    <col min="7" max="13" width="13.85546875" customWidth="1"/>
  </cols>
  <sheetData>
    <row r="1" spans="1:13" ht="16.5" thickBot="1">
      <c r="A1" s="110" t="s">
        <v>423</v>
      </c>
      <c r="B1" s="110"/>
      <c r="C1" s="110"/>
      <c r="D1" s="110"/>
      <c r="E1" s="110"/>
      <c r="G1" s="115" t="s">
        <v>424</v>
      </c>
      <c r="H1" s="116"/>
      <c r="I1" s="116"/>
      <c r="J1" s="117"/>
      <c r="K1" s="118"/>
      <c r="L1" s="27"/>
      <c r="M1" s="27"/>
    </row>
    <row r="2" spans="1:13" ht="15.75">
      <c r="A2" s="27"/>
      <c r="B2" s="27"/>
      <c r="C2" s="27"/>
      <c r="D2" s="27"/>
      <c r="E2" s="27"/>
      <c r="G2" s="27"/>
      <c r="H2" s="113" t="s">
        <v>425</v>
      </c>
      <c r="I2" s="114"/>
      <c r="J2" s="111" t="s">
        <v>426</v>
      </c>
      <c r="K2" s="112"/>
      <c r="L2" s="27"/>
      <c r="M2" s="27"/>
    </row>
    <row r="3" spans="1:13" ht="15.75">
      <c r="A3" s="19" t="s">
        <v>420</v>
      </c>
      <c r="B3" s="19" t="s">
        <v>421</v>
      </c>
      <c r="C3" s="19" t="s">
        <v>422</v>
      </c>
      <c r="D3" s="45" t="s">
        <v>22</v>
      </c>
      <c r="E3" s="45" t="s">
        <v>11</v>
      </c>
      <c r="G3" s="88" t="s">
        <v>420</v>
      </c>
      <c r="H3" s="94" t="s">
        <v>22</v>
      </c>
      <c r="I3" s="95" t="s">
        <v>11</v>
      </c>
      <c r="J3" s="90" t="s">
        <v>22</v>
      </c>
      <c r="K3" s="91" t="s">
        <v>11</v>
      </c>
      <c r="L3" s="45" t="s">
        <v>508</v>
      </c>
      <c r="M3" s="45" t="s">
        <v>810</v>
      </c>
    </row>
    <row r="4" spans="1:13" ht="15.75">
      <c r="A4" s="83" t="s">
        <v>231</v>
      </c>
      <c r="B4" s="86">
        <v>42736</v>
      </c>
      <c r="C4" s="86">
        <v>42746</v>
      </c>
      <c r="D4" s="74">
        <f>SUMIFS('2017OT'!$H:$H,'2017OT'!$C:$C,"&gt;="&amp;$B4,'2017OT'!$C:$C,"&lt;"&amp;$C4,'2017OT'!$A:$A,Summary!D$3)</f>
        <v>188.5</v>
      </c>
      <c r="E4" s="74">
        <f>SUMIFS('2017OT'!$H:$H,'2017OT'!$C:$C,"&gt;="&amp;$B4,'2017OT'!$C:$C,"&lt;"&amp;$C4,'2017OT'!$A:$A,Summary!E$3)</f>
        <v>76.999999999999972</v>
      </c>
      <c r="G4" s="89" t="s">
        <v>231</v>
      </c>
      <c r="H4" s="96">
        <f>SUMIFS('2017OT'!$H:$H,'2017OT'!$M:$M,Summary!$G4,'2017OT'!$A:$A,Summary!H$3)</f>
        <v>426</v>
      </c>
      <c r="I4" s="97">
        <f>SUMIFS('2017OT'!$H:$H,'2017OT'!$M:$M,Summary!$G4,'2017OT'!$A:$A,Summary!I$3)</f>
        <v>103.99999999999993</v>
      </c>
      <c r="J4" s="92">
        <f>SUMIFS('2017OT'!$I:$I,'2017OT'!$M:$M,Summary!$G4,'2017OT'!$A:$A,Summary!J$3)</f>
        <v>426</v>
      </c>
      <c r="K4" s="93">
        <f>SUMIFS('2017OT'!$I:$I,'2017OT'!$M:$M,Summary!$G4,'2017OT'!$A:$A,Summary!K$3)</f>
        <v>103.99999999999993</v>
      </c>
      <c r="L4" s="61">
        <f t="shared" ref="L4:M4" si="0">J4-H4</f>
        <v>0</v>
      </c>
      <c r="M4" s="61">
        <f t="shared" si="0"/>
        <v>0</v>
      </c>
    </row>
    <row r="5" spans="1:13" ht="15.75">
      <c r="A5" s="83" t="s">
        <v>232</v>
      </c>
      <c r="B5" s="86">
        <f>C4</f>
        <v>42746</v>
      </c>
      <c r="C5" s="73">
        <f>EDATE(B5,1)</f>
        <v>42777</v>
      </c>
      <c r="D5" s="74">
        <f>SUMIFS('2017OT'!$H:$H,'2017OT'!$C:$C,"&gt;="&amp;$B5,'2017OT'!$C:$C,"&lt;"&amp;$C5,'2017OT'!$A:$A,Summary!D$3)</f>
        <v>391.5</v>
      </c>
      <c r="E5" s="74">
        <f>SUMIFS('2017OT'!$H:$H,'2017OT'!$C:$C,"&gt;="&amp;$B5,'2017OT'!$C:$C,"&lt;"&amp;$C5,'2017OT'!$A:$A,Summary!E$3)</f>
        <v>87.499999999999929</v>
      </c>
      <c r="G5" s="89" t="s">
        <v>232</v>
      </c>
      <c r="H5" s="96">
        <f>SUMIFS('2017OT'!$H:$H,'2017OT'!$M:$M,Summary!$G5,'2017OT'!$A:$A,Summary!H$3)</f>
        <v>358.49999999999989</v>
      </c>
      <c r="I5" s="97">
        <f>SUMIFS('2017OT'!$H:$H,'2017OT'!$M:$M,Summary!$G5,'2017OT'!$A:$A,Summary!I$3)</f>
        <v>161.49999999999977</v>
      </c>
      <c r="J5" s="92">
        <f>SUMIFS('2017OT'!$I:$I,'2017OT'!$M:$M,Summary!$G5,'2017OT'!$A:$A,Summary!J$3)</f>
        <v>358.49999999999989</v>
      </c>
      <c r="K5" s="93">
        <f>SUMIFS('2017OT'!$I:$I,'2017OT'!$M:$M,Summary!$G5,'2017OT'!$A:$A,Summary!K$3)</f>
        <v>225.4999999999998</v>
      </c>
      <c r="L5" s="61">
        <f t="shared" ref="L5:L51" si="1">J5-H5</f>
        <v>0</v>
      </c>
      <c r="M5" s="61">
        <f t="shared" ref="M5:M51" si="2">K5-I5</f>
        <v>64.000000000000028</v>
      </c>
    </row>
    <row r="6" spans="1:13" ht="15.75">
      <c r="A6" s="83" t="s">
        <v>233</v>
      </c>
      <c r="B6" s="75">
        <f>C5</f>
        <v>42777</v>
      </c>
      <c r="C6" s="73">
        <f>EDATE(B6,1)</f>
        <v>42805</v>
      </c>
      <c r="D6" s="74">
        <f>SUMIFS('2017OT'!$H:$H,'2017OT'!$C:$C,"&gt;="&amp;$B6,'2017OT'!$C:$C,"&lt;"&amp;$C6,'2017OT'!$A:$A,Summary!D$3)</f>
        <v>335.99999999999994</v>
      </c>
      <c r="E6" s="74">
        <f>SUMIFS('2017OT'!$H:$H,'2017OT'!$C:$C,"&gt;="&amp;$B6,'2017OT'!$C:$C,"&lt;"&amp;$C6,'2017OT'!$A:$A,Summary!E$3)</f>
        <v>180.99999999999986</v>
      </c>
      <c r="G6" s="89" t="s">
        <v>233</v>
      </c>
      <c r="H6" s="96">
        <f>SUMIFS('2017OT'!$H:$H,'2017OT'!$M:$M,Summary!$G6,'2017OT'!$A:$A,Summary!H$3)</f>
        <v>578.99999999999989</v>
      </c>
      <c r="I6" s="97">
        <f>SUMIFS('2017OT'!$H:$H,'2017OT'!$M:$M,Summary!$G6,'2017OT'!$A:$A,Summary!I$3)</f>
        <v>239.99999999999972</v>
      </c>
      <c r="J6" s="92">
        <f>SUMIFS('2017OT'!$I:$I,'2017OT'!$M:$M,Summary!$G6,'2017OT'!$A:$A,Summary!J$3)</f>
        <v>578.99999999999989</v>
      </c>
      <c r="K6" s="93">
        <f>SUMIFS('2017OT'!$I:$I,'2017OT'!$M:$M,Summary!$G6,'2017OT'!$A:$A,Summary!K$3)</f>
        <v>239.99999999999969</v>
      </c>
      <c r="L6" s="61">
        <f t="shared" si="1"/>
        <v>0</v>
      </c>
      <c r="M6" s="61">
        <f t="shared" si="2"/>
        <v>0</v>
      </c>
    </row>
    <row r="7" spans="1:13" ht="15.75">
      <c r="A7" s="83" t="s">
        <v>234</v>
      </c>
      <c r="B7" s="75">
        <f>C6</f>
        <v>42805</v>
      </c>
      <c r="C7" s="73">
        <f>EDATE(B7,1)</f>
        <v>42836</v>
      </c>
      <c r="D7" s="74">
        <f>SUMIFS('2017OT'!$H:$H,'2017OT'!$C:$C,"&gt;="&amp;$B7,'2017OT'!$C:$C,"&lt;"&amp;$C7,'2017OT'!$A:$A,Summary!D$3)</f>
        <v>614.99999999999989</v>
      </c>
      <c r="E7" s="74">
        <f>SUMIFS('2017OT'!$H:$H,'2017OT'!$C:$C,"&gt;="&amp;$B7,'2017OT'!$C:$C,"&lt;"&amp;$C7,'2017OT'!$A:$A,Summary!E$3)</f>
        <v>236.74999999999963</v>
      </c>
      <c r="G7" s="89" t="s">
        <v>234</v>
      </c>
      <c r="H7" s="96">
        <f>SUMIFS('2017OT'!$H:$H,'2017OT'!$M:$M,Summary!$G7,'2017OT'!$A:$A,Summary!H$3)</f>
        <v>474.99999999999989</v>
      </c>
      <c r="I7" s="97">
        <f>SUMIFS('2017OT'!$H:$H,'2017OT'!$M:$M,Summary!$G7,'2017OT'!$A:$A,Summary!I$3)</f>
        <v>226.99999999999972</v>
      </c>
      <c r="J7" s="92">
        <f>SUMIFS('2017OT'!$I:$I,'2017OT'!$M:$M,Summary!$G7,'2017OT'!$A:$A,Summary!J$3)</f>
        <v>474.99999999999989</v>
      </c>
      <c r="K7" s="93">
        <f>SUMIFS('2017OT'!$I:$I,'2017OT'!$M:$M,Summary!$G7,'2017OT'!$A:$A,Summary!K$3)</f>
        <v>266.99999999999972</v>
      </c>
      <c r="L7" s="61">
        <f t="shared" si="1"/>
        <v>0</v>
      </c>
      <c r="M7" s="61">
        <f t="shared" si="2"/>
        <v>40</v>
      </c>
    </row>
    <row r="8" spans="1:13" ht="15.75">
      <c r="A8" s="83" t="s">
        <v>235</v>
      </c>
      <c r="B8" s="75">
        <f t="shared" ref="B8:B13" si="3">C7</f>
        <v>42836</v>
      </c>
      <c r="C8" s="73">
        <f t="shared" ref="C8:C13" si="4">EDATE(B8,1)</f>
        <v>42866</v>
      </c>
      <c r="D8" s="74">
        <f>SUMIFS('2017OT'!$H:$H,'2017OT'!$C:$C,"&gt;="&amp;$B8,'2017OT'!$C:$C,"&lt;"&amp;$C8,'2017OT'!$A:$A,Summary!D$3)</f>
        <v>414.99999999999994</v>
      </c>
      <c r="E8" s="74">
        <f>SUMIFS('2017OT'!$H:$H,'2017OT'!$C:$C,"&gt;="&amp;$B8,'2017OT'!$C:$C,"&lt;"&amp;$C8,'2017OT'!$A:$A,Summary!E$3)</f>
        <v>157.74999999999977</v>
      </c>
      <c r="G8" s="89" t="s">
        <v>235</v>
      </c>
      <c r="H8" s="96">
        <f>SUMIFS('2017OT'!$H:$H,'2017OT'!$M:$M,Summary!$G8,'2017OT'!$A:$A,Summary!H$3)</f>
        <v>305.50000000000006</v>
      </c>
      <c r="I8" s="97">
        <f>SUMIFS('2017OT'!$H:$H,'2017OT'!$M:$M,Summary!$G8,'2017OT'!$A:$A,Summary!I$3)</f>
        <v>82.999999999999716</v>
      </c>
      <c r="J8" s="92">
        <f>SUMIFS('2017OT'!$I:$I,'2017OT'!$M:$M,Summary!$G8,'2017OT'!$A:$A,Summary!J$3)</f>
        <v>305.50000000000006</v>
      </c>
      <c r="K8" s="93">
        <f>SUMIFS('2017OT'!$I:$I,'2017OT'!$M:$M,Summary!$G8,'2017OT'!$A:$A,Summary!K$3)</f>
        <v>82.999999999999716</v>
      </c>
      <c r="L8" s="61">
        <f t="shared" si="1"/>
        <v>0</v>
      </c>
      <c r="M8" s="61">
        <f t="shared" si="2"/>
        <v>0</v>
      </c>
    </row>
    <row r="9" spans="1:13" ht="15.75">
      <c r="A9" s="83" t="s">
        <v>236</v>
      </c>
      <c r="B9" s="75">
        <f t="shared" si="3"/>
        <v>42866</v>
      </c>
      <c r="C9" s="73">
        <f t="shared" si="4"/>
        <v>42897</v>
      </c>
      <c r="D9" s="74">
        <f>SUMIFS('2017OT'!$H:$H,'2017OT'!$C:$C,"&gt;="&amp;$B9,'2017OT'!$C:$C,"&lt;"&amp;$C9,'2017OT'!$A:$A,Summary!D$3)</f>
        <v>298.99999999999994</v>
      </c>
      <c r="E9" s="74">
        <f>SUMIFS('2017OT'!$H:$H,'2017OT'!$C:$C,"&gt;="&amp;$B9,'2017OT'!$C:$C,"&lt;"&amp;$C9,'2017OT'!$A:$A,Summary!E$3)</f>
        <v>133.99999999999972</v>
      </c>
      <c r="G9" s="89" t="s">
        <v>236</v>
      </c>
      <c r="H9" s="96">
        <f>SUMIFS('2017OT'!$H:$H,'2017OT'!$M:$M,Summary!$G9,'2017OT'!$A:$A,Summary!H$3)</f>
        <v>275.75</v>
      </c>
      <c r="I9" s="97">
        <f>SUMIFS('2017OT'!$H:$H,'2017OT'!$M:$M,Summary!$G9,'2017OT'!$A:$A,Summary!I$3)</f>
        <v>149.99999999999997</v>
      </c>
      <c r="J9" s="92">
        <f>SUMIFS('2017OT'!$I:$I,'2017OT'!$M:$M,Summary!$G9,'2017OT'!$A:$A,Summary!J$3)</f>
        <v>275.75</v>
      </c>
      <c r="K9" s="93">
        <f>SUMIFS('2017OT'!$I:$I,'2017OT'!$M:$M,Summary!$G9,'2017OT'!$A:$A,Summary!K$3)</f>
        <v>229.99999999999997</v>
      </c>
      <c r="L9" s="61">
        <f t="shared" si="1"/>
        <v>0</v>
      </c>
      <c r="M9" s="61">
        <f t="shared" si="2"/>
        <v>80</v>
      </c>
    </row>
    <row r="10" spans="1:13" ht="15.75">
      <c r="A10" s="83" t="s">
        <v>237</v>
      </c>
      <c r="B10" s="75">
        <f t="shared" si="3"/>
        <v>42897</v>
      </c>
      <c r="C10" s="73">
        <f t="shared" si="4"/>
        <v>42927</v>
      </c>
      <c r="D10" s="74">
        <f>SUMIFS('2017OT'!$H:$H,'2017OT'!$C:$C,"&gt;="&amp;$B10,'2017OT'!$C:$C,"&lt;"&amp;$C10,'2017OT'!$A:$A,Summary!D$3)</f>
        <v>342.25</v>
      </c>
      <c r="E10" s="74">
        <f>SUMIFS('2017OT'!$H:$H,'2017OT'!$C:$C,"&gt;="&amp;$B10,'2017OT'!$C:$C,"&lt;"&amp;$C10,'2017OT'!$A:$A,Summary!E$3)</f>
        <v>226.50000000000011</v>
      </c>
      <c r="G10" s="89" t="s">
        <v>237</v>
      </c>
      <c r="H10" s="96">
        <f>SUMIFS('2017OT'!$H:$H,'2017OT'!$M:$M,Summary!$G10,'2017OT'!$A:$A,Summary!H$3)</f>
        <v>439.25</v>
      </c>
      <c r="I10" s="97">
        <f>SUMIFS('2017OT'!$H:$H,'2017OT'!$M:$M,Summary!$G10,'2017OT'!$A:$A,Summary!I$3)</f>
        <v>291.75000000000011</v>
      </c>
      <c r="J10" s="92">
        <f>SUMIFS('2017OT'!$I:$I,'2017OT'!$M:$M,Summary!$G10,'2017OT'!$A:$A,Summary!J$3)</f>
        <v>439.25</v>
      </c>
      <c r="K10" s="93">
        <f>SUMIFS('2017OT'!$I:$I,'2017OT'!$M:$M,Summary!$G10,'2017OT'!$A:$A,Summary!K$3)</f>
        <v>323.75000000000011</v>
      </c>
      <c r="L10" s="61">
        <f t="shared" si="1"/>
        <v>0</v>
      </c>
      <c r="M10" s="61">
        <f t="shared" si="2"/>
        <v>32</v>
      </c>
    </row>
    <row r="11" spans="1:13" ht="15.75">
      <c r="A11" s="83" t="s">
        <v>238</v>
      </c>
      <c r="B11" s="75">
        <f t="shared" si="3"/>
        <v>42927</v>
      </c>
      <c r="C11" s="73">
        <f t="shared" si="4"/>
        <v>42958</v>
      </c>
      <c r="D11" s="74">
        <f>SUMIFS('2017OT'!$H:$H,'2017OT'!$C:$C,"&gt;="&amp;$B11,'2017OT'!$C:$C,"&lt;"&amp;$C11,'2017OT'!$A:$A,Summary!D$3)</f>
        <v>379.75</v>
      </c>
      <c r="E11" s="74">
        <f>SUMIFS('2017OT'!$H:$H,'2017OT'!$C:$C,"&gt;="&amp;$B11,'2017OT'!$C:$C,"&lt;"&amp;$C11,'2017OT'!$A:$A,Summary!E$3)</f>
        <v>205.24999999999983</v>
      </c>
      <c r="G11" s="89" t="s">
        <v>238</v>
      </c>
      <c r="H11" s="96">
        <f>SUMIFS('2017OT'!$H:$H,'2017OT'!$M:$M,Summary!$G11,'2017OT'!$A:$A,Summary!H$3)</f>
        <v>513.49999999999989</v>
      </c>
      <c r="I11" s="97">
        <f>SUMIFS('2017OT'!$H:$H,'2017OT'!$M:$M,Summary!$G11,'2017OT'!$A:$A,Summary!I$3)</f>
        <v>161.99999999999983</v>
      </c>
      <c r="J11" s="92">
        <f>SUMIFS('2017OT'!$I:$I,'2017OT'!$M:$M,Summary!$G11,'2017OT'!$A:$A,Summary!J$3)</f>
        <v>503.49999999999994</v>
      </c>
      <c r="K11" s="93">
        <f>SUMIFS('2017OT'!$I:$I,'2017OT'!$M:$M,Summary!$G11,'2017OT'!$A:$A,Summary!K$3)</f>
        <v>185.99999999999983</v>
      </c>
      <c r="L11" s="61">
        <f t="shared" si="1"/>
        <v>-9.9999999999999432</v>
      </c>
      <c r="M11" s="61">
        <f t="shared" si="2"/>
        <v>24</v>
      </c>
    </row>
    <row r="12" spans="1:13" ht="15.75">
      <c r="A12" s="83" t="s">
        <v>239</v>
      </c>
      <c r="B12" s="75">
        <f t="shared" si="3"/>
        <v>42958</v>
      </c>
      <c r="C12" s="73">
        <f t="shared" si="4"/>
        <v>42989</v>
      </c>
      <c r="D12" s="74">
        <f>SUMIFS('2017OT'!$H:$H,'2017OT'!$C:$C,"&gt;="&amp;$B12,'2017OT'!$C:$C,"&lt;"&amp;$C12,'2017OT'!$A:$A,Summary!D$3)</f>
        <v>520.99999999999989</v>
      </c>
      <c r="E12" s="74">
        <f>SUMIFS('2017OT'!$H:$H,'2017OT'!$C:$C,"&gt;="&amp;$B12,'2017OT'!$C:$C,"&lt;"&amp;$C12,'2017OT'!$A:$A,Summary!E$3)</f>
        <v>166.49999999999952</v>
      </c>
      <c r="G12" s="89" t="s">
        <v>239</v>
      </c>
      <c r="H12" s="96">
        <f>SUMIFS('2017OT'!$H:$H,'2017OT'!$M:$M,Summary!$G12,'2017OT'!$A:$A,Summary!H$3)</f>
        <v>432</v>
      </c>
      <c r="I12" s="97">
        <f>SUMIFS('2017OT'!$H:$H,'2017OT'!$M:$M,Summary!$G12,'2017OT'!$A:$A,Summary!I$3)</f>
        <v>155.4999999999996</v>
      </c>
      <c r="J12" s="92">
        <f>SUMIFS('2017OT'!$I:$I,'2017OT'!$M:$M,Summary!$G12,'2017OT'!$A:$A,Summary!J$3)</f>
        <v>432</v>
      </c>
      <c r="K12" s="93">
        <f>SUMIFS('2017OT'!$I:$I,'2017OT'!$M:$M,Summary!$G12,'2017OT'!$A:$A,Summary!K$3)</f>
        <v>214.49999999999966</v>
      </c>
      <c r="L12" s="61">
        <f t="shared" si="1"/>
        <v>0</v>
      </c>
      <c r="M12" s="61">
        <f t="shared" si="2"/>
        <v>59.000000000000057</v>
      </c>
    </row>
    <row r="13" spans="1:13" ht="15.75">
      <c r="A13" s="83" t="s">
        <v>240</v>
      </c>
      <c r="B13" s="75">
        <f t="shared" si="3"/>
        <v>42989</v>
      </c>
      <c r="C13" s="73">
        <f t="shared" si="4"/>
        <v>43019</v>
      </c>
      <c r="D13" s="74">
        <f>SUMIFS('2017OT'!$H:$H,'2017OT'!$C:$C,"&gt;="&amp;$B13,'2017OT'!$C:$C,"&lt;"&amp;$C13,'2017OT'!$A:$A,Summary!D$3)</f>
        <v>520</v>
      </c>
      <c r="E13" s="74">
        <f>SUMIFS('2017OT'!$H:$H,'2017OT'!$C:$C,"&gt;="&amp;$B13,'2017OT'!$C:$C,"&lt;"&amp;$C13,'2017OT'!$A:$A,Summary!E$3)</f>
        <v>152.49999999999983</v>
      </c>
      <c r="G13" s="89" t="s">
        <v>240</v>
      </c>
      <c r="H13" s="96">
        <f>SUMIFS('2017OT'!$H:$H,'2017OT'!$M:$M,Summary!$G13,'2017OT'!$A:$A,Summary!H$3)</f>
        <v>510</v>
      </c>
      <c r="I13" s="97">
        <f>SUMIFS('2017OT'!$H:$H,'2017OT'!$M:$M,Summary!$G13,'2017OT'!$A:$A,Summary!I$3)</f>
        <v>196.99999999999969</v>
      </c>
      <c r="J13" s="92">
        <f>SUMIFS('2017OT'!$I:$I,'2017OT'!$M:$M,Summary!$G13,'2017OT'!$A:$A,Summary!J$3)</f>
        <v>510</v>
      </c>
      <c r="K13" s="93">
        <f>SUMIFS('2017OT'!$I:$I,'2017OT'!$M:$M,Summary!$G13,'2017OT'!$A:$A,Summary!K$3)</f>
        <v>236.9999999999998</v>
      </c>
      <c r="L13" s="61">
        <f t="shared" si="1"/>
        <v>0</v>
      </c>
      <c r="M13" s="61">
        <f t="shared" si="2"/>
        <v>40.000000000000114</v>
      </c>
    </row>
    <row r="14" spans="1:13" ht="15.75">
      <c r="A14" s="83" t="s">
        <v>241</v>
      </c>
      <c r="B14" s="86">
        <v>43049</v>
      </c>
      <c r="C14" s="86">
        <v>43079</v>
      </c>
      <c r="D14" s="74">
        <f>SUMIFS('2017OT'!$H:$H,'2017OT'!$C:$C,"&gt;="&amp;$B14,'2017OT'!$C:$C,"&lt;"&amp;$C14,'2017OT'!$A:$A,Summary!D$3)</f>
        <v>498.74999999999994</v>
      </c>
      <c r="E14" s="74">
        <f>SUMIFS('2017OT'!$H:$H,'2017OT'!$C:$C,"&gt;="&amp;$B14,'2017OT'!$C:$C,"&lt;"&amp;$C14,'2017OT'!$A:$A,Summary!E$3)</f>
        <v>135.4999999999998</v>
      </c>
      <c r="G14" s="89" t="s">
        <v>241</v>
      </c>
      <c r="H14" s="96">
        <f>SUMIFS('2017OT'!$H:$H,'2017OT'!$M:$M,Summary!$G14,'2017OT'!$A:$A,Summary!H$3)</f>
        <v>505.75</v>
      </c>
      <c r="I14" s="97">
        <f>SUMIFS('2017OT'!$H:$H,'2017OT'!$M:$M,Summary!$G14,'2017OT'!$A:$A,Summary!I$3)</f>
        <v>164.99999999999986</v>
      </c>
      <c r="J14" s="92">
        <f>SUMIFS('2017OT'!$I:$I,'2017OT'!$M:$M,Summary!$G14,'2017OT'!$A:$A,Summary!J$3)</f>
        <v>505.75</v>
      </c>
      <c r="K14" s="93">
        <f>SUMIFS('2017OT'!$I:$I,'2017OT'!$M:$M,Summary!$G14,'2017OT'!$A:$A,Summary!K$3)</f>
        <v>164.99999999999986</v>
      </c>
      <c r="L14" s="61">
        <f t="shared" si="1"/>
        <v>0</v>
      </c>
      <c r="M14" s="61">
        <f t="shared" si="2"/>
        <v>0</v>
      </c>
    </row>
    <row r="15" spans="1:13" ht="15.75">
      <c r="A15" s="83" t="s">
        <v>242</v>
      </c>
      <c r="B15" s="86">
        <v>43079</v>
      </c>
      <c r="C15" s="86">
        <v>43111</v>
      </c>
      <c r="D15" s="74">
        <f>SUMIFS('2017OT'!$H:$H,'2017OT'!$C:$C,"&gt;="&amp;$B15,'2017OT'!$C:$C,"&lt;"&amp;$C15,'2017OT'!$A:$A,Summary!D$3)</f>
        <v>1097.75</v>
      </c>
      <c r="E15" s="74">
        <f>SUMIFS('2017OT'!$H:$H,'2017OT'!$C:$C,"&gt;="&amp;$B15,'2017OT'!$C:$C,"&lt;"&amp;$C15,'2017OT'!$A:$A,Summary!E$3)</f>
        <v>184.99999999999955</v>
      </c>
      <c r="G15" s="89" t="s">
        <v>242</v>
      </c>
      <c r="H15" s="96">
        <f>SUMIFS('2017OT'!$H:$H,'2017OT'!$M:$M,Summary!$G15,'2017OT'!$A:$A,Summary!H$3)</f>
        <v>946.5</v>
      </c>
      <c r="I15" s="97">
        <f>SUMIFS('2017OT'!$H:$H,'2017OT'!$M:$M,Summary!$G15,'2017OT'!$A:$A,Summary!I$3)</f>
        <v>197.49999999999972</v>
      </c>
      <c r="J15" s="92">
        <f>SUMIFS('2017OT'!$I:$I,'2017OT'!$M:$M,Summary!$G15,'2017OT'!$A:$A,Summary!J$3)</f>
        <v>946.5</v>
      </c>
      <c r="K15" s="93">
        <f>SUMIFS('2017OT'!$I:$I,'2017OT'!$M:$M,Summary!$G15,'2017OT'!$A:$A,Summary!K$3)</f>
        <v>301.49999999999972</v>
      </c>
      <c r="L15" s="61">
        <f t="shared" si="1"/>
        <v>0</v>
      </c>
      <c r="M15" s="61">
        <f t="shared" si="2"/>
        <v>104</v>
      </c>
    </row>
    <row r="16" spans="1:13" ht="15.75">
      <c r="A16" s="83" t="s">
        <v>404</v>
      </c>
      <c r="B16" s="75">
        <f>C15</f>
        <v>43111</v>
      </c>
      <c r="C16" s="86">
        <v>43133</v>
      </c>
      <c r="D16" s="74">
        <f>SUMIFS('2017OT'!$H:$H,'2017OT'!$C:$C,"&gt;="&amp;$B16,'2017OT'!$C:$C,"&lt;"&amp;$C16,'2017OT'!$A:$A,Summary!D$3)</f>
        <v>446.50000000000011</v>
      </c>
      <c r="E16" s="74">
        <f>SUMIFS('2017OT'!$H:$H,'2017OT'!$C:$C,"&gt;="&amp;$B16,'2017OT'!$C:$C,"&lt;"&amp;$C16,'2017OT'!$A:$A,Summary!E$3)</f>
        <v>61.000000000000043</v>
      </c>
      <c r="G16" s="89" t="s">
        <v>404</v>
      </c>
      <c r="H16" s="96">
        <f>SUMIFS('2017OT'!$H:$H,'2017OT'!$M:$M,Summary!$G16,'2017OT'!$A:$A,Summary!H$3)</f>
        <v>714.5</v>
      </c>
      <c r="I16" s="97">
        <f>SUMIFS('2017OT'!$H:$H,'2017OT'!$M:$M,Summary!$G16,'2017OT'!$A:$A,Summary!I$3)</f>
        <v>64</v>
      </c>
      <c r="J16" s="92">
        <f>SUMIFS('2017OT'!$I:$I,'2017OT'!$M:$M,Summary!$G16,'2017OT'!$A:$A,Summary!J$3)</f>
        <v>714.5</v>
      </c>
      <c r="K16" s="93">
        <f>SUMIFS('2017OT'!$I:$I,'2017OT'!$M:$M,Summary!$G16,'2017OT'!$A:$A,Summary!K$3)</f>
        <v>64</v>
      </c>
      <c r="L16" s="61">
        <f t="shared" si="1"/>
        <v>0</v>
      </c>
      <c r="M16" s="61">
        <f t="shared" si="2"/>
        <v>0</v>
      </c>
    </row>
    <row r="17" spans="1:13" ht="15.75">
      <c r="A17" s="83" t="s">
        <v>405</v>
      </c>
      <c r="B17" s="75">
        <v>43134</v>
      </c>
      <c r="C17" s="86">
        <v>43167</v>
      </c>
      <c r="D17" s="74">
        <f>SUMIFS('2017OT'!$H:$H,'2017OT'!$C:$C,"&gt;="&amp;$B17,'2017OT'!$C:$C,"&lt;"&amp;$C17,'2017OT'!$A:$A,Summary!D$3)</f>
        <v>344.25</v>
      </c>
      <c r="E17" s="74">
        <f>SUMIFS('2017OT'!$H:$H,'2017OT'!$C:$C,"&gt;="&amp;$B17,'2017OT'!$C:$C,"&lt;"&amp;$C17,'2017OT'!$A:$A,Summary!E$3)</f>
        <v>76.499999999999943</v>
      </c>
      <c r="G17" s="89" t="s">
        <v>405</v>
      </c>
      <c r="H17" s="96">
        <f>SUMIFS('2017OT'!$H:$H,'2017OT'!$M:$M,Summary!$G17,'2017OT'!$A:$A,Summary!H$3)</f>
        <v>296.25</v>
      </c>
      <c r="I17" s="97">
        <f>SUMIFS('2017OT'!$H:$H,'2017OT'!$M:$M,Summary!$G17,'2017OT'!$A:$A,Summary!I$3)</f>
        <v>84.499999999999929</v>
      </c>
      <c r="J17" s="92">
        <f>SUMIFS('2017OT'!$I:$I,'2017OT'!$M:$M,Summary!$G17,'2017OT'!$A:$A,Summary!J$3)</f>
        <v>296.25</v>
      </c>
      <c r="K17" s="93">
        <f>SUMIFS('2017OT'!$I:$I,'2017OT'!$M:$M,Summary!$G17,'2017OT'!$A:$A,Summary!K$3)</f>
        <v>84.499999999999929</v>
      </c>
      <c r="L17" s="61">
        <f t="shared" si="1"/>
        <v>0</v>
      </c>
      <c r="M17" s="61">
        <f t="shared" si="2"/>
        <v>0</v>
      </c>
    </row>
    <row r="18" spans="1:13" ht="15.75">
      <c r="A18" s="83" t="s">
        <v>406</v>
      </c>
      <c r="B18" s="75">
        <v>43167</v>
      </c>
      <c r="C18" s="86">
        <v>43201</v>
      </c>
      <c r="D18" s="74">
        <f>SUMIFS('2017OT'!$H:$H,'2017OT'!$C:$C,"&gt;="&amp;$B18,'2017OT'!$C:$C,"&lt;"&amp;$C18,'2017OT'!$A:$A,Summary!D$3)</f>
        <v>1901.25</v>
      </c>
      <c r="E18" s="74">
        <f>SUMIFS('2017OT'!$H:$H,'2017OT'!$C:$C,"&gt;="&amp;$B18,'2017OT'!$C:$C,"&lt;"&amp;$C18,'2017OT'!$A:$A,Summary!E$3)</f>
        <v>451.49999999999994</v>
      </c>
      <c r="G18" s="89" t="s">
        <v>406</v>
      </c>
      <c r="H18" s="96">
        <f>SUMIFS('2017OT'!$H:$H,'2017OT'!$M:$M,Summary!$G18,'2017OT'!$A:$A,Summary!H$3)</f>
        <v>1656.25</v>
      </c>
      <c r="I18" s="97">
        <f>SUMIFS('2017OT'!$H:$H,'2017OT'!$M:$M,Summary!$G18,'2017OT'!$A:$A,Summary!I$3)</f>
        <v>348</v>
      </c>
      <c r="J18" s="92">
        <f>SUMIFS('2017OT'!$I:$I,'2017OT'!$M:$M,Summary!$G18,'2017OT'!$A:$A,Summary!J$3)</f>
        <v>1656.25</v>
      </c>
      <c r="K18" s="93">
        <f>SUMIFS('2017OT'!$I:$I,'2017OT'!$M:$M,Summary!$G18,'2017OT'!$A:$A,Summary!K$3)</f>
        <v>388</v>
      </c>
      <c r="L18" s="61">
        <f t="shared" si="1"/>
        <v>0</v>
      </c>
      <c r="M18" s="61">
        <f t="shared" si="2"/>
        <v>40</v>
      </c>
    </row>
    <row r="19" spans="1:13" ht="15.75">
      <c r="A19" s="83" t="s">
        <v>407</v>
      </c>
      <c r="B19" s="75">
        <f t="shared" ref="B19:B51" si="5">C18</f>
        <v>43201</v>
      </c>
      <c r="C19" s="86">
        <f t="shared" ref="C19:C51" si="6">EDATE(B19,1)</f>
        <v>43231</v>
      </c>
      <c r="D19" s="74">
        <f>SUMIFS('2017OT'!$H:$H,'2017OT'!$C:$C,"&gt;="&amp;$B19,'2017OT'!$C:$C,"&lt;"&amp;$C19,'2017OT'!$A:$A,Summary!D$3)</f>
        <v>674.83333333333348</v>
      </c>
      <c r="E19" s="74">
        <f>SUMIFS('2017OT'!$H:$H,'2017OT'!$C:$C,"&gt;="&amp;$B19,'2017OT'!$C:$C,"&lt;"&amp;$C19,'2017OT'!$A:$A,Summary!E$3)</f>
        <v>147.49999999999983</v>
      </c>
      <c r="G19" s="89" t="s">
        <v>407</v>
      </c>
      <c r="H19" s="96">
        <f>SUMIFS('2017OT'!$H:$H,'2017OT'!$M:$M,Summary!$G19,'2017OT'!$A:$A,Summary!H$3)</f>
        <v>834.75000000000011</v>
      </c>
      <c r="I19" s="97">
        <f>SUMIFS('2017OT'!$H:$H,'2017OT'!$M:$M,Summary!$G19,'2017OT'!$A:$A,Summary!I$3)</f>
        <v>201.49999999999991</v>
      </c>
      <c r="J19" s="92">
        <f>SUMIFS('2017OT'!$I:$I,'2017OT'!$M:$M,Summary!$G19,'2017OT'!$A:$A,Summary!J$3)</f>
        <v>834.75000000000011</v>
      </c>
      <c r="K19" s="93">
        <f>SUMIFS('2017OT'!$I:$I,'2017OT'!$M:$M,Summary!$G19,'2017OT'!$A:$A,Summary!K$3)</f>
        <v>245.49999999999989</v>
      </c>
      <c r="L19" s="61">
        <f t="shared" si="1"/>
        <v>0</v>
      </c>
      <c r="M19" s="61">
        <f t="shared" si="2"/>
        <v>43.999999999999972</v>
      </c>
    </row>
    <row r="20" spans="1:13" ht="15.75">
      <c r="A20" s="83" t="s">
        <v>408</v>
      </c>
      <c r="B20" s="75">
        <f t="shared" si="5"/>
        <v>43231</v>
      </c>
      <c r="C20" s="86">
        <f t="shared" si="6"/>
        <v>43262</v>
      </c>
      <c r="D20" s="74">
        <f>SUMIFS('2017OT'!$H:$H,'2017OT'!$C:$C,"&gt;="&amp;$B20,'2017OT'!$C:$C,"&lt;"&amp;$C20,'2017OT'!$A:$A,Summary!D$3)</f>
        <v>357.25</v>
      </c>
      <c r="E20" s="74">
        <f>SUMIFS('2017OT'!$H:$H,'2017OT'!$C:$C,"&gt;="&amp;$B20,'2017OT'!$C:$C,"&lt;"&amp;$C20,'2017OT'!$A:$A,Summary!E$3)</f>
        <v>314.99999999999989</v>
      </c>
      <c r="G20" s="89" t="s">
        <v>408</v>
      </c>
      <c r="H20" s="96">
        <f>SUMIFS('2017OT'!$H:$H,'2017OT'!$M:$M,Summary!$G20,'2017OT'!$A:$A,Summary!H$3)</f>
        <v>385.33333333333348</v>
      </c>
      <c r="I20" s="97">
        <f>SUMIFS('2017OT'!$H:$H,'2017OT'!$M:$M,Summary!$G20,'2017OT'!$A:$A,Summary!I$3)</f>
        <v>258.99999999999983</v>
      </c>
      <c r="J20" s="92">
        <f>SUMIFS('2017OT'!$I:$I,'2017OT'!$M:$M,Summary!$G20,'2017OT'!$A:$A,Summary!J$3)</f>
        <v>385.33333333333348</v>
      </c>
      <c r="K20" s="93">
        <f>SUMIFS('2017OT'!$I:$I,'2017OT'!$M:$M,Summary!$G20,'2017OT'!$A:$A,Summary!K$3)</f>
        <v>294.49999999999983</v>
      </c>
      <c r="L20" s="61">
        <f t="shared" si="1"/>
        <v>0</v>
      </c>
      <c r="M20" s="61">
        <f t="shared" si="2"/>
        <v>35.5</v>
      </c>
    </row>
    <row r="21" spans="1:13" ht="15.75">
      <c r="A21" s="83" t="s">
        <v>409</v>
      </c>
      <c r="B21" s="75">
        <f t="shared" si="5"/>
        <v>43262</v>
      </c>
      <c r="C21" s="73">
        <f t="shared" si="6"/>
        <v>43292</v>
      </c>
      <c r="D21" s="74">
        <f>SUMIFS('2017OT'!$H:$H,'2017OT'!$C:$C,"&gt;="&amp;$B21,'2017OT'!$C:$C,"&lt;"&amp;$C21,'2017OT'!$A:$A,Summary!D$3)</f>
        <v>228.24999999999997</v>
      </c>
      <c r="E21" s="74">
        <f>SUMIFS('2017OT'!$H:$H,'2017OT'!$C:$C,"&gt;="&amp;$B21,'2017OT'!$C:$C,"&lt;"&amp;$C21,'2017OT'!$A:$A,Summary!E$3)</f>
        <v>385.9999999999996</v>
      </c>
      <c r="G21" s="89" t="s">
        <v>409</v>
      </c>
      <c r="H21" s="96">
        <f>SUMIFS('2017OT'!$H:$H,'2017OT'!$M:$M,Summary!$G21,'2017OT'!$A:$A,Summary!H$3)</f>
        <v>333</v>
      </c>
      <c r="I21" s="97">
        <f>SUMIFS('2017OT'!$H:$H,'2017OT'!$M:$M,Summary!$G21,'2017OT'!$A:$A,Summary!I$3)</f>
        <v>387.99999999999949</v>
      </c>
      <c r="J21" s="92">
        <f>SUMIFS('2017OT'!$I:$I,'2017OT'!$M:$M,Summary!$G21,'2017OT'!$A:$A,Summary!J$3)</f>
        <v>333</v>
      </c>
      <c r="K21" s="93">
        <f>SUMIFS('2017OT'!$I:$I,'2017OT'!$M:$M,Summary!$G21,'2017OT'!$A:$A,Summary!K$3)</f>
        <v>554.5</v>
      </c>
      <c r="L21" s="61">
        <f t="shared" si="1"/>
        <v>0</v>
      </c>
      <c r="M21" s="61">
        <f t="shared" si="2"/>
        <v>166.50000000000051</v>
      </c>
    </row>
    <row r="22" spans="1:13" ht="15.75">
      <c r="A22" s="83" t="s">
        <v>410</v>
      </c>
      <c r="B22" s="75">
        <f t="shared" si="5"/>
        <v>43292</v>
      </c>
      <c r="C22" s="73">
        <f t="shared" si="6"/>
        <v>43323</v>
      </c>
      <c r="D22" s="74">
        <f>SUMIFS('2017OT'!$H:$H,'2017OT'!$C:$C,"&gt;="&amp;$B22,'2017OT'!$C:$C,"&lt;"&amp;$C22,'2017OT'!$A:$A,Summary!D$3)</f>
        <v>277.49999999999983</v>
      </c>
      <c r="E22" s="74">
        <f>SUMIFS('2017OT'!$H:$H,'2017OT'!$C:$C,"&gt;="&amp;$B22,'2017OT'!$C:$C,"&lt;"&amp;$C22,'2017OT'!$A:$A,Summary!E$3)</f>
        <v>55.999999999999993</v>
      </c>
      <c r="G22" s="89" t="s">
        <v>410</v>
      </c>
      <c r="H22" s="96">
        <f>SUMIFS('2017OT'!$H:$H,'2017OT'!$M:$M,Summary!$G22,'2017OT'!$A:$A,Summary!H$3)</f>
        <v>239.24999999999997</v>
      </c>
      <c r="I22" s="97">
        <f>SUMIFS('2017OT'!$H:$H,'2017OT'!$M:$M,Summary!$G22,'2017OT'!$A:$A,Summary!I$3)</f>
        <v>178</v>
      </c>
      <c r="J22" s="92">
        <f>SUMIFS('2017OT'!$I:$I,'2017OT'!$M:$M,Summary!$G22,'2017OT'!$A:$A,Summary!J$3)</f>
        <v>239.24999999999997</v>
      </c>
      <c r="K22" s="93">
        <f>SUMIFS('2017OT'!$I:$I,'2017OT'!$M:$M,Summary!$G22,'2017OT'!$A:$A,Summary!K$3)</f>
        <v>218.00000000000003</v>
      </c>
      <c r="L22" s="61">
        <f t="shared" si="1"/>
        <v>0</v>
      </c>
      <c r="M22" s="61">
        <f t="shared" si="2"/>
        <v>40.000000000000028</v>
      </c>
    </row>
    <row r="23" spans="1:13" ht="15.75">
      <c r="A23" s="83" t="s">
        <v>411</v>
      </c>
      <c r="B23" s="75">
        <f t="shared" si="5"/>
        <v>43323</v>
      </c>
      <c r="C23" s="73">
        <f t="shared" si="6"/>
        <v>43354</v>
      </c>
      <c r="D23" s="74">
        <f>SUMIFS('2017OT'!$H:$H,'2017OT'!$C:$C,"&gt;="&amp;$B23,'2017OT'!$C:$C,"&lt;"&amp;$C23,'2017OT'!$A:$A,Summary!D$3)</f>
        <v>191.99999999999997</v>
      </c>
      <c r="E23" s="74">
        <f>SUMIFS('2017OT'!$H:$H,'2017OT'!$C:$C,"&gt;="&amp;$B23,'2017OT'!$C:$C,"&lt;"&amp;$C23,'2017OT'!$A:$A,Summary!E$3)</f>
        <v>0</v>
      </c>
      <c r="G23" s="89" t="s">
        <v>411</v>
      </c>
      <c r="H23" s="96">
        <f>SUMIFS('2017OT'!$H:$H,'2017OT'!$M:$M,Summary!$G23,'2017OT'!$A:$A,Summary!H$3)</f>
        <v>255.99999999999997</v>
      </c>
      <c r="I23" s="97">
        <f>SUMIFS('2017OT'!$H:$H,'2017OT'!$M:$M,Summary!$G23,'2017OT'!$A:$A,Summary!I$3)</f>
        <v>0</v>
      </c>
      <c r="J23" s="92">
        <f>SUMIFS('2017OT'!$I:$I,'2017OT'!$M:$M,Summary!$G23,'2017OT'!$A:$A,Summary!J$3)</f>
        <v>255.99999999999997</v>
      </c>
      <c r="K23" s="93">
        <f>SUMIFS('2017OT'!$I:$I,'2017OT'!$M:$M,Summary!$G23,'2017OT'!$A:$A,Summary!K$3)</f>
        <v>0</v>
      </c>
      <c r="L23" s="61">
        <f t="shared" si="1"/>
        <v>0</v>
      </c>
      <c r="M23" s="61">
        <f t="shared" si="2"/>
        <v>0</v>
      </c>
    </row>
    <row r="24" spans="1:13" ht="15.75">
      <c r="A24" s="83" t="s">
        <v>412</v>
      </c>
      <c r="B24" s="75">
        <f t="shared" si="5"/>
        <v>43354</v>
      </c>
      <c r="C24" s="73">
        <f t="shared" si="6"/>
        <v>43384</v>
      </c>
      <c r="D24" s="74">
        <f>SUMIFS('2017OT'!$H:$H,'2017OT'!$C:$C,"&gt;="&amp;$B24,'2017OT'!$C:$C,"&lt;"&amp;$C24,'2017OT'!$A:$A,Summary!D$3)</f>
        <v>239.99999999999997</v>
      </c>
      <c r="E24" s="74">
        <f>SUMIFS('2017OT'!$H:$H,'2017OT'!$C:$C,"&gt;="&amp;$B24,'2017OT'!$C:$C,"&lt;"&amp;$C24,'2017OT'!$A:$A,Summary!E$3)</f>
        <v>0</v>
      </c>
      <c r="G24" s="89" t="s">
        <v>412</v>
      </c>
      <c r="H24" s="96">
        <f>SUMIFS('2017OT'!$H:$H,'2017OT'!$M:$M,Summary!$G24,'2017OT'!$A:$A,Summary!H$3)</f>
        <v>167.99999999999997</v>
      </c>
      <c r="I24" s="97">
        <f>SUMIFS('2017OT'!$H:$H,'2017OT'!$M:$M,Summary!$G24,'2017OT'!$A:$A,Summary!I$3)</f>
        <v>0</v>
      </c>
      <c r="J24" s="92">
        <f>SUMIFS('2017OT'!$I:$I,'2017OT'!$M:$M,Summary!$G24,'2017OT'!$A:$A,Summary!J$3)</f>
        <v>167.99999999999997</v>
      </c>
      <c r="K24" s="93">
        <f>SUMIFS('2017OT'!$I:$I,'2017OT'!$M:$M,Summary!$G24,'2017OT'!$A:$A,Summary!K$3)</f>
        <v>0</v>
      </c>
      <c r="L24" s="61">
        <f t="shared" si="1"/>
        <v>0</v>
      </c>
      <c r="M24" s="61">
        <f t="shared" si="2"/>
        <v>0</v>
      </c>
    </row>
    <row r="25" spans="1:13" ht="15.75">
      <c r="A25" s="83" t="s">
        <v>413</v>
      </c>
      <c r="B25" s="75">
        <f t="shared" si="5"/>
        <v>43384</v>
      </c>
      <c r="C25" s="73">
        <f t="shared" si="6"/>
        <v>43415</v>
      </c>
      <c r="D25" s="74">
        <f>SUMIFS('2017OT'!$H:$H,'2017OT'!$C:$C,"&gt;="&amp;$B25,'2017OT'!$C:$C,"&lt;"&amp;$C25,'2017OT'!$A:$A,Summary!D$3)</f>
        <v>227.5</v>
      </c>
      <c r="E25" s="74">
        <f>SUMIFS('2017OT'!$H:$H,'2017OT'!$C:$C,"&gt;="&amp;$B25,'2017OT'!$C:$C,"&lt;"&amp;$C25,'2017OT'!$A:$A,Summary!E$3)</f>
        <v>9.9999999999999822</v>
      </c>
      <c r="G25" s="89" t="s">
        <v>413</v>
      </c>
      <c r="H25" s="96">
        <f>SUMIFS('2017OT'!$H:$H,'2017OT'!$M:$M,Summary!$G25,'2017OT'!$A:$A,Summary!H$3)</f>
        <v>234.99999999999997</v>
      </c>
      <c r="I25" s="97">
        <f>SUMIFS('2017OT'!$H:$H,'2017OT'!$M:$M,Summary!$G25,'2017OT'!$A:$A,Summary!I$3)</f>
        <v>9.9999999999999822</v>
      </c>
      <c r="J25" s="92">
        <f>SUMIFS('2017OT'!$I:$I,'2017OT'!$M:$M,Summary!$G25,'2017OT'!$A:$A,Summary!J$3)</f>
        <v>234.99999999999997</v>
      </c>
      <c r="K25" s="93">
        <f>SUMIFS('2017OT'!$I:$I,'2017OT'!$M:$M,Summary!$G25,'2017OT'!$A:$A,Summary!K$3)</f>
        <v>9.9999999999999822</v>
      </c>
      <c r="L25" s="61">
        <f t="shared" si="1"/>
        <v>0</v>
      </c>
      <c r="M25" s="61">
        <f t="shared" si="2"/>
        <v>0</v>
      </c>
    </row>
    <row r="26" spans="1:13" ht="15.75">
      <c r="A26" s="83" t="s">
        <v>414</v>
      </c>
      <c r="B26" s="75">
        <f t="shared" si="5"/>
        <v>43415</v>
      </c>
      <c r="C26" s="73">
        <f t="shared" si="6"/>
        <v>43445</v>
      </c>
      <c r="D26" s="74">
        <f>SUMIFS('2017OT'!$H:$H,'2017OT'!$C:$C,"&gt;="&amp;$B26,'2017OT'!$C:$C,"&lt;"&amp;$C26,'2017OT'!$A:$A,Summary!D$3)</f>
        <v>175.99999999999997</v>
      </c>
      <c r="E26" s="74">
        <f>SUMIFS('2017OT'!$H:$H,'2017OT'!$C:$C,"&gt;="&amp;$B26,'2017OT'!$C:$C,"&lt;"&amp;$C26,'2017OT'!$A:$A,Summary!E$3)</f>
        <v>0</v>
      </c>
      <c r="G26" s="89" t="s">
        <v>414</v>
      </c>
      <c r="H26" s="96">
        <f>SUMIFS('2017OT'!$H:$H,'2017OT'!$M:$M,Summary!$G26,'2017OT'!$A:$A,Summary!H$3)</f>
        <v>224.49999999999997</v>
      </c>
      <c r="I26" s="97">
        <f>SUMIFS('2017OT'!$H:$H,'2017OT'!$M:$M,Summary!$G26,'2017OT'!$A:$A,Summary!I$3)</f>
        <v>0</v>
      </c>
      <c r="J26" s="92">
        <f>SUMIFS('2017OT'!$I:$I,'2017OT'!$M:$M,Summary!$G26,'2017OT'!$A:$A,Summary!J$3)</f>
        <v>224.49999999999997</v>
      </c>
      <c r="K26" s="93">
        <f>SUMIFS('2017OT'!$I:$I,'2017OT'!$M:$M,Summary!$G26,'2017OT'!$A:$A,Summary!K$3)</f>
        <v>0</v>
      </c>
      <c r="L26" s="61">
        <f t="shared" si="1"/>
        <v>0</v>
      </c>
      <c r="M26" s="61">
        <f t="shared" si="2"/>
        <v>0</v>
      </c>
    </row>
    <row r="27" spans="1:13" ht="15.75">
      <c r="A27" s="83" t="s">
        <v>415</v>
      </c>
      <c r="B27" s="75">
        <f t="shared" si="5"/>
        <v>43445</v>
      </c>
      <c r="C27" s="73">
        <f t="shared" si="6"/>
        <v>43476</v>
      </c>
      <c r="D27" s="74">
        <f>SUMIFS('2017OT'!$H:$H,'2017OT'!$C:$C,"&gt;="&amp;$B27,'2017OT'!$C:$C,"&lt;"&amp;$C27,'2017OT'!$A:$A,Summary!D$3)</f>
        <v>395</v>
      </c>
      <c r="E27" s="74">
        <f>SUMIFS('2017OT'!$H:$H,'2017OT'!$C:$C,"&gt;="&amp;$B27,'2017OT'!$C:$C,"&lt;"&amp;$C27,'2017OT'!$A:$A,Summary!E$3)</f>
        <v>142.99999999999997</v>
      </c>
      <c r="G27" s="89" t="s">
        <v>415</v>
      </c>
      <c r="H27" s="96">
        <f>SUMIFS('2017OT'!$H:$H,'2017OT'!$M:$M,Summary!$G27,'2017OT'!$A:$A,Summary!H$3)</f>
        <v>272.49999999999994</v>
      </c>
      <c r="I27" s="97">
        <f>SUMIFS('2017OT'!$H:$H,'2017OT'!$M:$M,Summary!$G27,'2017OT'!$A:$A,Summary!I$3)</f>
        <v>0</v>
      </c>
      <c r="J27" s="92">
        <f>SUMIFS('2017OT'!$I:$I,'2017OT'!$M:$M,Summary!$G27,'2017OT'!$A:$A,Summary!J$3)</f>
        <v>272.49999999999994</v>
      </c>
      <c r="K27" s="93">
        <f>SUMIFS('2017OT'!$I:$I,'2017OT'!$M:$M,Summary!$G27,'2017OT'!$A:$A,Summary!K$3)</f>
        <v>0</v>
      </c>
      <c r="L27" s="61">
        <f t="shared" si="1"/>
        <v>0</v>
      </c>
      <c r="M27" s="61">
        <f t="shared" si="2"/>
        <v>0</v>
      </c>
    </row>
    <row r="28" spans="1:13" ht="15.75">
      <c r="A28" s="83" t="s">
        <v>688</v>
      </c>
      <c r="B28" s="75">
        <f t="shared" si="5"/>
        <v>43476</v>
      </c>
      <c r="C28" s="73">
        <f t="shared" si="6"/>
        <v>43507</v>
      </c>
      <c r="D28" s="74">
        <f>SUMIFS('2017OT'!$H:$H,'2017OT'!$C:$C,"&gt;="&amp;$B28,'2017OT'!$C:$C,"&lt;"&amp;$C28,'2017OT'!$A:$A,Summary!D$3)</f>
        <v>192.99999999999997</v>
      </c>
      <c r="E28" s="74">
        <f>SUMIFS('2017OT'!$H:$H,'2017OT'!$C:$C,"&gt;="&amp;$B28,'2017OT'!$C:$C,"&lt;"&amp;$C28,'2017OT'!$A:$A,Summary!E$3)</f>
        <v>8.0000000000000036</v>
      </c>
      <c r="G28" s="89" t="s">
        <v>688</v>
      </c>
      <c r="H28" s="96">
        <f>SUMIFS('2017OT'!$H:$H,'2017OT'!$M:$M,Summary!$G28,'2017OT'!$A:$A,Summary!H$3)</f>
        <v>355.5</v>
      </c>
      <c r="I28" s="97">
        <f>SUMIFS('2017OT'!$H:$H,'2017OT'!$M:$M,Summary!$G28,'2017OT'!$A:$A,Summary!I$3)</f>
        <v>142.99999999999997</v>
      </c>
      <c r="J28" s="92">
        <f>SUMIFS('2017OT'!$I:$I,'2017OT'!$M:$M,Summary!$G28,'2017OT'!$A:$A,Summary!J$3)</f>
        <v>355.5</v>
      </c>
      <c r="K28" s="93">
        <f>SUMIFS('2017OT'!$I:$I,'2017OT'!$M:$M,Summary!$G28,'2017OT'!$A:$A,Summary!K$3)</f>
        <v>142.99999999999997</v>
      </c>
      <c r="L28" s="61">
        <f t="shared" si="1"/>
        <v>0</v>
      </c>
      <c r="M28" s="61">
        <f t="shared" si="2"/>
        <v>0</v>
      </c>
    </row>
    <row r="29" spans="1:13" ht="15.75">
      <c r="A29" s="83" t="s">
        <v>689</v>
      </c>
      <c r="B29" s="75">
        <f t="shared" si="5"/>
        <v>43507</v>
      </c>
      <c r="C29" s="73">
        <f t="shared" si="6"/>
        <v>43535</v>
      </c>
      <c r="D29" s="74">
        <f>SUMIFS('2017OT'!$H:$H,'2017OT'!$C:$C,"&gt;="&amp;$B29,'2017OT'!$C:$C,"&lt;"&amp;$C29,'2017OT'!$A:$A,Summary!D$3)</f>
        <v>289</v>
      </c>
      <c r="E29" s="74">
        <f>SUMIFS('2017OT'!$H:$H,'2017OT'!$C:$C,"&gt;="&amp;$B29,'2017OT'!$C:$C,"&lt;"&amp;$C29,'2017OT'!$A:$A,Summary!E$3)</f>
        <v>96.999999999999986</v>
      </c>
      <c r="G29" s="89" t="s">
        <v>689</v>
      </c>
      <c r="H29" s="96">
        <f>SUMIFS('2017OT'!$H:$H,'2017OT'!$M:$M,Summary!$G29,'2017OT'!$A:$A,Summary!H$3)</f>
        <v>246.99999999999997</v>
      </c>
      <c r="I29" s="97">
        <f>SUMIFS('2017OT'!$H:$H,'2017OT'!$M:$M,Summary!$G29,'2017OT'!$A:$A,Summary!I$3)</f>
        <v>38</v>
      </c>
      <c r="J29" s="92">
        <f>SUMIFS('2017OT'!$I:$I,'2017OT'!$M:$M,Summary!$G29,'2017OT'!$A:$A,Summary!J$3)</f>
        <v>246.99999999999997</v>
      </c>
      <c r="K29" s="93">
        <f>SUMIFS('2017OT'!$I:$I,'2017OT'!$M:$M,Summary!$G29,'2017OT'!$A:$A,Summary!K$3)</f>
        <v>102</v>
      </c>
      <c r="L29" s="61">
        <f t="shared" si="1"/>
        <v>0</v>
      </c>
      <c r="M29" s="61">
        <f t="shared" si="2"/>
        <v>64</v>
      </c>
    </row>
    <row r="30" spans="1:13" ht="15.75">
      <c r="A30" s="83" t="s">
        <v>690</v>
      </c>
      <c r="B30" s="75">
        <f t="shared" si="5"/>
        <v>43535</v>
      </c>
      <c r="C30" s="73">
        <f t="shared" si="6"/>
        <v>43566</v>
      </c>
      <c r="D30" s="74">
        <f>SUMIFS('2017OT'!$H:$H,'2017OT'!$C:$C,"&gt;="&amp;$B30,'2017OT'!$C:$C,"&lt;"&amp;$C30,'2017OT'!$A:$A,Summary!D$3)</f>
        <v>505.49999999999994</v>
      </c>
      <c r="E30" s="74">
        <f>SUMIFS('2017OT'!$H:$H,'2017OT'!$C:$C,"&gt;="&amp;$B30,'2017OT'!$C:$C,"&lt;"&amp;$C30,'2017OT'!$A:$A,Summary!E$3)</f>
        <v>255.49999999999997</v>
      </c>
      <c r="G30" s="89" t="s">
        <v>690</v>
      </c>
      <c r="H30" s="96">
        <f>SUMIFS('2017OT'!$H:$H,'2017OT'!$M:$M,Summary!$G30,'2017OT'!$A:$A,Summary!H$3)</f>
        <v>388.5</v>
      </c>
      <c r="I30" s="97">
        <f>SUMIFS('2017OT'!$H:$H,'2017OT'!$M:$M,Summary!$G30,'2017OT'!$A:$A,Summary!I$3)</f>
        <v>224.49999999999997</v>
      </c>
      <c r="J30" s="92">
        <f>SUMIFS('2017OT'!$I:$I,'2017OT'!$M:$M,Summary!$G30,'2017OT'!$A:$A,Summary!J$3)</f>
        <v>388.5</v>
      </c>
      <c r="K30" s="93">
        <f>SUMIFS('2017OT'!$I:$I,'2017OT'!$M:$M,Summary!$G30,'2017OT'!$A:$A,Summary!K$3)</f>
        <v>312.5</v>
      </c>
      <c r="L30" s="61">
        <f t="shared" si="1"/>
        <v>0</v>
      </c>
      <c r="M30" s="61">
        <f t="shared" si="2"/>
        <v>88.000000000000028</v>
      </c>
    </row>
    <row r="31" spans="1:13" ht="15.75">
      <c r="A31" s="83" t="s">
        <v>691</v>
      </c>
      <c r="B31" s="75">
        <f t="shared" si="5"/>
        <v>43566</v>
      </c>
      <c r="C31" s="73">
        <f t="shared" si="6"/>
        <v>43596</v>
      </c>
      <c r="D31" s="74">
        <f>SUMIFS('2017OT'!$H:$H,'2017OT'!$C:$C,"&gt;="&amp;$B31,'2017OT'!$C:$C,"&lt;"&amp;$C31,'2017OT'!$A:$A,Summary!D$3)</f>
        <v>240.5</v>
      </c>
      <c r="E31" s="74">
        <f>SUMIFS('2017OT'!$H:$H,'2017OT'!$C:$C,"&gt;="&amp;$B31,'2017OT'!$C:$C,"&lt;"&amp;$C31,'2017OT'!$A:$A,Summary!E$3)</f>
        <v>99.499999999999986</v>
      </c>
      <c r="G31" s="89" t="s">
        <v>691</v>
      </c>
      <c r="H31" s="96">
        <f>SUMIFS('2017OT'!$H:$H,'2017OT'!$M:$M,Summary!$G31,'2017OT'!$A:$A,Summary!H$3)</f>
        <v>314.5</v>
      </c>
      <c r="I31" s="97">
        <f>SUMIFS('2017OT'!$H:$H,'2017OT'!$M:$M,Summary!$G31,'2017OT'!$A:$A,Summary!I$3)</f>
        <v>129.99999999999997</v>
      </c>
      <c r="J31" s="92">
        <f>SUMIFS('2017OT'!$I:$I,'2017OT'!$M:$M,Summary!$G31,'2017OT'!$A:$A,Summary!J$3)</f>
        <v>298.5</v>
      </c>
      <c r="K31" s="93">
        <f>SUMIFS('2017OT'!$I:$I,'2017OT'!$M:$M,Summary!$G31,'2017OT'!$A:$A,Summary!K$3)</f>
        <v>129.99999999999997</v>
      </c>
      <c r="L31" s="61">
        <f t="shared" si="1"/>
        <v>-16</v>
      </c>
      <c r="M31" s="61">
        <f t="shared" si="2"/>
        <v>0</v>
      </c>
    </row>
    <row r="32" spans="1:13" ht="15.75">
      <c r="A32" s="83" t="s">
        <v>692</v>
      </c>
      <c r="B32" s="75">
        <f t="shared" si="5"/>
        <v>43596</v>
      </c>
      <c r="C32" s="73">
        <f t="shared" si="6"/>
        <v>43627</v>
      </c>
      <c r="D32" s="74">
        <f>SUMIFS('2017OT'!$H:$H,'2017OT'!$C:$C,"&gt;="&amp;$B32,'2017OT'!$C:$C,"&lt;"&amp;$C32,'2017OT'!$A:$A,Summary!D$3)</f>
        <v>274</v>
      </c>
      <c r="E32" s="74">
        <f>SUMIFS('2017OT'!$H:$H,'2017OT'!$C:$C,"&gt;="&amp;$B32,'2017OT'!$C:$C,"&lt;"&amp;$C32,'2017OT'!$A:$A,Summary!E$3)</f>
        <v>66.999999999999972</v>
      </c>
      <c r="G32" s="89" t="s">
        <v>692</v>
      </c>
      <c r="H32" s="96">
        <f>SUMIFS('2017OT'!$H:$H,'2017OT'!$M:$M,Summary!$G32,'2017OT'!$A:$A,Summary!H$3)</f>
        <v>303.5</v>
      </c>
      <c r="I32" s="97">
        <f>SUMIFS('2017OT'!$H:$H,'2017OT'!$M:$M,Summary!$G32,'2017OT'!$A:$A,Summary!I$3)</f>
        <v>102.49999999999999</v>
      </c>
      <c r="J32" s="92">
        <f>SUMIFS('2017OT'!$I:$I,'2017OT'!$M:$M,Summary!$G32,'2017OT'!$A:$A,Summary!J$3)</f>
        <v>303.5</v>
      </c>
      <c r="K32" s="93">
        <f>SUMIFS('2017OT'!$I:$I,'2017OT'!$M:$M,Summary!$G32,'2017OT'!$A:$A,Summary!K$3)</f>
        <v>102.49999999999999</v>
      </c>
      <c r="L32" s="61">
        <f t="shared" si="1"/>
        <v>0</v>
      </c>
      <c r="M32" s="61">
        <f t="shared" si="2"/>
        <v>0</v>
      </c>
    </row>
    <row r="33" spans="1:13" ht="15.75">
      <c r="A33" s="83" t="s">
        <v>693</v>
      </c>
      <c r="B33" s="75">
        <f t="shared" si="5"/>
        <v>43627</v>
      </c>
      <c r="C33" s="73">
        <f t="shared" si="6"/>
        <v>43657</v>
      </c>
      <c r="D33" s="74">
        <f>SUMIFS('2017OT'!$H:$H,'2017OT'!$C:$C,"&gt;="&amp;$B33,'2017OT'!$C:$C,"&lt;"&amp;$C33,'2017OT'!$A:$A,Summary!D$3)</f>
        <v>290</v>
      </c>
      <c r="E33" s="74">
        <f>SUMIFS('2017OT'!$H:$H,'2017OT'!$C:$C,"&gt;="&amp;$B33,'2017OT'!$C:$C,"&lt;"&amp;$C33,'2017OT'!$A:$A,Summary!E$3)</f>
        <v>232.99999999999997</v>
      </c>
      <c r="G33" s="89" t="s">
        <v>693</v>
      </c>
      <c r="H33" s="96">
        <f>SUMIFS('2017OT'!$H:$H,'2017OT'!$M:$M,Summary!$G33,'2017OT'!$A:$A,Summary!H$3)</f>
        <v>250.5</v>
      </c>
      <c r="I33" s="97">
        <f>SUMIFS('2017OT'!$H:$H,'2017OT'!$M:$M,Summary!$G33,'2017OT'!$A:$A,Summary!I$3)</f>
        <v>68.499999999999972</v>
      </c>
      <c r="J33" s="92">
        <f>SUMIFS('2017OT'!$I:$I,'2017OT'!$M:$M,Summary!$G33,'2017OT'!$A:$A,Summary!J$3)</f>
        <v>250.5</v>
      </c>
      <c r="K33" s="93">
        <f>SUMIFS('2017OT'!$I:$I,'2017OT'!$M:$M,Summary!$G33,'2017OT'!$A:$A,Summary!K$3)</f>
        <v>68.499999999999972</v>
      </c>
      <c r="L33" s="61">
        <f t="shared" si="1"/>
        <v>0</v>
      </c>
      <c r="M33" s="61">
        <f t="shared" si="2"/>
        <v>0</v>
      </c>
    </row>
    <row r="34" spans="1:13" ht="15.75">
      <c r="A34" s="83" t="s">
        <v>694</v>
      </c>
      <c r="B34" s="75">
        <f t="shared" si="5"/>
        <v>43657</v>
      </c>
      <c r="C34" s="73">
        <f t="shared" si="6"/>
        <v>43688</v>
      </c>
      <c r="D34" s="74">
        <f>SUMIFS('2017OT'!$H:$H,'2017OT'!$C:$C,"&gt;="&amp;$B34,'2017OT'!$C:$C,"&lt;"&amp;$C34,'2017OT'!$A:$A,Summary!D$3)</f>
        <v>144.5</v>
      </c>
      <c r="E34" s="74">
        <f>SUMIFS('2017OT'!$H:$H,'2017OT'!$C:$C,"&gt;="&amp;$B34,'2017OT'!$C:$C,"&lt;"&amp;$C34,'2017OT'!$A:$A,Summary!E$3)</f>
        <v>107.99999999999999</v>
      </c>
      <c r="G34" s="89" t="s">
        <v>694</v>
      </c>
      <c r="H34" s="96">
        <f>SUMIFS('2017OT'!$H:$H,'2017OT'!$M:$M,Summary!$G34,'2017OT'!$A:$A,Summary!H$3)</f>
        <v>263.5</v>
      </c>
      <c r="I34" s="97">
        <f>SUMIFS('2017OT'!$H:$H,'2017OT'!$M:$M,Summary!$G34,'2017OT'!$A:$A,Summary!I$3)</f>
        <v>304.49999999999994</v>
      </c>
      <c r="J34" s="92">
        <f>SUMIFS('2017OT'!$I:$I,'2017OT'!$M:$M,Summary!$G34,'2017OT'!$A:$A,Summary!J$3)</f>
        <v>263.5</v>
      </c>
      <c r="K34" s="93">
        <f>SUMIFS('2017OT'!$I:$I,'2017OT'!$M:$M,Summary!$G34,'2017OT'!$A:$A,Summary!K$3)</f>
        <v>304.49999999999994</v>
      </c>
      <c r="L34" s="61">
        <f t="shared" si="1"/>
        <v>0</v>
      </c>
      <c r="M34" s="61">
        <f t="shared" si="2"/>
        <v>0</v>
      </c>
    </row>
    <row r="35" spans="1:13" ht="15.75">
      <c r="A35" s="83" t="s">
        <v>695</v>
      </c>
      <c r="B35" s="75">
        <f t="shared" si="5"/>
        <v>43688</v>
      </c>
      <c r="C35" s="73">
        <f t="shared" si="6"/>
        <v>43719</v>
      </c>
      <c r="D35" s="74">
        <f>SUMIFS('2017OT'!$H:$H,'2017OT'!$C:$C,"&gt;="&amp;$B35,'2017OT'!$C:$C,"&lt;"&amp;$C35,'2017OT'!$A:$A,Summary!D$3)</f>
        <v>0</v>
      </c>
      <c r="E35" s="74">
        <f>SUMIFS('2017OT'!$H:$H,'2017OT'!$C:$C,"&gt;="&amp;$B35,'2017OT'!$C:$C,"&lt;"&amp;$C35,'2017OT'!$A:$A,Summary!E$3)</f>
        <v>0</v>
      </c>
      <c r="G35" s="89" t="s">
        <v>695</v>
      </c>
      <c r="H35" s="96">
        <f>SUMIFS('2017OT'!$H:$H,'2017OT'!$M:$M,Summary!$G35,'2017OT'!$A:$A,Summary!H$3)</f>
        <v>0</v>
      </c>
      <c r="I35" s="97">
        <f>SUMIFS('2017OT'!$H:$H,'2017OT'!$M:$M,Summary!$G35,'2017OT'!$A:$A,Summary!I$3)</f>
        <v>0</v>
      </c>
      <c r="J35" s="92">
        <f>SUMIFS('2017OT'!$I:$I,'2017OT'!$M:$M,Summary!$G35,'2017OT'!$A:$A,Summary!J$3)</f>
        <v>0</v>
      </c>
      <c r="K35" s="93">
        <f>SUMIFS('2017OT'!$I:$I,'2017OT'!$M:$M,Summary!$G35,'2017OT'!$A:$A,Summary!K$3)</f>
        <v>0</v>
      </c>
      <c r="L35" s="61">
        <f t="shared" si="1"/>
        <v>0</v>
      </c>
      <c r="M35" s="61">
        <f t="shared" si="2"/>
        <v>0</v>
      </c>
    </row>
    <row r="36" spans="1:13" ht="15.75">
      <c r="A36" s="83" t="s">
        <v>696</v>
      </c>
      <c r="B36" s="75">
        <f t="shared" si="5"/>
        <v>43719</v>
      </c>
      <c r="C36" s="73">
        <f t="shared" si="6"/>
        <v>43749</v>
      </c>
      <c r="D36" s="74">
        <f>SUMIFS('2017OT'!$H:$H,'2017OT'!$C:$C,"&gt;="&amp;$B36,'2017OT'!$C:$C,"&lt;"&amp;$C36,'2017OT'!$A:$A,Summary!D$3)</f>
        <v>0</v>
      </c>
      <c r="E36" s="74">
        <f>SUMIFS('2017OT'!$H:$H,'2017OT'!$C:$C,"&gt;="&amp;$B36,'2017OT'!$C:$C,"&lt;"&amp;$C36,'2017OT'!$A:$A,Summary!E$3)</f>
        <v>0</v>
      </c>
      <c r="G36" s="89" t="s">
        <v>696</v>
      </c>
      <c r="H36" s="96">
        <f>SUMIFS('2017OT'!$H:$H,'2017OT'!$M:$M,Summary!$G36,'2017OT'!$A:$A,Summary!H$3)</f>
        <v>0</v>
      </c>
      <c r="I36" s="97">
        <f>SUMIFS('2017OT'!$H:$H,'2017OT'!$M:$M,Summary!$G36,'2017OT'!$A:$A,Summary!I$3)</f>
        <v>0</v>
      </c>
      <c r="J36" s="92">
        <f>SUMIFS('2017OT'!$I:$I,'2017OT'!$M:$M,Summary!$G36,'2017OT'!$A:$A,Summary!J$3)</f>
        <v>0</v>
      </c>
      <c r="K36" s="93">
        <f>SUMIFS('2017OT'!$I:$I,'2017OT'!$M:$M,Summary!$G36,'2017OT'!$A:$A,Summary!K$3)</f>
        <v>0</v>
      </c>
      <c r="L36" s="61">
        <f t="shared" si="1"/>
        <v>0</v>
      </c>
      <c r="M36" s="61">
        <f t="shared" si="2"/>
        <v>0</v>
      </c>
    </row>
    <row r="37" spans="1:13" ht="15.75">
      <c r="A37" s="83" t="s">
        <v>697</v>
      </c>
      <c r="B37" s="75">
        <f t="shared" si="5"/>
        <v>43749</v>
      </c>
      <c r="C37" s="73">
        <f t="shared" si="6"/>
        <v>43780</v>
      </c>
      <c r="D37" s="74">
        <f>SUMIFS('2017OT'!$H:$H,'2017OT'!$C:$C,"&gt;="&amp;$B37,'2017OT'!$C:$C,"&lt;"&amp;$C37,'2017OT'!$A:$A,Summary!D$3)</f>
        <v>0</v>
      </c>
      <c r="E37" s="74">
        <f>SUMIFS('2017OT'!$H:$H,'2017OT'!$C:$C,"&gt;="&amp;$B37,'2017OT'!$C:$C,"&lt;"&amp;$C37,'2017OT'!$A:$A,Summary!E$3)</f>
        <v>0</v>
      </c>
      <c r="G37" s="89" t="s">
        <v>697</v>
      </c>
      <c r="H37" s="96">
        <f>SUMIFS('2017OT'!$H:$H,'2017OT'!$M:$M,Summary!$G37,'2017OT'!$A:$A,Summary!H$3)</f>
        <v>0</v>
      </c>
      <c r="I37" s="97">
        <f>SUMIFS('2017OT'!$H:$H,'2017OT'!$M:$M,Summary!$G37,'2017OT'!$A:$A,Summary!I$3)</f>
        <v>0</v>
      </c>
      <c r="J37" s="92">
        <f>SUMIFS('2017OT'!$I:$I,'2017OT'!$M:$M,Summary!$G37,'2017OT'!$A:$A,Summary!J$3)</f>
        <v>0</v>
      </c>
      <c r="K37" s="93">
        <f>SUMIFS('2017OT'!$I:$I,'2017OT'!$M:$M,Summary!$G37,'2017OT'!$A:$A,Summary!K$3)</f>
        <v>0</v>
      </c>
      <c r="L37" s="61">
        <f t="shared" si="1"/>
        <v>0</v>
      </c>
      <c r="M37" s="61">
        <f t="shared" si="2"/>
        <v>0</v>
      </c>
    </row>
    <row r="38" spans="1:13" ht="15.75">
      <c r="A38" s="83" t="s">
        <v>698</v>
      </c>
      <c r="B38" s="75">
        <f t="shared" si="5"/>
        <v>43780</v>
      </c>
      <c r="C38" s="73">
        <f t="shared" si="6"/>
        <v>43810</v>
      </c>
      <c r="D38" s="74">
        <f>SUMIFS('2017OT'!$H:$H,'2017OT'!$C:$C,"&gt;="&amp;$B38,'2017OT'!$C:$C,"&lt;"&amp;$C38,'2017OT'!$A:$A,Summary!D$3)</f>
        <v>0</v>
      </c>
      <c r="E38" s="74">
        <f>SUMIFS('2017OT'!$H:$H,'2017OT'!$C:$C,"&gt;="&amp;$B38,'2017OT'!$C:$C,"&lt;"&amp;$C38,'2017OT'!$A:$A,Summary!E$3)</f>
        <v>0</v>
      </c>
      <c r="G38" s="89" t="s">
        <v>698</v>
      </c>
      <c r="H38" s="96">
        <f>SUMIFS('2017OT'!$H:$H,'2017OT'!$M:$M,Summary!$G38,'2017OT'!$A:$A,Summary!H$3)</f>
        <v>0</v>
      </c>
      <c r="I38" s="97">
        <f>SUMIFS('2017OT'!$H:$H,'2017OT'!$M:$M,Summary!$G38,'2017OT'!$A:$A,Summary!I$3)</f>
        <v>0</v>
      </c>
      <c r="J38" s="92">
        <f>SUMIFS('2017OT'!$I:$I,'2017OT'!$M:$M,Summary!$G38,'2017OT'!$A:$A,Summary!J$3)</f>
        <v>0</v>
      </c>
      <c r="K38" s="93">
        <f>SUMIFS('2017OT'!$I:$I,'2017OT'!$M:$M,Summary!$G38,'2017OT'!$A:$A,Summary!K$3)</f>
        <v>0</v>
      </c>
      <c r="L38" s="61">
        <f t="shared" si="1"/>
        <v>0</v>
      </c>
      <c r="M38" s="61">
        <f t="shared" si="2"/>
        <v>0</v>
      </c>
    </row>
    <row r="39" spans="1:13" ht="15.75">
      <c r="A39" s="83" t="s">
        <v>686</v>
      </c>
      <c r="B39" s="75">
        <f t="shared" si="5"/>
        <v>43810</v>
      </c>
      <c r="C39" s="73">
        <f t="shared" si="6"/>
        <v>43841</v>
      </c>
      <c r="D39" s="74">
        <f>SUMIFS('2017OT'!$H:$H,'2017OT'!$C:$C,"&gt;="&amp;$B39,'2017OT'!$C:$C,"&lt;"&amp;$C39,'2017OT'!$A:$A,Summary!D$3)</f>
        <v>0</v>
      </c>
      <c r="E39" s="74">
        <f>SUMIFS('2017OT'!$H:$H,'2017OT'!$C:$C,"&gt;="&amp;$B39,'2017OT'!$C:$C,"&lt;"&amp;$C39,'2017OT'!$A:$A,Summary!E$3)</f>
        <v>0</v>
      </c>
      <c r="G39" s="89" t="s">
        <v>686</v>
      </c>
      <c r="H39" s="96">
        <f>SUMIFS('2017OT'!$H:$H,'2017OT'!$M:$M,Summary!$G39,'2017OT'!$A:$A,Summary!H$3)</f>
        <v>0</v>
      </c>
      <c r="I39" s="97">
        <f>SUMIFS('2017OT'!$H:$H,'2017OT'!$M:$M,Summary!$G39,'2017OT'!$A:$A,Summary!I$3)</f>
        <v>0</v>
      </c>
      <c r="J39" s="92">
        <f>SUMIFS('2017OT'!$I:$I,'2017OT'!$M:$M,Summary!$G39,'2017OT'!$A:$A,Summary!J$3)</f>
        <v>0</v>
      </c>
      <c r="K39" s="93">
        <f>SUMIFS('2017OT'!$I:$I,'2017OT'!$M:$M,Summary!$G39,'2017OT'!$A:$A,Summary!K$3)</f>
        <v>0</v>
      </c>
      <c r="L39" s="61">
        <f t="shared" si="1"/>
        <v>0</v>
      </c>
      <c r="M39" s="61">
        <f t="shared" si="2"/>
        <v>0</v>
      </c>
    </row>
    <row r="40" spans="1:13" ht="15.75">
      <c r="A40" s="83" t="s">
        <v>699</v>
      </c>
      <c r="B40" s="75">
        <f t="shared" si="5"/>
        <v>43841</v>
      </c>
      <c r="C40" s="73">
        <f t="shared" si="6"/>
        <v>43872</v>
      </c>
      <c r="D40" s="74">
        <f>SUMIFS('2017OT'!$H:$H,'2017OT'!$C:$C,"&gt;="&amp;$B40,'2017OT'!$C:$C,"&lt;"&amp;$C40,'2017OT'!$A:$A,Summary!D$3)</f>
        <v>0</v>
      </c>
      <c r="E40" s="74">
        <f>SUMIFS('2017OT'!$H:$H,'2017OT'!$C:$C,"&gt;="&amp;$B40,'2017OT'!$C:$C,"&lt;"&amp;$C40,'2017OT'!$A:$A,Summary!E$3)</f>
        <v>0</v>
      </c>
      <c r="G40" s="89" t="s">
        <v>699</v>
      </c>
      <c r="H40" s="96">
        <f>SUMIFS('2017OT'!$H:$H,'2017OT'!$M:$M,Summary!$G40,'2017OT'!$A:$A,Summary!H$3)</f>
        <v>0</v>
      </c>
      <c r="I40" s="97">
        <f>SUMIFS('2017OT'!$H:$H,'2017OT'!$M:$M,Summary!$G40,'2017OT'!$A:$A,Summary!I$3)</f>
        <v>0</v>
      </c>
      <c r="J40" s="92">
        <f>SUMIFS('2017OT'!$I:$I,'2017OT'!$M:$M,Summary!$G40,'2017OT'!$A:$A,Summary!J$3)</f>
        <v>0</v>
      </c>
      <c r="K40" s="93">
        <f>SUMIFS('2017OT'!$I:$I,'2017OT'!$M:$M,Summary!$G40,'2017OT'!$A:$A,Summary!K$3)</f>
        <v>0</v>
      </c>
      <c r="L40" s="61">
        <f t="shared" si="1"/>
        <v>0</v>
      </c>
      <c r="M40" s="61">
        <f t="shared" si="2"/>
        <v>0</v>
      </c>
    </row>
    <row r="41" spans="1:13" ht="15.75">
      <c r="A41" s="83" t="s">
        <v>700</v>
      </c>
      <c r="B41" s="75">
        <f t="shared" si="5"/>
        <v>43872</v>
      </c>
      <c r="C41" s="73">
        <f t="shared" si="6"/>
        <v>43901</v>
      </c>
      <c r="D41" s="74">
        <f>SUMIFS('2017OT'!$H:$H,'2017OT'!$C:$C,"&gt;="&amp;$B41,'2017OT'!$C:$C,"&lt;"&amp;$C41,'2017OT'!$A:$A,Summary!D$3)</f>
        <v>0</v>
      </c>
      <c r="E41" s="74">
        <f>SUMIFS('2017OT'!$H:$H,'2017OT'!$C:$C,"&gt;="&amp;$B41,'2017OT'!$C:$C,"&lt;"&amp;$C41,'2017OT'!$A:$A,Summary!E$3)</f>
        <v>0</v>
      </c>
      <c r="G41" s="89" t="s">
        <v>700</v>
      </c>
      <c r="H41" s="96">
        <f>SUMIFS('2017OT'!$H:$H,'2017OT'!$M:$M,Summary!$G41,'2017OT'!$A:$A,Summary!H$3)</f>
        <v>0</v>
      </c>
      <c r="I41" s="97">
        <f>SUMIFS('2017OT'!$H:$H,'2017OT'!$M:$M,Summary!$G41,'2017OT'!$A:$A,Summary!I$3)</f>
        <v>0</v>
      </c>
      <c r="J41" s="92">
        <f>SUMIFS('2017OT'!$I:$I,'2017OT'!$M:$M,Summary!$G41,'2017OT'!$A:$A,Summary!J$3)</f>
        <v>0</v>
      </c>
      <c r="K41" s="93">
        <f>SUMIFS('2017OT'!$I:$I,'2017OT'!$M:$M,Summary!$G41,'2017OT'!$A:$A,Summary!K$3)</f>
        <v>0</v>
      </c>
      <c r="L41" s="61">
        <f t="shared" si="1"/>
        <v>0</v>
      </c>
      <c r="M41" s="61">
        <f t="shared" si="2"/>
        <v>0</v>
      </c>
    </row>
    <row r="42" spans="1:13" ht="15.75">
      <c r="A42" s="83" t="s">
        <v>701</v>
      </c>
      <c r="B42" s="75">
        <f t="shared" si="5"/>
        <v>43901</v>
      </c>
      <c r="C42" s="73">
        <f t="shared" si="6"/>
        <v>43932</v>
      </c>
      <c r="D42" s="74">
        <f>SUMIFS('2017OT'!$H:$H,'2017OT'!$C:$C,"&gt;="&amp;$B42,'2017OT'!$C:$C,"&lt;"&amp;$C42,'2017OT'!$A:$A,Summary!D$3)</f>
        <v>0</v>
      </c>
      <c r="E42" s="74">
        <f>SUMIFS('2017OT'!$H:$H,'2017OT'!$C:$C,"&gt;="&amp;$B42,'2017OT'!$C:$C,"&lt;"&amp;$C42,'2017OT'!$A:$A,Summary!E$3)</f>
        <v>0</v>
      </c>
      <c r="G42" s="89" t="s">
        <v>701</v>
      </c>
      <c r="H42" s="96">
        <f>SUMIFS('2017OT'!$H:$H,'2017OT'!$M:$M,Summary!$G42,'2017OT'!$A:$A,Summary!H$3)</f>
        <v>0</v>
      </c>
      <c r="I42" s="97">
        <f>SUMIFS('2017OT'!$H:$H,'2017OT'!$M:$M,Summary!$G42,'2017OT'!$A:$A,Summary!I$3)</f>
        <v>0</v>
      </c>
      <c r="J42" s="92">
        <f>SUMIFS('2017OT'!$I:$I,'2017OT'!$M:$M,Summary!$G42,'2017OT'!$A:$A,Summary!J$3)</f>
        <v>0</v>
      </c>
      <c r="K42" s="93">
        <f>SUMIFS('2017OT'!$I:$I,'2017OT'!$M:$M,Summary!$G42,'2017OT'!$A:$A,Summary!K$3)</f>
        <v>0</v>
      </c>
      <c r="L42" s="61">
        <f t="shared" si="1"/>
        <v>0</v>
      </c>
      <c r="M42" s="61">
        <f t="shared" si="2"/>
        <v>0</v>
      </c>
    </row>
    <row r="43" spans="1:13" ht="15.75">
      <c r="A43" s="83" t="s">
        <v>702</v>
      </c>
      <c r="B43" s="75">
        <f t="shared" si="5"/>
        <v>43932</v>
      </c>
      <c r="C43" s="73">
        <f t="shared" si="6"/>
        <v>43962</v>
      </c>
      <c r="D43" s="74">
        <f>SUMIFS('2017OT'!$H:$H,'2017OT'!$C:$C,"&gt;="&amp;$B43,'2017OT'!$C:$C,"&lt;"&amp;$C43,'2017OT'!$A:$A,Summary!D$3)</f>
        <v>0</v>
      </c>
      <c r="E43" s="74">
        <f>SUMIFS('2017OT'!$H:$H,'2017OT'!$C:$C,"&gt;="&amp;$B43,'2017OT'!$C:$C,"&lt;"&amp;$C43,'2017OT'!$A:$A,Summary!E$3)</f>
        <v>0</v>
      </c>
      <c r="G43" s="89" t="s">
        <v>702</v>
      </c>
      <c r="H43" s="96">
        <f>SUMIFS('2017OT'!$H:$H,'2017OT'!$M:$M,Summary!$G43,'2017OT'!$A:$A,Summary!H$3)</f>
        <v>0</v>
      </c>
      <c r="I43" s="97">
        <f>SUMIFS('2017OT'!$H:$H,'2017OT'!$M:$M,Summary!$G43,'2017OT'!$A:$A,Summary!I$3)</f>
        <v>0</v>
      </c>
      <c r="J43" s="92">
        <f>SUMIFS('2017OT'!$I:$I,'2017OT'!$M:$M,Summary!$G43,'2017OT'!$A:$A,Summary!J$3)</f>
        <v>0</v>
      </c>
      <c r="K43" s="93">
        <f>SUMIFS('2017OT'!$I:$I,'2017OT'!$M:$M,Summary!$G43,'2017OT'!$A:$A,Summary!K$3)</f>
        <v>0</v>
      </c>
      <c r="L43" s="61">
        <f t="shared" si="1"/>
        <v>0</v>
      </c>
      <c r="M43" s="61">
        <f t="shared" si="2"/>
        <v>0</v>
      </c>
    </row>
    <row r="44" spans="1:13" ht="15.75">
      <c r="A44" s="83" t="s">
        <v>703</v>
      </c>
      <c r="B44" s="75">
        <f t="shared" si="5"/>
        <v>43962</v>
      </c>
      <c r="C44" s="73">
        <f t="shared" si="6"/>
        <v>43993</v>
      </c>
      <c r="D44" s="74">
        <f>SUMIFS('2017OT'!$H:$H,'2017OT'!$C:$C,"&gt;="&amp;$B44,'2017OT'!$C:$C,"&lt;"&amp;$C44,'2017OT'!$A:$A,Summary!D$3)</f>
        <v>0</v>
      </c>
      <c r="E44" s="74">
        <f>SUMIFS('2017OT'!$H:$H,'2017OT'!$C:$C,"&gt;="&amp;$B44,'2017OT'!$C:$C,"&lt;"&amp;$C44,'2017OT'!$A:$A,Summary!E$3)</f>
        <v>0</v>
      </c>
      <c r="G44" s="89" t="s">
        <v>703</v>
      </c>
      <c r="H44" s="96">
        <f>SUMIFS('2017OT'!$H:$H,'2017OT'!$M:$M,Summary!$G44,'2017OT'!$A:$A,Summary!H$3)</f>
        <v>0</v>
      </c>
      <c r="I44" s="97">
        <f>SUMIFS('2017OT'!$H:$H,'2017OT'!$M:$M,Summary!$G44,'2017OT'!$A:$A,Summary!I$3)</f>
        <v>0</v>
      </c>
      <c r="J44" s="92">
        <f>SUMIFS('2017OT'!$I:$I,'2017OT'!$M:$M,Summary!$G44,'2017OT'!$A:$A,Summary!J$3)</f>
        <v>0</v>
      </c>
      <c r="K44" s="93">
        <f>SUMIFS('2017OT'!$I:$I,'2017OT'!$M:$M,Summary!$G44,'2017OT'!$A:$A,Summary!K$3)</f>
        <v>0</v>
      </c>
      <c r="L44" s="61">
        <f t="shared" si="1"/>
        <v>0</v>
      </c>
      <c r="M44" s="61">
        <f t="shared" si="2"/>
        <v>0</v>
      </c>
    </row>
    <row r="45" spans="1:13" ht="15.75">
      <c r="A45" s="83" t="s">
        <v>704</v>
      </c>
      <c r="B45" s="75">
        <f t="shared" si="5"/>
        <v>43993</v>
      </c>
      <c r="C45" s="73">
        <f t="shared" si="6"/>
        <v>44023</v>
      </c>
      <c r="D45" s="74">
        <f>SUMIFS('2017OT'!$H:$H,'2017OT'!$C:$C,"&gt;="&amp;$B45,'2017OT'!$C:$C,"&lt;"&amp;$C45,'2017OT'!$A:$A,Summary!D$3)</f>
        <v>0</v>
      </c>
      <c r="E45" s="74">
        <f>SUMIFS('2017OT'!$H:$H,'2017OT'!$C:$C,"&gt;="&amp;$B45,'2017OT'!$C:$C,"&lt;"&amp;$C45,'2017OT'!$A:$A,Summary!E$3)</f>
        <v>0</v>
      </c>
      <c r="G45" s="89" t="s">
        <v>704</v>
      </c>
      <c r="H45" s="96">
        <f>SUMIFS('2017OT'!$H:$H,'2017OT'!$M:$M,Summary!$G45,'2017OT'!$A:$A,Summary!H$3)</f>
        <v>0</v>
      </c>
      <c r="I45" s="97">
        <f>SUMIFS('2017OT'!$H:$H,'2017OT'!$M:$M,Summary!$G45,'2017OT'!$A:$A,Summary!I$3)</f>
        <v>0</v>
      </c>
      <c r="J45" s="92">
        <f>SUMIFS('2017OT'!$I:$I,'2017OT'!$M:$M,Summary!$G45,'2017OT'!$A:$A,Summary!J$3)</f>
        <v>0</v>
      </c>
      <c r="K45" s="93">
        <f>SUMIFS('2017OT'!$I:$I,'2017OT'!$M:$M,Summary!$G45,'2017OT'!$A:$A,Summary!K$3)</f>
        <v>0</v>
      </c>
      <c r="L45" s="61">
        <f t="shared" si="1"/>
        <v>0</v>
      </c>
      <c r="M45" s="61">
        <f t="shared" si="2"/>
        <v>0</v>
      </c>
    </row>
    <row r="46" spans="1:13" ht="15.75">
      <c r="A46" s="83" t="s">
        <v>705</v>
      </c>
      <c r="B46" s="75">
        <f t="shared" si="5"/>
        <v>44023</v>
      </c>
      <c r="C46" s="73">
        <f t="shared" si="6"/>
        <v>44054</v>
      </c>
      <c r="D46" s="74">
        <f>SUMIFS('2017OT'!$H:$H,'2017OT'!$C:$C,"&gt;="&amp;$B46,'2017OT'!$C:$C,"&lt;"&amp;$C46,'2017OT'!$A:$A,Summary!D$3)</f>
        <v>0</v>
      </c>
      <c r="E46" s="74">
        <f>SUMIFS('2017OT'!$H:$H,'2017OT'!$C:$C,"&gt;="&amp;$B46,'2017OT'!$C:$C,"&lt;"&amp;$C46,'2017OT'!$A:$A,Summary!E$3)</f>
        <v>0</v>
      </c>
      <c r="G46" s="89" t="s">
        <v>705</v>
      </c>
      <c r="H46" s="96">
        <f>SUMIFS('2017OT'!$H:$H,'2017OT'!$M:$M,Summary!$G46,'2017OT'!$A:$A,Summary!H$3)</f>
        <v>0</v>
      </c>
      <c r="I46" s="97">
        <f>SUMIFS('2017OT'!$H:$H,'2017OT'!$M:$M,Summary!$G46,'2017OT'!$A:$A,Summary!I$3)</f>
        <v>0</v>
      </c>
      <c r="J46" s="92">
        <f>SUMIFS('2017OT'!$I:$I,'2017OT'!$M:$M,Summary!$G46,'2017OT'!$A:$A,Summary!J$3)</f>
        <v>0</v>
      </c>
      <c r="K46" s="93">
        <f>SUMIFS('2017OT'!$I:$I,'2017OT'!$M:$M,Summary!$G46,'2017OT'!$A:$A,Summary!K$3)</f>
        <v>0</v>
      </c>
      <c r="L46" s="61">
        <f t="shared" si="1"/>
        <v>0</v>
      </c>
      <c r="M46" s="61">
        <f t="shared" si="2"/>
        <v>0</v>
      </c>
    </row>
    <row r="47" spans="1:13" ht="15.75">
      <c r="A47" s="83" t="s">
        <v>706</v>
      </c>
      <c r="B47" s="75">
        <f t="shared" si="5"/>
        <v>44054</v>
      </c>
      <c r="C47" s="73">
        <f t="shared" si="6"/>
        <v>44085</v>
      </c>
      <c r="D47" s="74">
        <f>SUMIFS('2017OT'!$H:$H,'2017OT'!$C:$C,"&gt;="&amp;$B47,'2017OT'!$C:$C,"&lt;"&amp;$C47,'2017OT'!$A:$A,Summary!D$3)</f>
        <v>0</v>
      </c>
      <c r="E47" s="74">
        <f>SUMIFS('2017OT'!$H:$H,'2017OT'!$C:$C,"&gt;="&amp;$B47,'2017OT'!$C:$C,"&lt;"&amp;$C47,'2017OT'!$A:$A,Summary!E$3)</f>
        <v>0</v>
      </c>
      <c r="G47" s="89" t="s">
        <v>706</v>
      </c>
      <c r="H47" s="96">
        <f>SUMIFS('2017OT'!$H:$H,'2017OT'!$M:$M,Summary!$G47,'2017OT'!$A:$A,Summary!H$3)</f>
        <v>0</v>
      </c>
      <c r="I47" s="97">
        <f>SUMIFS('2017OT'!$H:$H,'2017OT'!$M:$M,Summary!$G47,'2017OT'!$A:$A,Summary!I$3)</f>
        <v>0</v>
      </c>
      <c r="J47" s="92">
        <f>SUMIFS('2017OT'!$I:$I,'2017OT'!$M:$M,Summary!$G47,'2017OT'!$A:$A,Summary!J$3)</f>
        <v>0</v>
      </c>
      <c r="K47" s="93">
        <f>SUMIFS('2017OT'!$I:$I,'2017OT'!$M:$M,Summary!$G47,'2017OT'!$A:$A,Summary!K$3)</f>
        <v>0</v>
      </c>
      <c r="L47" s="61">
        <f t="shared" si="1"/>
        <v>0</v>
      </c>
      <c r="M47" s="61">
        <f t="shared" si="2"/>
        <v>0</v>
      </c>
    </row>
    <row r="48" spans="1:13" ht="15.75">
      <c r="A48" s="83" t="s">
        <v>707</v>
      </c>
      <c r="B48" s="75">
        <f t="shared" si="5"/>
        <v>44085</v>
      </c>
      <c r="C48" s="73">
        <f t="shared" si="6"/>
        <v>44115</v>
      </c>
      <c r="D48" s="74">
        <f>SUMIFS('2017OT'!$H:$H,'2017OT'!$C:$C,"&gt;="&amp;$B48,'2017OT'!$C:$C,"&lt;"&amp;$C48,'2017OT'!$A:$A,Summary!D$3)</f>
        <v>0</v>
      </c>
      <c r="E48" s="74">
        <f>SUMIFS('2017OT'!$H:$H,'2017OT'!$C:$C,"&gt;="&amp;$B48,'2017OT'!$C:$C,"&lt;"&amp;$C48,'2017OT'!$A:$A,Summary!E$3)</f>
        <v>0</v>
      </c>
      <c r="G48" s="89" t="s">
        <v>707</v>
      </c>
      <c r="H48" s="96">
        <f>SUMIFS('2017OT'!$H:$H,'2017OT'!$M:$M,Summary!$G48,'2017OT'!$A:$A,Summary!H$3)</f>
        <v>0</v>
      </c>
      <c r="I48" s="97">
        <f>SUMIFS('2017OT'!$H:$H,'2017OT'!$M:$M,Summary!$G48,'2017OT'!$A:$A,Summary!I$3)</f>
        <v>0</v>
      </c>
      <c r="J48" s="92">
        <f>SUMIFS('2017OT'!$I:$I,'2017OT'!$M:$M,Summary!$G48,'2017OT'!$A:$A,Summary!J$3)</f>
        <v>0</v>
      </c>
      <c r="K48" s="93">
        <f>SUMIFS('2017OT'!$I:$I,'2017OT'!$M:$M,Summary!$G48,'2017OT'!$A:$A,Summary!K$3)</f>
        <v>0</v>
      </c>
      <c r="L48" s="61">
        <f t="shared" si="1"/>
        <v>0</v>
      </c>
      <c r="M48" s="61">
        <f t="shared" si="2"/>
        <v>0</v>
      </c>
    </row>
    <row r="49" spans="1:13" ht="15.75">
      <c r="A49" s="83" t="s">
        <v>708</v>
      </c>
      <c r="B49" s="75">
        <f t="shared" si="5"/>
        <v>44115</v>
      </c>
      <c r="C49" s="73">
        <f t="shared" si="6"/>
        <v>44146</v>
      </c>
      <c r="D49" s="74">
        <f>SUMIFS('2017OT'!$H:$H,'2017OT'!$C:$C,"&gt;="&amp;$B49,'2017OT'!$C:$C,"&lt;"&amp;$C49,'2017OT'!$A:$A,Summary!D$3)</f>
        <v>0</v>
      </c>
      <c r="E49" s="74">
        <f>SUMIFS('2017OT'!$H:$H,'2017OT'!$C:$C,"&gt;="&amp;$B49,'2017OT'!$C:$C,"&lt;"&amp;$C49,'2017OT'!$A:$A,Summary!E$3)</f>
        <v>0</v>
      </c>
      <c r="G49" s="89" t="s">
        <v>708</v>
      </c>
      <c r="H49" s="96">
        <f>SUMIFS('2017OT'!$H:$H,'2017OT'!$M:$M,Summary!$G49,'2017OT'!$A:$A,Summary!H$3)</f>
        <v>0</v>
      </c>
      <c r="I49" s="97">
        <f>SUMIFS('2017OT'!$H:$H,'2017OT'!$M:$M,Summary!$G49,'2017OT'!$A:$A,Summary!I$3)</f>
        <v>0</v>
      </c>
      <c r="J49" s="92">
        <f>SUMIFS('2017OT'!$I:$I,'2017OT'!$M:$M,Summary!$G49,'2017OT'!$A:$A,Summary!J$3)</f>
        <v>0</v>
      </c>
      <c r="K49" s="93">
        <f>SUMIFS('2017OT'!$I:$I,'2017OT'!$M:$M,Summary!$G49,'2017OT'!$A:$A,Summary!K$3)</f>
        <v>0</v>
      </c>
      <c r="L49" s="61">
        <f t="shared" si="1"/>
        <v>0</v>
      </c>
      <c r="M49" s="61">
        <f t="shared" si="2"/>
        <v>0</v>
      </c>
    </row>
    <row r="50" spans="1:13" ht="15.75">
      <c r="A50" s="83" t="s">
        <v>709</v>
      </c>
      <c r="B50" s="75">
        <f t="shared" si="5"/>
        <v>44146</v>
      </c>
      <c r="C50" s="73">
        <f t="shared" si="6"/>
        <v>44176</v>
      </c>
      <c r="D50" s="74">
        <f>SUMIFS('2017OT'!$H:$H,'2017OT'!$C:$C,"&gt;="&amp;$B50,'2017OT'!$C:$C,"&lt;"&amp;$C50,'2017OT'!$A:$A,Summary!D$3)</f>
        <v>0</v>
      </c>
      <c r="E50" s="74">
        <f>SUMIFS('2017OT'!$H:$H,'2017OT'!$C:$C,"&gt;="&amp;$B50,'2017OT'!$C:$C,"&lt;"&amp;$C50,'2017OT'!$A:$A,Summary!E$3)</f>
        <v>0</v>
      </c>
      <c r="G50" s="89" t="s">
        <v>709</v>
      </c>
      <c r="H50" s="96">
        <f>SUMIFS('2017OT'!$H:$H,'2017OT'!$M:$M,Summary!$G50,'2017OT'!$A:$A,Summary!H$3)</f>
        <v>0</v>
      </c>
      <c r="I50" s="97">
        <f>SUMIFS('2017OT'!$H:$H,'2017OT'!$M:$M,Summary!$G50,'2017OT'!$A:$A,Summary!I$3)</f>
        <v>0</v>
      </c>
      <c r="J50" s="92">
        <f>SUMIFS('2017OT'!$I:$I,'2017OT'!$M:$M,Summary!$G50,'2017OT'!$A:$A,Summary!J$3)</f>
        <v>0</v>
      </c>
      <c r="K50" s="93">
        <f>SUMIFS('2017OT'!$I:$I,'2017OT'!$M:$M,Summary!$G50,'2017OT'!$A:$A,Summary!K$3)</f>
        <v>0</v>
      </c>
      <c r="L50" s="61">
        <f t="shared" si="1"/>
        <v>0</v>
      </c>
      <c r="M50" s="61">
        <f t="shared" si="2"/>
        <v>0</v>
      </c>
    </row>
    <row r="51" spans="1:13" ht="16.5" thickBot="1">
      <c r="A51" s="83" t="s">
        <v>687</v>
      </c>
      <c r="B51" s="75">
        <f t="shared" si="5"/>
        <v>44176</v>
      </c>
      <c r="C51" s="73">
        <f t="shared" si="6"/>
        <v>44207</v>
      </c>
      <c r="D51" s="74">
        <f>SUMIFS('2017OT'!$H:$H,'2017OT'!$C:$C,"&gt;="&amp;$B51,'2017OT'!$C:$C,"&lt;"&amp;$C51,'2017OT'!$A:$A,Summary!D$3)</f>
        <v>0</v>
      </c>
      <c r="E51" s="74">
        <f>SUMIFS('2017OT'!$H:$H,'2017OT'!$C:$C,"&gt;="&amp;$B51,'2017OT'!$C:$C,"&lt;"&amp;$C51,'2017OT'!$A:$A,Summary!E$3)</f>
        <v>0</v>
      </c>
      <c r="G51" s="89" t="s">
        <v>687</v>
      </c>
      <c r="H51" s="98">
        <f>SUMIFS('2017OT'!$H:$H,'2017OT'!$M:$M,Summary!$G51,'2017OT'!$A:$A,Summary!H$3)</f>
        <v>0</v>
      </c>
      <c r="I51" s="99">
        <f>SUMIFS('2017OT'!$H:$H,'2017OT'!$M:$M,Summary!$G51,'2017OT'!$A:$A,Summary!I$3)</f>
        <v>0</v>
      </c>
      <c r="J51" s="92">
        <f>SUMIFS('2017OT'!$I:$I,'2017OT'!$M:$M,Summary!$G51,'2017OT'!$A:$A,Summary!J$3)</f>
        <v>0</v>
      </c>
      <c r="K51" s="93">
        <f>SUMIFS('2017OT'!$I:$I,'2017OT'!$M:$M,Summary!$G51,'2017OT'!$A:$A,Summary!K$3)</f>
        <v>0</v>
      </c>
      <c r="L51" s="61">
        <f t="shared" si="1"/>
        <v>0</v>
      </c>
      <c r="M51" s="61">
        <f t="shared" si="2"/>
        <v>0</v>
      </c>
    </row>
  </sheetData>
  <mergeCells count="4">
    <mergeCell ref="A1:E1"/>
    <mergeCell ref="J2:K2"/>
    <mergeCell ref="H2:I2"/>
    <mergeCell ref="G1:K1"/>
  </mergeCells>
  <conditionalFormatting sqref="D3">
    <cfRule type="cellIs" dxfId="107" priority="25" operator="equal">
      <formula>0</formula>
    </cfRule>
  </conditionalFormatting>
  <conditionalFormatting sqref="E3">
    <cfRule type="cellIs" dxfId="106" priority="24" operator="equal">
      <formula>0</formula>
    </cfRule>
  </conditionalFormatting>
  <conditionalFormatting sqref="A14:E51 D4:E16">
    <cfRule type="cellIs" dxfId="105" priority="23" operator="equal">
      <formula>0</formula>
    </cfRule>
  </conditionalFormatting>
  <conditionalFormatting sqref="H3">
    <cfRule type="cellIs" dxfId="104" priority="22" operator="equal">
      <formula>0</formula>
    </cfRule>
  </conditionalFormatting>
  <conditionalFormatting sqref="I3">
    <cfRule type="cellIs" dxfId="103" priority="21" operator="equal">
      <formula>0</formula>
    </cfRule>
  </conditionalFormatting>
  <conditionalFormatting sqref="J3">
    <cfRule type="cellIs" dxfId="102" priority="20" operator="equal">
      <formula>0</formula>
    </cfRule>
  </conditionalFormatting>
  <conditionalFormatting sqref="K3">
    <cfRule type="cellIs" dxfId="101" priority="19" operator="equal">
      <formula>0</formula>
    </cfRule>
  </conditionalFormatting>
  <conditionalFormatting sqref="G3:K3 G4:G51">
    <cfRule type="cellIs" dxfId="100" priority="17" operator="equal">
      <formula>0</formula>
    </cfRule>
  </conditionalFormatting>
  <conditionalFormatting sqref="H4:K51 M4:M51">
    <cfRule type="cellIs" dxfId="99" priority="16" operator="equal">
      <formula>0</formula>
    </cfRule>
  </conditionalFormatting>
  <conditionalFormatting sqref="A4:A13">
    <cfRule type="cellIs" dxfId="98" priority="15" operator="equal">
      <formula>0</formula>
    </cfRule>
  </conditionalFormatting>
  <conditionalFormatting sqref="B4">
    <cfRule type="cellIs" dxfId="97" priority="13" operator="equal">
      <formula>0</formula>
    </cfRule>
  </conditionalFormatting>
  <conditionalFormatting sqref="C4">
    <cfRule type="cellIs" dxfId="96" priority="12" operator="equal">
      <formula>0</formula>
    </cfRule>
  </conditionalFormatting>
  <conditionalFormatting sqref="B5">
    <cfRule type="cellIs" dxfId="95" priority="11" operator="equal">
      <formula>0</formula>
    </cfRule>
  </conditionalFormatting>
  <conditionalFormatting sqref="C5">
    <cfRule type="cellIs" dxfId="94" priority="10" operator="equal">
      <formula>0</formula>
    </cfRule>
  </conditionalFormatting>
  <conditionalFormatting sqref="B6">
    <cfRule type="cellIs" dxfId="93" priority="8" operator="equal">
      <formula>0</formula>
    </cfRule>
  </conditionalFormatting>
  <conditionalFormatting sqref="B7:C13">
    <cfRule type="cellIs" dxfId="92" priority="7" operator="equal">
      <formula>0</formula>
    </cfRule>
  </conditionalFormatting>
  <conditionalFormatting sqref="C6">
    <cfRule type="cellIs" dxfId="91" priority="6" operator="equal">
      <formula>0</formula>
    </cfRule>
  </conditionalFormatting>
  <conditionalFormatting sqref="L3">
    <cfRule type="cellIs" dxfId="90" priority="5" operator="equal">
      <formula>0</formula>
    </cfRule>
  </conditionalFormatting>
  <conditionalFormatting sqref="L3">
    <cfRule type="cellIs" dxfId="89" priority="4" operator="equal">
      <formula>0</formula>
    </cfRule>
  </conditionalFormatting>
  <conditionalFormatting sqref="L4:L51">
    <cfRule type="cellIs" dxfId="88" priority="3" operator="equal">
      <formula>0</formula>
    </cfRule>
  </conditionalFormatting>
  <conditionalFormatting sqref="M3">
    <cfRule type="cellIs" dxfId="87" priority="2" operator="equal">
      <formula>0</formula>
    </cfRule>
  </conditionalFormatting>
  <conditionalFormatting sqref="M3">
    <cfRule type="cellIs" dxfId="86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CJ66"/>
  <sheetViews>
    <sheetView showGridLines="0" zoomScaleNormal="100" workbookViewId="0">
      <pane xSplit="9" ySplit="5" topLeftCell="AI26" activePane="bottomRight" state="frozen"/>
      <selection pane="topRight" activeCell="J1" sqref="J1"/>
      <selection pane="bottomLeft" activeCell="A6" sqref="A6"/>
      <selection pane="bottomRight" activeCell="AP16" sqref="AP16"/>
    </sheetView>
  </sheetViews>
  <sheetFormatPr defaultRowHeight="15" outlineLevelCol="1"/>
  <cols>
    <col min="1" max="1" width="3.7109375" style="17" bestFit="1" customWidth="1"/>
    <col min="2" max="2" width="20" style="17" customWidth="1"/>
    <col min="3" max="3" width="24.5703125" style="17" bestFit="1" customWidth="1"/>
    <col min="4" max="4" width="9.42578125" style="17" hidden="1" customWidth="1" outlineLevel="1"/>
    <col min="5" max="5" width="11.85546875" style="17" hidden="1" customWidth="1" outlineLevel="1"/>
    <col min="6" max="6" width="11.7109375" style="81" hidden="1" customWidth="1" outlineLevel="1"/>
    <col min="7" max="7" width="9.5703125" style="17" bestFit="1" customWidth="1" collapsed="1"/>
    <col min="8" max="8" width="9.5703125" style="17" bestFit="1" customWidth="1"/>
    <col min="9" max="9" width="8.85546875" style="17" bestFit="1" customWidth="1"/>
    <col min="10" max="21" width="10.5703125" style="17" customWidth="1" outlineLevel="1"/>
    <col min="22" max="22" width="3.85546875" style="17" customWidth="1"/>
    <col min="23" max="34" width="11" style="17" hidden="1" customWidth="1" outlineLevel="1"/>
    <col min="35" max="35" width="3.85546875" style="17" customWidth="1" collapsed="1"/>
    <col min="36" max="48" width="11" style="17" customWidth="1"/>
    <col min="49" max="61" width="8.7109375" style="17" customWidth="1"/>
    <col min="62" max="16384" width="9.140625" style="17"/>
  </cols>
  <sheetData>
    <row r="1" spans="1:88" ht="13.5" customHeight="1">
      <c r="A1" s="119" t="s">
        <v>812</v>
      </c>
      <c r="B1" s="119"/>
      <c r="C1" s="119"/>
      <c r="D1" s="119"/>
      <c r="E1" s="119"/>
      <c r="F1" s="119"/>
      <c r="G1" s="119"/>
      <c r="H1" s="119"/>
      <c r="I1" s="119"/>
      <c r="J1" s="119" t="s">
        <v>813</v>
      </c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W1" s="119" t="s">
        <v>815</v>
      </c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J1" s="119" t="s">
        <v>814</v>
      </c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84"/>
      <c r="AW1" s="119" t="s">
        <v>816</v>
      </c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26">
        <v>160</v>
      </c>
      <c r="BK1" s="120" t="s">
        <v>214</v>
      </c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</row>
    <row r="2" spans="1:88" s="27" customFormat="1" ht="13.5" customHeight="1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72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</row>
    <row r="3" spans="1:88" s="27" customFormat="1" ht="13.5" customHeight="1">
      <c r="B3" s="33"/>
      <c r="C3" s="33"/>
      <c r="D3" s="33"/>
      <c r="E3" s="82"/>
      <c r="F3" s="78"/>
      <c r="G3" s="76"/>
      <c r="H3" s="33"/>
      <c r="I3" s="87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72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</row>
    <row r="4" spans="1:88" s="29" customFormat="1" ht="31.5">
      <c r="A4" s="1" t="s">
        <v>519</v>
      </c>
      <c r="B4" s="1" t="s">
        <v>0</v>
      </c>
      <c r="C4" s="1" t="s">
        <v>1</v>
      </c>
      <c r="D4" s="1" t="s">
        <v>215</v>
      </c>
      <c r="E4" s="1" t="s">
        <v>594</v>
      </c>
      <c r="F4" s="79" t="s">
        <v>504</v>
      </c>
      <c r="G4" s="28" t="s">
        <v>464</v>
      </c>
      <c r="H4" s="28" t="s">
        <v>463</v>
      </c>
      <c r="I4" s="28" t="s">
        <v>796</v>
      </c>
      <c r="J4" s="28" t="s">
        <v>231</v>
      </c>
      <c r="K4" s="28" t="s">
        <v>232</v>
      </c>
      <c r="L4" s="28" t="s">
        <v>233</v>
      </c>
      <c r="M4" s="28" t="s">
        <v>234</v>
      </c>
      <c r="N4" s="28" t="s">
        <v>235</v>
      </c>
      <c r="O4" s="28" t="s">
        <v>236</v>
      </c>
      <c r="P4" s="28" t="s">
        <v>237</v>
      </c>
      <c r="Q4" s="28" t="s">
        <v>238</v>
      </c>
      <c r="R4" s="28" t="s">
        <v>239</v>
      </c>
      <c r="S4" s="28" t="s">
        <v>240</v>
      </c>
      <c r="T4" s="28" t="s">
        <v>241</v>
      </c>
      <c r="U4" s="28" t="s">
        <v>242</v>
      </c>
      <c r="W4" s="28" t="s">
        <v>404</v>
      </c>
      <c r="X4" s="28" t="s">
        <v>405</v>
      </c>
      <c r="Y4" s="28" t="s">
        <v>406</v>
      </c>
      <c r="Z4" s="28" t="s">
        <v>407</v>
      </c>
      <c r="AA4" s="28" t="s">
        <v>408</v>
      </c>
      <c r="AB4" s="28" t="s">
        <v>409</v>
      </c>
      <c r="AC4" s="28" t="s">
        <v>410</v>
      </c>
      <c r="AD4" s="28" t="s">
        <v>411</v>
      </c>
      <c r="AE4" s="28" t="s">
        <v>412</v>
      </c>
      <c r="AF4" s="28" t="s">
        <v>413</v>
      </c>
      <c r="AG4" s="28" t="s">
        <v>414</v>
      </c>
      <c r="AH4" s="28" t="s">
        <v>415</v>
      </c>
      <c r="AJ4" s="28" t="s">
        <v>688</v>
      </c>
      <c r="AK4" s="28" t="s">
        <v>689</v>
      </c>
      <c r="AL4" s="28" t="s">
        <v>690</v>
      </c>
      <c r="AM4" s="28" t="s">
        <v>691</v>
      </c>
      <c r="AN4" s="28" t="s">
        <v>692</v>
      </c>
      <c r="AO4" s="28" t="s">
        <v>693</v>
      </c>
      <c r="AP4" s="28" t="s">
        <v>694</v>
      </c>
      <c r="AQ4" s="28" t="s">
        <v>695</v>
      </c>
      <c r="AR4" s="28" t="s">
        <v>696</v>
      </c>
      <c r="AS4" s="28" t="s">
        <v>697</v>
      </c>
      <c r="AT4" s="28" t="s">
        <v>698</v>
      </c>
      <c r="AU4" s="28" t="s">
        <v>686</v>
      </c>
      <c r="AV4" s="30"/>
      <c r="AW4" s="30" t="s">
        <v>216</v>
      </c>
      <c r="AX4" s="30" t="s">
        <v>217</v>
      </c>
      <c r="AY4" s="30" t="s">
        <v>218</v>
      </c>
      <c r="AZ4" s="30" t="s">
        <v>219</v>
      </c>
      <c r="BA4" s="30" t="s">
        <v>220</v>
      </c>
      <c r="BB4" s="30" t="s">
        <v>221</v>
      </c>
      <c r="BC4" s="30" t="s">
        <v>222</v>
      </c>
      <c r="BD4" s="30" t="s">
        <v>223</v>
      </c>
      <c r="BE4" s="30" t="s">
        <v>224</v>
      </c>
      <c r="BF4" s="30" t="s">
        <v>225</v>
      </c>
      <c r="BG4" s="30" t="s">
        <v>226</v>
      </c>
      <c r="BH4" s="30" t="s">
        <v>227</v>
      </c>
      <c r="BI4" s="30" t="s">
        <v>228</v>
      </c>
      <c r="BK4" s="30" t="s">
        <v>216</v>
      </c>
      <c r="BL4" s="30" t="s">
        <v>217</v>
      </c>
      <c r="BM4" s="30" t="s">
        <v>218</v>
      </c>
      <c r="BN4" s="30" t="s">
        <v>219</v>
      </c>
      <c r="BO4" s="30" t="s">
        <v>220</v>
      </c>
      <c r="BP4" s="30" t="s">
        <v>221</v>
      </c>
      <c r="BQ4" s="30" t="s">
        <v>222</v>
      </c>
      <c r="BR4" s="30" t="s">
        <v>223</v>
      </c>
      <c r="BS4" s="30" t="s">
        <v>224</v>
      </c>
      <c r="BT4" s="30" t="s">
        <v>225</v>
      </c>
      <c r="BU4" s="30" t="s">
        <v>226</v>
      </c>
      <c r="BV4" s="30" t="s">
        <v>227</v>
      </c>
      <c r="BW4" s="30" t="s">
        <v>228</v>
      </c>
      <c r="BY4" s="30" t="s">
        <v>217</v>
      </c>
      <c r="BZ4" s="30" t="s">
        <v>218</v>
      </c>
      <c r="CA4" s="30" t="s">
        <v>219</v>
      </c>
      <c r="CB4" s="30" t="s">
        <v>220</v>
      </c>
      <c r="CC4" s="30" t="s">
        <v>221</v>
      </c>
      <c r="CD4" s="30" t="s">
        <v>222</v>
      </c>
      <c r="CE4" s="30" t="s">
        <v>223</v>
      </c>
      <c r="CF4" s="30" t="s">
        <v>224</v>
      </c>
      <c r="CG4" s="30" t="s">
        <v>225</v>
      </c>
      <c r="CH4" s="30" t="s">
        <v>226</v>
      </c>
      <c r="CI4" s="30" t="s">
        <v>227</v>
      </c>
      <c r="CJ4" s="30" t="s">
        <v>228</v>
      </c>
    </row>
    <row r="5" spans="1:88" s="29" customFormat="1" ht="15.75">
      <c r="A5" s="1"/>
      <c r="B5" s="1"/>
      <c r="C5" s="1"/>
      <c r="D5" s="1"/>
      <c r="E5" s="1"/>
      <c r="F5" s="79"/>
      <c r="G5" s="101">
        <f>SUM(G6:G9999)</f>
        <v>15801.999999999996</v>
      </c>
      <c r="H5" s="101">
        <f t="shared" ref="H5:I5" si="0">SUM(H6:H9999)</f>
        <v>12745.666666666668</v>
      </c>
      <c r="I5" s="101">
        <f t="shared" si="0"/>
        <v>6019.9999999999991</v>
      </c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</row>
    <row r="6" spans="1:88" s="27" customFormat="1" ht="15" customHeight="1">
      <c r="A6" s="83">
        <v>1</v>
      </c>
      <c r="B6" s="19" t="s">
        <v>11</v>
      </c>
      <c r="C6" s="19" t="s">
        <v>12</v>
      </c>
      <c r="D6" s="19" t="s">
        <v>229</v>
      </c>
      <c r="E6" s="75">
        <v>31825</v>
      </c>
      <c r="F6" s="80">
        <v>42548</v>
      </c>
      <c r="G6" s="31">
        <f t="shared" ref="G6:G37" si="1">SUM(J6:U6)</f>
        <v>460.74999999999949</v>
      </c>
      <c r="H6" s="31">
        <f t="shared" ref="H6:H37" si="2">SUM(W6:AH6)</f>
        <v>236.99999999999986</v>
      </c>
      <c r="I6" s="31">
        <f t="shared" ref="I6:I55" si="3">SUM(AJ6:AU6)</f>
        <v>36.999999999999972</v>
      </c>
      <c r="J6" s="61">
        <f>SUMIFS('2017OT'!$H:$H,'2017OT'!$M:$M,Report!J$4,'2017OT'!$B:$B,Report!$C6)</f>
        <v>33.999999999999986</v>
      </c>
      <c r="K6" s="61">
        <f>SUMIFS('2017OT'!$H:$H,'2017OT'!$M:$M,Report!K$4,'2017OT'!$B:$B,Report!$C6)</f>
        <v>44.249999999999929</v>
      </c>
      <c r="L6" s="61">
        <f>SUMIFS('2017OT'!$H:$H,'2017OT'!$M:$M,Report!L$4,'2017OT'!$B:$B,Report!$C6)</f>
        <v>54.249999999999986</v>
      </c>
      <c r="M6" s="61">
        <f>SUMIFS('2017OT'!$H:$H,'2017OT'!$M:$M,Report!M$4,'2017OT'!$B:$B,Report!$C6)</f>
        <v>57.499999999999943</v>
      </c>
      <c r="N6" s="61">
        <f>SUMIFS('2017OT'!$H:$H,'2017OT'!$M:$M,Report!N$4,'2017OT'!$B:$B,Report!$C6)</f>
        <v>20.999999999999943</v>
      </c>
      <c r="O6" s="61">
        <f>SUMIFS('2017OT'!$H:$H,'2017OT'!$M:$M,Report!O$4,'2017OT'!$B:$B,Report!$C6)</f>
        <v>26.999999999999979</v>
      </c>
      <c r="P6" s="61">
        <f>SUMIFS('2017OT'!$H:$H,'2017OT'!$M:$M,Report!P$4,'2017OT'!$B:$B,Report!$C6)</f>
        <v>56.749999999999986</v>
      </c>
      <c r="Q6" s="61">
        <f>SUMIFS('2017OT'!$H:$H,'2017OT'!$M:$M,Report!Q$4,'2017OT'!$B:$B,Report!$C6)</f>
        <v>34.499999999999929</v>
      </c>
      <c r="R6" s="61">
        <f>SUMIFS('2017OT'!$H:$H,'2017OT'!$M:$M,Report!R$4,'2017OT'!$B:$B,Report!$C6)</f>
        <v>30.749999999999929</v>
      </c>
      <c r="S6" s="61">
        <f>SUMIFS('2017OT'!$H:$H,'2017OT'!$M:$M,Report!S$4,'2017OT'!$B:$B,Report!$C6)</f>
        <v>29.499999999999957</v>
      </c>
      <c r="T6" s="61">
        <f>SUMIFS('2017OT'!$H:$H,'2017OT'!$M:$M,Report!T$4,'2017OT'!$B:$B,Report!$C6)</f>
        <v>32.749999999999979</v>
      </c>
      <c r="U6" s="61">
        <f>SUMIFS('2017OT'!$H:$H,'2017OT'!$M:$M,Report!U$4,'2017OT'!$B:$B,Report!$C6)</f>
        <v>38.499999999999936</v>
      </c>
      <c r="V6" s="17"/>
      <c r="W6" s="61">
        <f>SUMIFS('2017OT'!$H:$H,'2017OT'!$M:$M,Report!W$4,'2017OT'!$B:$B,Report!$C6)</f>
        <v>14.999999999999995</v>
      </c>
      <c r="X6" s="61">
        <f>SUMIFS('2017OT'!$H:$H,'2017OT'!$M:$M,Report!X$4,'2017OT'!$B:$B,Report!$C6)</f>
        <v>15.249999999999961</v>
      </c>
      <c r="Y6" s="61">
        <f>SUMIFS('2017OT'!$H:$H,'2017OT'!$M:$M,Report!Y$4,'2017OT'!$B:$B,Report!$C6)</f>
        <v>47.499999999999979</v>
      </c>
      <c r="Z6" s="61">
        <f>SUMIFS('2017OT'!$H:$H,'2017OT'!$M:$M,Report!Z$4,'2017OT'!$B:$B,Report!$C6)</f>
        <v>39.25</v>
      </c>
      <c r="AA6" s="61">
        <f>SUMIFS('2017OT'!$H:$H,'2017OT'!$M:$M,Report!AA$4,'2017OT'!$B:$B,Report!$C6)</f>
        <v>38.499999999999972</v>
      </c>
      <c r="AB6" s="61">
        <f>SUMIFS('2017OT'!$H:$H,'2017OT'!$M:$M,Report!AB$4,'2017OT'!$B:$B,Report!$C6)</f>
        <v>57.999999999999943</v>
      </c>
      <c r="AC6" s="61">
        <f>SUMIFS('2017OT'!$H:$H,'2017OT'!$M:$M,Report!AC$4,'2017OT'!$B:$B,Report!$C6)</f>
        <v>23.5</v>
      </c>
      <c r="AD6" s="61">
        <f>SUMIFS('2017OT'!$H:$H,'2017OT'!$M:$M,Report!AD$4,'2017OT'!$B:$B,Report!$C6)</f>
        <v>0</v>
      </c>
      <c r="AE6" s="61">
        <f>SUMIFS('2017OT'!$H:$H,'2017OT'!$M:$M,Report!AE$4,'2017OT'!$B:$B,Report!$C6)</f>
        <v>0</v>
      </c>
      <c r="AF6" s="61">
        <f>SUMIFS('2017OT'!$H:$H,'2017OT'!$M:$M,Report!AF$4,'2017OT'!$B:$B,Report!$C6)</f>
        <v>0</v>
      </c>
      <c r="AG6" s="61">
        <f>SUMIFS('2017OT'!$H:$H,'2017OT'!$M:$M,Report!AG$4,'2017OT'!$B:$B,Report!$C6)</f>
        <v>0</v>
      </c>
      <c r="AH6" s="61">
        <f>SUMIFS('2017OT'!$H:$H,'2017OT'!$M:$M,Report!AH$4,'2017OT'!$B:$B,Report!$C6)</f>
        <v>0</v>
      </c>
      <c r="AI6" s="17"/>
      <c r="AJ6" s="61">
        <f>SUMIFS('2017OT'!$H:$H,'2017OT'!$M:$M,Report!AJ$4,'2017OT'!$B:$B,Report!$C6)</f>
        <v>17.999999999999986</v>
      </c>
      <c r="AK6" s="61">
        <f>SUMIFS('2017OT'!$H:$H,'2017OT'!$M:$M,Report!AK$4,'2017OT'!$B:$B,Report!$C6)</f>
        <v>3.9999999999999982</v>
      </c>
      <c r="AL6" s="61">
        <f>SUMIFS('2017OT'!$H:$H,'2017OT'!$M:$M,Report!AL$4,'2017OT'!$B:$B,Report!$C6)</f>
        <v>14.999999999999989</v>
      </c>
      <c r="AM6" s="61">
        <f>SUMIFS('2017OT'!$H:$H,'2017OT'!$M:$M,Report!AM$4,'2017OT'!$B:$B,Report!$C6)</f>
        <v>0</v>
      </c>
      <c r="AN6" s="61">
        <f>SUMIFS('2017OT'!$H:$H,'2017OT'!$M:$M,Report!AN$4,'2017OT'!$B:$B,Report!$C6)</f>
        <v>0</v>
      </c>
      <c r="AO6" s="61">
        <f>SUMIFS('2017OT'!$H:$H,'2017OT'!$M:$M,Report!AO$4,'2017OT'!$B:$B,Report!$C6)</f>
        <v>0</v>
      </c>
      <c r="AP6" s="61">
        <f>SUMIFS('2017OT'!$H:$H,'2017OT'!$M:$M,Report!AP$4,'2017OT'!$B:$B,Report!$C6)</f>
        <v>0</v>
      </c>
      <c r="AQ6" s="61">
        <f>SUMIFS('2017OT'!$H:$H,'2017OT'!$M:$M,Report!AQ$4,'2017OT'!$B:$B,Report!$C6)</f>
        <v>0</v>
      </c>
      <c r="AR6" s="61">
        <f>SUMIFS('2017OT'!$H:$H,'2017OT'!$M:$M,Report!AR$4,'2017OT'!$B:$B,Report!$C6)</f>
        <v>0</v>
      </c>
      <c r="AS6" s="61">
        <f>SUMIFS('2017OT'!$H:$H,'2017OT'!$M:$M,Report!AS$4,'2017OT'!$B:$B,Report!$C6)</f>
        <v>0</v>
      </c>
      <c r="AT6" s="61">
        <f>SUMIFS('2017OT'!$H:$H,'2017OT'!$M:$M,Report!AT$4,'2017OT'!$B:$B,Report!$C6)</f>
        <v>0</v>
      </c>
      <c r="AU6" s="61">
        <f>SUMIFS('2017OT'!$H:$H,'2017OT'!$M:$M,Report!AU$4,'2017OT'!$B:$B,Report!$C6)</f>
        <v>0</v>
      </c>
      <c r="AV6" s="61"/>
      <c r="AW6" s="31">
        <f t="shared" ref="AW6:AW37" si="4">SUM(AX6:BI6)</f>
        <v>0</v>
      </c>
      <c r="AX6" s="31" t="str">
        <f>IFERROR(VLOOKUP($C6,#REF!,3,0),"")</f>
        <v/>
      </c>
      <c r="AY6" s="31" t="str">
        <f>IFERROR(VLOOKUP($C6,#REF!,3,0),"")</f>
        <v/>
      </c>
      <c r="AZ6" s="31" t="str">
        <f>IFERROR(VLOOKUP($C6,#REF!,3,0),"")</f>
        <v/>
      </c>
      <c r="BA6" s="31" t="str">
        <f>IFERROR(VLOOKUP($C6,#REF!,3,0),"")</f>
        <v/>
      </c>
      <c r="BB6" s="31" t="str">
        <f>IFERROR(VLOOKUP($C6,#REF!,3,0),"")</f>
        <v/>
      </c>
      <c r="BC6" s="31" t="str">
        <f>IFERROR(VLOOKUP($C6,#REF!,3,0),"")</f>
        <v/>
      </c>
      <c r="BD6" s="31" t="str">
        <f>IFERROR(VLOOKUP($C6,#REF!,3,0),"")</f>
        <v/>
      </c>
      <c r="BE6" s="31" t="str">
        <f>IFERROR(VLOOKUP($C6,#REF!,3,0),"")</f>
        <v/>
      </c>
      <c r="BF6" s="31" t="str">
        <f>IFERROR(VLOOKUP($C6,#REF!,3,0),"")</f>
        <v/>
      </c>
      <c r="BG6" s="31" t="str">
        <f>IFERROR(VLOOKUP($C6,#REF!,3,0),"")</f>
        <v/>
      </c>
      <c r="BH6" s="31" t="str">
        <f>IFERROR(VLOOKUP($C6,#REF!,3,0),"")</f>
        <v/>
      </c>
      <c r="BI6" s="31" t="str">
        <f>IFERROR(VLOOKUP($C6,#REF!,3,0),"")</f>
        <v/>
      </c>
      <c r="BJ6" s="17"/>
      <c r="BK6" s="31">
        <f t="shared" ref="BK6:BK37" si="5">SUM(BL6:BW6)</f>
        <v>0</v>
      </c>
      <c r="BL6" s="31" t="str">
        <f t="shared" ref="BL6:BL37" si="6">IF(AND((AX6&lt;&gt;""),$B6=$B$6),AX6-$BY$7,"")</f>
        <v/>
      </c>
      <c r="BM6" s="31" t="str">
        <f t="shared" ref="BM6:BM37" si="7">IF(AND((AY6&lt;&gt;""),$B6=$B$6),AY6-$BZ$7,"")</f>
        <v/>
      </c>
      <c r="BN6" s="31" t="str">
        <f t="shared" ref="BN6:BN37" si="8">IF(AND((AZ6&lt;&gt;""),$B6=$B$6),AZ6-$CA$7,"")</f>
        <v/>
      </c>
      <c r="BO6" s="31" t="str">
        <f t="shared" ref="BO6:BO37" si="9">IF(AND((BA6&lt;&gt;""),$B6=$B$6),BA6-$CB$7,"")</f>
        <v/>
      </c>
      <c r="BP6" s="31" t="str">
        <f t="shared" ref="BP6:BP21" si="10">IF(AND((BB6&lt;&gt;""),$B6=$B$6),BB6-$BJ$1,"")</f>
        <v/>
      </c>
      <c r="BQ6" s="31" t="str">
        <f t="shared" ref="BQ6:BQ21" si="11">IF(AND((BC6&lt;&gt;""),$B6=$B$6),BC6-$BJ$1,"")</f>
        <v/>
      </c>
      <c r="BR6" s="31" t="str">
        <f t="shared" ref="BR6:BR21" si="12">IF(AND((BD6&lt;&gt;""),$B6=$B$6),BD6-$BJ$1,"")</f>
        <v/>
      </c>
      <c r="BS6" s="31" t="str">
        <f t="shared" ref="BS6:BS21" si="13">IF(AND((BE6&lt;&gt;""),$B6=$B$6),BE6-$BJ$1,"")</f>
        <v/>
      </c>
      <c r="BT6" s="31" t="str">
        <f t="shared" ref="BT6:BT21" si="14">IF(AND((BF6&lt;&gt;""),$B6=$B$6),BF6-$BJ$1,"")</f>
        <v/>
      </c>
      <c r="BU6" s="31" t="str">
        <f t="shared" ref="BU6:BU21" si="15">IF(AND((BG6&lt;&gt;""),$B6=$B$6),BG6-$BJ$1,"")</f>
        <v/>
      </c>
      <c r="BV6" s="31" t="str">
        <f t="shared" ref="BV6:BV21" si="16">IF(AND((BH6&lt;&gt;""),$B6=$B$6),BH6-$BJ$1,"")</f>
        <v/>
      </c>
      <c r="BW6" s="31" t="str">
        <f t="shared" ref="BW6:BW21" si="17">IF(AND((BI6&lt;&gt;""),$B6=$B$6),BI6-$BJ$1,"")</f>
        <v/>
      </c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</row>
    <row r="7" spans="1:88" s="27" customFormat="1" ht="15" customHeight="1">
      <c r="A7" s="83">
        <v>2</v>
      </c>
      <c r="B7" s="19" t="s">
        <v>11</v>
      </c>
      <c r="C7" s="19" t="s">
        <v>19</v>
      </c>
      <c r="D7" s="19" t="s">
        <v>229</v>
      </c>
      <c r="E7" s="75">
        <v>34312</v>
      </c>
      <c r="F7" s="80">
        <v>42534</v>
      </c>
      <c r="G7" s="31">
        <f t="shared" si="1"/>
        <v>422.24999999999943</v>
      </c>
      <c r="H7" s="31">
        <f t="shared" si="2"/>
        <v>249.25000000000003</v>
      </c>
      <c r="I7" s="31">
        <f t="shared" si="3"/>
        <v>136.49999999999991</v>
      </c>
      <c r="J7" s="61">
        <f>SUMIFS('2017OT'!$H:$H,'2017OT'!$M:$M,Report!J$4,'2017OT'!$B:$B,Report!$C7)</f>
        <v>17.499999999999993</v>
      </c>
      <c r="K7" s="61">
        <f>SUMIFS('2017OT'!$H:$H,'2017OT'!$M:$M,Report!K$4,'2017OT'!$B:$B,Report!$C7)</f>
        <v>45.249999999999972</v>
      </c>
      <c r="L7" s="61">
        <f>SUMIFS('2017OT'!$H:$H,'2017OT'!$M:$M,Report!L$4,'2017OT'!$B:$B,Report!$C7)</f>
        <v>58.749999999999915</v>
      </c>
      <c r="M7" s="61">
        <f>SUMIFS('2017OT'!$H:$H,'2017OT'!$M:$M,Report!M$4,'2017OT'!$B:$B,Report!$C7)</f>
        <v>50.749999999999886</v>
      </c>
      <c r="N7" s="61">
        <f>SUMIFS('2017OT'!$H:$H,'2017OT'!$M:$M,Report!N$4,'2017OT'!$B:$B,Report!$C7)</f>
        <v>16.99999999999995</v>
      </c>
      <c r="O7" s="61">
        <f>SUMIFS('2017OT'!$H:$H,'2017OT'!$M:$M,Report!O$4,'2017OT'!$B:$B,Report!$C7)</f>
        <v>21.499999999999979</v>
      </c>
      <c r="P7" s="61">
        <f>SUMIFS('2017OT'!$H:$H,'2017OT'!$M:$M,Report!P$4,'2017OT'!$B:$B,Report!$C7)</f>
        <v>47.750000000000014</v>
      </c>
      <c r="Q7" s="61">
        <f>SUMIFS('2017OT'!$H:$H,'2017OT'!$M:$M,Report!Q$4,'2017OT'!$B:$B,Report!$C7)</f>
        <v>28.999999999999972</v>
      </c>
      <c r="R7" s="61">
        <f>SUMIFS('2017OT'!$H:$H,'2017OT'!$M:$M,Report!R$4,'2017OT'!$B:$B,Report!$C7)</f>
        <v>31.749999999999936</v>
      </c>
      <c r="S7" s="61">
        <f>SUMIFS('2017OT'!$H:$H,'2017OT'!$M:$M,Report!S$4,'2017OT'!$B:$B,Report!$C7)</f>
        <v>34.499999999999957</v>
      </c>
      <c r="T7" s="61">
        <f>SUMIFS('2017OT'!$H:$H,'2017OT'!$M:$M,Report!T$4,'2017OT'!$B:$B,Report!$C7)</f>
        <v>25.499999999999972</v>
      </c>
      <c r="U7" s="61">
        <f>SUMIFS('2017OT'!$H:$H,'2017OT'!$M:$M,Report!U$4,'2017OT'!$B:$B,Report!$C7)</f>
        <v>42.999999999999886</v>
      </c>
      <c r="V7" s="17"/>
      <c r="W7" s="61">
        <f>SUMIFS('2017OT'!$H:$H,'2017OT'!$M:$M,Report!W$4,'2017OT'!$B:$B,Report!$C7)</f>
        <v>19.500000000000032</v>
      </c>
      <c r="X7" s="61">
        <f>SUMIFS('2017OT'!$H:$H,'2017OT'!$M:$M,Report!X$4,'2017OT'!$B:$B,Report!$C7)</f>
        <v>16.249999999999996</v>
      </c>
      <c r="Y7" s="61">
        <f>SUMIFS('2017OT'!$H:$H,'2017OT'!$M:$M,Report!Y$4,'2017OT'!$B:$B,Report!$C7)</f>
        <v>76.499999999999972</v>
      </c>
      <c r="Z7" s="61">
        <f>SUMIFS('2017OT'!$H:$H,'2017OT'!$M:$M,Report!Z$4,'2017OT'!$B:$B,Report!$C7)</f>
        <v>43.250000000000028</v>
      </c>
      <c r="AA7" s="61">
        <f>SUMIFS('2017OT'!$H:$H,'2017OT'!$M:$M,Report!AA$4,'2017OT'!$B:$B,Report!$C7)</f>
        <v>35</v>
      </c>
      <c r="AB7" s="61">
        <f>SUMIFS('2017OT'!$H:$H,'2017OT'!$M:$M,Report!AB$4,'2017OT'!$B:$B,Report!$C7)</f>
        <v>32.999999999999964</v>
      </c>
      <c r="AC7" s="61">
        <f>SUMIFS('2017OT'!$H:$H,'2017OT'!$M:$M,Report!AC$4,'2017OT'!$B:$B,Report!$C7)</f>
        <v>25.750000000000021</v>
      </c>
      <c r="AD7" s="61">
        <f>SUMIFS('2017OT'!$H:$H,'2017OT'!$M:$M,Report!AD$4,'2017OT'!$B:$B,Report!$C7)</f>
        <v>0</v>
      </c>
      <c r="AE7" s="61">
        <f>SUMIFS('2017OT'!$H:$H,'2017OT'!$M:$M,Report!AE$4,'2017OT'!$B:$B,Report!$C7)</f>
        <v>0</v>
      </c>
      <c r="AF7" s="61">
        <f>SUMIFS('2017OT'!$H:$H,'2017OT'!$M:$M,Report!AF$4,'2017OT'!$B:$B,Report!$C7)</f>
        <v>0</v>
      </c>
      <c r="AG7" s="61">
        <f>SUMIFS('2017OT'!$H:$H,'2017OT'!$M:$M,Report!AG$4,'2017OT'!$B:$B,Report!$C7)</f>
        <v>0</v>
      </c>
      <c r="AH7" s="61">
        <f>SUMIFS('2017OT'!$H:$H,'2017OT'!$M:$M,Report!AH$4,'2017OT'!$B:$B,Report!$C7)</f>
        <v>0</v>
      </c>
      <c r="AI7" s="17"/>
      <c r="AJ7" s="61">
        <f>SUMIFS('2017OT'!$H:$H,'2017OT'!$M:$M,Report!AJ$4,'2017OT'!$B:$B,Report!$C7)</f>
        <v>18.999999999999986</v>
      </c>
      <c r="AK7" s="61">
        <f>SUMIFS('2017OT'!$H:$H,'2017OT'!$M:$M,Report!AK$4,'2017OT'!$B:$B,Report!$C7)</f>
        <v>3.9999999999999982</v>
      </c>
      <c r="AL7" s="61">
        <f>SUMIFS('2017OT'!$H:$H,'2017OT'!$M:$M,Report!AL$4,'2017OT'!$B:$B,Report!$C7)</f>
        <v>47.999999999999957</v>
      </c>
      <c r="AM7" s="61">
        <f>SUMIFS('2017OT'!$H:$H,'2017OT'!$M:$M,Report!AM$4,'2017OT'!$B:$B,Report!$C7)</f>
        <v>11.999999999999995</v>
      </c>
      <c r="AN7" s="61">
        <f>SUMIFS('2017OT'!$H:$H,'2017OT'!$M:$M,Report!AN$4,'2017OT'!$B:$B,Report!$C7)</f>
        <v>12.499999999999991</v>
      </c>
      <c r="AO7" s="61">
        <f>SUMIFS('2017OT'!$H:$H,'2017OT'!$M:$M,Report!AO$4,'2017OT'!$B:$B,Report!$C7)</f>
        <v>8.4999999999999947</v>
      </c>
      <c r="AP7" s="61">
        <f>SUMIFS('2017OT'!$H:$H,'2017OT'!$M:$M,Report!AP$4,'2017OT'!$B:$B,Report!$C7)</f>
        <v>32.499999999999979</v>
      </c>
      <c r="AQ7" s="61">
        <f>SUMIFS('2017OT'!$H:$H,'2017OT'!$M:$M,Report!AQ$4,'2017OT'!$B:$B,Report!$C7)</f>
        <v>0</v>
      </c>
      <c r="AR7" s="61">
        <f>SUMIFS('2017OT'!$H:$H,'2017OT'!$M:$M,Report!AR$4,'2017OT'!$B:$B,Report!$C7)</f>
        <v>0</v>
      </c>
      <c r="AS7" s="61">
        <f>SUMIFS('2017OT'!$H:$H,'2017OT'!$M:$M,Report!AS$4,'2017OT'!$B:$B,Report!$C7)</f>
        <v>0</v>
      </c>
      <c r="AT7" s="61">
        <f>SUMIFS('2017OT'!$H:$H,'2017OT'!$M:$M,Report!AT$4,'2017OT'!$B:$B,Report!$C7)</f>
        <v>0</v>
      </c>
      <c r="AU7" s="61">
        <f>SUMIFS('2017OT'!$H:$H,'2017OT'!$M:$M,Report!AU$4,'2017OT'!$B:$B,Report!$C7)</f>
        <v>0</v>
      </c>
      <c r="AV7" s="61"/>
      <c r="AW7" s="31">
        <f t="shared" si="4"/>
        <v>0</v>
      </c>
      <c r="AX7" s="31" t="str">
        <f>IFERROR(VLOOKUP($C7,#REF!,3,0),"")</f>
        <v/>
      </c>
      <c r="AY7" s="31" t="str">
        <f>IFERROR(VLOOKUP($C7,#REF!,3,0),"")</f>
        <v/>
      </c>
      <c r="AZ7" s="31" t="str">
        <f>IFERROR(VLOOKUP($C7,#REF!,3,0),"")</f>
        <v/>
      </c>
      <c r="BA7" s="31" t="str">
        <f>IFERROR(VLOOKUP($C7,#REF!,3,0),"")</f>
        <v/>
      </c>
      <c r="BB7" s="31" t="str">
        <f>IFERROR(VLOOKUP($C7,#REF!,3,0),"")</f>
        <v/>
      </c>
      <c r="BC7" s="31" t="str">
        <f>IFERROR(VLOOKUP($C7,#REF!,3,0),"")</f>
        <v/>
      </c>
      <c r="BD7" s="31" t="str">
        <f>IFERROR(VLOOKUP($C7,#REF!,3,0),"")</f>
        <v/>
      </c>
      <c r="BE7" s="31" t="str">
        <f>IFERROR(VLOOKUP($C7,#REF!,3,0),"")</f>
        <v/>
      </c>
      <c r="BF7" s="31" t="str">
        <f>IFERROR(VLOOKUP($C7,#REF!,3,0),"")</f>
        <v/>
      </c>
      <c r="BG7" s="31" t="str">
        <f>IFERROR(VLOOKUP($C7,#REF!,3,0),"")</f>
        <v/>
      </c>
      <c r="BH7" s="31" t="str">
        <f>IFERROR(VLOOKUP($C7,#REF!,3,0),"")</f>
        <v/>
      </c>
      <c r="BI7" s="31" t="str">
        <f>IFERROR(VLOOKUP($C7,#REF!,3,0),"")</f>
        <v/>
      </c>
      <c r="BJ7" s="17"/>
      <c r="BK7" s="31">
        <f t="shared" si="5"/>
        <v>0</v>
      </c>
      <c r="BL7" s="31" t="str">
        <f t="shared" si="6"/>
        <v/>
      </c>
      <c r="BM7" s="31" t="str">
        <f t="shared" si="7"/>
        <v/>
      </c>
      <c r="BN7" s="31" t="str">
        <f t="shared" si="8"/>
        <v/>
      </c>
      <c r="BO7" s="31" t="str">
        <f t="shared" si="9"/>
        <v/>
      </c>
      <c r="BP7" s="31" t="str">
        <f t="shared" si="10"/>
        <v/>
      </c>
      <c r="BQ7" s="31" t="str">
        <f t="shared" si="11"/>
        <v/>
      </c>
      <c r="BR7" s="31" t="str">
        <f t="shared" si="12"/>
        <v/>
      </c>
      <c r="BS7" s="31" t="str">
        <f t="shared" si="13"/>
        <v/>
      </c>
      <c r="BT7" s="31" t="str">
        <f t="shared" si="14"/>
        <v/>
      </c>
      <c r="BU7" s="31" t="str">
        <f t="shared" si="15"/>
        <v/>
      </c>
      <c r="BV7" s="31" t="str">
        <f t="shared" si="16"/>
        <v/>
      </c>
      <c r="BW7" s="31" t="str">
        <f t="shared" si="17"/>
        <v/>
      </c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</row>
    <row r="8" spans="1:88" s="27" customFormat="1" ht="15" customHeight="1">
      <c r="A8" s="83">
        <v>3</v>
      </c>
      <c r="B8" s="19" t="s">
        <v>11</v>
      </c>
      <c r="C8" s="19" t="s">
        <v>161</v>
      </c>
      <c r="D8" s="19" t="s">
        <v>229</v>
      </c>
      <c r="E8" s="19"/>
      <c r="F8" s="80">
        <v>42769</v>
      </c>
      <c r="G8" s="31">
        <f t="shared" si="1"/>
        <v>282.99999999999966</v>
      </c>
      <c r="H8" s="31">
        <f t="shared" si="2"/>
        <v>247.24999999999994</v>
      </c>
      <c r="I8" s="31">
        <f t="shared" si="3"/>
        <v>145.99999999999989</v>
      </c>
      <c r="J8" s="61">
        <f>SUMIFS('2017OT'!$H:$H,'2017OT'!$M:$M,Report!J$4,'2017OT'!$B:$B,Report!$C8)</f>
        <v>0</v>
      </c>
      <c r="K8" s="61">
        <f>SUMIFS('2017OT'!$H:$H,'2017OT'!$M:$M,Report!K$4,'2017OT'!$B:$B,Report!$C8)</f>
        <v>0</v>
      </c>
      <c r="L8" s="61">
        <f>SUMIFS('2017OT'!$H:$H,'2017OT'!$M:$M,Report!L$4,'2017OT'!$B:$B,Report!$C8)</f>
        <v>0</v>
      </c>
      <c r="M8" s="61">
        <f>SUMIFS('2017OT'!$H:$H,'2017OT'!$M:$M,Report!M$4,'2017OT'!$B:$B,Report!$C8)</f>
        <v>0</v>
      </c>
      <c r="N8" s="61">
        <f>SUMIFS('2017OT'!$H:$H,'2017OT'!$M:$M,Report!N$4,'2017OT'!$B:$B,Report!$C8)</f>
        <v>0</v>
      </c>
      <c r="O8" s="61">
        <f>SUMIFS('2017OT'!$H:$H,'2017OT'!$M:$M,Report!O$4,'2017OT'!$B:$B,Report!$C8)</f>
        <v>26.999999999999979</v>
      </c>
      <c r="P8" s="61">
        <f>SUMIFS('2017OT'!$H:$H,'2017OT'!$M:$M,Report!P$4,'2017OT'!$B:$B,Report!$C8)</f>
        <v>57.25</v>
      </c>
      <c r="Q8" s="61">
        <f>SUMIFS('2017OT'!$H:$H,'2017OT'!$M:$M,Report!Q$4,'2017OT'!$B:$B,Report!$C8)</f>
        <v>34.99999999999995</v>
      </c>
      <c r="R8" s="61">
        <f>SUMIFS('2017OT'!$H:$H,'2017OT'!$M:$M,Report!R$4,'2017OT'!$B:$B,Report!$C8)</f>
        <v>34.999999999999915</v>
      </c>
      <c r="S8" s="61">
        <f>SUMIFS('2017OT'!$H:$H,'2017OT'!$M:$M,Report!S$4,'2017OT'!$B:$B,Report!$C8)</f>
        <v>41.999999999999943</v>
      </c>
      <c r="T8" s="61">
        <f>SUMIFS('2017OT'!$H:$H,'2017OT'!$M:$M,Report!T$4,'2017OT'!$B:$B,Report!$C8)</f>
        <v>41.749999999999929</v>
      </c>
      <c r="U8" s="61">
        <f>SUMIFS('2017OT'!$H:$H,'2017OT'!$M:$M,Report!U$4,'2017OT'!$B:$B,Report!$C8)</f>
        <v>44.999999999999922</v>
      </c>
      <c r="V8" s="17"/>
      <c r="W8" s="61">
        <f>SUMIFS('2017OT'!$H:$H,'2017OT'!$M:$M,Report!W$4,'2017OT'!$B:$B,Report!$C8)</f>
        <v>4.4999999999999876</v>
      </c>
      <c r="X8" s="61">
        <f>SUMIFS('2017OT'!$H:$H,'2017OT'!$M:$M,Report!X$4,'2017OT'!$B:$B,Report!$C8)</f>
        <v>20.25</v>
      </c>
      <c r="Y8" s="61">
        <f>SUMIFS('2017OT'!$H:$H,'2017OT'!$M:$M,Report!Y$4,'2017OT'!$B:$B,Report!$C8)</f>
        <v>92.999999999999986</v>
      </c>
      <c r="Z8" s="61">
        <f>SUMIFS('2017OT'!$H:$H,'2017OT'!$M:$M,Report!Z$4,'2017OT'!$B:$B,Report!$C8)</f>
        <v>37.25</v>
      </c>
      <c r="AA8" s="61">
        <f>SUMIFS('2017OT'!$H:$H,'2017OT'!$M:$M,Report!AA$4,'2017OT'!$B:$B,Report!$C8)</f>
        <v>37.5</v>
      </c>
      <c r="AB8" s="61">
        <f>SUMIFS('2017OT'!$H:$H,'2017OT'!$M:$M,Report!AB$4,'2017OT'!$B:$B,Report!$C8)</f>
        <v>36.999999999999972</v>
      </c>
      <c r="AC8" s="61">
        <f>SUMIFS('2017OT'!$H:$H,'2017OT'!$M:$M,Report!AC$4,'2017OT'!$B:$B,Report!$C8)</f>
        <v>17.750000000000011</v>
      </c>
      <c r="AD8" s="61">
        <f>SUMIFS('2017OT'!$H:$H,'2017OT'!$M:$M,Report!AD$4,'2017OT'!$B:$B,Report!$C8)</f>
        <v>0</v>
      </c>
      <c r="AE8" s="61">
        <f>SUMIFS('2017OT'!$H:$H,'2017OT'!$M:$M,Report!AE$4,'2017OT'!$B:$B,Report!$C8)</f>
        <v>0</v>
      </c>
      <c r="AF8" s="61">
        <f>SUMIFS('2017OT'!$H:$H,'2017OT'!$M:$M,Report!AF$4,'2017OT'!$B:$B,Report!$C8)</f>
        <v>0</v>
      </c>
      <c r="AG8" s="61">
        <f>SUMIFS('2017OT'!$H:$H,'2017OT'!$M:$M,Report!AG$4,'2017OT'!$B:$B,Report!$C8)</f>
        <v>0</v>
      </c>
      <c r="AH8" s="61">
        <f>SUMIFS('2017OT'!$H:$H,'2017OT'!$M:$M,Report!AH$4,'2017OT'!$B:$B,Report!$C8)</f>
        <v>0</v>
      </c>
      <c r="AI8" s="17"/>
      <c r="AJ8" s="61">
        <f>SUMIFS('2017OT'!$H:$H,'2017OT'!$M:$M,Report!AJ$4,'2017OT'!$B:$B,Report!$C8)</f>
        <v>17.999999999999986</v>
      </c>
      <c r="AK8" s="61">
        <f>SUMIFS('2017OT'!$H:$H,'2017OT'!$M:$M,Report!AK$4,'2017OT'!$B:$B,Report!$C8)</f>
        <v>3.9999999999999982</v>
      </c>
      <c r="AL8" s="61">
        <f>SUMIFS('2017OT'!$H:$H,'2017OT'!$M:$M,Report!AL$4,'2017OT'!$B:$B,Report!$C8)</f>
        <v>55.999999999999972</v>
      </c>
      <c r="AM8" s="61">
        <f>SUMIFS('2017OT'!$H:$H,'2017OT'!$M:$M,Report!AM$4,'2017OT'!$B:$B,Report!$C8)</f>
        <v>15.999999999999993</v>
      </c>
      <c r="AN8" s="61">
        <f>SUMIFS('2017OT'!$H:$H,'2017OT'!$M:$M,Report!AN$4,'2017OT'!$B:$B,Report!$C8)</f>
        <v>12.999999999999991</v>
      </c>
      <c r="AO8" s="61">
        <f>SUMIFS('2017OT'!$H:$H,'2017OT'!$M:$M,Report!AO$4,'2017OT'!$B:$B,Report!$C8)</f>
        <v>6.9999999999999929</v>
      </c>
      <c r="AP8" s="61">
        <f>SUMIFS('2017OT'!$H:$H,'2017OT'!$M:$M,Report!AP$4,'2017OT'!$B:$B,Report!$C8)</f>
        <v>31.999999999999979</v>
      </c>
      <c r="AQ8" s="61">
        <f>SUMIFS('2017OT'!$H:$H,'2017OT'!$M:$M,Report!AQ$4,'2017OT'!$B:$B,Report!$C8)</f>
        <v>0</v>
      </c>
      <c r="AR8" s="61">
        <f>SUMIFS('2017OT'!$H:$H,'2017OT'!$M:$M,Report!AR$4,'2017OT'!$B:$B,Report!$C8)</f>
        <v>0</v>
      </c>
      <c r="AS8" s="61">
        <f>SUMIFS('2017OT'!$H:$H,'2017OT'!$M:$M,Report!AS$4,'2017OT'!$B:$B,Report!$C8)</f>
        <v>0</v>
      </c>
      <c r="AT8" s="61">
        <f>SUMIFS('2017OT'!$H:$H,'2017OT'!$M:$M,Report!AT$4,'2017OT'!$B:$B,Report!$C8)</f>
        <v>0</v>
      </c>
      <c r="AU8" s="61">
        <f>SUMIFS('2017OT'!$H:$H,'2017OT'!$M:$M,Report!AU$4,'2017OT'!$B:$B,Report!$C8)</f>
        <v>0</v>
      </c>
      <c r="AV8" s="61"/>
      <c r="AW8" s="31">
        <f t="shared" si="4"/>
        <v>0</v>
      </c>
      <c r="AX8" s="31" t="str">
        <f>IFERROR(VLOOKUP($C8,#REF!,3,0),"")</f>
        <v/>
      </c>
      <c r="AY8" s="31" t="str">
        <f>IFERROR(VLOOKUP($C8,#REF!,3,0),"")</f>
        <v/>
      </c>
      <c r="AZ8" s="31" t="str">
        <f>IFERROR(VLOOKUP($C8,#REF!,3,0),"")</f>
        <v/>
      </c>
      <c r="BA8" s="31" t="str">
        <f>IFERROR(VLOOKUP($C8,#REF!,3,0),"")</f>
        <v/>
      </c>
      <c r="BB8" s="31" t="str">
        <f>IFERROR(VLOOKUP($C8,#REF!,3,0),"")</f>
        <v/>
      </c>
      <c r="BC8" s="31" t="str">
        <f>IFERROR(VLOOKUP($C8,#REF!,3,0),"")</f>
        <v/>
      </c>
      <c r="BD8" s="31" t="str">
        <f>IFERROR(VLOOKUP($C8,#REF!,3,0),"")</f>
        <v/>
      </c>
      <c r="BE8" s="31" t="str">
        <f>IFERROR(VLOOKUP($C8,#REF!,3,0),"")</f>
        <v/>
      </c>
      <c r="BF8" s="31" t="str">
        <f>IFERROR(VLOOKUP($C8,#REF!,3,0),"")</f>
        <v/>
      </c>
      <c r="BG8" s="31" t="str">
        <f>IFERROR(VLOOKUP($C8,#REF!,3,0),"")</f>
        <v/>
      </c>
      <c r="BH8" s="31" t="str">
        <f>IFERROR(VLOOKUP($C8,#REF!,3,0),"")</f>
        <v/>
      </c>
      <c r="BI8" s="31" t="str">
        <f>IFERROR(VLOOKUP($C8,#REF!,3,0),"")</f>
        <v/>
      </c>
      <c r="BJ8" s="17"/>
      <c r="BK8" s="31">
        <f t="shared" si="5"/>
        <v>0</v>
      </c>
      <c r="BL8" s="31" t="str">
        <f t="shared" si="6"/>
        <v/>
      </c>
      <c r="BM8" s="31" t="str">
        <f t="shared" si="7"/>
        <v/>
      </c>
      <c r="BN8" s="31" t="str">
        <f t="shared" si="8"/>
        <v/>
      </c>
      <c r="BO8" s="31" t="str">
        <f t="shared" si="9"/>
        <v/>
      </c>
      <c r="BP8" s="31" t="str">
        <f t="shared" si="10"/>
        <v/>
      </c>
      <c r="BQ8" s="31" t="str">
        <f t="shared" si="11"/>
        <v/>
      </c>
      <c r="BR8" s="31" t="str">
        <f t="shared" si="12"/>
        <v/>
      </c>
      <c r="BS8" s="31" t="str">
        <f t="shared" si="13"/>
        <v/>
      </c>
      <c r="BT8" s="31" t="str">
        <f t="shared" si="14"/>
        <v/>
      </c>
      <c r="BU8" s="31" t="str">
        <f t="shared" si="15"/>
        <v/>
      </c>
      <c r="BV8" s="31" t="str">
        <f t="shared" si="16"/>
        <v/>
      </c>
      <c r="BW8" s="31" t="str">
        <f t="shared" si="17"/>
        <v/>
      </c>
    </row>
    <row r="9" spans="1:88" s="27" customFormat="1" ht="15" customHeight="1">
      <c r="A9" s="83">
        <v>4</v>
      </c>
      <c r="B9" s="19" t="s">
        <v>11</v>
      </c>
      <c r="C9" s="19" t="s">
        <v>542</v>
      </c>
      <c r="D9" s="19" t="s">
        <v>229</v>
      </c>
      <c r="E9" s="75">
        <v>33784</v>
      </c>
      <c r="F9" s="80">
        <v>42887</v>
      </c>
      <c r="G9" s="31">
        <f t="shared" si="1"/>
        <v>0</v>
      </c>
      <c r="H9" s="31">
        <f t="shared" si="2"/>
        <v>111.49999999999993</v>
      </c>
      <c r="I9" s="31">
        <f t="shared" si="3"/>
        <v>128.49999999999991</v>
      </c>
      <c r="J9" s="61">
        <f>SUMIFS('2017OT'!$H:$H,'2017OT'!$M:$M,Report!J$4,'2017OT'!$B:$B,Report!$C9)</f>
        <v>0</v>
      </c>
      <c r="K9" s="61">
        <f>SUMIFS('2017OT'!$H:$H,'2017OT'!$M:$M,Report!K$4,'2017OT'!$B:$B,Report!$C9)</f>
        <v>0</v>
      </c>
      <c r="L9" s="61">
        <f>SUMIFS('2017OT'!$H:$H,'2017OT'!$M:$M,Report!L$4,'2017OT'!$B:$B,Report!$C9)</f>
        <v>0</v>
      </c>
      <c r="M9" s="61">
        <f>SUMIFS('2017OT'!$H:$H,'2017OT'!$M:$M,Report!M$4,'2017OT'!$B:$B,Report!$C9)</f>
        <v>0</v>
      </c>
      <c r="N9" s="61">
        <f>SUMIFS('2017OT'!$H:$H,'2017OT'!$M:$M,Report!N$4,'2017OT'!$B:$B,Report!$C9)</f>
        <v>0</v>
      </c>
      <c r="O9" s="61">
        <f>SUMIFS('2017OT'!$H:$H,'2017OT'!$M:$M,Report!O$4,'2017OT'!$B:$B,Report!$C9)</f>
        <v>0</v>
      </c>
      <c r="P9" s="61">
        <f>SUMIFS('2017OT'!$H:$H,'2017OT'!$M:$M,Report!P$4,'2017OT'!$B:$B,Report!$C9)</f>
        <v>0</v>
      </c>
      <c r="Q9" s="61">
        <f>SUMIFS('2017OT'!$H:$H,'2017OT'!$M:$M,Report!Q$4,'2017OT'!$B:$B,Report!$C9)</f>
        <v>0</v>
      </c>
      <c r="R9" s="61">
        <f>SUMIFS('2017OT'!$H:$H,'2017OT'!$M:$M,Report!R$4,'2017OT'!$B:$B,Report!$C9)</f>
        <v>0</v>
      </c>
      <c r="S9" s="61">
        <f>SUMIFS('2017OT'!$H:$H,'2017OT'!$M:$M,Report!S$4,'2017OT'!$B:$B,Report!$C9)</f>
        <v>0</v>
      </c>
      <c r="T9" s="61">
        <f>SUMIFS('2017OT'!$H:$H,'2017OT'!$M:$M,Report!T$4,'2017OT'!$B:$B,Report!$C9)</f>
        <v>0</v>
      </c>
      <c r="U9" s="61">
        <f>SUMIFS('2017OT'!$H:$H,'2017OT'!$M:$M,Report!U$4,'2017OT'!$B:$B,Report!$C9)</f>
        <v>0</v>
      </c>
      <c r="V9" s="17"/>
      <c r="W9" s="61">
        <f>SUMIFS('2017OT'!$H:$H,'2017OT'!$M:$M,Report!W$4,'2017OT'!$B:$B,Report!$C9)</f>
        <v>0</v>
      </c>
      <c r="X9" s="61">
        <f>SUMIFS('2017OT'!$H:$H,'2017OT'!$M:$M,Report!X$4,'2017OT'!$B:$B,Report!$C9)</f>
        <v>0</v>
      </c>
      <c r="Y9" s="61">
        <f>SUMIFS('2017OT'!$H:$H,'2017OT'!$M:$M,Report!Y$4,'2017OT'!$B:$B,Report!$C9)</f>
        <v>0</v>
      </c>
      <c r="Z9" s="61">
        <f>SUMIFS('2017OT'!$H:$H,'2017OT'!$M:$M,Report!Z$4,'2017OT'!$B:$B,Report!$C9)</f>
        <v>0</v>
      </c>
      <c r="AA9" s="61">
        <f>SUMIFS('2017OT'!$H:$H,'2017OT'!$M:$M,Report!AA$4,'2017OT'!$B:$B,Report!$C9)</f>
        <v>32.499999999999972</v>
      </c>
      <c r="AB9" s="61">
        <f>SUMIFS('2017OT'!$H:$H,'2017OT'!$M:$M,Report!AB$4,'2017OT'!$B:$B,Report!$C9)</f>
        <v>52.999999999999943</v>
      </c>
      <c r="AC9" s="61">
        <f>SUMIFS('2017OT'!$H:$H,'2017OT'!$M:$M,Report!AC$4,'2017OT'!$B:$B,Report!$C9)</f>
        <v>24.000000000000014</v>
      </c>
      <c r="AD9" s="61">
        <f>SUMIFS('2017OT'!$H:$H,'2017OT'!$M:$M,Report!AD$4,'2017OT'!$B:$B,Report!$C9)</f>
        <v>0</v>
      </c>
      <c r="AE9" s="61">
        <f>SUMIFS('2017OT'!$H:$H,'2017OT'!$M:$M,Report!AE$4,'2017OT'!$B:$B,Report!$C9)</f>
        <v>0</v>
      </c>
      <c r="AF9" s="61">
        <f>SUMIFS('2017OT'!$H:$H,'2017OT'!$M:$M,Report!AF$4,'2017OT'!$B:$B,Report!$C9)</f>
        <v>1.9999999999999964</v>
      </c>
      <c r="AG9" s="61">
        <f>SUMIFS('2017OT'!$H:$H,'2017OT'!$M:$M,Report!AG$4,'2017OT'!$B:$B,Report!$C9)</f>
        <v>0</v>
      </c>
      <c r="AH9" s="61">
        <f>SUMIFS('2017OT'!$H:$H,'2017OT'!$M:$M,Report!AH$4,'2017OT'!$B:$B,Report!$C9)</f>
        <v>0</v>
      </c>
      <c r="AI9" s="17"/>
      <c r="AJ9" s="61">
        <f>SUMIFS('2017OT'!$H:$H,'2017OT'!$M:$M,Report!AJ$4,'2017OT'!$B:$B,Report!$C9)</f>
        <v>17.999999999999986</v>
      </c>
      <c r="AK9" s="61">
        <f>SUMIFS('2017OT'!$H:$H,'2017OT'!$M:$M,Report!AK$4,'2017OT'!$B:$B,Report!$C9)</f>
        <v>5.4999999999999982</v>
      </c>
      <c r="AL9" s="61">
        <f>SUMIFS('2017OT'!$H:$H,'2017OT'!$M:$M,Report!AL$4,'2017OT'!$B:$B,Report!$C9)</f>
        <v>34.999999999999972</v>
      </c>
      <c r="AM9" s="61">
        <f>SUMIFS('2017OT'!$H:$H,'2017OT'!$M:$M,Report!AM$4,'2017OT'!$B:$B,Report!$C9)</f>
        <v>15.999999999999993</v>
      </c>
      <c r="AN9" s="61">
        <f>SUMIFS('2017OT'!$H:$H,'2017OT'!$M:$M,Report!AN$4,'2017OT'!$B:$B,Report!$C9)</f>
        <v>12.999999999999991</v>
      </c>
      <c r="AO9" s="61">
        <f>SUMIFS('2017OT'!$H:$H,'2017OT'!$M:$M,Report!AO$4,'2017OT'!$B:$B,Report!$C9)</f>
        <v>8.4999999999999947</v>
      </c>
      <c r="AP9" s="61">
        <f>SUMIFS('2017OT'!$H:$H,'2017OT'!$M:$M,Report!AP$4,'2017OT'!$B:$B,Report!$C9)</f>
        <v>32.499999999999986</v>
      </c>
      <c r="AQ9" s="61">
        <f>SUMIFS('2017OT'!$H:$H,'2017OT'!$M:$M,Report!AQ$4,'2017OT'!$B:$B,Report!$C9)</f>
        <v>0</v>
      </c>
      <c r="AR9" s="61">
        <f>SUMIFS('2017OT'!$H:$H,'2017OT'!$M:$M,Report!AR$4,'2017OT'!$B:$B,Report!$C9)</f>
        <v>0</v>
      </c>
      <c r="AS9" s="61">
        <f>SUMIFS('2017OT'!$H:$H,'2017OT'!$M:$M,Report!AS$4,'2017OT'!$B:$B,Report!$C9)</f>
        <v>0</v>
      </c>
      <c r="AT9" s="61">
        <f>SUMIFS('2017OT'!$H:$H,'2017OT'!$M:$M,Report!AT$4,'2017OT'!$B:$B,Report!$C9)</f>
        <v>0</v>
      </c>
      <c r="AU9" s="61">
        <f>SUMIFS('2017OT'!$H:$H,'2017OT'!$M:$M,Report!AU$4,'2017OT'!$B:$B,Report!$C9)</f>
        <v>0</v>
      </c>
      <c r="AV9" s="61"/>
      <c r="AW9" s="31">
        <f t="shared" si="4"/>
        <v>0</v>
      </c>
      <c r="AX9" s="31" t="str">
        <f>IFERROR(VLOOKUP($C9,#REF!,3,0),"")</f>
        <v/>
      </c>
      <c r="AY9" s="31" t="str">
        <f>IFERROR(VLOOKUP($C9,#REF!,3,0),"")</f>
        <v/>
      </c>
      <c r="AZ9" s="31" t="str">
        <f>IFERROR(VLOOKUP($C9,#REF!,3,0),"")</f>
        <v/>
      </c>
      <c r="BA9" s="31" t="str">
        <f>IFERROR(VLOOKUP($C9,#REF!,3,0),"")</f>
        <v/>
      </c>
      <c r="BB9" s="31" t="str">
        <f>IFERROR(VLOOKUP($C9,#REF!,3,0),"")</f>
        <v/>
      </c>
      <c r="BC9" s="31" t="str">
        <f>IFERROR(VLOOKUP($C9,#REF!,3,0),"")</f>
        <v/>
      </c>
      <c r="BD9" s="31" t="str">
        <f>IFERROR(VLOOKUP($C9,#REF!,3,0),"")</f>
        <v/>
      </c>
      <c r="BE9" s="31" t="str">
        <f>IFERROR(VLOOKUP($C9,#REF!,3,0),"")</f>
        <v/>
      </c>
      <c r="BF9" s="31" t="str">
        <f>IFERROR(VLOOKUP($C9,#REF!,3,0),"")</f>
        <v/>
      </c>
      <c r="BG9" s="31" t="str">
        <f>IFERROR(VLOOKUP($C9,#REF!,3,0),"")</f>
        <v/>
      </c>
      <c r="BH9" s="31" t="str">
        <f>IFERROR(VLOOKUP($C9,#REF!,3,0),"")</f>
        <v/>
      </c>
      <c r="BI9" s="31" t="str">
        <f>IFERROR(VLOOKUP($C9,#REF!,3,0),"")</f>
        <v/>
      </c>
      <c r="BJ9" s="17"/>
      <c r="BK9" s="31">
        <f t="shared" si="5"/>
        <v>0</v>
      </c>
      <c r="BL9" s="31" t="str">
        <f t="shared" si="6"/>
        <v/>
      </c>
      <c r="BM9" s="31" t="str">
        <f t="shared" si="7"/>
        <v/>
      </c>
      <c r="BN9" s="31" t="str">
        <f t="shared" si="8"/>
        <v/>
      </c>
      <c r="BO9" s="31" t="str">
        <f t="shared" si="9"/>
        <v/>
      </c>
      <c r="BP9" s="31" t="str">
        <f t="shared" si="10"/>
        <v/>
      </c>
      <c r="BQ9" s="31" t="str">
        <f t="shared" si="11"/>
        <v/>
      </c>
      <c r="BR9" s="31" t="str">
        <f t="shared" si="12"/>
        <v/>
      </c>
      <c r="BS9" s="31" t="str">
        <f t="shared" si="13"/>
        <v/>
      </c>
      <c r="BT9" s="31" t="str">
        <f t="shared" si="14"/>
        <v/>
      </c>
      <c r="BU9" s="31" t="str">
        <f t="shared" si="15"/>
        <v/>
      </c>
      <c r="BV9" s="31" t="str">
        <f t="shared" si="16"/>
        <v/>
      </c>
      <c r="BW9" s="31" t="str">
        <f t="shared" si="17"/>
        <v/>
      </c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</row>
    <row r="10" spans="1:88" s="27" customFormat="1" ht="15" customHeight="1">
      <c r="A10" s="83">
        <v>5</v>
      </c>
      <c r="B10" s="19" t="s">
        <v>11</v>
      </c>
      <c r="C10" s="70" t="s">
        <v>547</v>
      </c>
      <c r="D10" s="19" t="s">
        <v>229</v>
      </c>
      <c r="E10" s="75">
        <v>34093</v>
      </c>
      <c r="F10" s="80">
        <v>42885</v>
      </c>
      <c r="G10" s="31">
        <f t="shared" si="1"/>
        <v>0</v>
      </c>
      <c r="H10" s="31">
        <f t="shared" si="2"/>
        <v>97.249999999999929</v>
      </c>
      <c r="I10" s="31">
        <f t="shared" si="3"/>
        <v>81.499999999999972</v>
      </c>
      <c r="J10" s="61">
        <f>SUMIFS('2017OT'!$H:$H,'2017OT'!$M:$M,Report!J$4,'2017OT'!$B:$B,Report!$C10)</f>
        <v>0</v>
      </c>
      <c r="K10" s="61">
        <f>SUMIFS('2017OT'!$H:$H,'2017OT'!$M:$M,Report!K$4,'2017OT'!$B:$B,Report!$C10)</f>
        <v>0</v>
      </c>
      <c r="L10" s="61">
        <f>SUMIFS('2017OT'!$H:$H,'2017OT'!$M:$M,Report!L$4,'2017OT'!$B:$B,Report!$C10)</f>
        <v>0</v>
      </c>
      <c r="M10" s="61">
        <f>SUMIFS('2017OT'!$H:$H,'2017OT'!$M:$M,Report!M$4,'2017OT'!$B:$B,Report!$C10)</f>
        <v>0</v>
      </c>
      <c r="N10" s="61">
        <f>SUMIFS('2017OT'!$H:$H,'2017OT'!$M:$M,Report!N$4,'2017OT'!$B:$B,Report!$C10)</f>
        <v>0</v>
      </c>
      <c r="O10" s="61">
        <f>SUMIFS('2017OT'!$H:$H,'2017OT'!$M:$M,Report!O$4,'2017OT'!$B:$B,Report!$C10)</f>
        <v>0</v>
      </c>
      <c r="P10" s="61">
        <f>SUMIFS('2017OT'!$H:$H,'2017OT'!$M:$M,Report!P$4,'2017OT'!$B:$B,Report!$C10)</f>
        <v>0</v>
      </c>
      <c r="Q10" s="61">
        <f>SUMIFS('2017OT'!$H:$H,'2017OT'!$M:$M,Report!Q$4,'2017OT'!$B:$B,Report!$C10)</f>
        <v>0</v>
      </c>
      <c r="R10" s="61">
        <f>SUMIFS('2017OT'!$H:$H,'2017OT'!$M:$M,Report!R$4,'2017OT'!$B:$B,Report!$C10)</f>
        <v>0</v>
      </c>
      <c r="S10" s="61">
        <f>SUMIFS('2017OT'!$H:$H,'2017OT'!$M:$M,Report!S$4,'2017OT'!$B:$B,Report!$C10)</f>
        <v>0</v>
      </c>
      <c r="T10" s="61">
        <f>SUMIFS('2017OT'!$H:$H,'2017OT'!$M:$M,Report!T$4,'2017OT'!$B:$B,Report!$C10)</f>
        <v>0</v>
      </c>
      <c r="U10" s="61">
        <f>SUMIFS('2017OT'!$H:$H,'2017OT'!$M:$M,Report!U$4,'2017OT'!$B:$B,Report!$C10)</f>
        <v>0</v>
      </c>
      <c r="V10" s="17"/>
      <c r="W10" s="61">
        <f>SUMIFS('2017OT'!$H:$H,'2017OT'!$M:$M,Report!W$4,'2017OT'!$B:$B,Report!$C10)</f>
        <v>0</v>
      </c>
      <c r="X10" s="61">
        <f>SUMIFS('2017OT'!$H:$H,'2017OT'!$M:$M,Report!X$4,'2017OT'!$B:$B,Report!$C10)</f>
        <v>0</v>
      </c>
      <c r="Y10" s="61">
        <f>SUMIFS('2017OT'!$H:$H,'2017OT'!$M:$M,Report!Y$4,'2017OT'!$B:$B,Report!$C10)</f>
        <v>0</v>
      </c>
      <c r="Z10" s="61">
        <f>SUMIFS('2017OT'!$H:$H,'2017OT'!$M:$M,Report!Z$4,'2017OT'!$B:$B,Report!$C10)</f>
        <v>0</v>
      </c>
      <c r="AA10" s="61">
        <f>SUMIFS('2017OT'!$H:$H,'2017OT'!$M:$M,Report!AA$4,'2017OT'!$B:$B,Report!$C10)</f>
        <v>20.499999999999968</v>
      </c>
      <c r="AB10" s="61">
        <f>SUMIFS('2017OT'!$H:$H,'2017OT'!$M:$M,Report!AB$4,'2017OT'!$B:$B,Report!$C10)</f>
        <v>52.999999999999943</v>
      </c>
      <c r="AC10" s="61">
        <f>SUMIFS('2017OT'!$H:$H,'2017OT'!$M:$M,Report!AC$4,'2017OT'!$B:$B,Report!$C10)</f>
        <v>21.750000000000014</v>
      </c>
      <c r="AD10" s="61">
        <f>SUMIFS('2017OT'!$H:$H,'2017OT'!$M:$M,Report!AD$4,'2017OT'!$B:$B,Report!$C10)</f>
        <v>0</v>
      </c>
      <c r="AE10" s="61">
        <f>SUMIFS('2017OT'!$H:$H,'2017OT'!$M:$M,Report!AE$4,'2017OT'!$B:$B,Report!$C10)</f>
        <v>0</v>
      </c>
      <c r="AF10" s="61">
        <f>SUMIFS('2017OT'!$H:$H,'2017OT'!$M:$M,Report!AF$4,'2017OT'!$B:$B,Report!$C10)</f>
        <v>1.9999999999999964</v>
      </c>
      <c r="AG10" s="61">
        <f>SUMIFS('2017OT'!$H:$H,'2017OT'!$M:$M,Report!AG$4,'2017OT'!$B:$B,Report!$C10)</f>
        <v>0</v>
      </c>
      <c r="AH10" s="61">
        <f>SUMIFS('2017OT'!$H:$H,'2017OT'!$M:$M,Report!AH$4,'2017OT'!$B:$B,Report!$C10)</f>
        <v>0</v>
      </c>
      <c r="AI10" s="17"/>
      <c r="AJ10" s="61">
        <f>SUMIFS('2017OT'!$H:$H,'2017OT'!$M:$M,Report!AJ$4,'2017OT'!$B:$B,Report!$C10)</f>
        <v>11.999999999999995</v>
      </c>
      <c r="AK10" s="61">
        <f>SUMIFS('2017OT'!$H:$H,'2017OT'!$M:$M,Report!AK$4,'2017OT'!$B:$B,Report!$C10)</f>
        <v>3.9999999999999982</v>
      </c>
      <c r="AL10" s="61">
        <f>SUMIFS('2017OT'!$H:$H,'2017OT'!$M:$M,Report!AL$4,'2017OT'!$B:$B,Report!$C10)</f>
        <v>7.9999999999999964</v>
      </c>
      <c r="AM10" s="61">
        <f>SUMIFS('2017OT'!$H:$H,'2017OT'!$M:$M,Report!AM$4,'2017OT'!$B:$B,Report!$C10)</f>
        <v>15.999999999999993</v>
      </c>
      <c r="AN10" s="61">
        <f>SUMIFS('2017OT'!$H:$H,'2017OT'!$M:$M,Report!AN$4,'2017OT'!$B:$B,Report!$C10)</f>
        <v>12.999999999999991</v>
      </c>
      <c r="AO10" s="61">
        <f>SUMIFS('2017OT'!$H:$H,'2017OT'!$M:$M,Report!AO$4,'2017OT'!$B:$B,Report!$C10)</f>
        <v>8.4999999999999947</v>
      </c>
      <c r="AP10" s="61">
        <f>SUMIFS('2017OT'!$H:$H,'2017OT'!$M:$M,Report!AP$4,'2017OT'!$B:$B,Report!$C10)</f>
        <v>19.999999999999993</v>
      </c>
      <c r="AQ10" s="61">
        <f>SUMIFS('2017OT'!$H:$H,'2017OT'!$M:$M,Report!AQ$4,'2017OT'!$B:$B,Report!$C10)</f>
        <v>0</v>
      </c>
      <c r="AR10" s="61">
        <f>SUMIFS('2017OT'!$H:$H,'2017OT'!$M:$M,Report!AR$4,'2017OT'!$B:$B,Report!$C10)</f>
        <v>0</v>
      </c>
      <c r="AS10" s="61">
        <f>SUMIFS('2017OT'!$H:$H,'2017OT'!$M:$M,Report!AS$4,'2017OT'!$B:$B,Report!$C10)</f>
        <v>0</v>
      </c>
      <c r="AT10" s="61">
        <f>SUMIFS('2017OT'!$H:$H,'2017OT'!$M:$M,Report!AT$4,'2017OT'!$B:$B,Report!$C10)</f>
        <v>0</v>
      </c>
      <c r="AU10" s="61">
        <f>SUMIFS('2017OT'!$H:$H,'2017OT'!$M:$M,Report!AU$4,'2017OT'!$B:$B,Report!$C10)</f>
        <v>0</v>
      </c>
      <c r="AV10" s="61"/>
      <c r="AW10" s="31">
        <f t="shared" si="4"/>
        <v>0</v>
      </c>
      <c r="AX10" s="31" t="str">
        <f>IFERROR(VLOOKUP($C10,#REF!,3,0),"")</f>
        <v/>
      </c>
      <c r="AY10" s="31" t="str">
        <f>IFERROR(VLOOKUP($C10,#REF!,3,0),"")</f>
        <v/>
      </c>
      <c r="AZ10" s="31" t="str">
        <f>IFERROR(VLOOKUP($C10,#REF!,3,0),"")</f>
        <v/>
      </c>
      <c r="BA10" s="31" t="str">
        <f>IFERROR(VLOOKUP($C10,#REF!,3,0),"")</f>
        <v/>
      </c>
      <c r="BB10" s="31" t="str">
        <f>IFERROR(VLOOKUP($C10,#REF!,3,0),"")</f>
        <v/>
      </c>
      <c r="BC10" s="31" t="str">
        <f>IFERROR(VLOOKUP($C10,#REF!,3,0),"")</f>
        <v/>
      </c>
      <c r="BD10" s="31" t="str">
        <f>IFERROR(VLOOKUP($C10,#REF!,3,0),"")</f>
        <v/>
      </c>
      <c r="BE10" s="31" t="str">
        <f>IFERROR(VLOOKUP($C10,#REF!,3,0),"")</f>
        <v/>
      </c>
      <c r="BF10" s="31" t="str">
        <f>IFERROR(VLOOKUP($C10,#REF!,3,0),"")</f>
        <v/>
      </c>
      <c r="BG10" s="31" t="str">
        <f>IFERROR(VLOOKUP($C10,#REF!,3,0),"")</f>
        <v/>
      </c>
      <c r="BH10" s="31" t="str">
        <f>IFERROR(VLOOKUP($C10,#REF!,3,0),"")</f>
        <v/>
      </c>
      <c r="BI10" s="31" t="str">
        <f>IFERROR(VLOOKUP($C10,#REF!,3,0),"")</f>
        <v/>
      </c>
      <c r="BJ10" s="17"/>
      <c r="BK10" s="31">
        <f t="shared" si="5"/>
        <v>0</v>
      </c>
      <c r="BL10" s="31" t="str">
        <f t="shared" si="6"/>
        <v/>
      </c>
      <c r="BM10" s="31" t="str">
        <f t="shared" si="7"/>
        <v/>
      </c>
      <c r="BN10" s="31" t="str">
        <f t="shared" si="8"/>
        <v/>
      </c>
      <c r="BO10" s="31" t="str">
        <f t="shared" si="9"/>
        <v/>
      </c>
      <c r="BP10" s="31" t="str">
        <f t="shared" si="10"/>
        <v/>
      </c>
      <c r="BQ10" s="31" t="str">
        <f t="shared" si="11"/>
        <v/>
      </c>
      <c r="BR10" s="31" t="str">
        <f t="shared" si="12"/>
        <v/>
      </c>
      <c r="BS10" s="31" t="str">
        <f t="shared" si="13"/>
        <v/>
      </c>
      <c r="BT10" s="31" t="str">
        <f t="shared" si="14"/>
        <v/>
      </c>
      <c r="BU10" s="31" t="str">
        <f t="shared" si="15"/>
        <v/>
      </c>
      <c r="BV10" s="31" t="str">
        <f t="shared" si="16"/>
        <v/>
      </c>
      <c r="BW10" s="31" t="str">
        <f t="shared" si="17"/>
        <v/>
      </c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</row>
    <row r="11" spans="1:88" s="27" customFormat="1" ht="15" customHeight="1">
      <c r="A11" s="83">
        <v>6</v>
      </c>
      <c r="B11" s="19" t="s">
        <v>11</v>
      </c>
      <c r="C11" s="19" t="s">
        <v>684</v>
      </c>
      <c r="D11" s="19" t="s">
        <v>229</v>
      </c>
      <c r="E11" s="19"/>
      <c r="F11" s="80">
        <v>42522</v>
      </c>
      <c r="G11" s="31">
        <f t="shared" si="1"/>
        <v>0</v>
      </c>
      <c r="H11" s="31">
        <f t="shared" si="2"/>
        <v>1.9999999999999964</v>
      </c>
      <c r="I11" s="31">
        <f t="shared" si="3"/>
        <v>100.99999999999994</v>
      </c>
      <c r="J11" s="61">
        <f>SUMIFS('2017OT'!$H:$H,'2017OT'!$M:$M,Report!J$4,'2017OT'!$B:$B,Report!$C11)</f>
        <v>0</v>
      </c>
      <c r="K11" s="61">
        <f>SUMIFS('2017OT'!$H:$H,'2017OT'!$M:$M,Report!K$4,'2017OT'!$B:$B,Report!$C11)</f>
        <v>0</v>
      </c>
      <c r="L11" s="61">
        <f>SUMIFS('2017OT'!$H:$H,'2017OT'!$M:$M,Report!L$4,'2017OT'!$B:$B,Report!$C11)</f>
        <v>0</v>
      </c>
      <c r="M11" s="61">
        <f>SUMIFS('2017OT'!$H:$H,'2017OT'!$M:$M,Report!M$4,'2017OT'!$B:$B,Report!$C11)</f>
        <v>0</v>
      </c>
      <c r="N11" s="61">
        <f>SUMIFS('2017OT'!$H:$H,'2017OT'!$M:$M,Report!N$4,'2017OT'!$B:$B,Report!$C11)</f>
        <v>0</v>
      </c>
      <c r="O11" s="61">
        <f>SUMIFS('2017OT'!$H:$H,'2017OT'!$M:$M,Report!O$4,'2017OT'!$B:$B,Report!$C11)</f>
        <v>0</v>
      </c>
      <c r="P11" s="61">
        <f>SUMIFS('2017OT'!$H:$H,'2017OT'!$M:$M,Report!P$4,'2017OT'!$B:$B,Report!$C11)</f>
        <v>0</v>
      </c>
      <c r="Q11" s="61">
        <f>SUMIFS('2017OT'!$H:$H,'2017OT'!$M:$M,Report!Q$4,'2017OT'!$B:$B,Report!$C11)</f>
        <v>0</v>
      </c>
      <c r="R11" s="61">
        <f>SUMIFS('2017OT'!$H:$H,'2017OT'!$M:$M,Report!R$4,'2017OT'!$B:$B,Report!$C11)</f>
        <v>0</v>
      </c>
      <c r="S11" s="61">
        <f>SUMIFS('2017OT'!$H:$H,'2017OT'!$M:$M,Report!S$4,'2017OT'!$B:$B,Report!$C11)</f>
        <v>0</v>
      </c>
      <c r="T11" s="61">
        <f>SUMIFS('2017OT'!$H:$H,'2017OT'!$M:$M,Report!T$4,'2017OT'!$B:$B,Report!$C11)</f>
        <v>0</v>
      </c>
      <c r="U11" s="61">
        <f>SUMIFS('2017OT'!$H:$H,'2017OT'!$M:$M,Report!U$4,'2017OT'!$B:$B,Report!$C11)</f>
        <v>0</v>
      </c>
      <c r="W11" s="61">
        <f>SUMIFS('2017OT'!$H:$H,'2017OT'!$M:$M,Report!W$4,'2017OT'!$B:$B,Report!$C11)</f>
        <v>0</v>
      </c>
      <c r="X11" s="61">
        <f>SUMIFS('2017OT'!$H:$H,'2017OT'!$M:$M,Report!X$4,'2017OT'!$B:$B,Report!$C11)</f>
        <v>0</v>
      </c>
      <c r="Y11" s="61">
        <f>SUMIFS('2017OT'!$H:$H,'2017OT'!$M:$M,Report!Y$4,'2017OT'!$B:$B,Report!$C11)</f>
        <v>0</v>
      </c>
      <c r="Z11" s="61">
        <f>SUMIFS('2017OT'!$H:$H,'2017OT'!$M:$M,Report!Z$4,'2017OT'!$B:$B,Report!$C11)</f>
        <v>0</v>
      </c>
      <c r="AA11" s="61">
        <f>SUMIFS('2017OT'!$H:$H,'2017OT'!$M:$M,Report!AA$4,'2017OT'!$B:$B,Report!$C11)</f>
        <v>0</v>
      </c>
      <c r="AB11" s="61">
        <f>SUMIFS('2017OT'!$H:$H,'2017OT'!$M:$M,Report!AB$4,'2017OT'!$B:$B,Report!$C11)</f>
        <v>0</v>
      </c>
      <c r="AC11" s="61">
        <f>SUMIFS('2017OT'!$H:$H,'2017OT'!$M:$M,Report!AC$4,'2017OT'!$B:$B,Report!$C11)</f>
        <v>0</v>
      </c>
      <c r="AD11" s="61">
        <f>SUMIFS('2017OT'!$H:$H,'2017OT'!$M:$M,Report!AD$4,'2017OT'!$B:$B,Report!$C11)</f>
        <v>0</v>
      </c>
      <c r="AE11" s="61">
        <f>SUMIFS('2017OT'!$H:$H,'2017OT'!$M:$M,Report!AE$4,'2017OT'!$B:$B,Report!$C11)</f>
        <v>0</v>
      </c>
      <c r="AF11" s="61">
        <f>SUMIFS('2017OT'!$H:$H,'2017OT'!$M:$M,Report!AF$4,'2017OT'!$B:$B,Report!$C11)</f>
        <v>1.9999999999999964</v>
      </c>
      <c r="AG11" s="61">
        <f>SUMIFS('2017OT'!$H:$H,'2017OT'!$M:$M,Report!AG$4,'2017OT'!$B:$B,Report!$C11)</f>
        <v>0</v>
      </c>
      <c r="AH11" s="61">
        <f>SUMIFS('2017OT'!$H:$H,'2017OT'!$M:$M,Report!AH$4,'2017OT'!$B:$B,Report!$C11)</f>
        <v>0</v>
      </c>
      <c r="AJ11" s="61">
        <f>SUMIFS('2017OT'!$H:$H,'2017OT'!$M:$M,Report!AJ$4,'2017OT'!$B:$B,Report!$C11)</f>
        <v>17.999999999999986</v>
      </c>
      <c r="AK11" s="61">
        <f>SUMIFS('2017OT'!$H:$H,'2017OT'!$M:$M,Report!AK$4,'2017OT'!$B:$B,Report!$C11)</f>
        <v>0.49999999999999645</v>
      </c>
      <c r="AL11" s="61">
        <f>SUMIFS('2017OT'!$H:$H,'2017OT'!$M:$M,Report!AL$4,'2017OT'!$B:$B,Report!$C11)</f>
        <v>7.9999999999999964</v>
      </c>
      <c r="AM11" s="61">
        <f>SUMIFS('2017OT'!$H:$H,'2017OT'!$M:$M,Report!AM$4,'2017OT'!$B:$B,Report!$C11)</f>
        <v>19.999999999999989</v>
      </c>
      <c r="AN11" s="61">
        <f>SUMIFS('2017OT'!$H:$H,'2017OT'!$M:$M,Report!AN$4,'2017OT'!$B:$B,Report!$C11)</f>
        <v>12.499999999999993</v>
      </c>
      <c r="AO11" s="61">
        <f>SUMIFS('2017OT'!$H:$H,'2017OT'!$M:$M,Report!AO$4,'2017OT'!$B:$B,Report!$C11)</f>
        <v>7.9999999999999929</v>
      </c>
      <c r="AP11" s="61">
        <f>SUMIFS('2017OT'!$H:$H,'2017OT'!$M:$M,Report!AP$4,'2017OT'!$B:$B,Report!$C11)</f>
        <v>33.999999999999986</v>
      </c>
      <c r="AQ11" s="61">
        <f>SUMIFS('2017OT'!$H:$H,'2017OT'!$M:$M,Report!AQ$4,'2017OT'!$B:$B,Report!$C11)</f>
        <v>0</v>
      </c>
      <c r="AR11" s="61">
        <f>SUMIFS('2017OT'!$H:$H,'2017OT'!$M:$M,Report!AR$4,'2017OT'!$B:$B,Report!$C11)</f>
        <v>0</v>
      </c>
      <c r="AS11" s="61">
        <f>SUMIFS('2017OT'!$H:$H,'2017OT'!$M:$M,Report!AS$4,'2017OT'!$B:$B,Report!$C11)</f>
        <v>0</v>
      </c>
      <c r="AT11" s="61">
        <f>SUMIFS('2017OT'!$H:$H,'2017OT'!$M:$M,Report!AT$4,'2017OT'!$B:$B,Report!$C11)</f>
        <v>0</v>
      </c>
      <c r="AU11" s="61">
        <f>SUMIFS('2017OT'!$H:$H,'2017OT'!$M:$M,Report!AU$4,'2017OT'!$B:$B,Report!$C11)</f>
        <v>0</v>
      </c>
      <c r="AV11" s="61"/>
      <c r="AW11" s="31">
        <f t="shared" si="4"/>
        <v>0</v>
      </c>
      <c r="AX11" s="31" t="str">
        <f>IFERROR(VLOOKUP($C11,#REF!,3,0),"")</f>
        <v/>
      </c>
      <c r="AY11" s="31" t="str">
        <f>IFERROR(VLOOKUP($C11,#REF!,3,0),"")</f>
        <v/>
      </c>
      <c r="AZ11" s="31" t="str">
        <f>IFERROR(VLOOKUP($C11,#REF!,3,0),"")</f>
        <v/>
      </c>
      <c r="BA11" s="31" t="str">
        <f>IFERROR(VLOOKUP($C11,#REF!,3,0),"")</f>
        <v/>
      </c>
      <c r="BB11" s="31" t="str">
        <f>IFERROR(VLOOKUP($C11,#REF!,3,0),"")</f>
        <v/>
      </c>
      <c r="BC11" s="31" t="str">
        <f>IFERROR(VLOOKUP($C11,#REF!,3,0),"")</f>
        <v/>
      </c>
      <c r="BD11" s="31" t="str">
        <f>IFERROR(VLOOKUP($C11,#REF!,3,0),"")</f>
        <v/>
      </c>
      <c r="BE11" s="31" t="str">
        <f>IFERROR(VLOOKUP($C11,#REF!,3,0),"")</f>
        <v/>
      </c>
      <c r="BF11" s="31" t="str">
        <f>IFERROR(VLOOKUP($C11,#REF!,3,0),"")</f>
        <v/>
      </c>
      <c r="BG11" s="31" t="str">
        <f>IFERROR(VLOOKUP($C11,#REF!,3,0),"")</f>
        <v/>
      </c>
      <c r="BH11" s="31" t="str">
        <f>IFERROR(VLOOKUP($C11,#REF!,3,0),"")</f>
        <v/>
      </c>
      <c r="BI11" s="31" t="str">
        <f>IFERROR(VLOOKUP($C11,#REF!,3,0),"")</f>
        <v/>
      </c>
      <c r="BK11" s="31">
        <f t="shared" si="5"/>
        <v>0</v>
      </c>
      <c r="BL11" s="31" t="str">
        <f t="shared" si="6"/>
        <v/>
      </c>
      <c r="BM11" s="31" t="str">
        <f t="shared" si="7"/>
        <v/>
      </c>
      <c r="BN11" s="31" t="str">
        <f t="shared" si="8"/>
        <v/>
      </c>
      <c r="BO11" s="31" t="str">
        <f t="shared" si="9"/>
        <v/>
      </c>
      <c r="BP11" s="31" t="str">
        <f t="shared" si="10"/>
        <v/>
      </c>
      <c r="BQ11" s="31" t="str">
        <f t="shared" si="11"/>
        <v/>
      </c>
      <c r="BR11" s="31" t="str">
        <f t="shared" si="12"/>
        <v/>
      </c>
      <c r="BS11" s="31" t="str">
        <f t="shared" si="13"/>
        <v/>
      </c>
      <c r="BT11" s="31" t="str">
        <f t="shared" si="14"/>
        <v/>
      </c>
      <c r="BU11" s="31" t="str">
        <f t="shared" si="15"/>
        <v/>
      </c>
      <c r="BV11" s="31" t="str">
        <f t="shared" si="16"/>
        <v/>
      </c>
      <c r="BW11" s="31" t="str">
        <f t="shared" si="17"/>
        <v/>
      </c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</row>
    <row r="12" spans="1:88" s="27" customFormat="1" ht="15" customHeight="1">
      <c r="A12" s="83">
        <v>7</v>
      </c>
      <c r="B12" s="19" t="s">
        <v>11</v>
      </c>
      <c r="C12" s="19" t="s">
        <v>149</v>
      </c>
      <c r="D12" s="19" t="s">
        <v>229</v>
      </c>
      <c r="E12" s="75">
        <v>34435</v>
      </c>
      <c r="F12" s="80">
        <v>43227</v>
      </c>
      <c r="G12" s="31">
        <f t="shared" si="1"/>
        <v>288.74999999999972</v>
      </c>
      <c r="H12" s="31">
        <f t="shared" si="2"/>
        <v>208.99999999999994</v>
      </c>
      <c r="I12" s="31">
        <f t="shared" si="3"/>
        <v>102.49999999999994</v>
      </c>
      <c r="J12" s="61">
        <f>SUMIFS('2017OT'!$H:$H,'2017OT'!$M:$M,Report!J$4,'2017OT'!$B:$B,Report!$C12)</f>
        <v>0</v>
      </c>
      <c r="K12" s="61">
        <f>SUMIFS('2017OT'!$H:$H,'2017OT'!$M:$M,Report!K$4,'2017OT'!$B:$B,Report!$C12)</f>
        <v>0</v>
      </c>
      <c r="L12" s="61">
        <f>SUMIFS('2017OT'!$H:$H,'2017OT'!$M:$M,Report!L$4,'2017OT'!$B:$B,Report!$C12)</f>
        <v>0</v>
      </c>
      <c r="M12" s="61">
        <f>SUMIFS('2017OT'!$H:$H,'2017OT'!$M:$M,Report!M$4,'2017OT'!$B:$B,Report!$C12)</f>
        <v>0</v>
      </c>
      <c r="N12" s="61">
        <f>SUMIFS('2017OT'!$H:$H,'2017OT'!$M:$M,Report!N$4,'2017OT'!$B:$B,Report!$C12)</f>
        <v>13.999999999999959</v>
      </c>
      <c r="O12" s="61">
        <f>SUMIFS('2017OT'!$H:$H,'2017OT'!$M:$M,Report!O$4,'2017OT'!$B:$B,Report!$C12)</f>
        <v>26.999999999999979</v>
      </c>
      <c r="P12" s="61">
        <f>SUMIFS('2017OT'!$H:$H,'2017OT'!$M:$M,Report!P$4,'2017OT'!$B:$B,Report!$C12)</f>
        <v>51.000000000000014</v>
      </c>
      <c r="Q12" s="61">
        <f>SUMIFS('2017OT'!$H:$H,'2017OT'!$M:$M,Report!Q$4,'2017OT'!$B:$B,Report!$C12)</f>
        <v>34.99999999999995</v>
      </c>
      <c r="R12" s="61">
        <f>SUMIFS('2017OT'!$H:$H,'2017OT'!$M:$M,Report!R$4,'2017OT'!$B:$B,Report!$C12)</f>
        <v>34.999999999999915</v>
      </c>
      <c r="S12" s="61">
        <f>SUMIFS('2017OT'!$H:$H,'2017OT'!$M:$M,Report!S$4,'2017OT'!$B:$B,Report!$C12)</f>
        <v>47.499999999999957</v>
      </c>
      <c r="T12" s="61">
        <f>SUMIFS('2017OT'!$H:$H,'2017OT'!$M:$M,Report!T$4,'2017OT'!$B:$B,Report!$C12)</f>
        <v>37.749999999999972</v>
      </c>
      <c r="U12" s="61">
        <f>SUMIFS('2017OT'!$H:$H,'2017OT'!$M:$M,Report!U$4,'2017OT'!$B:$B,Report!$C12)</f>
        <v>41.499999999999979</v>
      </c>
      <c r="V12" s="17"/>
      <c r="W12" s="61">
        <f>SUMIFS('2017OT'!$H:$H,'2017OT'!$M:$M,Report!W$4,'2017OT'!$B:$B,Report!$C12)</f>
        <v>4.4999999999999929</v>
      </c>
      <c r="X12" s="61">
        <f>SUMIFS('2017OT'!$H:$H,'2017OT'!$M:$M,Report!X$4,'2017OT'!$B:$B,Report!$C12)</f>
        <v>20.25</v>
      </c>
      <c r="Y12" s="61">
        <f>SUMIFS('2017OT'!$H:$H,'2017OT'!$M:$M,Report!Y$4,'2017OT'!$B:$B,Report!$C12)</f>
        <v>60.999999999999972</v>
      </c>
      <c r="Z12" s="61">
        <f>SUMIFS('2017OT'!$H:$H,'2017OT'!$M:$M,Report!Z$4,'2017OT'!$B:$B,Report!$C12)</f>
        <v>35.000000000000014</v>
      </c>
      <c r="AA12" s="61">
        <f>SUMIFS('2017OT'!$H:$H,'2017OT'!$M:$M,Report!AA$4,'2017OT'!$B:$B,Report!$C12)</f>
        <v>35.999999999999986</v>
      </c>
      <c r="AB12" s="61">
        <f>SUMIFS('2017OT'!$H:$H,'2017OT'!$M:$M,Report!AB$4,'2017OT'!$B:$B,Report!$C12)</f>
        <v>34.499999999999964</v>
      </c>
      <c r="AC12" s="61">
        <f>SUMIFS('2017OT'!$H:$H,'2017OT'!$M:$M,Report!AC$4,'2017OT'!$B:$B,Report!$C12)</f>
        <v>17.750000000000011</v>
      </c>
      <c r="AD12" s="61">
        <f>SUMIFS('2017OT'!$H:$H,'2017OT'!$M:$M,Report!AD$4,'2017OT'!$B:$B,Report!$C12)</f>
        <v>0</v>
      </c>
      <c r="AE12" s="61">
        <f>SUMIFS('2017OT'!$H:$H,'2017OT'!$M:$M,Report!AE$4,'2017OT'!$B:$B,Report!$C12)</f>
        <v>0</v>
      </c>
      <c r="AF12" s="61">
        <f>SUMIFS('2017OT'!$H:$H,'2017OT'!$M:$M,Report!AF$4,'2017OT'!$B:$B,Report!$C12)</f>
        <v>0</v>
      </c>
      <c r="AG12" s="61">
        <f>SUMIFS('2017OT'!$H:$H,'2017OT'!$M:$M,Report!AG$4,'2017OT'!$B:$B,Report!$C12)</f>
        <v>0</v>
      </c>
      <c r="AH12" s="61">
        <f>SUMIFS('2017OT'!$H:$H,'2017OT'!$M:$M,Report!AH$4,'2017OT'!$B:$B,Report!$C12)</f>
        <v>0</v>
      </c>
      <c r="AI12" s="17"/>
      <c r="AJ12" s="61">
        <f>SUMIFS('2017OT'!$H:$H,'2017OT'!$M:$M,Report!AJ$4,'2017OT'!$B:$B,Report!$C12)</f>
        <v>19.999999999999989</v>
      </c>
      <c r="AK12" s="61">
        <f>SUMIFS('2017OT'!$H:$H,'2017OT'!$M:$M,Report!AK$4,'2017OT'!$B:$B,Report!$C12)</f>
        <v>3.9999999999999982</v>
      </c>
      <c r="AL12" s="61">
        <f>SUMIFS('2017OT'!$H:$H,'2017OT'!$M:$M,Report!AL$4,'2017OT'!$B:$B,Report!$C12)</f>
        <v>7.9999999999999964</v>
      </c>
      <c r="AM12" s="61">
        <f>SUMIFS('2017OT'!$H:$H,'2017OT'!$M:$M,Report!AM$4,'2017OT'!$B:$B,Report!$C12)</f>
        <v>17.999999999999993</v>
      </c>
      <c r="AN12" s="61">
        <f>SUMIFS('2017OT'!$H:$H,'2017OT'!$M:$M,Report!AN$4,'2017OT'!$B:$B,Report!$C12)</f>
        <v>12.999999999999991</v>
      </c>
      <c r="AO12" s="61">
        <f>SUMIFS('2017OT'!$H:$H,'2017OT'!$M:$M,Report!AO$4,'2017OT'!$B:$B,Report!$C12)</f>
        <v>6.9999999999999929</v>
      </c>
      <c r="AP12" s="61">
        <f>SUMIFS('2017OT'!$H:$H,'2017OT'!$M:$M,Report!AP$4,'2017OT'!$B:$B,Report!$C12)</f>
        <v>32.499999999999986</v>
      </c>
      <c r="AQ12" s="61">
        <f>SUMIFS('2017OT'!$H:$H,'2017OT'!$M:$M,Report!AQ$4,'2017OT'!$B:$B,Report!$C12)</f>
        <v>0</v>
      </c>
      <c r="AR12" s="61">
        <f>SUMIFS('2017OT'!$H:$H,'2017OT'!$M:$M,Report!AR$4,'2017OT'!$B:$B,Report!$C12)</f>
        <v>0</v>
      </c>
      <c r="AS12" s="61">
        <f>SUMIFS('2017OT'!$H:$H,'2017OT'!$M:$M,Report!AS$4,'2017OT'!$B:$B,Report!$C12)</f>
        <v>0</v>
      </c>
      <c r="AT12" s="61">
        <f>SUMIFS('2017OT'!$H:$H,'2017OT'!$M:$M,Report!AT$4,'2017OT'!$B:$B,Report!$C12)</f>
        <v>0</v>
      </c>
      <c r="AU12" s="61">
        <f>SUMIFS('2017OT'!$H:$H,'2017OT'!$M:$M,Report!AU$4,'2017OT'!$B:$B,Report!$C12)</f>
        <v>0</v>
      </c>
      <c r="AV12" s="61"/>
      <c r="AW12" s="31">
        <f t="shared" si="4"/>
        <v>0</v>
      </c>
      <c r="AX12" s="31" t="str">
        <f>IFERROR(VLOOKUP($C12,#REF!,3,0),"")</f>
        <v/>
      </c>
      <c r="AY12" s="31" t="str">
        <f>IFERROR(VLOOKUP($C12,#REF!,3,0),"")</f>
        <v/>
      </c>
      <c r="AZ12" s="31" t="str">
        <f>IFERROR(VLOOKUP($C12,#REF!,3,0),"")</f>
        <v/>
      </c>
      <c r="BA12" s="31" t="str">
        <f>IFERROR(VLOOKUP($C12,#REF!,3,0),"")</f>
        <v/>
      </c>
      <c r="BB12" s="31" t="str">
        <f>IFERROR(VLOOKUP($C12,#REF!,3,0),"")</f>
        <v/>
      </c>
      <c r="BC12" s="31" t="str">
        <f>IFERROR(VLOOKUP($C12,#REF!,3,0),"")</f>
        <v/>
      </c>
      <c r="BD12" s="31" t="str">
        <f>IFERROR(VLOOKUP($C12,#REF!,3,0),"")</f>
        <v/>
      </c>
      <c r="BE12" s="31" t="str">
        <f>IFERROR(VLOOKUP($C12,#REF!,3,0),"")</f>
        <v/>
      </c>
      <c r="BF12" s="31" t="str">
        <f>IFERROR(VLOOKUP($C12,#REF!,3,0),"")</f>
        <v/>
      </c>
      <c r="BG12" s="31" t="str">
        <f>IFERROR(VLOOKUP($C12,#REF!,3,0),"")</f>
        <v/>
      </c>
      <c r="BH12" s="31" t="str">
        <f>IFERROR(VLOOKUP($C12,#REF!,3,0),"")</f>
        <v/>
      </c>
      <c r="BI12" s="31" t="str">
        <f>IFERROR(VLOOKUP($C12,#REF!,3,0),"")</f>
        <v/>
      </c>
      <c r="BJ12" s="17"/>
      <c r="BK12" s="31">
        <f t="shared" si="5"/>
        <v>0</v>
      </c>
      <c r="BL12" s="31" t="str">
        <f t="shared" si="6"/>
        <v/>
      </c>
      <c r="BM12" s="31" t="str">
        <f t="shared" si="7"/>
        <v/>
      </c>
      <c r="BN12" s="31" t="str">
        <f t="shared" si="8"/>
        <v/>
      </c>
      <c r="BO12" s="31" t="str">
        <f t="shared" si="9"/>
        <v/>
      </c>
      <c r="BP12" s="31" t="str">
        <f t="shared" si="10"/>
        <v/>
      </c>
      <c r="BQ12" s="31" t="str">
        <f t="shared" si="11"/>
        <v/>
      </c>
      <c r="BR12" s="31" t="str">
        <f t="shared" si="12"/>
        <v/>
      </c>
      <c r="BS12" s="31" t="str">
        <f t="shared" si="13"/>
        <v/>
      </c>
      <c r="BT12" s="31" t="str">
        <f t="shared" si="14"/>
        <v/>
      </c>
      <c r="BU12" s="31" t="str">
        <f t="shared" si="15"/>
        <v/>
      </c>
      <c r="BV12" s="31" t="str">
        <f t="shared" si="16"/>
        <v/>
      </c>
      <c r="BW12" s="31" t="str">
        <f t="shared" si="17"/>
        <v/>
      </c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</row>
    <row r="13" spans="1:88" s="27" customFormat="1" ht="15" customHeight="1">
      <c r="A13" s="83">
        <v>8</v>
      </c>
      <c r="B13" s="19" t="s">
        <v>11</v>
      </c>
      <c r="C13" s="19" t="s">
        <v>779</v>
      </c>
      <c r="D13" s="19" t="s">
        <v>229</v>
      </c>
      <c r="E13" s="75">
        <v>34059</v>
      </c>
      <c r="F13" s="80">
        <v>43227</v>
      </c>
      <c r="G13" s="31">
        <f t="shared" si="1"/>
        <v>0</v>
      </c>
      <c r="H13" s="31">
        <f t="shared" si="2"/>
        <v>0</v>
      </c>
      <c r="I13" s="31">
        <f t="shared" si="3"/>
        <v>180.99999999999994</v>
      </c>
      <c r="J13" s="61">
        <f>SUMIFS('2017OT'!$H:$H,'2017OT'!$M:$M,Report!J$4,'2017OT'!$B:$B,Report!$C13)</f>
        <v>0</v>
      </c>
      <c r="K13" s="61">
        <f>SUMIFS('2017OT'!$H:$H,'2017OT'!$M:$M,Report!K$4,'2017OT'!$B:$B,Report!$C13)</f>
        <v>0</v>
      </c>
      <c r="L13" s="61">
        <f>SUMIFS('2017OT'!$H:$H,'2017OT'!$M:$M,Report!L$4,'2017OT'!$B:$B,Report!$C13)</f>
        <v>0</v>
      </c>
      <c r="M13" s="61">
        <f>SUMIFS('2017OT'!$H:$H,'2017OT'!$M:$M,Report!M$4,'2017OT'!$B:$B,Report!$C13)</f>
        <v>0</v>
      </c>
      <c r="N13" s="61">
        <f>SUMIFS('2017OT'!$H:$H,'2017OT'!$M:$M,Report!N$4,'2017OT'!$B:$B,Report!$C13)</f>
        <v>0</v>
      </c>
      <c r="O13" s="61">
        <f>SUMIFS('2017OT'!$H:$H,'2017OT'!$M:$M,Report!O$4,'2017OT'!$B:$B,Report!$C13)</f>
        <v>0</v>
      </c>
      <c r="P13" s="61">
        <f>SUMIFS('2017OT'!$H:$H,'2017OT'!$M:$M,Report!P$4,'2017OT'!$B:$B,Report!$C13)</f>
        <v>0</v>
      </c>
      <c r="Q13" s="61">
        <f>SUMIFS('2017OT'!$H:$H,'2017OT'!$M:$M,Report!Q$4,'2017OT'!$B:$B,Report!$C13)</f>
        <v>0</v>
      </c>
      <c r="R13" s="61">
        <f>SUMIFS('2017OT'!$H:$H,'2017OT'!$M:$M,Report!R$4,'2017OT'!$B:$B,Report!$C13)</f>
        <v>0</v>
      </c>
      <c r="S13" s="61">
        <f>SUMIFS('2017OT'!$H:$H,'2017OT'!$M:$M,Report!S$4,'2017OT'!$B:$B,Report!$C13)</f>
        <v>0</v>
      </c>
      <c r="T13" s="61">
        <f>SUMIFS('2017OT'!$H:$H,'2017OT'!$M:$M,Report!T$4,'2017OT'!$B:$B,Report!$C13)</f>
        <v>0</v>
      </c>
      <c r="U13" s="61">
        <f>SUMIFS('2017OT'!$H:$H,'2017OT'!$M:$M,Report!U$4,'2017OT'!$B:$B,Report!$C13)</f>
        <v>0</v>
      </c>
      <c r="V13" s="17"/>
      <c r="W13" s="61">
        <f>SUMIFS('2017OT'!$H:$H,'2017OT'!$M:$M,Report!W$4,'2017OT'!$B:$B,Report!$C13)</f>
        <v>0</v>
      </c>
      <c r="X13" s="61">
        <f>SUMIFS('2017OT'!$H:$H,'2017OT'!$M:$M,Report!X$4,'2017OT'!$B:$B,Report!$C13)</f>
        <v>0</v>
      </c>
      <c r="Y13" s="61">
        <f>SUMIFS('2017OT'!$H:$H,'2017OT'!$M:$M,Report!Y$4,'2017OT'!$B:$B,Report!$C13)</f>
        <v>0</v>
      </c>
      <c r="Z13" s="61">
        <f>SUMIFS('2017OT'!$H:$H,'2017OT'!$M:$M,Report!Z$4,'2017OT'!$B:$B,Report!$C13)</f>
        <v>0</v>
      </c>
      <c r="AA13" s="61">
        <f>SUMIFS('2017OT'!$H:$H,'2017OT'!$M:$M,Report!AA$4,'2017OT'!$B:$B,Report!$C13)</f>
        <v>0</v>
      </c>
      <c r="AB13" s="61">
        <f>SUMIFS('2017OT'!$H:$H,'2017OT'!$M:$M,Report!AB$4,'2017OT'!$B:$B,Report!$C13)</f>
        <v>0</v>
      </c>
      <c r="AC13" s="61">
        <f>SUMIFS('2017OT'!$H:$H,'2017OT'!$M:$M,Report!AC$4,'2017OT'!$B:$B,Report!$C13)</f>
        <v>0</v>
      </c>
      <c r="AD13" s="61">
        <f>SUMIFS('2017OT'!$H:$H,'2017OT'!$M:$M,Report!AD$4,'2017OT'!$B:$B,Report!$C13)</f>
        <v>0</v>
      </c>
      <c r="AE13" s="61">
        <f>SUMIFS('2017OT'!$H:$H,'2017OT'!$M:$M,Report!AE$4,'2017OT'!$B:$B,Report!$C13)</f>
        <v>0</v>
      </c>
      <c r="AF13" s="61">
        <f>SUMIFS('2017OT'!$H:$H,'2017OT'!$M:$M,Report!AF$4,'2017OT'!$B:$B,Report!$C13)</f>
        <v>0</v>
      </c>
      <c r="AG13" s="61">
        <f>SUMIFS('2017OT'!$H:$H,'2017OT'!$M:$M,Report!AG$4,'2017OT'!$B:$B,Report!$C13)</f>
        <v>0</v>
      </c>
      <c r="AH13" s="61">
        <f>SUMIFS('2017OT'!$H:$H,'2017OT'!$M:$M,Report!AH$4,'2017OT'!$B:$B,Report!$C13)</f>
        <v>0</v>
      </c>
      <c r="AI13" s="17"/>
      <c r="AJ13" s="61">
        <f>SUMIFS('2017OT'!$H:$H,'2017OT'!$M:$M,Report!AJ$4,'2017OT'!$B:$B,Report!$C13)</f>
        <v>0</v>
      </c>
      <c r="AK13" s="61">
        <f>SUMIFS('2017OT'!$H:$H,'2017OT'!$M:$M,Report!AK$4,'2017OT'!$B:$B,Report!$C13)</f>
        <v>71.999999999999986</v>
      </c>
      <c r="AL13" s="61">
        <f>SUMIFS('2017OT'!$H:$H,'2017OT'!$M:$M,Report!AL$4,'2017OT'!$B:$B,Report!$C13)</f>
        <v>38.999999999999993</v>
      </c>
      <c r="AM13" s="61">
        <f>SUMIFS('2017OT'!$H:$H,'2017OT'!$M:$M,Report!AM$4,'2017OT'!$B:$B,Report!$C13)</f>
        <v>15.999999999999993</v>
      </c>
      <c r="AN13" s="61">
        <f>SUMIFS('2017OT'!$H:$H,'2017OT'!$M:$M,Report!AN$4,'2017OT'!$B:$B,Report!$C13)</f>
        <v>12.999999999999991</v>
      </c>
      <c r="AO13" s="61">
        <f>SUMIFS('2017OT'!$H:$H,'2017OT'!$M:$M,Report!AO$4,'2017OT'!$B:$B,Report!$C13)</f>
        <v>8.4999999999999947</v>
      </c>
      <c r="AP13" s="61">
        <f>SUMIFS('2017OT'!$H:$H,'2017OT'!$M:$M,Report!AP$4,'2017OT'!$B:$B,Report!$C13)</f>
        <v>32.499999999999986</v>
      </c>
      <c r="AQ13" s="61">
        <f>SUMIFS('2017OT'!$H:$H,'2017OT'!$M:$M,Report!AQ$4,'2017OT'!$B:$B,Report!$C13)</f>
        <v>0</v>
      </c>
      <c r="AR13" s="61">
        <f>SUMIFS('2017OT'!$H:$H,'2017OT'!$M:$M,Report!AR$4,'2017OT'!$B:$B,Report!$C13)</f>
        <v>0</v>
      </c>
      <c r="AS13" s="61">
        <f>SUMIFS('2017OT'!$H:$H,'2017OT'!$M:$M,Report!AS$4,'2017OT'!$B:$B,Report!$C13)</f>
        <v>0</v>
      </c>
      <c r="AT13" s="61">
        <f>SUMIFS('2017OT'!$H:$H,'2017OT'!$M:$M,Report!AT$4,'2017OT'!$B:$B,Report!$C13)</f>
        <v>0</v>
      </c>
      <c r="AU13" s="61">
        <f>SUMIFS('2017OT'!$H:$H,'2017OT'!$M:$M,Report!AU$4,'2017OT'!$B:$B,Report!$C13)</f>
        <v>0</v>
      </c>
      <c r="AV13" s="61"/>
      <c r="AW13" s="31">
        <f t="shared" si="4"/>
        <v>0</v>
      </c>
      <c r="AX13" s="31" t="str">
        <f>IFERROR(VLOOKUP($C13,#REF!,3,0),"")</f>
        <v/>
      </c>
      <c r="AY13" s="31" t="str">
        <f>IFERROR(VLOOKUP($C13,#REF!,3,0),"")</f>
        <v/>
      </c>
      <c r="AZ13" s="31" t="str">
        <f>IFERROR(VLOOKUP($C13,#REF!,3,0),"")</f>
        <v/>
      </c>
      <c r="BA13" s="31" t="str">
        <f>IFERROR(VLOOKUP($C13,#REF!,3,0),"")</f>
        <v/>
      </c>
      <c r="BB13" s="31" t="str">
        <f>IFERROR(VLOOKUP($C13,#REF!,3,0),"")</f>
        <v/>
      </c>
      <c r="BC13" s="31" t="str">
        <f>IFERROR(VLOOKUP($C13,#REF!,3,0),"")</f>
        <v/>
      </c>
      <c r="BD13" s="31" t="str">
        <f>IFERROR(VLOOKUP($C13,#REF!,3,0),"")</f>
        <v/>
      </c>
      <c r="BE13" s="31" t="str">
        <f>IFERROR(VLOOKUP($C13,#REF!,3,0),"")</f>
        <v/>
      </c>
      <c r="BF13" s="31" t="str">
        <f>IFERROR(VLOOKUP($C13,#REF!,3,0),"")</f>
        <v/>
      </c>
      <c r="BG13" s="31" t="str">
        <f>IFERROR(VLOOKUP($C13,#REF!,3,0),"")</f>
        <v/>
      </c>
      <c r="BH13" s="31" t="str">
        <f>IFERROR(VLOOKUP($C13,#REF!,3,0),"")</f>
        <v/>
      </c>
      <c r="BI13" s="31" t="str">
        <f>IFERROR(VLOOKUP($C13,#REF!,3,0),"")</f>
        <v/>
      </c>
      <c r="BJ13" s="17"/>
      <c r="BK13" s="31">
        <f t="shared" si="5"/>
        <v>0</v>
      </c>
      <c r="BL13" s="31" t="str">
        <f t="shared" si="6"/>
        <v/>
      </c>
      <c r="BM13" s="31" t="str">
        <f t="shared" si="7"/>
        <v/>
      </c>
      <c r="BN13" s="31" t="str">
        <f t="shared" si="8"/>
        <v/>
      </c>
      <c r="BO13" s="31" t="str">
        <f t="shared" si="9"/>
        <v/>
      </c>
      <c r="BP13" s="31" t="str">
        <f t="shared" si="10"/>
        <v/>
      </c>
      <c r="BQ13" s="31" t="str">
        <f t="shared" si="11"/>
        <v/>
      </c>
      <c r="BR13" s="31" t="str">
        <f t="shared" si="12"/>
        <v/>
      </c>
      <c r="BS13" s="31" t="str">
        <f t="shared" si="13"/>
        <v/>
      </c>
      <c r="BT13" s="31" t="str">
        <f t="shared" si="14"/>
        <v/>
      </c>
      <c r="BU13" s="31" t="str">
        <f t="shared" si="15"/>
        <v/>
      </c>
      <c r="BV13" s="31" t="str">
        <f t="shared" si="16"/>
        <v/>
      </c>
      <c r="BW13" s="31" t="str">
        <f t="shared" si="17"/>
        <v/>
      </c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</row>
    <row r="14" spans="1:88" ht="15" customHeight="1">
      <c r="A14" s="83">
        <v>9</v>
      </c>
      <c r="B14" s="19" t="s">
        <v>11</v>
      </c>
      <c r="C14" s="19" t="s">
        <v>811</v>
      </c>
      <c r="D14" s="19" t="s">
        <v>229</v>
      </c>
      <c r="E14" s="19"/>
      <c r="F14" s="80">
        <v>43227</v>
      </c>
      <c r="G14" s="31">
        <f t="shared" si="1"/>
        <v>0</v>
      </c>
      <c r="H14" s="31">
        <f t="shared" si="2"/>
        <v>0</v>
      </c>
      <c r="I14" s="31">
        <f t="shared" si="3"/>
        <v>71.999999999999972</v>
      </c>
      <c r="J14" s="61">
        <f>SUMIFS('2017OT'!$H:$H,'2017OT'!$M:$M,Report!J$4,'2017OT'!$B:$B,Report!$C14)</f>
        <v>0</v>
      </c>
      <c r="K14" s="61">
        <f>SUMIFS('2017OT'!$H:$H,'2017OT'!$M:$M,Report!K$4,'2017OT'!$B:$B,Report!$C14)</f>
        <v>0</v>
      </c>
      <c r="L14" s="61">
        <f>SUMIFS('2017OT'!$H:$H,'2017OT'!$M:$M,Report!L$4,'2017OT'!$B:$B,Report!$C14)</f>
        <v>0</v>
      </c>
      <c r="M14" s="61">
        <f>SUMIFS('2017OT'!$H:$H,'2017OT'!$M:$M,Report!M$4,'2017OT'!$B:$B,Report!$C14)</f>
        <v>0</v>
      </c>
      <c r="N14" s="61">
        <f>SUMIFS('2017OT'!$H:$H,'2017OT'!$M:$M,Report!N$4,'2017OT'!$B:$B,Report!$C14)</f>
        <v>0</v>
      </c>
      <c r="O14" s="61">
        <f>SUMIFS('2017OT'!$H:$H,'2017OT'!$M:$M,Report!O$4,'2017OT'!$B:$B,Report!$C14)</f>
        <v>0</v>
      </c>
      <c r="P14" s="61">
        <f>SUMIFS('2017OT'!$H:$H,'2017OT'!$M:$M,Report!P$4,'2017OT'!$B:$B,Report!$C14)</f>
        <v>0</v>
      </c>
      <c r="Q14" s="61">
        <f>SUMIFS('2017OT'!$H:$H,'2017OT'!$M:$M,Report!Q$4,'2017OT'!$B:$B,Report!$C14)</f>
        <v>0</v>
      </c>
      <c r="R14" s="61">
        <f>SUMIFS('2017OT'!$H:$H,'2017OT'!$M:$M,Report!R$4,'2017OT'!$B:$B,Report!$C14)</f>
        <v>0</v>
      </c>
      <c r="S14" s="61">
        <f>SUMIFS('2017OT'!$H:$H,'2017OT'!$M:$M,Report!S$4,'2017OT'!$B:$B,Report!$C14)</f>
        <v>0</v>
      </c>
      <c r="T14" s="61">
        <f>SUMIFS('2017OT'!$H:$H,'2017OT'!$M:$M,Report!T$4,'2017OT'!$B:$B,Report!$C14)</f>
        <v>0</v>
      </c>
      <c r="U14" s="61">
        <f>SUMIFS('2017OT'!$H:$H,'2017OT'!$M:$M,Report!U$4,'2017OT'!$B:$B,Report!$C14)</f>
        <v>0</v>
      </c>
      <c r="W14" s="61">
        <f>SUMIFS('2017OT'!$H:$H,'2017OT'!$M:$M,Report!W$4,'2017OT'!$B:$B,Report!$C14)</f>
        <v>0</v>
      </c>
      <c r="X14" s="61">
        <f>SUMIFS('2017OT'!$H:$H,'2017OT'!$M:$M,Report!X$4,'2017OT'!$B:$B,Report!$C14)</f>
        <v>0</v>
      </c>
      <c r="Y14" s="61">
        <f>SUMIFS('2017OT'!$H:$H,'2017OT'!$M:$M,Report!Y$4,'2017OT'!$B:$B,Report!$C14)</f>
        <v>0</v>
      </c>
      <c r="Z14" s="61">
        <f>SUMIFS('2017OT'!$H:$H,'2017OT'!$M:$M,Report!Z$4,'2017OT'!$B:$B,Report!$C14)</f>
        <v>0</v>
      </c>
      <c r="AA14" s="61">
        <f>SUMIFS('2017OT'!$H:$H,'2017OT'!$M:$M,Report!AA$4,'2017OT'!$B:$B,Report!$C14)</f>
        <v>0</v>
      </c>
      <c r="AB14" s="61">
        <f>SUMIFS('2017OT'!$H:$H,'2017OT'!$M:$M,Report!AB$4,'2017OT'!$B:$B,Report!$C14)</f>
        <v>0</v>
      </c>
      <c r="AC14" s="61">
        <f>SUMIFS('2017OT'!$H:$H,'2017OT'!$M:$M,Report!AC$4,'2017OT'!$B:$B,Report!$C14)</f>
        <v>0</v>
      </c>
      <c r="AD14" s="61">
        <f>SUMIFS('2017OT'!$H:$H,'2017OT'!$M:$M,Report!AD$4,'2017OT'!$B:$B,Report!$C14)</f>
        <v>0</v>
      </c>
      <c r="AE14" s="61">
        <f>SUMIFS('2017OT'!$H:$H,'2017OT'!$M:$M,Report!AE$4,'2017OT'!$B:$B,Report!$C14)</f>
        <v>0</v>
      </c>
      <c r="AF14" s="61">
        <f>SUMIFS('2017OT'!$H:$H,'2017OT'!$M:$M,Report!AF$4,'2017OT'!$B:$B,Report!$C14)</f>
        <v>0</v>
      </c>
      <c r="AG14" s="61">
        <f>SUMIFS('2017OT'!$H:$H,'2017OT'!$M:$M,Report!AG$4,'2017OT'!$B:$B,Report!$C14)</f>
        <v>0</v>
      </c>
      <c r="AH14" s="61">
        <f>SUMIFS('2017OT'!$H:$H,'2017OT'!$M:$M,Report!AH$4,'2017OT'!$B:$B,Report!$C14)</f>
        <v>0</v>
      </c>
      <c r="AJ14" s="61">
        <f>SUMIFS('2017OT'!$H:$H,'2017OT'!$M:$M,Report!AJ$4,'2017OT'!$B:$B,Report!$C14)</f>
        <v>0</v>
      </c>
      <c r="AK14" s="61">
        <f>SUMIFS('2017OT'!$H:$H,'2017OT'!$M:$M,Report!AK$4,'2017OT'!$B:$B,Report!$C14)</f>
        <v>0</v>
      </c>
      <c r="AL14" s="61">
        <f>SUMIFS('2017OT'!$H:$H,'2017OT'!$M:$M,Report!AL$4,'2017OT'!$B:$B,Report!$C14)</f>
        <v>3.4999999999999947</v>
      </c>
      <c r="AM14" s="61">
        <f>SUMIFS('2017OT'!$H:$H,'2017OT'!$M:$M,Report!AM$4,'2017OT'!$B:$B,Report!$C14)</f>
        <v>15.999999999999993</v>
      </c>
      <c r="AN14" s="61">
        <f>SUMIFS('2017OT'!$H:$H,'2017OT'!$M:$M,Report!AN$4,'2017OT'!$B:$B,Report!$C14)</f>
        <v>12.499999999999993</v>
      </c>
      <c r="AO14" s="61">
        <f>SUMIFS('2017OT'!$H:$H,'2017OT'!$M:$M,Report!AO$4,'2017OT'!$B:$B,Report!$C14)</f>
        <v>7.9999999999999964</v>
      </c>
      <c r="AP14" s="61">
        <f>SUMIFS('2017OT'!$H:$H,'2017OT'!$M:$M,Report!AP$4,'2017OT'!$B:$B,Report!$C14)</f>
        <v>31.999999999999993</v>
      </c>
      <c r="AQ14" s="61">
        <f>SUMIFS('2017OT'!$H:$H,'2017OT'!$M:$M,Report!AQ$4,'2017OT'!$B:$B,Report!$C14)</f>
        <v>0</v>
      </c>
      <c r="AR14" s="61">
        <f>SUMIFS('2017OT'!$H:$H,'2017OT'!$M:$M,Report!AR$4,'2017OT'!$B:$B,Report!$C14)</f>
        <v>0</v>
      </c>
      <c r="AS14" s="61">
        <f>SUMIFS('2017OT'!$H:$H,'2017OT'!$M:$M,Report!AS$4,'2017OT'!$B:$B,Report!$C14)</f>
        <v>0</v>
      </c>
      <c r="AT14" s="61">
        <f>SUMIFS('2017OT'!$H:$H,'2017OT'!$M:$M,Report!AT$4,'2017OT'!$B:$B,Report!$C14)</f>
        <v>0</v>
      </c>
      <c r="AU14" s="61">
        <f>SUMIFS('2017OT'!$H:$H,'2017OT'!$M:$M,Report!AU$4,'2017OT'!$B:$B,Report!$C14)</f>
        <v>0</v>
      </c>
      <c r="AV14" s="61"/>
      <c r="AW14" s="31">
        <f t="shared" si="4"/>
        <v>0</v>
      </c>
      <c r="AX14" s="31" t="str">
        <f>IFERROR(VLOOKUP($C14,#REF!,3,0),"")</f>
        <v/>
      </c>
      <c r="AY14" s="31" t="str">
        <f>IFERROR(VLOOKUP($C14,#REF!,3,0),"")</f>
        <v/>
      </c>
      <c r="AZ14" s="31" t="str">
        <f>IFERROR(VLOOKUP($C14,#REF!,3,0),"")</f>
        <v/>
      </c>
      <c r="BA14" s="31" t="str">
        <f>IFERROR(VLOOKUP($C14,#REF!,3,0),"")</f>
        <v/>
      </c>
      <c r="BB14" s="31" t="str">
        <f>IFERROR(VLOOKUP($C14,#REF!,3,0),"")</f>
        <v/>
      </c>
      <c r="BC14" s="31" t="str">
        <f>IFERROR(VLOOKUP($C14,#REF!,3,0),"")</f>
        <v/>
      </c>
      <c r="BD14" s="31" t="str">
        <f>IFERROR(VLOOKUP($C14,#REF!,3,0),"")</f>
        <v/>
      </c>
      <c r="BE14" s="31" t="str">
        <f>IFERROR(VLOOKUP($C14,#REF!,3,0),"")</f>
        <v/>
      </c>
      <c r="BF14" s="31" t="str">
        <f>IFERROR(VLOOKUP($C14,#REF!,3,0),"")</f>
        <v/>
      </c>
      <c r="BG14" s="31" t="str">
        <f>IFERROR(VLOOKUP($C14,#REF!,3,0),"")</f>
        <v/>
      </c>
      <c r="BH14" s="31" t="str">
        <f>IFERROR(VLOOKUP($C14,#REF!,3,0),"")</f>
        <v/>
      </c>
      <c r="BI14" s="31" t="str">
        <f>IFERROR(VLOOKUP($C14,#REF!,3,0),"")</f>
        <v/>
      </c>
      <c r="BK14" s="31">
        <f t="shared" si="5"/>
        <v>0</v>
      </c>
      <c r="BL14" s="31" t="str">
        <f t="shared" si="6"/>
        <v/>
      </c>
      <c r="BM14" s="31" t="str">
        <f t="shared" si="7"/>
        <v/>
      </c>
      <c r="BN14" s="31" t="str">
        <f t="shared" si="8"/>
        <v/>
      </c>
      <c r="BO14" s="31" t="str">
        <f t="shared" si="9"/>
        <v/>
      </c>
      <c r="BP14" s="31" t="str">
        <f t="shared" si="10"/>
        <v/>
      </c>
      <c r="BQ14" s="31" t="str">
        <f t="shared" si="11"/>
        <v/>
      </c>
      <c r="BR14" s="31" t="str">
        <f t="shared" si="12"/>
        <v/>
      </c>
      <c r="BS14" s="31" t="str">
        <f t="shared" si="13"/>
        <v/>
      </c>
      <c r="BT14" s="31" t="str">
        <f t="shared" si="14"/>
        <v/>
      </c>
      <c r="BU14" s="31" t="str">
        <f t="shared" si="15"/>
        <v/>
      </c>
      <c r="BV14" s="31" t="str">
        <f t="shared" si="16"/>
        <v/>
      </c>
      <c r="BW14" s="31" t="str">
        <f t="shared" si="17"/>
        <v/>
      </c>
    </row>
    <row r="15" spans="1:88" ht="15" customHeight="1">
      <c r="A15" s="83">
        <v>10</v>
      </c>
      <c r="B15" s="19" t="s">
        <v>22</v>
      </c>
      <c r="C15" s="19" t="s">
        <v>662</v>
      </c>
      <c r="D15" s="19" t="s">
        <v>229</v>
      </c>
      <c r="E15" s="19"/>
      <c r="F15" s="80">
        <v>43255</v>
      </c>
      <c r="G15" s="31">
        <f t="shared" si="1"/>
        <v>0</v>
      </c>
      <c r="H15" s="31">
        <f t="shared" si="2"/>
        <v>404.99999999999989</v>
      </c>
      <c r="I15" s="31">
        <f t="shared" si="3"/>
        <v>1071.5</v>
      </c>
      <c r="J15" s="61">
        <f>SUMIFS('2017OT'!$H:$H,'2017OT'!$M:$M,Report!J$4,'2017OT'!$B:$B,Report!$C15)</f>
        <v>0</v>
      </c>
      <c r="K15" s="61">
        <f>SUMIFS('2017OT'!$H:$H,'2017OT'!$M:$M,Report!K$4,'2017OT'!$B:$B,Report!$C15)</f>
        <v>0</v>
      </c>
      <c r="L15" s="61">
        <f>SUMIFS('2017OT'!$H:$H,'2017OT'!$M:$M,Report!L$4,'2017OT'!$B:$B,Report!$C15)</f>
        <v>0</v>
      </c>
      <c r="M15" s="61">
        <f>SUMIFS('2017OT'!$H:$H,'2017OT'!$M:$M,Report!M$4,'2017OT'!$B:$B,Report!$C15)</f>
        <v>0</v>
      </c>
      <c r="N15" s="61">
        <f>SUMIFS('2017OT'!$H:$H,'2017OT'!$M:$M,Report!N$4,'2017OT'!$B:$B,Report!$C15)</f>
        <v>0</v>
      </c>
      <c r="O15" s="61">
        <f>SUMIFS('2017OT'!$H:$H,'2017OT'!$M:$M,Report!O$4,'2017OT'!$B:$B,Report!$C15)</f>
        <v>0</v>
      </c>
      <c r="P15" s="61">
        <f>SUMIFS('2017OT'!$H:$H,'2017OT'!$M:$M,Report!P$4,'2017OT'!$B:$B,Report!$C15)</f>
        <v>0</v>
      </c>
      <c r="Q15" s="61">
        <f>SUMIFS('2017OT'!$H:$H,'2017OT'!$M:$M,Report!Q$4,'2017OT'!$B:$B,Report!$C15)</f>
        <v>0</v>
      </c>
      <c r="R15" s="61">
        <f>SUMIFS('2017OT'!$H:$H,'2017OT'!$M:$M,Report!R$4,'2017OT'!$B:$B,Report!$C15)</f>
        <v>0</v>
      </c>
      <c r="S15" s="61">
        <f>SUMIFS('2017OT'!$H:$H,'2017OT'!$M:$M,Report!S$4,'2017OT'!$B:$B,Report!$C15)</f>
        <v>0</v>
      </c>
      <c r="T15" s="61">
        <f>SUMIFS('2017OT'!$H:$H,'2017OT'!$M:$M,Report!T$4,'2017OT'!$B:$B,Report!$C15)</f>
        <v>0</v>
      </c>
      <c r="U15" s="61">
        <f>SUMIFS('2017OT'!$H:$H,'2017OT'!$M:$M,Report!U$4,'2017OT'!$B:$B,Report!$C15)</f>
        <v>0</v>
      </c>
      <c r="W15" s="61">
        <f>SUMIFS('2017OT'!$H:$H,'2017OT'!$M:$M,Report!W$4,'2017OT'!$B:$B,Report!$C15)</f>
        <v>0</v>
      </c>
      <c r="X15" s="61">
        <f>SUMIFS('2017OT'!$H:$H,'2017OT'!$M:$M,Report!X$4,'2017OT'!$B:$B,Report!$C15)</f>
        <v>0</v>
      </c>
      <c r="Y15" s="61">
        <f>SUMIFS('2017OT'!$H:$H,'2017OT'!$M:$M,Report!Y$4,'2017OT'!$B:$B,Report!$C15)</f>
        <v>0</v>
      </c>
      <c r="Z15" s="61">
        <f>SUMIFS('2017OT'!$H:$H,'2017OT'!$M:$M,Report!Z$4,'2017OT'!$B:$B,Report!$C15)</f>
        <v>0</v>
      </c>
      <c r="AA15" s="61">
        <f>SUMIFS('2017OT'!$H:$H,'2017OT'!$M:$M,Report!AA$4,'2017OT'!$B:$B,Report!$C15)</f>
        <v>0</v>
      </c>
      <c r="AB15" s="61">
        <f>SUMIFS('2017OT'!$H:$H,'2017OT'!$M:$M,Report!AB$4,'2017OT'!$B:$B,Report!$C15)</f>
        <v>0</v>
      </c>
      <c r="AC15" s="61">
        <f>SUMIFS('2017OT'!$H:$H,'2017OT'!$M:$M,Report!AC$4,'2017OT'!$B:$B,Report!$C15)</f>
        <v>0</v>
      </c>
      <c r="AD15" s="61">
        <f>SUMIFS('2017OT'!$H:$H,'2017OT'!$M:$M,Report!AD$4,'2017OT'!$B:$B,Report!$C15)</f>
        <v>0</v>
      </c>
      <c r="AE15" s="61">
        <f>SUMIFS('2017OT'!$H:$H,'2017OT'!$M:$M,Report!AE$4,'2017OT'!$B:$B,Report!$C15)</f>
        <v>7.9999999999999982</v>
      </c>
      <c r="AF15" s="61">
        <f>SUMIFS('2017OT'!$H:$H,'2017OT'!$M:$M,Report!AF$4,'2017OT'!$B:$B,Report!$C15)</f>
        <v>132.99999999999997</v>
      </c>
      <c r="AG15" s="61">
        <f>SUMIFS('2017OT'!$H:$H,'2017OT'!$M:$M,Report!AG$4,'2017OT'!$B:$B,Report!$C15)</f>
        <v>127.99999999999999</v>
      </c>
      <c r="AH15" s="61">
        <f>SUMIFS('2017OT'!$H:$H,'2017OT'!$M:$M,Report!AH$4,'2017OT'!$B:$B,Report!$C15)</f>
        <v>135.99999999999997</v>
      </c>
      <c r="AJ15" s="61">
        <f>SUMIFS('2017OT'!$H:$H,'2017OT'!$M:$M,Report!AJ$4,'2017OT'!$B:$B,Report!$C15)</f>
        <v>166.5</v>
      </c>
      <c r="AK15" s="61">
        <f>SUMIFS('2017OT'!$H:$H,'2017OT'!$M:$M,Report!AK$4,'2017OT'!$B:$B,Report!$C15)</f>
        <v>123.99999999999999</v>
      </c>
      <c r="AL15" s="61">
        <f>SUMIFS('2017OT'!$H:$H,'2017OT'!$M:$M,Report!AL$4,'2017OT'!$B:$B,Report!$C15)</f>
        <v>161</v>
      </c>
      <c r="AM15" s="61">
        <f>SUMIFS('2017OT'!$H:$H,'2017OT'!$M:$M,Report!AM$4,'2017OT'!$B:$B,Report!$C15)</f>
        <v>159.5</v>
      </c>
      <c r="AN15" s="61">
        <f>SUMIFS('2017OT'!$H:$H,'2017OT'!$M:$M,Report!AN$4,'2017OT'!$B:$B,Report!$C15)</f>
        <v>136.5</v>
      </c>
      <c r="AO15" s="61">
        <f>SUMIFS('2017OT'!$H:$H,'2017OT'!$M:$M,Report!AO$4,'2017OT'!$B:$B,Report!$C15)</f>
        <v>124</v>
      </c>
      <c r="AP15" s="61">
        <f>SUMIFS('2017OT'!$H:$H,'2017OT'!$M:$M,Report!AP$4,'2017OT'!$B:$B,Report!$C15)</f>
        <v>200</v>
      </c>
      <c r="AQ15" s="61">
        <f>SUMIFS('2017OT'!$H:$H,'2017OT'!$M:$M,Report!AQ$4,'2017OT'!$B:$B,Report!$C15)</f>
        <v>0</v>
      </c>
      <c r="AR15" s="61">
        <f>SUMIFS('2017OT'!$H:$H,'2017OT'!$M:$M,Report!AR$4,'2017OT'!$B:$B,Report!$C15)</f>
        <v>0</v>
      </c>
      <c r="AS15" s="61">
        <f>SUMIFS('2017OT'!$H:$H,'2017OT'!$M:$M,Report!AS$4,'2017OT'!$B:$B,Report!$C15)</f>
        <v>0</v>
      </c>
      <c r="AT15" s="61">
        <f>SUMIFS('2017OT'!$H:$H,'2017OT'!$M:$M,Report!AT$4,'2017OT'!$B:$B,Report!$C15)</f>
        <v>0</v>
      </c>
      <c r="AU15" s="61">
        <f>SUMIFS('2017OT'!$H:$H,'2017OT'!$M:$M,Report!AU$4,'2017OT'!$B:$B,Report!$C15)</f>
        <v>0</v>
      </c>
      <c r="AV15" s="61"/>
      <c r="AW15" s="31">
        <f t="shared" si="4"/>
        <v>0</v>
      </c>
      <c r="AX15" s="31" t="str">
        <f>IFERROR(VLOOKUP($C15,#REF!,3,0),"")</f>
        <v/>
      </c>
      <c r="AY15" s="31" t="str">
        <f>IFERROR(VLOOKUP($C15,#REF!,3,0),"")</f>
        <v/>
      </c>
      <c r="AZ15" s="31" t="str">
        <f>IFERROR(VLOOKUP($C15,#REF!,3,0),"")</f>
        <v/>
      </c>
      <c r="BA15" s="31" t="str">
        <f>IFERROR(VLOOKUP($C15,#REF!,3,0),"")</f>
        <v/>
      </c>
      <c r="BB15" s="31" t="str">
        <f>IFERROR(VLOOKUP($C15,#REF!,3,0),"")</f>
        <v/>
      </c>
      <c r="BC15" s="31" t="str">
        <f>IFERROR(VLOOKUP($C15,#REF!,3,0),"")</f>
        <v/>
      </c>
      <c r="BD15" s="31" t="str">
        <f>IFERROR(VLOOKUP($C15,#REF!,3,0),"")</f>
        <v/>
      </c>
      <c r="BE15" s="31" t="str">
        <f>IFERROR(VLOOKUP($C15,#REF!,3,0),"")</f>
        <v/>
      </c>
      <c r="BF15" s="31" t="str">
        <f>IFERROR(VLOOKUP($C15,#REF!,3,0),"")</f>
        <v/>
      </c>
      <c r="BG15" s="31" t="str">
        <f>IFERROR(VLOOKUP($C15,#REF!,3,0),"")</f>
        <v/>
      </c>
      <c r="BH15" s="31" t="str">
        <f>IFERROR(VLOOKUP($C15,#REF!,3,0),"")</f>
        <v/>
      </c>
      <c r="BI15" s="31" t="str">
        <f>IFERROR(VLOOKUP($C15,#REF!,3,0),"")</f>
        <v/>
      </c>
      <c r="BK15" s="31">
        <f t="shared" si="5"/>
        <v>0</v>
      </c>
      <c r="BL15" s="31" t="str">
        <f t="shared" si="6"/>
        <v/>
      </c>
      <c r="BM15" s="31" t="str">
        <f t="shared" si="7"/>
        <v/>
      </c>
      <c r="BN15" s="31" t="str">
        <f t="shared" si="8"/>
        <v/>
      </c>
      <c r="BO15" s="31" t="str">
        <f t="shared" si="9"/>
        <v/>
      </c>
      <c r="BP15" s="31" t="str">
        <f t="shared" si="10"/>
        <v/>
      </c>
      <c r="BQ15" s="31" t="str">
        <f t="shared" si="11"/>
        <v/>
      </c>
      <c r="BR15" s="31" t="str">
        <f t="shared" si="12"/>
        <v/>
      </c>
      <c r="BS15" s="31" t="str">
        <f t="shared" si="13"/>
        <v/>
      </c>
      <c r="BT15" s="31" t="str">
        <f t="shared" si="14"/>
        <v/>
      </c>
      <c r="BU15" s="31" t="str">
        <f t="shared" si="15"/>
        <v/>
      </c>
      <c r="BV15" s="31" t="str">
        <f t="shared" si="16"/>
        <v/>
      </c>
      <c r="BW15" s="31" t="str">
        <f t="shared" si="17"/>
        <v/>
      </c>
    </row>
    <row r="16" spans="1:88" ht="15" customHeight="1">
      <c r="A16" s="83">
        <v>11</v>
      </c>
      <c r="B16" s="19" t="s">
        <v>22</v>
      </c>
      <c r="C16" s="19" t="s">
        <v>26</v>
      </c>
      <c r="D16" s="19" t="s">
        <v>229</v>
      </c>
      <c r="E16" s="19"/>
      <c r="F16" s="80">
        <v>43175</v>
      </c>
      <c r="G16" s="31">
        <f t="shared" si="1"/>
        <v>434.74999999999977</v>
      </c>
      <c r="H16" s="31">
        <f t="shared" si="2"/>
        <v>268.74999999999994</v>
      </c>
      <c r="I16" s="31">
        <f t="shared" si="3"/>
        <v>462.5</v>
      </c>
      <c r="J16" s="61">
        <f>SUMIFS('2017OT'!$H:$H,'2017OT'!$M:$M,Report!J$4,'2017OT'!$B:$B,Report!$C16)</f>
        <v>81.999999999999986</v>
      </c>
      <c r="K16" s="61">
        <f>SUMIFS('2017OT'!$H:$H,'2017OT'!$M:$M,Report!K$4,'2017OT'!$B:$B,Report!$C16)</f>
        <v>35.749999999999972</v>
      </c>
      <c r="L16" s="61">
        <f>SUMIFS('2017OT'!$H:$H,'2017OT'!$M:$M,Report!L$4,'2017OT'!$B:$B,Report!$C16)</f>
        <v>39.250000000000028</v>
      </c>
      <c r="M16" s="61">
        <f>SUMIFS('2017OT'!$H:$H,'2017OT'!$M:$M,Report!M$4,'2017OT'!$B:$B,Report!$C16)</f>
        <v>49.249999999999943</v>
      </c>
      <c r="N16" s="61">
        <f>SUMIFS('2017OT'!$H:$H,'2017OT'!$M:$M,Report!N$4,'2017OT'!$B:$B,Report!$C16)</f>
        <v>5.4999999999999769</v>
      </c>
      <c r="O16" s="61">
        <f>SUMIFS('2017OT'!$H:$H,'2017OT'!$M:$M,Report!O$4,'2017OT'!$B:$B,Report!$C16)</f>
        <v>24.499999999999979</v>
      </c>
      <c r="P16" s="61">
        <f>SUMIFS('2017OT'!$H:$H,'2017OT'!$M:$M,Report!P$4,'2017OT'!$B:$B,Report!$C16)</f>
        <v>46.75</v>
      </c>
      <c r="Q16" s="61">
        <f>SUMIFS('2017OT'!$H:$H,'2017OT'!$M:$M,Report!Q$4,'2017OT'!$B:$B,Report!$C16)</f>
        <v>28.499999999999957</v>
      </c>
      <c r="R16" s="61">
        <f>SUMIFS('2017OT'!$H:$H,'2017OT'!$M:$M,Report!R$4,'2017OT'!$B:$B,Report!$C16)</f>
        <v>22.99999999999995</v>
      </c>
      <c r="S16" s="61">
        <f>SUMIFS('2017OT'!$H:$H,'2017OT'!$M:$M,Report!S$4,'2017OT'!$B:$B,Report!$C16)</f>
        <v>43.499999999999972</v>
      </c>
      <c r="T16" s="61">
        <f>SUMIFS('2017OT'!$H:$H,'2017OT'!$M:$M,Report!T$4,'2017OT'!$B:$B,Report!$C16)</f>
        <v>27.249999999999979</v>
      </c>
      <c r="U16" s="61">
        <f>SUMIFS('2017OT'!$H:$H,'2017OT'!$M:$M,Report!U$4,'2017OT'!$B:$B,Report!$C16)</f>
        <v>29.499999999999972</v>
      </c>
      <c r="W16" s="61">
        <f>SUMIFS('2017OT'!$H:$H,'2017OT'!$M:$M,Report!W$4,'2017OT'!$B:$B,Report!$C16)</f>
        <v>20.499999999999996</v>
      </c>
      <c r="X16" s="61">
        <f>SUMIFS('2017OT'!$H:$H,'2017OT'!$M:$M,Report!X$4,'2017OT'!$B:$B,Report!$C16)</f>
        <v>12.500000000000002</v>
      </c>
      <c r="Y16" s="61">
        <f>SUMIFS('2017OT'!$H:$H,'2017OT'!$M:$M,Report!Y$4,'2017OT'!$B:$B,Report!$C16)</f>
        <v>69.999999999999986</v>
      </c>
      <c r="Z16" s="61">
        <f>SUMIFS('2017OT'!$H:$H,'2017OT'!$M:$M,Report!Z$4,'2017OT'!$B:$B,Report!$C16)</f>
        <v>46.749999999999993</v>
      </c>
      <c r="AA16" s="61">
        <f>SUMIFS('2017OT'!$H:$H,'2017OT'!$M:$M,Report!AA$4,'2017OT'!$B:$B,Report!$C16)</f>
        <v>29.499999999999993</v>
      </c>
      <c r="AB16" s="61">
        <f>SUMIFS('2017OT'!$H:$H,'2017OT'!$M:$M,Report!AB$4,'2017OT'!$B:$B,Report!$C16)</f>
        <v>37.499999999999986</v>
      </c>
      <c r="AC16" s="61">
        <f>SUMIFS('2017OT'!$H:$H,'2017OT'!$M:$M,Report!AC$4,'2017OT'!$B:$B,Report!$C16)</f>
        <v>20.000000000000007</v>
      </c>
      <c r="AD16" s="61">
        <f>SUMIFS('2017OT'!$H:$H,'2017OT'!$M:$M,Report!AD$4,'2017OT'!$B:$B,Report!$C16)</f>
        <v>0</v>
      </c>
      <c r="AE16" s="61">
        <f>SUMIFS('2017OT'!$H:$H,'2017OT'!$M:$M,Report!AE$4,'2017OT'!$B:$B,Report!$C16)</f>
        <v>0</v>
      </c>
      <c r="AF16" s="61">
        <f>SUMIFS('2017OT'!$H:$H,'2017OT'!$M:$M,Report!AF$4,'2017OT'!$B:$B,Report!$C16)</f>
        <v>0</v>
      </c>
      <c r="AG16" s="61">
        <f>SUMIFS('2017OT'!$H:$H,'2017OT'!$M:$M,Report!AG$4,'2017OT'!$B:$B,Report!$C16)</f>
        <v>7.9999999999999982</v>
      </c>
      <c r="AH16" s="61">
        <f>SUMIFS('2017OT'!$H:$H,'2017OT'!$M:$M,Report!AH$4,'2017OT'!$B:$B,Report!$C16)</f>
        <v>23.999999999999993</v>
      </c>
      <c r="AJ16" s="61">
        <f>SUMIFS('2017OT'!$H:$H,'2017OT'!$M:$M,Report!AJ$4,'2017OT'!$B:$B,Report!$C16)</f>
        <v>72.5</v>
      </c>
      <c r="AK16" s="61">
        <f>SUMIFS('2017OT'!$H:$H,'2017OT'!$M:$M,Report!AK$4,'2017OT'!$B:$B,Report!$C16)</f>
        <v>0</v>
      </c>
      <c r="AL16" s="61">
        <f>SUMIFS('2017OT'!$H:$H,'2017OT'!$M:$M,Report!AL$4,'2017OT'!$B:$B,Report!$C16)</f>
        <v>103.5</v>
      </c>
      <c r="AM16" s="61">
        <f>SUMIFS('2017OT'!$H:$H,'2017OT'!$M:$M,Report!AM$4,'2017OT'!$B:$B,Report!$C16)</f>
        <v>73.5</v>
      </c>
      <c r="AN16" s="61">
        <f>SUMIFS('2017OT'!$H:$H,'2017OT'!$M:$M,Report!AN$4,'2017OT'!$B:$B,Report!$C16)</f>
        <v>106.5</v>
      </c>
      <c r="AO16" s="61">
        <f>SUMIFS('2017OT'!$H:$H,'2017OT'!$M:$M,Report!AO$4,'2017OT'!$B:$B,Report!$C16)</f>
        <v>69.999999999999986</v>
      </c>
      <c r="AP16" s="61">
        <f>SUMIFS('2017OT'!$H:$H,'2017OT'!$M:$M,Report!AP$4,'2017OT'!$B:$B,Report!$C16)</f>
        <v>36.5</v>
      </c>
      <c r="AQ16" s="61">
        <f>SUMIFS('2017OT'!$H:$H,'2017OT'!$M:$M,Report!AQ$4,'2017OT'!$B:$B,Report!$C16)</f>
        <v>0</v>
      </c>
      <c r="AR16" s="61">
        <f>SUMIFS('2017OT'!$H:$H,'2017OT'!$M:$M,Report!AR$4,'2017OT'!$B:$B,Report!$C16)</f>
        <v>0</v>
      </c>
      <c r="AS16" s="61">
        <f>SUMIFS('2017OT'!$H:$H,'2017OT'!$M:$M,Report!AS$4,'2017OT'!$B:$B,Report!$C16)</f>
        <v>0</v>
      </c>
      <c r="AT16" s="61">
        <f>SUMIFS('2017OT'!$H:$H,'2017OT'!$M:$M,Report!AT$4,'2017OT'!$B:$B,Report!$C16)</f>
        <v>0</v>
      </c>
      <c r="AU16" s="61">
        <f>SUMIFS('2017OT'!$H:$H,'2017OT'!$M:$M,Report!AU$4,'2017OT'!$B:$B,Report!$C16)</f>
        <v>0</v>
      </c>
      <c r="AV16" s="61"/>
      <c r="AW16" s="31">
        <f t="shared" si="4"/>
        <v>0</v>
      </c>
      <c r="AX16" s="31" t="str">
        <f>IFERROR(VLOOKUP($C16,#REF!,3,0),"")</f>
        <v/>
      </c>
      <c r="AY16" s="31" t="str">
        <f>IFERROR(VLOOKUP($C16,#REF!,3,0),"")</f>
        <v/>
      </c>
      <c r="AZ16" s="31" t="str">
        <f>IFERROR(VLOOKUP($C16,#REF!,3,0),"")</f>
        <v/>
      </c>
      <c r="BA16" s="31" t="str">
        <f>IFERROR(VLOOKUP($C16,#REF!,3,0),"")</f>
        <v/>
      </c>
      <c r="BB16" s="31" t="str">
        <f>IFERROR(VLOOKUP($C16,#REF!,3,0),"")</f>
        <v/>
      </c>
      <c r="BC16" s="31" t="str">
        <f>IFERROR(VLOOKUP($C16,#REF!,3,0),"")</f>
        <v/>
      </c>
      <c r="BD16" s="31" t="str">
        <f>IFERROR(VLOOKUP($C16,#REF!,3,0),"")</f>
        <v/>
      </c>
      <c r="BE16" s="31" t="str">
        <f>IFERROR(VLOOKUP($C16,#REF!,3,0),"")</f>
        <v/>
      </c>
      <c r="BF16" s="31" t="str">
        <f>IFERROR(VLOOKUP($C16,#REF!,3,0),"")</f>
        <v/>
      </c>
      <c r="BG16" s="31" t="str">
        <f>IFERROR(VLOOKUP($C16,#REF!,3,0),"")</f>
        <v/>
      </c>
      <c r="BH16" s="31" t="str">
        <f>IFERROR(VLOOKUP($C16,#REF!,3,0),"")</f>
        <v/>
      </c>
      <c r="BI16" s="31" t="str">
        <f>IFERROR(VLOOKUP($C16,#REF!,3,0),"")</f>
        <v/>
      </c>
      <c r="BK16" s="31">
        <f t="shared" si="5"/>
        <v>0</v>
      </c>
      <c r="BL16" s="31" t="str">
        <f t="shared" si="6"/>
        <v/>
      </c>
      <c r="BM16" s="31" t="str">
        <f t="shared" si="7"/>
        <v/>
      </c>
      <c r="BN16" s="31" t="str">
        <f t="shared" si="8"/>
        <v/>
      </c>
      <c r="BO16" s="31" t="str">
        <f t="shared" si="9"/>
        <v/>
      </c>
      <c r="BP16" s="31" t="str">
        <f t="shared" si="10"/>
        <v/>
      </c>
      <c r="BQ16" s="31" t="str">
        <f t="shared" si="11"/>
        <v/>
      </c>
      <c r="BR16" s="31" t="str">
        <f t="shared" si="12"/>
        <v/>
      </c>
      <c r="BS16" s="31" t="str">
        <f t="shared" si="13"/>
        <v/>
      </c>
      <c r="BT16" s="31" t="str">
        <f t="shared" si="14"/>
        <v/>
      </c>
      <c r="BU16" s="31" t="str">
        <f t="shared" si="15"/>
        <v/>
      </c>
      <c r="BV16" s="31" t="str">
        <f t="shared" si="16"/>
        <v/>
      </c>
      <c r="BW16" s="31" t="str">
        <f t="shared" si="17"/>
        <v/>
      </c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</row>
    <row r="17" spans="1:88" ht="15" customHeight="1">
      <c r="A17" s="83">
        <v>12</v>
      </c>
      <c r="B17" s="19" t="s">
        <v>22</v>
      </c>
      <c r="C17" s="19" t="s">
        <v>78</v>
      </c>
      <c r="D17" s="19" t="s">
        <v>229</v>
      </c>
      <c r="E17" s="19"/>
      <c r="F17" s="75"/>
      <c r="G17" s="31">
        <f t="shared" si="1"/>
        <v>481.99999999999994</v>
      </c>
      <c r="H17" s="31">
        <f t="shared" si="2"/>
        <v>324.50000000000006</v>
      </c>
      <c r="I17" s="31">
        <f t="shared" si="3"/>
        <v>93.499999999999986</v>
      </c>
      <c r="J17" s="61">
        <f>SUMIFS('2017OT'!$H:$H,'2017OT'!$M:$M,Report!J$4,'2017OT'!$B:$B,Report!$C17)</f>
        <v>0</v>
      </c>
      <c r="K17" s="61">
        <f>SUMIFS('2017OT'!$H:$H,'2017OT'!$M:$M,Report!K$4,'2017OT'!$B:$B,Report!$C17)</f>
        <v>0</v>
      </c>
      <c r="L17" s="61">
        <f>SUMIFS('2017OT'!$H:$H,'2017OT'!$M:$M,Report!L$4,'2017OT'!$B:$B,Report!$C17)</f>
        <v>32.749999999999979</v>
      </c>
      <c r="M17" s="61">
        <f>SUMIFS('2017OT'!$H:$H,'2017OT'!$M:$M,Report!M$4,'2017OT'!$B:$B,Report!$C17)</f>
        <v>43.75</v>
      </c>
      <c r="N17" s="61">
        <f>SUMIFS('2017OT'!$H:$H,'2017OT'!$M:$M,Report!N$4,'2017OT'!$B:$B,Report!$C17)</f>
        <v>31.5</v>
      </c>
      <c r="O17" s="61">
        <f>SUMIFS('2017OT'!$H:$H,'2017OT'!$M:$M,Report!O$4,'2017OT'!$B:$B,Report!$C17)</f>
        <v>40.75</v>
      </c>
      <c r="P17" s="61">
        <f>SUMIFS('2017OT'!$H:$H,'2017OT'!$M:$M,Report!P$4,'2017OT'!$B:$B,Report!$C17)</f>
        <v>57.000000000000007</v>
      </c>
      <c r="Q17" s="61">
        <f>SUMIFS('2017OT'!$H:$H,'2017OT'!$M:$M,Report!Q$4,'2017OT'!$B:$B,Report!$C17)</f>
        <v>102.49999999999997</v>
      </c>
      <c r="R17" s="61">
        <f>SUMIFS('2017OT'!$H:$H,'2017OT'!$M:$M,Report!R$4,'2017OT'!$B:$B,Report!$C17)</f>
        <v>27.499999999999993</v>
      </c>
      <c r="S17" s="61">
        <f>SUMIFS('2017OT'!$H:$H,'2017OT'!$M:$M,Report!S$4,'2017OT'!$B:$B,Report!$C17)</f>
        <v>47.500000000000021</v>
      </c>
      <c r="T17" s="61">
        <f>SUMIFS('2017OT'!$H:$H,'2017OT'!$M:$M,Report!T$4,'2017OT'!$B:$B,Report!$C17)</f>
        <v>61.75</v>
      </c>
      <c r="U17" s="61">
        <f>SUMIFS('2017OT'!$H:$H,'2017OT'!$M:$M,Report!U$4,'2017OT'!$B:$B,Report!$C17)</f>
        <v>37</v>
      </c>
      <c r="W17" s="61">
        <f>SUMIFS('2017OT'!$H:$H,'2017OT'!$M:$M,Report!W$4,'2017OT'!$B:$B,Report!$C17)</f>
        <v>40.500000000000014</v>
      </c>
      <c r="X17" s="61">
        <f>SUMIFS('2017OT'!$H:$H,'2017OT'!$M:$M,Report!X$4,'2017OT'!$B:$B,Report!$C17)</f>
        <v>5.0000000000000142</v>
      </c>
      <c r="Y17" s="61">
        <f>SUMIFS('2017OT'!$H:$H,'2017OT'!$M:$M,Report!Y$4,'2017OT'!$B:$B,Report!$C17)</f>
        <v>81.5</v>
      </c>
      <c r="Z17" s="61">
        <f>SUMIFS('2017OT'!$H:$H,'2017OT'!$M:$M,Report!Z$4,'2017OT'!$B:$B,Report!$C17)</f>
        <v>53.000000000000036</v>
      </c>
      <c r="AA17" s="61">
        <f>SUMIFS('2017OT'!$H:$H,'2017OT'!$M:$M,Report!AA$4,'2017OT'!$B:$B,Report!$C17)</f>
        <v>17.500000000000007</v>
      </c>
      <c r="AB17" s="61">
        <f>SUMIFS('2017OT'!$H:$H,'2017OT'!$M:$M,Report!AB$4,'2017OT'!$B:$B,Report!$C17)</f>
        <v>31.000000000000007</v>
      </c>
      <c r="AC17" s="61">
        <f>SUMIFS('2017OT'!$H:$H,'2017OT'!$M:$M,Report!AC$4,'2017OT'!$B:$B,Report!$C17)</f>
        <v>5.5</v>
      </c>
      <c r="AD17" s="61">
        <f>SUMIFS('2017OT'!$H:$H,'2017OT'!$M:$M,Report!AD$4,'2017OT'!$B:$B,Report!$C17)</f>
        <v>23.999999999999993</v>
      </c>
      <c r="AE17" s="61">
        <f>SUMIFS('2017OT'!$H:$H,'2017OT'!$M:$M,Report!AE$4,'2017OT'!$B:$B,Report!$C17)</f>
        <v>0</v>
      </c>
      <c r="AF17" s="61">
        <f>SUMIFS('2017OT'!$H:$H,'2017OT'!$M:$M,Report!AF$4,'2017OT'!$B:$B,Report!$C17)</f>
        <v>37.999999999999993</v>
      </c>
      <c r="AG17" s="61">
        <f>SUMIFS('2017OT'!$H:$H,'2017OT'!$M:$M,Report!AG$4,'2017OT'!$B:$B,Report!$C17)</f>
        <v>15.999999999999996</v>
      </c>
      <c r="AH17" s="61">
        <f>SUMIFS('2017OT'!$H:$H,'2017OT'!$M:$M,Report!AH$4,'2017OT'!$B:$B,Report!$C17)</f>
        <v>12.499999999999996</v>
      </c>
      <c r="AJ17" s="61">
        <f>SUMIFS('2017OT'!$H:$H,'2017OT'!$M:$M,Report!AJ$4,'2017OT'!$B:$B,Report!$C17)</f>
        <v>33.999999999999993</v>
      </c>
      <c r="AK17" s="61">
        <f>SUMIFS('2017OT'!$H:$H,'2017OT'!$M:$M,Report!AK$4,'2017OT'!$B:$B,Report!$C17)</f>
        <v>30.999999999999993</v>
      </c>
      <c r="AL17" s="61">
        <f>SUMIFS('2017OT'!$H:$H,'2017OT'!$M:$M,Report!AL$4,'2017OT'!$B:$B,Report!$C17)</f>
        <v>0</v>
      </c>
      <c r="AM17" s="61">
        <f>SUMIFS('2017OT'!$H:$H,'2017OT'!$M:$M,Report!AM$4,'2017OT'!$B:$B,Report!$C17)</f>
        <v>0</v>
      </c>
      <c r="AN17" s="61">
        <f>SUMIFS('2017OT'!$H:$H,'2017OT'!$M:$M,Report!AN$4,'2017OT'!$B:$B,Report!$C17)</f>
        <v>24</v>
      </c>
      <c r="AO17" s="61">
        <f>SUMIFS('2017OT'!$H:$H,'2017OT'!$M:$M,Report!AO$4,'2017OT'!$B:$B,Report!$C17)</f>
        <v>0</v>
      </c>
      <c r="AP17" s="61">
        <f>SUMIFS('2017OT'!$H:$H,'2017OT'!$M:$M,Report!AP$4,'2017OT'!$B:$B,Report!$C17)</f>
        <v>4.4999999999999991</v>
      </c>
      <c r="AQ17" s="61">
        <f>SUMIFS('2017OT'!$H:$H,'2017OT'!$M:$M,Report!AQ$4,'2017OT'!$B:$B,Report!$C17)</f>
        <v>0</v>
      </c>
      <c r="AR17" s="61">
        <f>SUMIFS('2017OT'!$H:$H,'2017OT'!$M:$M,Report!AR$4,'2017OT'!$B:$B,Report!$C17)</f>
        <v>0</v>
      </c>
      <c r="AS17" s="61">
        <f>SUMIFS('2017OT'!$H:$H,'2017OT'!$M:$M,Report!AS$4,'2017OT'!$B:$B,Report!$C17)</f>
        <v>0</v>
      </c>
      <c r="AT17" s="61">
        <f>SUMIFS('2017OT'!$H:$H,'2017OT'!$M:$M,Report!AT$4,'2017OT'!$B:$B,Report!$C17)</f>
        <v>0</v>
      </c>
      <c r="AU17" s="61">
        <f>SUMIFS('2017OT'!$H:$H,'2017OT'!$M:$M,Report!AU$4,'2017OT'!$B:$B,Report!$C17)</f>
        <v>0</v>
      </c>
      <c r="AV17" s="61"/>
      <c r="AW17" s="31">
        <f t="shared" si="4"/>
        <v>0</v>
      </c>
      <c r="AX17" s="31" t="str">
        <f>IFERROR(VLOOKUP($C17,#REF!,3,0),"")</f>
        <v/>
      </c>
      <c r="AY17" s="31" t="str">
        <f>IFERROR(VLOOKUP($C17,#REF!,3,0),"")</f>
        <v/>
      </c>
      <c r="AZ17" s="31" t="str">
        <f>IFERROR(VLOOKUP($C17,#REF!,3,0),"")</f>
        <v/>
      </c>
      <c r="BA17" s="31" t="str">
        <f>IFERROR(VLOOKUP($C17,#REF!,3,0),"")</f>
        <v/>
      </c>
      <c r="BB17" s="31" t="str">
        <f>IFERROR(VLOOKUP($C17,#REF!,3,0),"")</f>
        <v/>
      </c>
      <c r="BC17" s="31" t="str">
        <f>IFERROR(VLOOKUP($C17,#REF!,3,0),"")</f>
        <v/>
      </c>
      <c r="BD17" s="31" t="str">
        <f>IFERROR(VLOOKUP($C17,#REF!,3,0),"")</f>
        <v/>
      </c>
      <c r="BE17" s="31" t="str">
        <f>IFERROR(VLOOKUP($C17,#REF!,3,0),"")</f>
        <v/>
      </c>
      <c r="BF17" s="31" t="str">
        <f>IFERROR(VLOOKUP($C17,#REF!,3,0),"")</f>
        <v/>
      </c>
      <c r="BG17" s="31" t="str">
        <f>IFERROR(VLOOKUP($C17,#REF!,3,0),"")</f>
        <v/>
      </c>
      <c r="BH17" s="31" t="str">
        <f>IFERROR(VLOOKUP($C17,#REF!,3,0),"")</f>
        <v/>
      </c>
      <c r="BI17" s="31" t="str">
        <f>IFERROR(VLOOKUP($C17,#REF!,3,0),"")</f>
        <v/>
      </c>
      <c r="BK17" s="31">
        <f t="shared" si="5"/>
        <v>0</v>
      </c>
      <c r="BL17" s="31" t="str">
        <f t="shared" si="6"/>
        <v/>
      </c>
      <c r="BM17" s="31" t="str">
        <f t="shared" si="7"/>
        <v/>
      </c>
      <c r="BN17" s="31" t="str">
        <f t="shared" si="8"/>
        <v/>
      </c>
      <c r="BO17" s="31" t="str">
        <f t="shared" si="9"/>
        <v/>
      </c>
      <c r="BP17" s="31" t="str">
        <f t="shared" si="10"/>
        <v/>
      </c>
      <c r="BQ17" s="31" t="str">
        <f t="shared" si="11"/>
        <v/>
      </c>
      <c r="BR17" s="31" t="str">
        <f t="shared" si="12"/>
        <v/>
      </c>
      <c r="BS17" s="31" t="str">
        <f t="shared" si="13"/>
        <v/>
      </c>
      <c r="BT17" s="31" t="str">
        <f t="shared" si="14"/>
        <v/>
      </c>
      <c r="BU17" s="31" t="str">
        <f t="shared" si="15"/>
        <v/>
      </c>
      <c r="BV17" s="31" t="str">
        <f t="shared" si="16"/>
        <v/>
      </c>
      <c r="BW17" s="31" t="str">
        <f t="shared" si="17"/>
        <v/>
      </c>
    </row>
    <row r="18" spans="1:88" ht="15" customHeight="1">
      <c r="A18" s="83">
        <v>13</v>
      </c>
      <c r="B18" s="19" t="s">
        <v>22</v>
      </c>
      <c r="C18" s="19" t="s">
        <v>478</v>
      </c>
      <c r="D18" s="19" t="s">
        <v>229</v>
      </c>
      <c r="E18" s="19"/>
      <c r="F18" s="80">
        <v>43175</v>
      </c>
      <c r="G18" s="31">
        <f t="shared" si="1"/>
        <v>0</v>
      </c>
      <c r="H18" s="31">
        <f t="shared" si="2"/>
        <v>137.00000000000006</v>
      </c>
      <c r="I18" s="31">
        <f t="shared" si="3"/>
        <v>64.5</v>
      </c>
      <c r="J18" s="61">
        <f>SUMIFS('2017OT'!$H:$H,'2017OT'!$M:$M,Report!J$4,'2017OT'!$B:$B,Report!$C18)</f>
        <v>0</v>
      </c>
      <c r="K18" s="61">
        <f>SUMIFS('2017OT'!$H:$H,'2017OT'!$M:$M,Report!K$4,'2017OT'!$B:$B,Report!$C18)</f>
        <v>0</v>
      </c>
      <c r="L18" s="61">
        <f>SUMIFS('2017OT'!$H:$H,'2017OT'!$M:$M,Report!L$4,'2017OT'!$B:$B,Report!$C18)</f>
        <v>0</v>
      </c>
      <c r="M18" s="61">
        <f>SUMIFS('2017OT'!$H:$H,'2017OT'!$M:$M,Report!M$4,'2017OT'!$B:$B,Report!$C18)</f>
        <v>0</v>
      </c>
      <c r="N18" s="61">
        <f>SUMIFS('2017OT'!$H:$H,'2017OT'!$M:$M,Report!N$4,'2017OT'!$B:$B,Report!$C18)</f>
        <v>0</v>
      </c>
      <c r="O18" s="61">
        <f>SUMIFS('2017OT'!$H:$H,'2017OT'!$M:$M,Report!O$4,'2017OT'!$B:$B,Report!$C18)</f>
        <v>0</v>
      </c>
      <c r="P18" s="61">
        <f>SUMIFS('2017OT'!$H:$H,'2017OT'!$M:$M,Report!P$4,'2017OT'!$B:$B,Report!$C18)</f>
        <v>0</v>
      </c>
      <c r="Q18" s="61">
        <f>SUMIFS('2017OT'!$H:$H,'2017OT'!$M:$M,Report!Q$4,'2017OT'!$B:$B,Report!$C18)</f>
        <v>0</v>
      </c>
      <c r="R18" s="61">
        <f>SUMIFS('2017OT'!$H:$H,'2017OT'!$M:$M,Report!R$4,'2017OT'!$B:$B,Report!$C18)</f>
        <v>0</v>
      </c>
      <c r="S18" s="61">
        <f>SUMIFS('2017OT'!$H:$H,'2017OT'!$M:$M,Report!S$4,'2017OT'!$B:$B,Report!$C18)</f>
        <v>0</v>
      </c>
      <c r="T18" s="61">
        <f>SUMIFS('2017OT'!$H:$H,'2017OT'!$M:$M,Report!T$4,'2017OT'!$B:$B,Report!$C18)</f>
        <v>0</v>
      </c>
      <c r="U18" s="61">
        <f>SUMIFS('2017OT'!$H:$H,'2017OT'!$M:$M,Report!U$4,'2017OT'!$B:$B,Report!$C18)</f>
        <v>0</v>
      </c>
      <c r="W18" s="61">
        <f>SUMIFS('2017OT'!$H:$H,'2017OT'!$M:$M,Report!W$4,'2017OT'!$B:$B,Report!$C18)</f>
        <v>0</v>
      </c>
      <c r="X18" s="61">
        <f>SUMIFS('2017OT'!$H:$H,'2017OT'!$M:$M,Report!X$4,'2017OT'!$B:$B,Report!$C18)</f>
        <v>0</v>
      </c>
      <c r="Y18" s="61">
        <f>SUMIFS('2017OT'!$H:$H,'2017OT'!$M:$M,Report!Y$4,'2017OT'!$B:$B,Report!$C18)</f>
        <v>72.000000000000014</v>
      </c>
      <c r="Z18" s="61">
        <f>SUMIFS('2017OT'!$H:$H,'2017OT'!$M:$M,Report!Z$4,'2017OT'!$B:$B,Report!$C18)</f>
        <v>22.500000000000014</v>
      </c>
      <c r="AA18" s="61">
        <f>SUMIFS('2017OT'!$H:$H,'2017OT'!$M:$M,Report!AA$4,'2017OT'!$B:$B,Report!$C18)</f>
        <v>18.000000000000014</v>
      </c>
      <c r="AB18" s="61">
        <f>SUMIFS('2017OT'!$H:$H,'2017OT'!$M:$M,Report!AB$4,'2017OT'!$B:$B,Report!$C18)</f>
        <v>0</v>
      </c>
      <c r="AC18" s="61">
        <f>SUMIFS('2017OT'!$H:$H,'2017OT'!$M:$M,Report!AC$4,'2017OT'!$B:$B,Report!$C18)</f>
        <v>0</v>
      </c>
      <c r="AD18" s="61">
        <f>SUMIFS('2017OT'!$H:$H,'2017OT'!$M:$M,Report!AD$4,'2017OT'!$B:$B,Report!$C18)</f>
        <v>0</v>
      </c>
      <c r="AE18" s="61">
        <f>SUMIFS('2017OT'!$H:$H,'2017OT'!$M:$M,Report!AE$4,'2017OT'!$B:$B,Report!$C18)</f>
        <v>0</v>
      </c>
      <c r="AF18" s="61">
        <f>SUMIFS('2017OT'!$H:$H,'2017OT'!$M:$M,Report!AF$4,'2017OT'!$B:$B,Report!$C18)</f>
        <v>0</v>
      </c>
      <c r="AG18" s="61">
        <f>SUMIFS('2017OT'!$H:$H,'2017OT'!$M:$M,Report!AG$4,'2017OT'!$B:$B,Report!$C18)</f>
        <v>16.5</v>
      </c>
      <c r="AH18" s="61">
        <f>SUMIFS('2017OT'!$H:$H,'2017OT'!$M:$M,Report!AH$4,'2017OT'!$B:$B,Report!$C18)</f>
        <v>7.9999999999999982</v>
      </c>
      <c r="AJ18" s="61">
        <f>SUMIFS('2017OT'!$H:$H,'2017OT'!$M:$M,Report!AJ$4,'2017OT'!$B:$B,Report!$C18)</f>
        <v>10.5</v>
      </c>
      <c r="AK18" s="61">
        <f>SUMIFS('2017OT'!$H:$H,'2017OT'!$M:$M,Report!AK$4,'2017OT'!$B:$B,Report!$C18)</f>
        <v>0</v>
      </c>
      <c r="AL18" s="61">
        <f>SUMIFS('2017OT'!$H:$H,'2017OT'!$M:$M,Report!AL$4,'2017OT'!$B:$B,Report!$C18)</f>
        <v>19.5</v>
      </c>
      <c r="AM18" s="61">
        <f>SUMIFS('2017OT'!$H:$H,'2017OT'!$M:$M,Report!AM$4,'2017OT'!$B:$B,Report!$C18)</f>
        <v>18.5</v>
      </c>
      <c r="AN18" s="61">
        <f>SUMIFS('2017OT'!$H:$H,'2017OT'!$M:$M,Report!AN$4,'2017OT'!$B:$B,Report!$C18)</f>
        <v>0</v>
      </c>
      <c r="AO18" s="61">
        <f>SUMIFS('2017OT'!$H:$H,'2017OT'!$M:$M,Report!AO$4,'2017OT'!$B:$B,Report!$C18)</f>
        <v>15.999999999999998</v>
      </c>
      <c r="AP18" s="61">
        <f>SUMIFS('2017OT'!$H:$H,'2017OT'!$M:$M,Report!AP$4,'2017OT'!$B:$B,Report!$C18)</f>
        <v>0</v>
      </c>
      <c r="AQ18" s="61">
        <f>SUMIFS('2017OT'!$H:$H,'2017OT'!$M:$M,Report!AQ$4,'2017OT'!$B:$B,Report!$C18)</f>
        <v>0</v>
      </c>
      <c r="AR18" s="61">
        <f>SUMIFS('2017OT'!$H:$H,'2017OT'!$M:$M,Report!AR$4,'2017OT'!$B:$B,Report!$C18)</f>
        <v>0</v>
      </c>
      <c r="AS18" s="61">
        <f>SUMIFS('2017OT'!$H:$H,'2017OT'!$M:$M,Report!AS$4,'2017OT'!$B:$B,Report!$C18)</f>
        <v>0</v>
      </c>
      <c r="AT18" s="61">
        <f>SUMIFS('2017OT'!$H:$H,'2017OT'!$M:$M,Report!AT$4,'2017OT'!$B:$B,Report!$C18)</f>
        <v>0</v>
      </c>
      <c r="AU18" s="61">
        <f>SUMIFS('2017OT'!$H:$H,'2017OT'!$M:$M,Report!AU$4,'2017OT'!$B:$B,Report!$C18)</f>
        <v>0</v>
      </c>
      <c r="AV18" s="61"/>
      <c r="AW18" s="31">
        <f t="shared" si="4"/>
        <v>0</v>
      </c>
      <c r="AX18" s="31" t="str">
        <f>IFERROR(VLOOKUP($C18,#REF!,3,0),"")</f>
        <v/>
      </c>
      <c r="AY18" s="31" t="str">
        <f>IFERROR(VLOOKUP($C18,#REF!,3,0),"")</f>
        <v/>
      </c>
      <c r="AZ18" s="31" t="str">
        <f>IFERROR(VLOOKUP($C18,#REF!,3,0),"")</f>
        <v/>
      </c>
      <c r="BA18" s="31" t="str">
        <f>IFERROR(VLOOKUP($C18,#REF!,3,0),"")</f>
        <v/>
      </c>
      <c r="BB18" s="31" t="str">
        <f>IFERROR(VLOOKUP($C18,#REF!,3,0),"")</f>
        <v/>
      </c>
      <c r="BC18" s="31" t="str">
        <f>IFERROR(VLOOKUP($C18,#REF!,3,0),"")</f>
        <v/>
      </c>
      <c r="BD18" s="31" t="str">
        <f>IFERROR(VLOOKUP($C18,#REF!,3,0),"")</f>
        <v/>
      </c>
      <c r="BE18" s="31" t="str">
        <f>IFERROR(VLOOKUP($C18,#REF!,3,0),"")</f>
        <v/>
      </c>
      <c r="BF18" s="31" t="str">
        <f>IFERROR(VLOOKUP($C18,#REF!,3,0),"")</f>
        <v/>
      </c>
      <c r="BG18" s="31" t="str">
        <f>IFERROR(VLOOKUP($C18,#REF!,3,0),"")</f>
        <v/>
      </c>
      <c r="BH18" s="31" t="str">
        <f>IFERROR(VLOOKUP($C18,#REF!,3,0),"")</f>
        <v/>
      </c>
      <c r="BI18" s="31" t="str">
        <f>IFERROR(VLOOKUP($C18,#REF!,3,0),"")</f>
        <v/>
      </c>
      <c r="BK18" s="31">
        <f t="shared" si="5"/>
        <v>0</v>
      </c>
      <c r="BL18" s="31" t="str">
        <f t="shared" si="6"/>
        <v/>
      </c>
      <c r="BM18" s="31" t="str">
        <f t="shared" si="7"/>
        <v/>
      </c>
      <c r="BN18" s="31" t="str">
        <f t="shared" si="8"/>
        <v/>
      </c>
      <c r="BO18" s="31" t="str">
        <f t="shared" si="9"/>
        <v/>
      </c>
      <c r="BP18" s="31" t="str">
        <f t="shared" si="10"/>
        <v/>
      </c>
      <c r="BQ18" s="31" t="str">
        <f t="shared" si="11"/>
        <v/>
      </c>
      <c r="BR18" s="31" t="str">
        <f t="shared" si="12"/>
        <v/>
      </c>
      <c r="BS18" s="31" t="str">
        <f t="shared" si="13"/>
        <v/>
      </c>
      <c r="BT18" s="31" t="str">
        <f t="shared" si="14"/>
        <v/>
      </c>
      <c r="BU18" s="31" t="str">
        <f t="shared" si="15"/>
        <v/>
      </c>
      <c r="BV18" s="31" t="str">
        <f t="shared" si="16"/>
        <v/>
      </c>
      <c r="BW18" s="31" t="str">
        <f t="shared" si="17"/>
        <v/>
      </c>
    </row>
    <row r="19" spans="1:88" ht="15" customHeight="1">
      <c r="A19" s="83">
        <v>14</v>
      </c>
      <c r="B19" s="19" t="s">
        <v>22</v>
      </c>
      <c r="C19" s="19" t="s">
        <v>644</v>
      </c>
      <c r="D19" s="19" t="s">
        <v>229</v>
      </c>
      <c r="E19" s="19"/>
      <c r="F19" s="80">
        <v>43175</v>
      </c>
      <c r="G19" s="31">
        <f t="shared" si="1"/>
        <v>0</v>
      </c>
      <c r="H19" s="31">
        <f t="shared" si="2"/>
        <v>15.999999999999996</v>
      </c>
      <c r="I19" s="31">
        <f t="shared" si="3"/>
        <v>6.5</v>
      </c>
      <c r="J19" s="61">
        <f>SUMIFS('2017OT'!$H:$H,'2017OT'!$M:$M,Report!J$4,'2017OT'!$B:$B,Report!$C19)</f>
        <v>0</v>
      </c>
      <c r="K19" s="61">
        <f>SUMIFS('2017OT'!$H:$H,'2017OT'!$M:$M,Report!K$4,'2017OT'!$B:$B,Report!$C19)</f>
        <v>0</v>
      </c>
      <c r="L19" s="61">
        <f>SUMIFS('2017OT'!$H:$H,'2017OT'!$M:$M,Report!L$4,'2017OT'!$B:$B,Report!$C19)</f>
        <v>0</v>
      </c>
      <c r="M19" s="61">
        <f>SUMIFS('2017OT'!$H:$H,'2017OT'!$M:$M,Report!M$4,'2017OT'!$B:$B,Report!$C19)</f>
        <v>0</v>
      </c>
      <c r="N19" s="61">
        <f>SUMIFS('2017OT'!$H:$H,'2017OT'!$M:$M,Report!N$4,'2017OT'!$B:$B,Report!$C19)</f>
        <v>0</v>
      </c>
      <c r="O19" s="61">
        <f>SUMIFS('2017OT'!$H:$H,'2017OT'!$M:$M,Report!O$4,'2017OT'!$B:$B,Report!$C19)</f>
        <v>0</v>
      </c>
      <c r="P19" s="61">
        <f>SUMIFS('2017OT'!$H:$H,'2017OT'!$M:$M,Report!P$4,'2017OT'!$B:$B,Report!$C19)</f>
        <v>0</v>
      </c>
      <c r="Q19" s="61">
        <f>SUMIFS('2017OT'!$H:$H,'2017OT'!$M:$M,Report!Q$4,'2017OT'!$B:$B,Report!$C19)</f>
        <v>0</v>
      </c>
      <c r="R19" s="61">
        <f>SUMIFS('2017OT'!$H:$H,'2017OT'!$M:$M,Report!R$4,'2017OT'!$B:$B,Report!$C19)</f>
        <v>0</v>
      </c>
      <c r="S19" s="61">
        <f>SUMIFS('2017OT'!$H:$H,'2017OT'!$M:$M,Report!S$4,'2017OT'!$B:$B,Report!$C19)</f>
        <v>0</v>
      </c>
      <c r="T19" s="61">
        <f>SUMIFS('2017OT'!$H:$H,'2017OT'!$M:$M,Report!T$4,'2017OT'!$B:$B,Report!$C19)</f>
        <v>0</v>
      </c>
      <c r="U19" s="61">
        <f>SUMIFS('2017OT'!$H:$H,'2017OT'!$M:$M,Report!U$4,'2017OT'!$B:$B,Report!$C19)</f>
        <v>0</v>
      </c>
      <c r="V19" s="27"/>
      <c r="W19" s="61">
        <f>SUMIFS('2017OT'!$H:$H,'2017OT'!$M:$M,Report!W$4,'2017OT'!$B:$B,Report!$C19)</f>
        <v>0</v>
      </c>
      <c r="X19" s="61">
        <f>SUMIFS('2017OT'!$H:$H,'2017OT'!$M:$M,Report!X$4,'2017OT'!$B:$B,Report!$C19)</f>
        <v>0</v>
      </c>
      <c r="Y19" s="61">
        <f>SUMIFS('2017OT'!$H:$H,'2017OT'!$M:$M,Report!Y$4,'2017OT'!$B:$B,Report!$C19)</f>
        <v>0</v>
      </c>
      <c r="Z19" s="61">
        <f>SUMIFS('2017OT'!$H:$H,'2017OT'!$M:$M,Report!Z$4,'2017OT'!$B:$B,Report!$C19)</f>
        <v>0</v>
      </c>
      <c r="AA19" s="61">
        <f>SUMIFS('2017OT'!$H:$H,'2017OT'!$M:$M,Report!AA$4,'2017OT'!$B:$B,Report!$C19)</f>
        <v>0</v>
      </c>
      <c r="AB19" s="61">
        <f>SUMIFS('2017OT'!$H:$H,'2017OT'!$M:$M,Report!AB$4,'2017OT'!$B:$B,Report!$C19)</f>
        <v>0</v>
      </c>
      <c r="AC19" s="61">
        <f>SUMIFS('2017OT'!$H:$H,'2017OT'!$M:$M,Report!AC$4,'2017OT'!$B:$B,Report!$C19)</f>
        <v>0</v>
      </c>
      <c r="AD19" s="61">
        <f>SUMIFS('2017OT'!$H:$H,'2017OT'!$M:$M,Report!AD$4,'2017OT'!$B:$B,Report!$C19)</f>
        <v>0</v>
      </c>
      <c r="AE19" s="61">
        <f>SUMIFS('2017OT'!$H:$H,'2017OT'!$M:$M,Report!AE$4,'2017OT'!$B:$B,Report!$C19)</f>
        <v>7.9999999999999982</v>
      </c>
      <c r="AF19" s="61">
        <f>SUMIFS('2017OT'!$H:$H,'2017OT'!$M:$M,Report!AF$4,'2017OT'!$B:$B,Report!$C19)</f>
        <v>0</v>
      </c>
      <c r="AG19" s="61">
        <f>SUMIFS('2017OT'!$H:$H,'2017OT'!$M:$M,Report!AG$4,'2017OT'!$B:$B,Report!$C19)</f>
        <v>0</v>
      </c>
      <c r="AH19" s="61">
        <f>SUMIFS('2017OT'!$H:$H,'2017OT'!$M:$M,Report!AH$4,'2017OT'!$B:$B,Report!$C19)</f>
        <v>7.9999999999999982</v>
      </c>
      <c r="AI19" s="27"/>
      <c r="AJ19" s="61">
        <f>SUMIFS('2017OT'!$H:$H,'2017OT'!$M:$M,Report!AJ$4,'2017OT'!$B:$B,Report!$C19)</f>
        <v>6.5</v>
      </c>
      <c r="AK19" s="61">
        <f>SUMIFS('2017OT'!$H:$H,'2017OT'!$M:$M,Report!AK$4,'2017OT'!$B:$B,Report!$C19)</f>
        <v>0</v>
      </c>
      <c r="AL19" s="61">
        <f>SUMIFS('2017OT'!$H:$H,'2017OT'!$M:$M,Report!AL$4,'2017OT'!$B:$B,Report!$C19)</f>
        <v>0</v>
      </c>
      <c r="AM19" s="61">
        <f>SUMIFS('2017OT'!$H:$H,'2017OT'!$M:$M,Report!AM$4,'2017OT'!$B:$B,Report!$C19)</f>
        <v>0</v>
      </c>
      <c r="AN19" s="61">
        <f>SUMIFS('2017OT'!$H:$H,'2017OT'!$M:$M,Report!AN$4,'2017OT'!$B:$B,Report!$C19)</f>
        <v>0</v>
      </c>
      <c r="AO19" s="61">
        <f>SUMIFS('2017OT'!$H:$H,'2017OT'!$M:$M,Report!AO$4,'2017OT'!$B:$B,Report!$C19)</f>
        <v>0</v>
      </c>
      <c r="AP19" s="61">
        <f>SUMIFS('2017OT'!$H:$H,'2017OT'!$M:$M,Report!AP$4,'2017OT'!$B:$B,Report!$C19)</f>
        <v>0</v>
      </c>
      <c r="AQ19" s="61">
        <f>SUMIFS('2017OT'!$H:$H,'2017OT'!$M:$M,Report!AQ$4,'2017OT'!$B:$B,Report!$C19)</f>
        <v>0</v>
      </c>
      <c r="AR19" s="61">
        <f>SUMIFS('2017OT'!$H:$H,'2017OT'!$M:$M,Report!AR$4,'2017OT'!$B:$B,Report!$C19)</f>
        <v>0</v>
      </c>
      <c r="AS19" s="61">
        <f>SUMIFS('2017OT'!$H:$H,'2017OT'!$M:$M,Report!AS$4,'2017OT'!$B:$B,Report!$C19)</f>
        <v>0</v>
      </c>
      <c r="AT19" s="61">
        <f>SUMIFS('2017OT'!$H:$H,'2017OT'!$M:$M,Report!AT$4,'2017OT'!$B:$B,Report!$C19)</f>
        <v>0</v>
      </c>
      <c r="AU19" s="61">
        <f>SUMIFS('2017OT'!$H:$H,'2017OT'!$M:$M,Report!AU$4,'2017OT'!$B:$B,Report!$C19)</f>
        <v>0</v>
      </c>
      <c r="AV19" s="61"/>
      <c r="AW19" s="31">
        <f t="shared" si="4"/>
        <v>0</v>
      </c>
      <c r="AX19" s="31" t="str">
        <f>IFERROR(VLOOKUP($C19,#REF!,3,0),"")</f>
        <v/>
      </c>
      <c r="AY19" s="31" t="str">
        <f>IFERROR(VLOOKUP($C19,#REF!,3,0),"")</f>
        <v/>
      </c>
      <c r="AZ19" s="31" t="str">
        <f>IFERROR(VLOOKUP($C19,#REF!,3,0),"")</f>
        <v/>
      </c>
      <c r="BA19" s="31" t="str">
        <f>IFERROR(VLOOKUP($C19,#REF!,3,0),"")</f>
        <v/>
      </c>
      <c r="BB19" s="31" t="str">
        <f>IFERROR(VLOOKUP($C19,#REF!,3,0),"")</f>
        <v/>
      </c>
      <c r="BC19" s="31" t="str">
        <f>IFERROR(VLOOKUP($C19,#REF!,3,0),"")</f>
        <v/>
      </c>
      <c r="BD19" s="31" t="str">
        <f>IFERROR(VLOOKUP($C19,#REF!,3,0),"")</f>
        <v/>
      </c>
      <c r="BE19" s="31" t="str">
        <f>IFERROR(VLOOKUP($C19,#REF!,3,0),"")</f>
        <v/>
      </c>
      <c r="BF19" s="31" t="str">
        <f>IFERROR(VLOOKUP($C19,#REF!,3,0),"")</f>
        <v/>
      </c>
      <c r="BG19" s="31" t="str">
        <f>IFERROR(VLOOKUP($C19,#REF!,3,0),"")</f>
        <v/>
      </c>
      <c r="BH19" s="31" t="str">
        <f>IFERROR(VLOOKUP($C19,#REF!,3,0),"")</f>
        <v/>
      </c>
      <c r="BI19" s="31" t="str">
        <f>IFERROR(VLOOKUP($C19,#REF!,3,0),"")</f>
        <v/>
      </c>
      <c r="BJ19" s="27"/>
      <c r="BK19" s="31">
        <f t="shared" si="5"/>
        <v>0</v>
      </c>
      <c r="BL19" s="31" t="str">
        <f t="shared" si="6"/>
        <v/>
      </c>
      <c r="BM19" s="31" t="str">
        <f t="shared" si="7"/>
        <v/>
      </c>
      <c r="BN19" s="31" t="str">
        <f t="shared" si="8"/>
        <v/>
      </c>
      <c r="BO19" s="31" t="str">
        <f t="shared" si="9"/>
        <v/>
      </c>
      <c r="BP19" s="31" t="str">
        <f t="shared" si="10"/>
        <v/>
      </c>
      <c r="BQ19" s="31" t="str">
        <f t="shared" si="11"/>
        <v/>
      </c>
      <c r="BR19" s="31" t="str">
        <f t="shared" si="12"/>
        <v/>
      </c>
      <c r="BS19" s="31" t="str">
        <f t="shared" si="13"/>
        <v/>
      </c>
      <c r="BT19" s="31" t="str">
        <f t="shared" si="14"/>
        <v/>
      </c>
      <c r="BU19" s="31" t="str">
        <f t="shared" si="15"/>
        <v/>
      </c>
      <c r="BV19" s="31" t="str">
        <f t="shared" si="16"/>
        <v/>
      </c>
      <c r="BW19" s="31" t="str">
        <f t="shared" si="17"/>
        <v/>
      </c>
    </row>
    <row r="20" spans="1:88" ht="15" customHeight="1">
      <c r="A20" s="83">
        <v>15</v>
      </c>
      <c r="B20" s="19" t="s">
        <v>22</v>
      </c>
      <c r="C20" s="70" t="s">
        <v>679</v>
      </c>
      <c r="D20" s="19" t="s">
        <v>229</v>
      </c>
      <c r="E20" s="19"/>
      <c r="F20" s="75"/>
      <c r="G20" s="31">
        <f t="shared" si="1"/>
        <v>0</v>
      </c>
      <c r="H20" s="31">
        <f t="shared" si="2"/>
        <v>70.499999999999972</v>
      </c>
      <c r="I20" s="31">
        <f t="shared" si="3"/>
        <v>67</v>
      </c>
      <c r="J20" s="61">
        <f>SUMIFS('2017OT'!$H:$H,'2017OT'!$M:$M,Report!J$4,'2017OT'!$B:$B,Report!$C20)</f>
        <v>0</v>
      </c>
      <c r="K20" s="61">
        <f>SUMIFS('2017OT'!$H:$H,'2017OT'!$M:$M,Report!K$4,'2017OT'!$B:$B,Report!$C20)</f>
        <v>0</v>
      </c>
      <c r="L20" s="61">
        <f>SUMIFS('2017OT'!$H:$H,'2017OT'!$M:$M,Report!L$4,'2017OT'!$B:$B,Report!$C20)</f>
        <v>0</v>
      </c>
      <c r="M20" s="61">
        <f>SUMIFS('2017OT'!$H:$H,'2017OT'!$M:$M,Report!M$4,'2017OT'!$B:$B,Report!$C20)</f>
        <v>0</v>
      </c>
      <c r="N20" s="61">
        <f>SUMIFS('2017OT'!$H:$H,'2017OT'!$M:$M,Report!N$4,'2017OT'!$B:$B,Report!$C20)</f>
        <v>0</v>
      </c>
      <c r="O20" s="61">
        <f>SUMIFS('2017OT'!$H:$H,'2017OT'!$M:$M,Report!O$4,'2017OT'!$B:$B,Report!$C20)</f>
        <v>0</v>
      </c>
      <c r="P20" s="61">
        <f>SUMIFS('2017OT'!$H:$H,'2017OT'!$M:$M,Report!P$4,'2017OT'!$B:$B,Report!$C20)</f>
        <v>0</v>
      </c>
      <c r="Q20" s="61">
        <f>SUMIFS('2017OT'!$H:$H,'2017OT'!$M:$M,Report!Q$4,'2017OT'!$B:$B,Report!$C20)</f>
        <v>0</v>
      </c>
      <c r="R20" s="61">
        <f>SUMIFS('2017OT'!$H:$H,'2017OT'!$M:$M,Report!R$4,'2017OT'!$B:$B,Report!$C20)</f>
        <v>0</v>
      </c>
      <c r="S20" s="61">
        <f>SUMIFS('2017OT'!$H:$H,'2017OT'!$M:$M,Report!S$4,'2017OT'!$B:$B,Report!$C20)</f>
        <v>0</v>
      </c>
      <c r="T20" s="61">
        <f>SUMIFS('2017OT'!$H:$H,'2017OT'!$M:$M,Report!T$4,'2017OT'!$B:$B,Report!$C20)</f>
        <v>0</v>
      </c>
      <c r="U20" s="61">
        <f>SUMIFS('2017OT'!$H:$H,'2017OT'!$M:$M,Report!U$4,'2017OT'!$B:$B,Report!$C20)</f>
        <v>0</v>
      </c>
      <c r="W20" s="61">
        <f>SUMIFS('2017OT'!$H:$H,'2017OT'!$M:$M,Report!W$4,'2017OT'!$B:$B,Report!$C20)</f>
        <v>0</v>
      </c>
      <c r="X20" s="61">
        <f>SUMIFS('2017OT'!$H:$H,'2017OT'!$M:$M,Report!X$4,'2017OT'!$B:$B,Report!$C20)</f>
        <v>0</v>
      </c>
      <c r="Y20" s="61">
        <f>SUMIFS('2017OT'!$H:$H,'2017OT'!$M:$M,Report!Y$4,'2017OT'!$B:$B,Report!$C20)</f>
        <v>0</v>
      </c>
      <c r="Z20" s="61">
        <f>SUMIFS('2017OT'!$H:$H,'2017OT'!$M:$M,Report!Z$4,'2017OT'!$B:$B,Report!$C20)</f>
        <v>0</v>
      </c>
      <c r="AA20" s="61">
        <f>SUMIFS('2017OT'!$H:$H,'2017OT'!$M:$M,Report!AA$4,'2017OT'!$B:$B,Report!$C20)</f>
        <v>0</v>
      </c>
      <c r="AB20" s="61">
        <f>SUMIFS('2017OT'!$H:$H,'2017OT'!$M:$M,Report!AB$4,'2017OT'!$B:$B,Report!$C20)</f>
        <v>0</v>
      </c>
      <c r="AC20" s="61">
        <f>SUMIFS('2017OT'!$H:$H,'2017OT'!$M:$M,Report!AC$4,'2017OT'!$B:$B,Report!$C20)</f>
        <v>0</v>
      </c>
      <c r="AD20" s="61">
        <f>SUMIFS('2017OT'!$H:$H,'2017OT'!$M:$M,Report!AD$4,'2017OT'!$B:$B,Report!$C20)</f>
        <v>0</v>
      </c>
      <c r="AE20" s="61">
        <f>SUMIFS('2017OT'!$H:$H,'2017OT'!$M:$M,Report!AE$4,'2017OT'!$B:$B,Report!$C20)</f>
        <v>0</v>
      </c>
      <c r="AF20" s="61">
        <f>SUMIFS('2017OT'!$H:$H,'2017OT'!$M:$M,Report!AF$4,'2017OT'!$B:$B,Report!$C20)</f>
        <v>15.999999999999996</v>
      </c>
      <c r="AG20" s="61">
        <f>SUMIFS('2017OT'!$H:$H,'2017OT'!$M:$M,Report!AG$4,'2017OT'!$B:$B,Report!$C20)</f>
        <v>23.999999999999993</v>
      </c>
      <c r="AH20" s="61">
        <f>SUMIFS('2017OT'!$H:$H,'2017OT'!$M:$M,Report!AH$4,'2017OT'!$B:$B,Report!$C20)</f>
        <v>30.499999999999993</v>
      </c>
      <c r="AJ20" s="61">
        <f>SUMIFS('2017OT'!$H:$H,'2017OT'!$M:$M,Report!AJ$4,'2017OT'!$B:$B,Report!$C20)</f>
        <v>21</v>
      </c>
      <c r="AK20" s="61">
        <f>SUMIFS('2017OT'!$H:$H,'2017OT'!$M:$M,Report!AK$4,'2017OT'!$B:$B,Report!$C20)</f>
        <v>0</v>
      </c>
      <c r="AL20" s="61">
        <f>SUMIFS('2017OT'!$H:$H,'2017OT'!$M:$M,Report!AL$4,'2017OT'!$B:$B,Report!$C20)</f>
        <v>21.999999999999996</v>
      </c>
      <c r="AM20" s="61">
        <f>SUMIFS('2017OT'!$H:$H,'2017OT'!$M:$M,Report!AM$4,'2017OT'!$B:$B,Report!$C20)</f>
        <v>0</v>
      </c>
      <c r="AN20" s="61">
        <f>SUMIFS('2017OT'!$H:$H,'2017OT'!$M:$M,Report!AN$4,'2017OT'!$B:$B,Report!$C20)</f>
        <v>0</v>
      </c>
      <c r="AO20" s="61">
        <f>SUMIFS('2017OT'!$H:$H,'2017OT'!$M:$M,Report!AO$4,'2017OT'!$B:$B,Report!$C20)</f>
        <v>8</v>
      </c>
      <c r="AP20" s="61">
        <f>SUMIFS('2017OT'!$H:$H,'2017OT'!$M:$M,Report!AP$4,'2017OT'!$B:$B,Report!$C20)</f>
        <v>16</v>
      </c>
      <c r="AQ20" s="61">
        <f>SUMIFS('2017OT'!$H:$H,'2017OT'!$M:$M,Report!AQ$4,'2017OT'!$B:$B,Report!$C20)</f>
        <v>0</v>
      </c>
      <c r="AR20" s="61">
        <f>SUMIFS('2017OT'!$H:$H,'2017OT'!$M:$M,Report!AR$4,'2017OT'!$B:$B,Report!$C20)</f>
        <v>0</v>
      </c>
      <c r="AS20" s="61">
        <f>SUMIFS('2017OT'!$H:$H,'2017OT'!$M:$M,Report!AS$4,'2017OT'!$B:$B,Report!$C20)</f>
        <v>0</v>
      </c>
      <c r="AT20" s="61">
        <f>SUMIFS('2017OT'!$H:$H,'2017OT'!$M:$M,Report!AT$4,'2017OT'!$B:$B,Report!$C20)</f>
        <v>0</v>
      </c>
      <c r="AU20" s="61">
        <f>SUMIFS('2017OT'!$H:$H,'2017OT'!$M:$M,Report!AU$4,'2017OT'!$B:$B,Report!$C20)</f>
        <v>0</v>
      </c>
      <c r="AV20" s="61"/>
      <c r="AW20" s="31">
        <f t="shared" si="4"/>
        <v>0</v>
      </c>
      <c r="AX20" s="31" t="str">
        <f>IFERROR(VLOOKUP($C20,#REF!,3,0),"")</f>
        <v/>
      </c>
      <c r="AY20" s="31" t="str">
        <f>IFERROR(VLOOKUP($C20,#REF!,3,0),"")</f>
        <v/>
      </c>
      <c r="AZ20" s="31" t="str">
        <f>IFERROR(VLOOKUP($C20,#REF!,3,0),"")</f>
        <v/>
      </c>
      <c r="BA20" s="31" t="str">
        <f>IFERROR(VLOOKUP($C20,#REF!,3,0),"")</f>
        <v/>
      </c>
      <c r="BB20" s="31" t="str">
        <f>IFERROR(VLOOKUP($C20,#REF!,3,0),"")</f>
        <v/>
      </c>
      <c r="BC20" s="31" t="str">
        <f>IFERROR(VLOOKUP($C20,#REF!,3,0),"")</f>
        <v/>
      </c>
      <c r="BD20" s="31" t="str">
        <f>IFERROR(VLOOKUP($C20,#REF!,3,0),"")</f>
        <v/>
      </c>
      <c r="BE20" s="31" t="str">
        <f>IFERROR(VLOOKUP($C20,#REF!,3,0),"")</f>
        <v/>
      </c>
      <c r="BF20" s="31" t="str">
        <f>IFERROR(VLOOKUP($C20,#REF!,3,0),"")</f>
        <v/>
      </c>
      <c r="BG20" s="31" t="str">
        <f>IFERROR(VLOOKUP($C20,#REF!,3,0),"")</f>
        <v/>
      </c>
      <c r="BH20" s="31" t="str">
        <f>IFERROR(VLOOKUP($C20,#REF!,3,0),"")</f>
        <v/>
      </c>
      <c r="BI20" s="31" t="str">
        <f>IFERROR(VLOOKUP($C20,#REF!,3,0),"")</f>
        <v/>
      </c>
      <c r="BK20" s="31">
        <f t="shared" si="5"/>
        <v>0</v>
      </c>
      <c r="BL20" s="31" t="str">
        <f t="shared" si="6"/>
        <v/>
      </c>
      <c r="BM20" s="31" t="str">
        <f t="shared" si="7"/>
        <v/>
      </c>
      <c r="BN20" s="31" t="str">
        <f t="shared" si="8"/>
        <v/>
      </c>
      <c r="BO20" s="31" t="str">
        <f t="shared" si="9"/>
        <v/>
      </c>
      <c r="BP20" s="31" t="str">
        <f t="shared" si="10"/>
        <v/>
      </c>
      <c r="BQ20" s="31" t="str">
        <f t="shared" si="11"/>
        <v/>
      </c>
      <c r="BR20" s="31" t="str">
        <f t="shared" si="12"/>
        <v/>
      </c>
      <c r="BS20" s="31" t="str">
        <f t="shared" si="13"/>
        <v/>
      </c>
      <c r="BT20" s="31" t="str">
        <f t="shared" si="14"/>
        <v/>
      </c>
      <c r="BU20" s="31" t="str">
        <f t="shared" si="15"/>
        <v/>
      </c>
      <c r="BV20" s="31" t="str">
        <f t="shared" si="16"/>
        <v/>
      </c>
      <c r="BW20" s="31" t="str">
        <f t="shared" si="17"/>
        <v/>
      </c>
    </row>
    <row r="21" spans="1:88" ht="15" customHeight="1">
      <c r="A21" s="83">
        <v>16</v>
      </c>
      <c r="B21" s="19" t="s">
        <v>22</v>
      </c>
      <c r="C21" s="19" t="s">
        <v>710</v>
      </c>
      <c r="D21" s="19" t="s">
        <v>229</v>
      </c>
      <c r="E21" s="19"/>
      <c r="F21" s="75"/>
      <c r="G21" s="31">
        <f t="shared" si="1"/>
        <v>0</v>
      </c>
      <c r="H21" s="31">
        <f t="shared" si="2"/>
        <v>29.499999999999993</v>
      </c>
      <c r="I21" s="31">
        <f t="shared" si="3"/>
        <v>29.499999999999993</v>
      </c>
      <c r="J21" s="61">
        <f>SUMIFS('2017OT'!$H:$H,'2017OT'!$M:$M,Report!J$4,'2017OT'!$B:$B,Report!$C21)</f>
        <v>0</v>
      </c>
      <c r="K21" s="61">
        <f>SUMIFS('2017OT'!$H:$H,'2017OT'!$M:$M,Report!K$4,'2017OT'!$B:$B,Report!$C21)</f>
        <v>0</v>
      </c>
      <c r="L21" s="61">
        <f>SUMIFS('2017OT'!$H:$H,'2017OT'!$M:$M,Report!L$4,'2017OT'!$B:$B,Report!$C21)</f>
        <v>0</v>
      </c>
      <c r="M21" s="61">
        <f>SUMIFS('2017OT'!$H:$H,'2017OT'!$M:$M,Report!M$4,'2017OT'!$B:$B,Report!$C21)</f>
        <v>0</v>
      </c>
      <c r="N21" s="61">
        <f>SUMIFS('2017OT'!$H:$H,'2017OT'!$M:$M,Report!N$4,'2017OT'!$B:$B,Report!$C21)</f>
        <v>0</v>
      </c>
      <c r="O21" s="61">
        <f>SUMIFS('2017OT'!$H:$H,'2017OT'!$M:$M,Report!O$4,'2017OT'!$B:$B,Report!$C21)</f>
        <v>0</v>
      </c>
      <c r="P21" s="61">
        <f>SUMIFS('2017OT'!$H:$H,'2017OT'!$M:$M,Report!P$4,'2017OT'!$B:$B,Report!$C21)</f>
        <v>0</v>
      </c>
      <c r="Q21" s="61">
        <f>SUMIFS('2017OT'!$H:$H,'2017OT'!$M:$M,Report!Q$4,'2017OT'!$B:$B,Report!$C21)</f>
        <v>0</v>
      </c>
      <c r="R21" s="61">
        <f>SUMIFS('2017OT'!$H:$H,'2017OT'!$M:$M,Report!R$4,'2017OT'!$B:$B,Report!$C21)</f>
        <v>0</v>
      </c>
      <c r="S21" s="61">
        <f>SUMIFS('2017OT'!$H:$H,'2017OT'!$M:$M,Report!S$4,'2017OT'!$B:$B,Report!$C21)</f>
        <v>0</v>
      </c>
      <c r="T21" s="61">
        <f>SUMIFS('2017OT'!$H:$H,'2017OT'!$M:$M,Report!T$4,'2017OT'!$B:$B,Report!$C21)</f>
        <v>0</v>
      </c>
      <c r="U21" s="61">
        <f>SUMIFS('2017OT'!$H:$H,'2017OT'!$M:$M,Report!U$4,'2017OT'!$B:$B,Report!$C21)</f>
        <v>0</v>
      </c>
      <c r="W21" s="61">
        <f>SUMIFS('2017OT'!$H:$H,'2017OT'!$M:$M,Report!W$4,'2017OT'!$B:$B,Report!$C21)</f>
        <v>0</v>
      </c>
      <c r="X21" s="61">
        <f>SUMIFS('2017OT'!$H:$H,'2017OT'!$M:$M,Report!X$4,'2017OT'!$B:$B,Report!$C21)</f>
        <v>0</v>
      </c>
      <c r="Y21" s="61">
        <f>SUMIFS('2017OT'!$H:$H,'2017OT'!$M:$M,Report!Y$4,'2017OT'!$B:$B,Report!$C21)</f>
        <v>0</v>
      </c>
      <c r="Z21" s="61">
        <f>SUMIFS('2017OT'!$H:$H,'2017OT'!$M:$M,Report!Z$4,'2017OT'!$B:$B,Report!$C21)</f>
        <v>0</v>
      </c>
      <c r="AA21" s="61">
        <f>SUMIFS('2017OT'!$H:$H,'2017OT'!$M:$M,Report!AA$4,'2017OT'!$B:$B,Report!$C21)</f>
        <v>0</v>
      </c>
      <c r="AB21" s="61">
        <f>SUMIFS('2017OT'!$H:$H,'2017OT'!$M:$M,Report!AB$4,'2017OT'!$B:$B,Report!$C21)</f>
        <v>0</v>
      </c>
      <c r="AC21" s="61">
        <f>SUMIFS('2017OT'!$H:$H,'2017OT'!$M:$M,Report!AC$4,'2017OT'!$B:$B,Report!$C21)</f>
        <v>0</v>
      </c>
      <c r="AD21" s="61">
        <f>SUMIFS('2017OT'!$H:$H,'2017OT'!$M:$M,Report!AD$4,'2017OT'!$B:$B,Report!$C21)</f>
        <v>0</v>
      </c>
      <c r="AE21" s="61">
        <f>SUMIFS('2017OT'!$H:$H,'2017OT'!$M:$M,Report!AE$4,'2017OT'!$B:$B,Report!$C21)</f>
        <v>0</v>
      </c>
      <c r="AF21" s="61">
        <f>SUMIFS('2017OT'!$H:$H,'2017OT'!$M:$M,Report!AF$4,'2017OT'!$B:$B,Report!$C21)</f>
        <v>0</v>
      </c>
      <c r="AG21" s="61">
        <f>SUMIFS('2017OT'!$H:$H,'2017OT'!$M:$M,Report!AG$4,'2017OT'!$B:$B,Report!$C21)</f>
        <v>7.9999999999999982</v>
      </c>
      <c r="AH21" s="61">
        <f>SUMIFS('2017OT'!$H:$H,'2017OT'!$M:$M,Report!AH$4,'2017OT'!$B:$B,Report!$C21)</f>
        <v>21.499999999999996</v>
      </c>
      <c r="AJ21" s="61">
        <f>SUMIFS('2017OT'!$H:$H,'2017OT'!$M:$M,Report!AJ$4,'2017OT'!$B:$B,Report!$C21)</f>
        <v>0</v>
      </c>
      <c r="AK21" s="61">
        <f>SUMIFS('2017OT'!$H:$H,'2017OT'!$M:$M,Report!AK$4,'2017OT'!$B:$B,Report!$C21)</f>
        <v>0</v>
      </c>
      <c r="AL21" s="61">
        <f>SUMIFS('2017OT'!$H:$H,'2017OT'!$M:$M,Report!AL$4,'2017OT'!$B:$B,Report!$C21)</f>
        <v>7.9999999999999982</v>
      </c>
      <c r="AM21" s="61">
        <f>SUMIFS('2017OT'!$H:$H,'2017OT'!$M:$M,Report!AM$4,'2017OT'!$B:$B,Report!$C21)</f>
        <v>21.499999999999996</v>
      </c>
      <c r="AN21" s="61">
        <f>SUMIFS('2017OT'!$H:$H,'2017OT'!$M:$M,Report!AN$4,'2017OT'!$B:$B,Report!$C21)</f>
        <v>0</v>
      </c>
      <c r="AO21" s="61">
        <f>SUMIFS('2017OT'!$H:$H,'2017OT'!$M:$M,Report!AO$4,'2017OT'!$B:$B,Report!$C21)</f>
        <v>0</v>
      </c>
      <c r="AP21" s="61">
        <f>SUMIFS('2017OT'!$H:$H,'2017OT'!$M:$M,Report!AP$4,'2017OT'!$B:$B,Report!$C21)</f>
        <v>0</v>
      </c>
      <c r="AQ21" s="61">
        <f>SUMIFS('2017OT'!$H:$H,'2017OT'!$M:$M,Report!AQ$4,'2017OT'!$B:$B,Report!$C21)</f>
        <v>0</v>
      </c>
      <c r="AR21" s="61">
        <f>SUMIFS('2017OT'!$H:$H,'2017OT'!$M:$M,Report!AR$4,'2017OT'!$B:$B,Report!$C21)</f>
        <v>0</v>
      </c>
      <c r="AS21" s="61">
        <f>SUMIFS('2017OT'!$H:$H,'2017OT'!$M:$M,Report!AS$4,'2017OT'!$B:$B,Report!$C21)</f>
        <v>0</v>
      </c>
      <c r="AT21" s="61">
        <f>SUMIFS('2017OT'!$H:$H,'2017OT'!$M:$M,Report!AT$4,'2017OT'!$B:$B,Report!$C21)</f>
        <v>0</v>
      </c>
      <c r="AU21" s="61">
        <f>SUMIFS('2017OT'!$H:$H,'2017OT'!$M:$M,Report!AU$4,'2017OT'!$B:$B,Report!$C21)</f>
        <v>0</v>
      </c>
      <c r="AV21" s="61"/>
      <c r="AW21" s="31">
        <f t="shared" si="4"/>
        <v>0</v>
      </c>
      <c r="AX21" s="31" t="str">
        <f>IFERROR(VLOOKUP($C21,#REF!,3,0),"")</f>
        <v/>
      </c>
      <c r="AY21" s="31" t="str">
        <f>IFERROR(VLOOKUP($C21,#REF!,3,0),"")</f>
        <v/>
      </c>
      <c r="AZ21" s="31" t="str">
        <f>IFERROR(VLOOKUP($C21,#REF!,3,0),"")</f>
        <v/>
      </c>
      <c r="BA21" s="31" t="str">
        <f>IFERROR(VLOOKUP($C21,#REF!,3,0),"")</f>
        <v/>
      </c>
      <c r="BB21" s="31" t="str">
        <f>IFERROR(VLOOKUP($C21,#REF!,3,0),"")</f>
        <v/>
      </c>
      <c r="BC21" s="31" t="str">
        <f>IFERROR(VLOOKUP($C21,#REF!,3,0),"")</f>
        <v/>
      </c>
      <c r="BD21" s="31" t="str">
        <f>IFERROR(VLOOKUP($C21,#REF!,3,0),"")</f>
        <v/>
      </c>
      <c r="BE21" s="31" t="str">
        <f>IFERROR(VLOOKUP($C21,#REF!,3,0),"")</f>
        <v/>
      </c>
      <c r="BF21" s="31" t="str">
        <f>IFERROR(VLOOKUP($C21,#REF!,3,0),"")</f>
        <v/>
      </c>
      <c r="BG21" s="31" t="str">
        <f>IFERROR(VLOOKUP($C21,#REF!,3,0),"")</f>
        <v/>
      </c>
      <c r="BH21" s="31" t="str">
        <f>IFERROR(VLOOKUP($C21,#REF!,3,0),"")</f>
        <v/>
      </c>
      <c r="BI21" s="31" t="str">
        <f>IFERROR(VLOOKUP($C21,#REF!,3,0),"")</f>
        <v/>
      </c>
      <c r="BK21" s="31">
        <f t="shared" si="5"/>
        <v>0</v>
      </c>
      <c r="BL21" s="31" t="str">
        <f t="shared" si="6"/>
        <v/>
      </c>
      <c r="BM21" s="31" t="str">
        <f t="shared" si="7"/>
        <v/>
      </c>
      <c r="BN21" s="31" t="str">
        <f t="shared" si="8"/>
        <v/>
      </c>
      <c r="BO21" s="31" t="str">
        <f t="shared" si="9"/>
        <v/>
      </c>
      <c r="BP21" s="31" t="str">
        <f t="shared" si="10"/>
        <v/>
      </c>
      <c r="BQ21" s="31" t="str">
        <f t="shared" si="11"/>
        <v/>
      </c>
      <c r="BR21" s="31" t="str">
        <f t="shared" si="12"/>
        <v/>
      </c>
      <c r="BS21" s="31" t="str">
        <f t="shared" si="13"/>
        <v/>
      </c>
      <c r="BT21" s="31" t="str">
        <f t="shared" si="14"/>
        <v/>
      </c>
      <c r="BU21" s="31" t="str">
        <f t="shared" si="15"/>
        <v/>
      </c>
      <c r="BV21" s="31" t="str">
        <f t="shared" si="16"/>
        <v/>
      </c>
      <c r="BW21" s="31" t="str">
        <f t="shared" si="17"/>
        <v/>
      </c>
    </row>
    <row r="22" spans="1:88" ht="15" customHeight="1">
      <c r="A22" s="83">
        <v>17</v>
      </c>
      <c r="B22" s="19" t="s">
        <v>22</v>
      </c>
      <c r="C22" s="19" t="s">
        <v>756</v>
      </c>
      <c r="D22" s="19" t="s">
        <v>230</v>
      </c>
      <c r="E22" s="19"/>
      <c r="F22" s="75"/>
      <c r="G22" s="31">
        <f t="shared" si="1"/>
        <v>0</v>
      </c>
      <c r="H22" s="31">
        <f t="shared" si="2"/>
        <v>0</v>
      </c>
      <c r="I22" s="31">
        <f t="shared" si="3"/>
        <v>39.999999999999993</v>
      </c>
      <c r="J22" s="61">
        <f>SUMIFS('2017OT'!$H:$H,'2017OT'!$M:$M,Report!J$4,'2017OT'!$B:$B,Report!$C22)</f>
        <v>0</v>
      </c>
      <c r="K22" s="61">
        <f>SUMIFS('2017OT'!$H:$H,'2017OT'!$M:$M,Report!K$4,'2017OT'!$B:$B,Report!$C22)</f>
        <v>0</v>
      </c>
      <c r="L22" s="61">
        <f>SUMIFS('2017OT'!$H:$H,'2017OT'!$M:$M,Report!L$4,'2017OT'!$B:$B,Report!$C22)</f>
        <v>0</v>
      </c>
      <c r="M22" s="61">
        <f>SUMIFS('2017OT'!$H:$H,'2017OT'!$M:$M,Report!M$4,'2017OT'!$B:$B,Report!$C22)</f>
        <v>0</v>
      </c>
      <c r="N22" s="61">
        <f>SUMIFS('2017OT'!$H:$H,'2017OT'!$M:$M,Report!N$4,'2017OT'!$B:$B,Report!$C22)</f>
        <v>0</v>
      </c>
      <c r="O22" s="61">
        <f>SUMIFS('2017OT'!$H:$H,'2017OT'!$M:$M,Report!O$4,'2017OT'!$B:$B,Report!$C22)</f>
        <v>0</v>
      </c>
      <c r="P22" s="61">
        <f>SUMIFS('2017OT'!$H:$H,'2017OT'!$M:$M,Report!P$4,'2017OT'!$B:$B,Report!$C22)</f>
        <v>0</v>
      </c>
      <c r="Q22" s="61">
        <f>SUMIFS('2017OT'!$H:$H,'2017OT'!$M:$M,Report!Q$4,'2017OT'!$B:$B,Report!$C22)</f>
        <v>0</v>
      </c>
      <c r="R22" s="61">
        <f>SUMIFS('2017OT'!$H:$H,'2017OT'!$M:$M,Report!R$4,'2017OT'!$B:$B,Report!$C22)</f>
        <v>0</v>
      </c>
      <c r="S22" s="61">
        <f>SUMIFS('2017OT'!$H:$H,'2017OT'!$M:$M,Report!S$4,'2017OT'!$B:$B,Report!$C22)</f>
        <v>0</v>
      </c>
      <c r="T22" s="61">
        <f>SUMIFS('2017OT'!$H:$H,'2017OT'!$M:$M,Report!T$4,'2017OT'!$B:$B,Report!$C22)</f>
        <v>0</v>
      </c>
      <c r="U22" s="61">
        <f>SUMIFS('2017OT'!$H:$H,'2017OT'!$M:$M,Report!U$4,'2017OT'!$B:$B,Report!$C22)</f>
        <v>0</v>
      </c>
      <c r="V22" s="27"/>
      <c r="W22" s="61">
        <f>SUMIFS('2017OT'!$H:$H,'2017OT'!$M:$M,Report!W$4,'2017OT'!$B:$B,Report!$C22)</f>
        <v>0</v>
      </c>
      <c r="X22" s="61">
        <f>SUMIFS('2017OT'!$H:$H,'2017OT'!$M:$M,Report!X$4,'2017OT'!$B:$B,Report!$C22)</f>
        <v>0</v>
      </c>
      <c r="Y22" s="61">
        <f>SUMIFS('2017OT'!$H:$H,'2017OT'!$M:$M,Report!Y$4,'2017OT'!$B:$B,Report!$C22)</f>
        <v>0</v>
      </c>
      <c r="Z22" s="61">
        <f>SUMIFS('2017OT'!$H:$H,'2017OT'!$M:$M,Report!Z$4,'2017OT'!$B:$B,Report!$C22)</f>
        <v>0</v>
      </c>
      <c r="AA22" s="61">
        <f>SUMIFS('2017OT'!$H:$H,'2017OT'!$M:$M,Report!AA$4,'2017OT'!$B:$B,Report!$C22)</f>
        <v>0</v>
      </c>
      <c r="AB22" s="61">
        <f>SUMIFS('2017OT'!$H:$H,'2017OT'!$M:$M,Report!AB$4,'2017OT'!$B:$B,Report!$C22)</f>
        <v>0</v>
      </c>
      <c r="AC22" s="61">
        <f>SUMIFS('2017OT'!$H:$H,'2017OT'!$M:$M,Report!AC$4,'2017OT'!$B:$B,Report!$C22)</f>
        <v>0</v>
      </c>
      <c r="AD22" s="61">
        <f>SUMIFS('2017OT'!$H:$H,'2017OT'!$M:$M,Report!AD$4,'2017OT'!$B:$B,Report!$C22)</f>
        <v>0</v>
      </c>
      <c r="AE22" s="61">
        <f>SUMIFS('2017OT'!$H:$H,'2017OT'!$M:$M,Report!AE$4,'2017OT'!$B:$B,Report!$C22)</f>
        <v>0</v>
      </c>
      <c r="AF22" s="61">
        <f>SUMIFS('2017OT'!$H:$H,'2017OT'!$M:$M,Report!AF$4,'2017OT'!$B:$B,Report!$C22)</f>
        <v>0</v>
      </c>
      <c r="AG22" s="61">
        <f>SUMIFS('2017OT'!$H:$H,'2017OT'!$M:$M,Report!AG$4,'2017OT'!$B:$B,Report!$C22)</f>
        <v>0</v>
      </c>
      <c r="AH22" s="61">
        <f>SUMIFS('2017OT'!$H:$H,'2017OT'!$M:$M,Report!AH$4,'2017OT'!$B:$B,Report!$C22)</f>
        <v>0</v>
      </c>
      <c r="AI22" s="27"/>
      <c r="AJ22" s="61">
        <f>SUMIFS('2017OT'!$H:$H,'2017OT'!$M:$M,Report!AJ$4,'2017OT'!$B:$B,Report!$C22)</f>
        <v>13.5</v>
      </c>
      <c r="AK22" s="61">
        <f>SUMIFS('2017OT'!$H:$H,'2017OT'!$M:$M,Report!AK$4,'2017OT'!$B:$B,Report!$C22)</f>
        <v>0</v>
      </c>
      <c r="AL22" s="61">
        <f>SUMIFS('2017OT'!$H:$H,'2017OT'!$M:$M,Report!AL$4,'2017OT'!$B:$B,Report!$C22)</f>
        <v>0</v>
      </c>
      <c r="AM22" s="61">
        <f>SUMIFS('2017OT'!$H:$H,'2017OT'!$M:$M,Report!AM$4,'2017OT'!$B:$B,Report!$C22)</f>
        <v>0</v>
      </c>
      <c r="AN22" s="61">
        <f>SUMIFS('2017OT'!$H:$H,'2017OT'!$M:$M,Report!AN$4,'2017OT'!$B:$B,Report!$C22)</f>
        <v>26.499999999999993</v>
      </c>
      <c r="AO22" s="61">
        <f>SUMIFS('2017OT'!$H:$H,'2017OT'!$M:$M,Report!AO$4,'2017OT'!$B:$B,Report!$C22)</f>
        <v>0</v>
      </c>
      <c r="AP22" s="61">
        <f>SUMIFS('2017OT'!$H:$H,'2017OT'!$M:$M,Report!AP$4,'2017OT'!$B:$B,Report!$C22)</f>
        <v>0</v>
      </c>
      <c r="AQ22" s="61">
        <f>SUMIFS('2017OT'!$H:$H,'2017OT'!$M:$M,Report!AQ$4,'2017OT'!$B:$B,Report!$C22)</f>
        <v>0</v>
      </c>
      <c r="AR22" s="61">
        <f>SUMIFS('2017OT'!$H:$H,'2017OT'!$M:$M,Report!AR$4,'2017OT'!$B:$B,Report!$C22)</f>
        <v>0</v>
      </c>
      <c r="AS22" s="61">
        <f>SUMIFS('2017OT'!$H:$H,'2017OT'!$M:$M,Report!AS$4,'2017OT'!$B:$B,Report!$C22)</f>
        <v>0</v>
      </c>
      <c r="AT22" s="61">
        <f>SUMIFS('2017OT'!$H:$H,'2017OT'!$M:$M,Report!AT$4,'2017OT'!$B:$B,Report!$C22)</f>
        <v>0</v>
      </c>
      <c r="AU22" s="61">
        <f>SUMIFS('2017OT'!$H:$H,'2017OT'!$M:$M,Report!AU$4,'2017OT'!$B:$B,Report!$C22)</f>
        <v>0</v>
      </c>
      <c r="AV22" s="61"/>
      <c r="AW22" s="31">
        <f t="shared" si="4"/>
        <v>0</v>
      </c>
      <c r="AX22" s="31" t="str">
        <f>IFERROR(VLOOKUP($C22,#REF!,3,0),"")</f>
        <v/>
      </c>
      <c r="AY22" s="31" t="str">
        <f>IFERROR(VLOOKUP($C22,#REF!,3,0),"")</f>
        <v/>
      </c>
      <c r="AZ22" s="31" t="str">
        <f>IFERROR(VLOOKUP($C22,#REF!,3,0),"")</f>
        <v/>
      </c>
      <c r="BA22" s="31" t="str">
        <f>IFERROR(VLOOKUP($C22,#REF!,3,0),"")</f>
        <v/>
      </c>
      <c r="BB22" s="31" t="str">
        <f>IFERROR(VLOOKUP($C22,#REF!,3,0),"")</f>
        <v/>
      </c>
      <c r="BC22" s="31" t="str">
        <f>IFERROR(VLOOKUP($C22,#REF!,3,0),"")</f>
        <v/>
      </c>
      <c r="BD22" s="31" t="str">
        <f>IFERROR(VLOOKUP($C22,#REF!,3,0),"")</f>
        <v/>
      </c>
      <c r="BE22" s="31" t="str">
        <f>IFERROR(VLOOKUP($C22,#REF!,3,0),"")</f>
        <v/>
      </c>
      <c r="BF22" s="31" t="str">
        <f>IFERROR(VLOOKUP($C22,#REF!,3,0),"")</f>
        <v/>
      </c>
      <c r="BG22" s="31" t="str">
        <f>IFERROR(VLOOKUP($C22,#REF!,3,0),"")</f>
        <v/>
      </c>
      <c r="BH22" s="31" t="str">
        <f>IFERROR(VLOOKUP($C22,#REF!,3,0),"")</f>
        <v/>
      </c>
      <c r="BI22" s="31" t="str">
        <f>IFERROR(VLOOKUP($C22,#REF!,3,0),"")</f>
        <v/>
      </c>
      <c r="BJ22" s="27"/>
      <c r="BK22" s="31">
        <f t="shared" si="5"/>
        <v>0</v>
      </c>
      <c r="BL22" s="31" t="str">
        <f t="shared" si="6"/>
        <v/>
      </c>
      <c r="BM22" s="31" t="str">
        <f t="shared" si="7"/>
        <v/>
      </c>
      <c r="BN22" s="31" t="str">
        <f t="shared" si="8"/>
        <v/>
      </c>
      <c r="BO22" s="31" t="str">
        <f t="shared" si="9"/>
        <v/>
      </c>
      <c r="BP22" s="31"/>
      <c r="BQ22" s="31" t="str">
        <f t="shared" ref="BQ22:BQ55" si="18">IF(AND((BC22&lt;&gt;""),$B22=$B$6),BC22-$BJ$1,"")</f>
        <v/>
      </c>
      <c r="BR22" s="31" t="str">
        <f t="shared" ref="BR22:BR55" si="19">IF(AND((BD22&lt;&gt;""),$B22=$B$6),BD22-$BJ$1,"")</f>
        <v/>
      </c>
      <c r="BS22" s="31" t="str">
        <f t="shared" ref="BS22:BS55" si="20">IF(AND((BE22&lt;&gt;""),$B22=$B$6),BE22-$BJ$1,"")</f>
        <v/>
      </c>
      <c r="BT22" s="31" t="str">
        <f t="shared" ref="BT22:BT55" si="21">IF(AND((BF22&lt;&gt;""),$B22=$B$6),BF22-$BJ$1,"")</f>
        <v/>
      </c>
      <c r="BU22" s="31" t="str">
        <f t="shared" ref="BU22:BU55" si="22">IF(AND((BG22&lt;&gt;""),$B22=$B$6),BG22-$BJ$1,"")</f>
        <v/>
      </c>
      <c r="BV22" s="31" t="str">
        <f t="shared" ref="BV22:BV55" si="23">IF(AND((BH22&lt;&gt;""),$B22=$B$6),BH22-$BJ$1,"")</f>
        <v/>
      </c>
      <c r="BW22" s="31" t="str">
        <f t="shared" ref="BW22:BW55" si="24">IF(AND((BI22&lt;&gt;""),$B22=$B$6),BI22-$BJ$1,"")</f>
        <v/>
      </c>
    </row>
    <row r="23" spans="1:88" ht="15" customHeight="1">
      <c r="A23" s="83">
        <v>18</v>
      </c>
      <c r="B23" s="19" t="s">
        <v>22</v>
      </c>
      <c r="C23" s="19" t="s">
        <v>791</v>
      </c>
      <c r="D23" s="19" t="s">
        <v>230</v>
      </c>
      <c r="E23" s="19"/>
      <c r="F23" s="75"/>
      <c r="G23" s="31">
        <f t="shared" si="1"/>
        <v>0</v>
      </c>
      <c r="H23" s="31">
        <f t="shared" si="2"/>
        <v>0</v>
      </c>
      <c r="I23" s="31">
        <f t="shared" si="3"/>
        <v>7.9999999999999982</v>
      </c>
      <c r="J23" s="61">
        <f>SUMIFS('2017OT'!$H:$H,'2017OT'!$M:$M,Report!J$4,'2017OT'!$B:$B,Report!$C23)</f>
        <v>0</v>
      </c>
      <c r="K23" s="61">
        <f>SUMIFS('2017OT'!$H:$H,'2017OT'!$M:$M,Report!K$4,'2017OT'!$B:$B,Report!$C23)</f>
        <v>0</v>
      </c>
      <c r="L23" s="61">
        <f>SUMIFS('2017OT'!$H:$H,'2017OT'!$M:$M,Report!L$4,'2017OT'!$B:$B,Report!$C23)</f>
        <v>0</v>
      </c>
      <c r="M23" s="61">
        <f>SUMIFS('2017OT'!$H:$H,'2017OT'!$M:$M,Report!M$4,'2017OT'!$B:$B,Report!$C23)</f>
        <v>0</v>
      </c>
      <c r="N23" s="61">
        <f>SUMIFS('2017OT'!$H:$H,'2017OT'!$M:$M,Report!N$4,'2017OT'!$B:$B,Report!$C23)</f>
        <v>0</v>
      </c>
      <c r="O23" s="61">
        <f>SUMIFS('2017OT'!$H:$H,'2017OT'!$M:$M,Report!O$4,'2017OT'!$B:$B,Report!$C23)</f>
        <v>0</v>
      </c>
      <c r="P23" s="61">
        <f>SUMIFS('2017OT'!$H:$H,'2017OT'!$M:$M,Report!P$4,'2017OT'!$B:$B,Report!$C23)</f>
        <v>0</v>
      </c>
      <c r="Q23" s="61">
        <f>SUMIFS('2017OT'!$H:$H,'2017OT'!$M:$M,Report!Q$4,'2017OT'!$B:$B,Report!$C23)</f>
        <v>0</v>
      </c>
      <c r="R23" s="61">
        <f>SUMIFS('2017OT'!$H:$H,'2017OT'!$M:$M,Report!R$4,'2017OT'!$B:$B,Report!$C23)</f>
        <v>0</v>
      </c>
      <c r="S23" s="61">
        <f>SUMIFS('2017OT'!$H:$H,'2017OT'!$M:$M,Report!S$4,'2017OT'!$B:$B,Report!$C23)</f>
        <v>0</v>
      </c>
      <c r="T23" s="61">
        <f>SUMIFS('2017OT'!$H:$H,'2017OT'!$M:$M,Report!T$4,'2017OT'!$B:$B,Report!$C23)</f>
        <v>0</v>
      </c>
      <c r="U23" s="61">
        <f>SUMIFS('2017OT'!$H:$H,'2017OT'!$M:$M,Report!U$4,'2017OT'!$B:$B,Report!$C23)</f>
        <v>0</v>
      </c>
      <c r="W23" s="61">
        <f>SUMIFS('2017OT'!$H:$H,'2017OT'!$M:$M,Report!W$4,'2017OT'!$B:$B,Report!$C23)</f>
        <v>0</v>
      </c>
      <c r="X23" s="61">
        <f>SUMIFS('2017OT'!$H:$H,'2017OT'!$M:$M,Report!X$4,'2017OT'!$B:$B,Report!$C23)</f>
        <v>0</v>
      </c>
      <c r="Y23" s="61">
        <f>SUMIFS('2017OT'!$H:$H,'2017OT'!$M:$M,Report!Y$4,'2017OT'!$B:$B,Report!$C23)</f>
        <v>0</v>
      </c>
      <c r="Z23" s="61">
        <f>SUMIFS('2017OT'!$H:$H,'2017OT'!$M:$M,Report!Z$4,'2017OT'!$B:$B,Report!$C23)</f>
        <v>0</v>
      </c>
      <c r="AA23" s="61">
        <f>SUMIFS('2017OT'!$H:$H,'2017OT'!$M:$M,Report!AA$4,'2017OT'!$B:$B,Report!$C23)</f>
        <v>0</v>
      </c>
      <c r="AB23" s="61">
        <f>SUMIFS('2017OT'!$H:$H,'2017OT'!$M:$M,Report!AB$4,'2017OT'!$B:$B,Report!$C23)</f>
        <v>0</v>
      </c>
      <c r="AC23" s="61">
        <f>SUMIFS('2017OT'!$H:$H,'2017OT'!$M:$M,Report!AC$4,'2017OT'!$B:$B,Report!$C23)</f>
        <v>0</v>
      </c>
      <c r="AD23" s="61">
        <f>SUMIFS('2017OT'!$H:$H,'2017OT'!$M:$M,Report!AD$4,'2017OT'!$B:$B,Report!$C23)</f>
        <v>0</v>
      </c>
      <c r="AE23" s="61">
        <f>SUMIFS('2017OT'!$H:$H,'2017OT'!$M:$M,Report!AE$4,'2017OT'!$B:$B,Report!$C23)</f>
        <v>0</v>
      </c>
      <c r="AF23" s="61">
        <f>SUMIFS('2017OT'!$H:$H,'2017OT'!$M:$M,Report!AF$4,'2017OT'!$B:$B,Report!$C23)</f>
        <v>0</v>
      </c>
      <c r="AG23" s="61">
        <f>SUMIFS('2017OT'!$H:$H,'2017OT'!$M:$M,Report!AG$4,'2017OT'!$B:$B,Report!$C23)</f>
        <v>0</v>
      </c>
      <c r="AH23" s="61">
        <f>SUMIFS('2017OT'!$H:$H,'2017OT'!$M:$M,Report!AH$4,'2017OT'!$B:$B,Report!$C23)</f>
        <v>0</v>
      </c>
      <c r="AJ23" s="61">
        <f>SUMIFS('2017OT'!$H:$H,'2017OT'!$M:$M,Report!AJ$4,'2017OT'!$B:$B,Report!$C23)</f>
        <v>0</v>
      </c>
      <c r="AK23" s="61">
        <f>SUMIFS('2017OT'!$H:$H,'2017OT'!$M:$M,Report!AK$4,'2017OT'!$B:$B,Report!$C23)</f>
        <v>0</v>
      </c>
      <c r="AL23" s="61">
        <f>SUMIFS('2017OT'!$H:$H,'2017OT'!$M:$M,Report!AL$4,'2017OT'!$B:$B,Report!$C23)</f>
        <v>7.9999999999999982</v>
      </c>
      <c r="AM23" s="61">
        <f>SUMIFS('2017OT'!$H:$H,'2017OT'!$M:$M,Report!AM$4,'2017OT'!$B:$B,Report!$C23)</f>
        <v>0</v>
      </c>
      <c r="AN23" s="61">
        <f>SUMIFS('2017OT'!$H:$H,'2017OT'!$M:$M,Report!AN$4,'2017OT'!$B:$B,Report!$C23)</f>
        <v>0</v>
      </c>
      <c r="AO23" s="61">
        <f>SUMIFS('2017OT'!$H:$H,'2017OT'!$M:$M,Report!AO$4,'2017OT'!$B:$B,Report!$C23)</f>
        <v>0</v>
      </c>
      <c r="AP23" s="61">
        <f>SUMIFS('2017OT'!$H:$H,'2017OT'!$M:$M,Report!AP$4,'2017OT'!$B:$B,Report!$C23)</f>
        <v>0</v>
      </c>
      <c r="AQ23" s="61">
        <f>SUMIFS('2017OT'!$H:$H,'2017OT'!$M:$M,Report!AQ$4,'2017OT'!$B:$B,Report!$C23)</f>
        <v>0</v>
      </c>
      <c r="AR23" s="61">
        <f>SUMIFS('2017OT'!$H:$H,'2017OT'!$M:$M,Report!AR$4,'2017OT'!$B:$B,Report!$C23)</f>
        <v>0</v>
      </c>
      <c r="AS23" s="61">
        <f>SUMIFS('2017OT'!$H:$H,'2017OT'!$M:$M,Report!AS$4,'2017OT'!$B:$B,Report!$C23)</f>
        <v>0</v>
      </c>
      <c r="AT23" s="61">
        <f>SUMIFS('2017OT'!$H:$H,'2017OT'!$M:$M,Report!AT$4,'2017OT'!$B:$B,Report!$C23)</f>
        <v>0</v>
      </c>
      <c r="AU23" s="61">
        <f>SUMIFS('2017OT'!$H:$H,'2017OT'!$M:$M,Report!AU$4,'2017OT'!$B:$B,Report!$C23)</f>
        <v>0</v>
      </c>
      <c r="AV23" s="61"/>
      <c r="AW23" s="31">
        <f t="shared" si="4"/>
        <v>0</v>
      </c>
      <c r="AX23" s="31" t="str">
        <f>IFERROR(VLOOKUP($C23,#REF!,3,0),"")</f>
        <v/>
      </c>
      <c r="AY23" s="31" t="str">
        <f>IFERROR(VLOOKUP($C23,#REF!,3,0),"")</f>
        <v/>
      </c>
      <c r="AZ23" s="31" t="str">
        <f>IFERROR(VLOOKUP($C23,#REF!,3,0),"")</f>
        <v/>
      </c>
      <c r="BA23" s="31" t="str">
        <f>IFERROR(VLOOKUP($C23,#REF!,3,0),"")</f>
        <v/>
      </c>
      <c r="BB23" s="31" t="str">
        <f>IFERROR(VLOOKUP($C23,#REF!,3,0),"")</f>
        <v/>
      </c>
      <c r="BC23" s="31" t="str">
        <f>IFERROR(VLOOKUP($C23,#REF!,3,0),"")</f>
        <v/>
      </c>
      <c r="BD23" s="31" t="str">
        <f>IFERROR(VLOOKUP($C23,#REF!,3,0),"")</f>
        <v/>
      </c>
      <c r="BE23" s="31" t="str">
        <f>IFERROR(VLOOKUP($C23,#REF!,3,0),"")</f>
        <v/>
      </c>
      <c r="BF23" s="31" t="str">
        <f>IFERROR(VLOOKUP($C23,#REF!,3,0),"")</f>
        <v/>
      </c>
      <c r="BG23" s="31" t="str">
        <f>IFERROR(VLOOKUP($C23,#REF!,3,0),"")</f>
        <v/>
      </c>
      <c r="BH23" s="31" t="str">
        <f>IFERROR(VLOOKUP($C23,#REF!,3,0),"")</f>
        <v/>
      </c>
      <c r="BI23" s="31" t="str">
        <f>IFERROR(VLOOKUP($C23,#REF!,3,0),"")</f>
        <v/>
      </c>
      <c r="BK23" s="31">
        <f t="shared" si="5"/>
        <v>0</v>
      </c>
      <c r="BL23" s="31" t="str">
        <f t="shared" si="6"/>
        <v/>
      </c>
      <c r="BM23" s="31" t="str">
        <f t="shared" si="7"/>
        <v/>
      </c>
      <c r="BN23" s="31" t="str">
        <f t="shared" si="8"/>
        <v/>
      </c>
      <c r="BO23" s="31" t="str">
        <f t="shared" si="9"/>
        <v/>
      </c>
      <c r="BP23" s="31" t="str">
        <f t="shared" ref="BP23:BP55" si="25">IF(AND((BB23&lt;&gt;""),$B23=$B$6),BB23-$BJ$1,"")</f>
        <v/>
      </c>
      <c r="BQ23" s="31" t="str">
        <f t="shared" si="18"/>
        <v/>
      </c>
      <c r="BR23" s="31" t="str">
        <f t="shared" si="19"/>
        <v/>
      </c>
      <c r="BS23" s="31" t="str">
        <f t="shared" si="20"/>
        <v/>
      </c>
      <c r="BT23" s="31" t="str">
        <f t="shared" si="21"/>
        <v/>
      </c>
      <c r="BU23" s="31" t="str">
        <f t="shared" si="22"/>
        <v/>
      </c>
      <c r="BV23" s="31" t="str">
        <f t="shared" si="23"/>
        <v/>
      </c>
      <c r="BW23" s="31" t="str">
        <f t="shared" si="24"/>
        <v/>
      </c>
    </row>
    <row r="24" spans="1:88" ht="15" customHeight="1">
      <c r="A24" s="83">
        <v>19</v>
      </c>
      <c r="B24" s="19" t="s">
        <v>22</v>
      </c>
      <c r="C24" s="19" t="s">
        <v>801</v>
      </c>
      <c r="D24" s="19" t="s">
        <v>230</v>
      </c>
      <c r="E24" s="19"/>
      <c r="F24" s="75"/>
      <c r="G24" s="31">
        <f t="shared" si="1"/>
        <v>0</v>
      </c>
      <c r="H24" s="31">
        <f t="shared" si="2"/>
        <v>0</v>
      </c>
      <c r="I24" s="31">
        <f t="shared" si="3"/>
        <v>117.99999999999999</v>
      </c>
      <c r="J24" s="61">
        <f>SUMIFS('2017OT'!$H:$H,'2017OT'!$M:$M,Report!J$4,'2017OT'!$B:$B,Report!$C24)</f>
        <v>0</v>
      </c>
      <c r="K24" s="61">
        <f>SUMIFS('2017OT'!$H:$H,'2017OT'!$M:$M,Report!K$4,'2017OT'!$B:$B,Report!$C24)</f>
        <v>0</v>
      </c>
      <c r="L24" s="61">
        <f>SUMIFS('2017OT'!$H:$H,'2017OT'!$M:$M,Report!L$4,'2017OT'!$B:$B,Report!$C24)</f>
        <v>0</v>
      </c>
      <c r="M24" s="61">
        <f>SUMIFS('2017OT'!$H:$H,'2017OT'!$M:$M,Report!M$4,'2017OT'!$B:$B,Report!$C24)</f>
        <v>0</v>
      </c>
      <c r="N24" s="61">
        <f>SUMIFS('2017OT'!$H:$H,'2017OT'!$M:$M,Report!N$4,'2017OT'!$B:$B,Report!$C24)</f>
        <v>0</v>
      </c>
      <c r="O24" s="61">
        <f>SUMIFS('2017OT'!$H:$H,'2017OT'!$M:$M,Report!O$4,'2017OT'!$B:$B,Report!$C24)</f>
        <v>0</v>
      </c>
      <c r="P24" s="61">
        <f>SUMIFS('2017OT'!$H:$H,'2017OT'!$M:$M,Report!P$4,'2017OT'!$B:$B,Report!$C24)</f>
        <v>0</v>
      </c>
      <c r="Q24" s="61">
        <f>SUMIFS('2017OT'!$H:$H,'2017OT'!$M:$M,Report!Q$4,'2017OT'!$B:$B,Report!$C24)</f>
        <v>0</v>
      </c>
      <c r="R24" s="61">
        <f>SUMIFS('2017OT'!$H:$H,'2017OT'!$M:$M,Report!R$4,'2017OT'!$B:$B,Report!$C24)</f>
        <v>0</v>
      </c>
      <c r="S24" s="61">
        <f>SUMIFS('2017OT'!$H:$H,'2017OT'!$M:$M,Report!S$4,'2017OT'!$B:$B,Report!$C24)</f>
        <v>0</v>
      </c>
      <c r="T24" s="61">
        <f>SUMIFS('2017OT'!$H:$H,'2017OT'!$M:$M,Report!T$4,'2017OT'!$B:$B,Report!$C24)</f>
        <v>0</v>
      </c>
      <c r="U24" s="61">
        <f>SUMIFS('2017OT'!$H:$H,'2017OT'!$M:$M,Report!U$4,'2017OT'!$B:$B,Report!$C24)</f>
        <v>0</v>
      </c>
      <c r="V24" s="27"/>
      <c r="W24" s="61">
        <f>SUMIFS('2017OT'!$H:$H,'2017OT'!$M:$M,Report!W$4,'2017OT'!$B:$B,Report!$C24)</f>
        <v>0</v>
      </c>
      <c r="X24" s="61">
        <f>SUMIFS('2017OT'!$H:$H,'2017OT'!$M:$M,Report!X$4,'2017OT'!$B:$B,Report!$C24)</f>
        <v>0</v>
      </c>
      <c r="Y24" s="61">
        <f>SUMIFS('2017OT'!$H:$H,'2017OT'!$M:$M,Report!Y$4,'2017OT'!$B:$B,Report!$C24)</f>
        <v>0</v>
      </c>
      <c r="Z24" s="61">
        <f>SUMIFS('2017OT'!$H:$H,'2017OT'!$M:$M,Report!Z$4,'2017OT'!$B:$B,Report!$C24)</f>
        <v>0</v>
      </c>
      <c r="AA24" s="61">
        <f>SUMIFS('2017OT'!$H:$H,'2017OT'!$M:$M,Report!AA$4,'2017OT'!$B:$B,Report!$C24)</f>
        <v>0</v>
      </c>
      <c r="AB24" s="61">
        <f>SUMIFS('2017OT'!$H:$H,'2017OT'!$M:$M,Report!AB$4,'2017OT'!$B:$B,Report!$C24)</f>
        <v>0</v>
      </c>
      <c r="AC24" s="61">
        <f>SUMIFS('2017OT'!$H:$H,'2017OT'!$M:$M,Report!AC$4,'2017OT'!$B:$B,Report!$C24)</f>
        <v>0</v>
      </c>
      <c r="AD24" s="61">
        <f>SUMIFS('2017OT'!$H:$H,'2017OT'!$M:$M,Report!AD$4,'2017OT'!$B:$B,Report!$C24)</f>
        <v>0</v>
      </c>
      <c r="AE24" s="61">
        <f>SUMIFS('2017OT'!$H:$H,'2017OT'!$M:$M,Report!AE$4,'2017OT'!$B:$B,Report!$C24)</f>
        <v>0</v>
      </c>
      <c r="AF24" s="61">
        <f>SUMIFS('2017OT'!$H:$H,'2017OT'!$M:$M,Report!AF$4,'2017OT'!$B:$B,Report!$C24)</f>
        <v>0</v>
      </c>
      <c r="AG24" s="61">
        <f>SUMIFS('2017OT'!$H:$H,'2017OT'!$M:$M,Report!AG$4,'2017OT'!$B:$B,Report!$C24)</f>
        <v>0</v>
      </c>
      <c r="AH24" s="61">
        <f>SUMIFS('2017OT'!$H:$H,'2017OT'!$M:$M,Report!AH$4,'2017OT'!$B:$B,Report!$C24)</f>
        <v>0</v>
      </c>
      <c r="AI24" s="27"/>
      <c r="AJ24" s="61">
        <f>SUMIFS('2017OT'!$H:$H,'2017OT'!$M:$M,Report!AJ$4,'2017OT'!$B:$B,Report!$C24)</f>
        <v>0</v>
      </c>
      <c r="AK24" s="61">
        <f>SUMIFS('2017OT'!$H:$H,'2017OT'!$M:$M,Report!AK$4,'2017OT'!$B:$B,Report!$C24)</f>
        <v>0</v>
      </c>
      <c r="AL24" s="61">
        <f>SUMIFS('2017OT'!$H:$H,'2017OT'!$M:$M,Report!AL$4,'2017OT'!$B:$B,Report!$C24)</f>
        <v>66.499999999999986</v>
      </c>
      <c r="AM24" s="61">
        <f>SUMIFS('2017OT'!$H:$H,'2017OT'!$M:$M,Report!AM$4,'2017OT'!$B:$B,Report!$C24)</f>
        <v>41.5</v>
      </c>
      <c r="AN24" s="61">
        <f>SUMIFS('2017OT'!$H:$H,'2017OT'!$M:$M,Report!AN$4,'2017OT'!$B:$B,Report!$C24)</f>
        <v>10</v>
      </c>
      <c r="AO24" s="61">
        <f>SUMIFS('2017OT'!$H:$H,'2017OT'!$M:$M,Report!AO$4,'2017OT'!$B:$B,Report!$C24)</f>
        <v>0</v>
      </c>
      <c r="AP24" s="61">
        <f>SUMIFS('2017OT'!$H:$H,'2017OT'!$M:$M,Report!AP$4,'2017OT'!$B:$B,Report!$C24)</f>
        <v>0</v>
      </c>
      <c r="AQ24" s="61">
        <f>SUMIFS('2017OT'!$H:$H,'2017OT'!$M:$M,Report!AQ$4,'2017OT'!$B:$B,Report!$C24)</f>
        <v>0</v>
      </c>
      <c r="AR24" s="61">
        <f>SUMIFS('2017OT'!$H:$H,'2017OT'!$M:$M,Report!AR$4,'2017OT'!$B:$B,Report!$C24)</f>
        <v>0</v>
      </c>
      <c r="AS24" s="61">
        <f>SUMIFS('2017OT'!$H:$H,'2017OT'!$M:$M,Report!AS$4,'2017OT'!$B:$B,Report!$C24)</f>
        <v>0</v>
      </c>
      <c r="AT24" s="61">
        <f>SUMIFS('2017OT'!$H:$H,'2017OT'!$M:$M,Report!AT$4,'2017OT'!$B:$B,Report!$C24)</f>
        <v>0</v>
      </c>
      <c r="AU24" s="61">
        <f>SUMIFS('2017OT'!$H:$H,'2017OT'!$M:$M,Report!AU$4,'2017OT'!$B:$B,Report!$C24)</f>
        <v>0</v>
      </c>
      <c r="AV24" s="61"/>
      <c r="AW24" s="31">
        <f t="shared" si="4"/>
        <v>0</v>
      </c>
      <c r="AX24" s="31" t="str">
        <f>IFERROR(VLOOKUP($C24,#REF!,3,0),"")</f>
        <v/>
      </c>
      <c r="AY24" s="31" t="str">
        <f>IFERROR(VLOOKUP($C24,#REF!,3,0),"")</f>
        <v/>
      </c>
      <c r="AZ24" s="31" t="str">
        <f>IFERROR(VLOOKUP($C24,#REF!,3,0),"")</f>
        <v/>
      </c>
      <c r="BA24" s="31" t="str">
        <f>IFERROR(VLOOKUP($C24,#REF!,3,0),"")</f>
        <v/>
      </c>
      <c r="BB24" s="31" t="str">
        <f>IFERROR(VLOOKUP($C24,#REF!,3,0),"")</f>
        <v/>
      </c>
      <c r="BC24" s="31" t="str">
        <f>IFERROR(VLOOKUP($C24,#REF!,3,0),"")</f>
        <v/>
      </c>
      <c r="BD24" s="31" t="str">
        <f>IFERROR(VLOOKUP($C24,#REF!,3,0),"")</f>
        <v/>
      </c>
      <c r="BE24" s="31" t="str">
        <f>IFERROR(VLOOKUP($C24,#REF!,3,0),"")</f>
        <v/>
      </c>
      <c r="BF24" s="31" t="str">
        <f>IFERROR(VLOOKUP($C24,#REF!,3,0),"")</f>
        <v/>
      </c>
      <c r="BG24" s="31" t="str">
        <f>IFERROR(VLOOKUP($C24,#REF!,3,0),"")</f>
        <v/>
      </c>
      <c r="BH24" s="31" t="str">
        <f>IFERROR(VLOOKUP($C24,#REF!,3,0),"")</f>
        <v/>
      </c>
      <c r="BI24" s="31" t="str">
        <f>IFERROR(VLOOKUP($C24,#REF!,3,0),"")</f>
        <v/>
      </c>
      <c r="BJ24" s="27"/>
      <c r="BK24" s="31">
        <f t="shared" si="5"/>
        <v>0</v>
      </c>
      <c r="BL24" s="31" t="str">
        <f t="shared" si="6"/>
        <v/>
      </c>
      <c r="BM24" s="31" t="str">
        <f t="shared" si="7"/>
        <v/>
      </c>
      <c r="BN24" s="31" t="str">
        <f t="shared" si="8"/>
        <v/>
      </c>
      <c r="BO24" s="31" t="str">
        <f t="shared" si="9"/>
        <v/>
      </c>
      <c r="BP24" s="31" t="str">
        <f t="shared" si="25"/>
        <v/>
      </c>
      <c r="BQ24" s="31" t="str">
        <f t="shared" si="18"/>
        <v/>
      </c>
      <c r="BR24" s="31" t="str">
        <f t="shared" si="19"/>
        <v/>
      </c>
      <c r="BS24" s="31" t="str">
        <f t="shared" si="20"/>
        <v/>
      </c>
      <c r="BT24" s="31" t="str">
        <f t="shared" si="21"/>
        <v/>
      </c>
      <c r="BU24" s="31" t="str">
        <f t="shared" si="22"/>
        <v/>
      </c>
      <c r="BV24" s="31" t="str">
        <f t="shared" si="23"/>
        <v/>
      </c>
      <c r="BW24" s="31" t="str">
        <f t="shared" si="24"/>
        <v/>
      </c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</row>
    <row r="25" spans="1:88" ht="15" customHeight="1">
      <c r="A25" s="83">
        <v>20</v>
      </c>
      <c r="B25" s="19" t="s">
        <v>11</v>
      </c>
      <c r="C25" s="19" t="s">
        <v>18</v>
      </c>
      <c r="D25" s="19" t="s">
        <v>230</v>
      </c>
      <c r="E25" s="19"/>
      <c r="F25" s="75"/>
      <c r="G25" s="31">
        <f t="shared" si="1"/>
        <v>3.000000000000016</v>
      </c>
      <c r="H25" s="31">
        <f t="shared" si="2"/>
        <v>0</v>
      </c>
      <c r="I25" s="31">
        <f t="shared" si="3"/>
        <v>0</v>
      </c>
      <c r="J25" s="61">
        <f>SUMIFS('2017OT'!$H:$H,'2017OT'!$M:$M,Report!J$4,'2017OT'!$B:$B,Report!$C25)</f>
        <v>3.000000000000016</v>
      </c>
      <c r="K25" s="61">
        <f>SUMIFS('2017OT'!$H:$H,'2017OT'!$M:$M,Report!K$4,'2017OT'!$B:$B,Report!$C25)</f>
        <v>0</v>
      </c>
      <c r="L25" s="61">
        <f>SUMIFS('2017OT'!$H:$H,'2017OT'!$M:$M,Report!L$4,'2017OT'!$B:$B,Report!$C25)</f>
        <v>0</v>
      </c>
      <c r="M25" s="61">
        <f>SUMIFS('2017OT'!$H:$H,'2017OT'!$M:$M,Report!M$4,'2017OT'!$B:$B,Report!$C25)</f>
        <v>0</v>
      </c>
      <c r="N25" s="61">
        <f>SUMIFS('2017OT'!$H:$H,'2017OT'!$M:$M,Report!N$4,'2017OT'!$B:$B,Report!$C25)</f>
        <v>0</v>
      </c>
      <c r="O25" s="61">
        <f>SUMIFS('2017OT'!$H:$H,'2017OT'!$M:$M,Report!O$4,'2017OT'!$B:$B,Report!$C25)</f>
        <v>0</v>
      </c>
      <c r="P25" s="61">
        <f>SUMIFS('2017OT'!$H:$H,'2017OT'!$M:$M,Report!P$4,'2017OT'!$B:$B,Report!$C25)</f>
        <v>0</v>
      </c>
      <c r="Q25" s="61">
        <f>SUMIFS('2017OT'!$H:$H,'2017OT'!$M:$M,Report!Q$4,'2017OT'!$B:$B,Report!$C25)</f>
        <v>0</v>
      </c>
      <c r="R25" s="61">
        <f>SUMIFS('2017OT'!$H:$H,'2017OT'!$M:$M,Report!R$4,'2017OT'!$B:$B,Report!$C25)</f>
        <v>0</v>
      </c>
      <c r="S25" s="61">
        <f>SUMIFS('2017OT'!$H:$H,'2017OT'!$M:$M,Report!S$4,'2017OT'!$B:$B,Report!$C25)</f>
        <v>0</v>
      </c>
      <c r="T25" s="61">
        <f>SUMIFS('2017OT'!$H:$H,'2017OT'!$M:$M,Report!T$4,'2017OT'!$B:$B,Report!$C25)</f>
        <v>0</v>
      </c>
      <c r="U25" s="61">
        <f>SUMIFS('2017OT'!$H:$H,'2017OT'!$M:$M,Report!U$4,'2017OT'!$B:$B,Report!$C25)</f>
        <v>0</v>
      </c>
      <c r="V25" s="27"/>
      <c r="W25" s="61">
        <f>SUMIFS('2017OT'!$H:$H,'2017OT'!$M:$M,Report!W$4,'2017OT'!$B:$B,Report!$C25)</f>
        <v>0</v>
      </c>
      <c r="X25" s="61">
        <f>SUMIFS('2017OT'!$H:$H,'2017OT'!$M:$M,Report!X$4,'2017OT'!$B:$B,Report!$C25)</f>
        <v>0</v>
      </c>
      <c r="Y25" s="61">
        <f>SUMIFS('2017OT'!$H:$H,'2017OT'!$M:$M,Report!Y$4,'2017OT'!$B:$B,Report!$C25)</f>
        <v>0</v>
      </c>
      <c r="Z25" s="61">
        <f>SUMIFS('2017OT'!$H:$H,'2017OT'!$M:$M,Report!Z$4,'2017OT'!$B:$B,Report!$C25)</f>
        <v>0</v>
      </c>
      <c r="AA25" s="61">
        <f>SUMIFS('2017OT'!$H:$H,'2017OT'!$M:$M,Report!AA$4,'2017OT'!$B:$B,Report!$C25)</f>
        <v>0</v>
      </c>
      <c r="AB25" s="61">
        <f>SUMIFS('2017OT'!$H:$H,'2017OT'!$M:$M,Report!AB$4,'2017OT'!$B:$B,Report!$C25)</f>
        <v>0</v>
      </c>
      <c r="AC25" s="61">
        <f>SUMIFS('2017OT'!$H:$H,'2017OT'!$M:$M,Report!AC$4,'2017OT'!$B:$B,Report!$C25)</f>
        <v>0</v>
      </c>
      <c r="AD25" s="61">
        <f>SUMIFS('2017OT'!$H:$H,'2017OT'!$M:$M,Report!AD$4,'2017OT'!$B:$B,Report!$C25)</f>
        <v>0</v>
      </c>
      <c r="AE25" s="61">
        <f>SUMIFS('2017OT'!$H:$H,'2017OT'!$M:$M,Report!AE$4,'2017OT'!$B:$B,Report!$C25)</f>
        <v>0</v>
      </c>
      <c r="AF25" s="61">
        <f>SUMIFS('2017OT'!$H:$H,'2017OT'!$M:$M,Report!AF$4,'2017OT'!$B:$B,Report!$C25)</f>
        <v>0</v>
      </c>
      <c r="AG25" s="61">
        <f>SUMIFS('2017OT'!$H:$H,'2017OT'!$M:$M,Report!AG$4,'2017OT'!$B:$B,Report!$C25)</f>
        <v>0</v>
      </c>
      <c r="AH25" s="61">
        <f>SUMIFS('2017OT'!$H:$H,'2017OT'!$M:$M,Report!AH$4,'2017OT'!$B:$B,Report!$C25)</f>
        <v>0</v>
      </c>
      <c r="AI25" s="27"/>
      <c r="AJ25" s="61">
        <f>SUMIFS('2017OT'!$H:$H,'2017OT'!$M:$M,Report!AJ$4,'2017OT'!$B:$B,Report!$C25)</f>
        <v>0</v>
      </c>
      <c r="AK25" s="61">
        <f>SUMIFS('2017OT'!$H:$H,'2017OT'!$M:$M,Report!AK$4,'2017OT'!$B:$B,Report!$C25)</f>
        <v>0</v>
      </c>
      <c r="AL25" s="61">
        <f>SUMIFS('2017OT'!$H:$H,'2017OT'!$M:$M,Report!AL$4,'2017OT'!$B:$B,Report!$C25)</f>
        <v>0</v>
      </c>
      <c r="AM25" s="61">
        <f>SUMIFS('2017OT'!$H:$H,'2017OT'!$M:$M,Report!AM$4,'2017OT'!$B:$B,Report!$C25)</f>
        <v>0</v>
      </c>
      <c r="AN25" s="61">
        <f>SUMIFS('2017OT'!$H:$H,'2017OT'!$M:$M,Report!AN$4,'2017OT'!$B:$B,Report!$C25)</f>
        <v>0</v>
      </c>
      <c r="AO25" s="61">
        <f>SUMIFS('2017OT'!$H:$H,'2017OT'!$M:$M,Report!AO$4,'2017OT'!$B:$B,Report!$C25)</f>
        <v>0</v>
      </c>
      <c r="AP25" s="61">
        <f>SUMIFS('2017OT'!$H:$H,'2017OT'!$M:$M,Report!AP$4,'2017OT'!$B:$B,Report!$C25)</f>
        <v>0</v>
      </c>
      <c r="AQ25" s="61">
        <f>SUMIFS('2017OT'!$H:$H,'2017OT'!$M:$M,Report!AQ$4,'2017OT'!$B:$B,Report!$C25)</f>
        <v>0</v>
      </c>
      <c r="AR25" s="61">
        <f>SUMIFS('2017OT'!$H:$H,'2017OT'!$M:$M,Report!AR$4,'2017OT'!$B:$B,Report!$C25)</f>
        <v>0</v>
      </c>
      <c r="AS25" s="61">
        <f>SUMIFS('2017OT'!$H:$H,'2017OT'!$M:$M,Report!AS$4,'2017OT'!$B:$B,Report!$C25)</f>
        <v>0</v>
      </c>
      <c r="AT25" s="61">
        <f>SUMIFS('2017OT'!$H:$H,'2017OT'!$M:$M,Report!AT$4,'2017OT'!$B:$B,Report!$C25)</f>
        <v>0</v>
      </c>
      <c r="AU25" s="61">
        <f>SUMIFS('2017OT'!$H:$H,'2017OT'!$M:$M,Report!AU$4,'2017OT'!$B:$B,Report!$C25)</f>
        <v>0</v>
      </c>
      <c r="AV25" s="61"/>
      <c r="AW25" s="31">
        <f t="shared" si="4"/>
        <v>0</v>
      </c>
      <c r="AX25" s="31" t="str">
        <f>IFERROR(VLOOKUP($C25,#REF!,3,0),"")</f>
        <v/>
      </c>
      <c r="AY25" s="31" t="str">
        <f>IFERROR(VLOOKUP($C25,#REF!,3,0),"")</f>
        <v/>
      </c>
      <c r="AZ25" s="31" t="str">
        <f>IFERROR(VLOOKUP($C25,#REF!,3,0),"")</f>
        <v/>
      </c>
      <c r="BA25" s="31" t="str">
        <f>IFERROR(VLOOKUP($C25,#REF!,3,0),"")</f>
        <v/>
      </c>
      <c r="BB25" s="31" t="str">
        <f>IFERROR(VLOOKUP($C25,#REF!,3,0),"")</f>
        <v/>
      </c>
      <c r="BC25" s="31" t="str">
        <f>IFERROR(VLOOKUP($C25,#REF!,3,0),"")</f>
        <v/>
      </c>
      <c r="BD25" s="31" t="str">
        <f>IFERROR(VLOOKUP($C25,#REF!,3,0),"")</f>
        <v/>
      </c>
      <c r="BE25" s="31" t="str">
        <f>IFERROR(VLOOKUP($C25,#REF!,3,0),"")</f>
        <v/>
      </c>
      <c r="BF25" s="31" t="str">
        <f>IFERROR(VLOOKUP($C25,#REF!,3,0),"")</f>
        <v/>
      </c>
      <c r="BG25" s="31" t="str">
        <f>IFERROR(VLOOKUP($C25,#REF!,3,0),"")</f>
        <v/>
      </c>
      <c r="BH25" s="31" t="str">
        <f>IFERROR(VLOOKUP($C25,#REF!,3,0),"")</f>
        <v/>
      </c>
      <c r="BI25" s="31" t="str">
        <f>IFERROR(VLOOKUP($C25,#REF!,3,0),"")</f>
        <v/>
      </c>
      <c r="BJ25" s="27"/>
      <c r="BK25" s="31">
        <f t="shared" si="5"/>
        <v>0</v>
      </c>
      <c r="BL25" s="31" t="str">
        <f t="shared" si="6"/>
        <v/>
      </c>
      <c r="BM25" s="31" t="str">
        <f t="shared" si="7"/>
        <v/>
      </c>
      <c r="BN25" s="31" t="str">
        <f t="shared" si="8"/>
        <v/>
      </c>
      <c r="BO25" s="31" t="str">
        <f t="shared" si="9"/>
        <v/>
      </c>
      <c r="BP25" s="31" t="str">
        <f t="shared" si="25"/>
        <v/>
      </c>
      <c r="BQ25" s="31" t="str">
        <f t="shared" si="18"/>
        <v/>
      </c>
      <c r="BR25" s="31" t="str">
        <f t="shared" si="19"/>
        <v/>
      </c>
      <c r="BS25" s="31" t="str">
        <f t="shared" si="20"/>
        <v/>
      </c>
      <c r="BT25" s="31" t="str">
        <f t="shared" si="21"/>
        <v/>
      </c>
      <c r="BU25" s="31" t="str">
        <f t="shared" si="22"/>
        <v/>
      </c>
      <c r="BV25" s="31" t="str">
        <f t="shared" si="23"/>
        <v/>
      </c>
      <c r="BW25" s="31" t="str">
        <f t="shared" si="24"/>
        <v/>
      </c>
      <c r="BX25" s="27"/>
      <c r="BY25" s="32">
        <f>BY24*8</f>
        <v>0</v>
      </c>
      <c r="BZ25" s="32">
        <f>BZ24*8</f>
        <v>0</v>
      </c>
      <c r="CA25" s="32">
        <f>CA24*8</f>
        <v>0</v>
      </c>
      <c r="CB25" s="32">
        <f>CB24*8</f>
        <v>0</v>
      </c>
      <c r="CC25" s="27"/>
      <c r="CD25" s="27"/>
      <c r="CE25" s="27"/>
      <c r="CF25" s="27"/>
      <c r="CG25" s="27"/>
      <c r="CH25" s="27"/>
      <c r="CI25" s="27"/>
      <c r="CJ25" s="27"/>
    </row>
    <row r="26" spans="1:88" ht="15" customHeight="1">
      <c r="A26" s="83">
        <v>21</v>
      </c>
      <c r="B26" s="19" t="s">
        <v>11</v>
      </c>
      <c r="C26" s="19" t="s">
        <v>20</v>
      </c>
      <c r="D26" s="19" t="s">
        <v>230</v>
      </c>
      <c r="E26" s="19"/>
      <c r="F26" s="75"/>
      <c r="G26" s="31">
        <f t="shared" si="1"/>
        <v>101.24999999999979</v>
      </c>
      <c r="H26" s="31">
        <f t="shared" si="2"/>
        <v>0</v>
      </c>
      <c r="I26" s="31">
        <f t="shared" si="3"/>
        <v>0</v>
      </c>
      <c r="J26" s="61">
        <f>SUMIFS('2017OT'!$H:$H,'2017OT'!$M:$M,Report!J$4,'2017OT'!$B:$B,Report!$C26)</f>
        <v>23.499999999999972</v>
      </c>
      <c r="K26" s="61">
        <f>SUMIFS('2017OT'!$H:$H,'2017OT'!$M:$M,Report!K$4,'2017OT'!$B:$B,Report!$C26)</f>
        <v>13.249999999999964</v>
      </c>
      <c r="L26" s="61">
        <f>SUMIFS('2017OT'!$H:$H,'2017OT'!$M:$M,Report!L$4,'2017OT'!$B:$B,Report!$C26)</f>
        <v>30.999999999999915</v>
      </c>
      <c r="M26" s="61">
        <f>SUMIFS('2017OT'!$H:$H,'2017OT'!$M:$M,Report!M$4,'2017OT'!$B:$B,Report!$C26)</f>
        <v>14.99999999999997</v>
      </c>
      <c r="N26" s="61">
        <f>SUMIFS('2017OT'!$H:$H,'2017OT'!$M:$M,Report!N$4,'2017OT'!$B:$B,Report!$C26)</f>
        <v>9.9999999999999574</v>
      </c>
      <c r="O26" s="61">
        <f>SUMIFS('2017OT'!$H:$H,'2017OT'!$M:$M,Report!O$4,'2017OT'!$B:$B,Report!$C26)</f>
        <v>8.4999999999999947</v>
      </c>
      <c r="P26" s="61">
        <f>SUMIFS('2017OT'!$H:$H,'2017OT'!$M:$M,Report!P$4,'2017OT'!$B:$B,Report!$C26)</f>
        <v>0</v>
      </c>
      <c r="Q26" s="61">
        <f>SUMIFS('2017OT'!$H:$H,'2017OT'!$M:$M,Report!Q$4,'2017OT'!$B:$B,Report!$C26)</f>
        <v>0</v>
      </c>
      <c r="R26" s="61">
        <f>SUMIFS('2017OT'!$H:$H,'2017OT'!$M:$M,Report!R$4,'2017OT'!$B:$B,Report!$C26)</f>
        <v>0</v>
      </c>
      <c r="S26" s="61">
        <f>SUMIFS('2017OT'!$H:$H,'2017OT'!$M:$M,Report!S$4,'2017OT'!$B:$B,Report!$C26)</f>
        <v>0</v>
      </c>
      <c r="T26" s="61">
        <f>SUMIFS('2017OT'!$H:$H,'2017OT'!$M:$M,Report!T$4,'2017OT'!$B:$B,Report!$C26)</f>
        <v>0</v>
      </c>
      <c r="U26" s="61">
        <f>SUMIFS('2017OT'!$H:$H,'2017OT'!$M:$M,Report!U$4,'2017OT'!$B:$B,Report!$C26)</f>
        <v>0</v>
      </c>
      <c r="W26" s="61">
        <f>SUMIFS('2017OT'!$H:$H,'2017OT'!$M:$M,Report!W$4,'2017OT'!$B:$B,Report!$C26)</f>
        <v>0</v>
      </c>
      <c r="X26" s="61">
        <f>SUMIFS('2017OT'!$H:$H,'2017OT'!$M:$M,Report!X$4,'2017OT'!$B:$B,Report!$C26)</f>
        <v>0</v>
      </c>
      <c r="Y26" s="61">
        <f>SUMIFS('2017OT'!$H:$H,'2017OT'!$M:$M,Report!Y$4,'2017OT'!$B:$B,Report!$C26)</f>
        <v>0</v>
      </c>
      <c r="Z26" s="61">
        <f>SUMIFS('2017OT'!$H:$H,'2017OT'!$M:$M,Report!Z$4,'2017OT'!$B:$B,Report!$C26)</f>
        <v>0</v>
      </c>
      <c r="AA26" s="61">
        <f>SUMIFS('2017OT'!$H:$H,'2017OT'!$M:$M,Report!AA$4,'2017OT'!$B:$B,Report!$C26)</f>
        <v>0</v>
      </c>
      <c r="AB26" s="61">
        <f>SUMIFS('2017OT'!$H:$H,'2017OT'!$M:$M,Report!AB$4,'2017OT'!$B:$B,Report!$C26)</f>
        <v>0</v>
      </c>
      <c r="AC26" s="61">
        <f>SUMIFS('2017OT'!$H:$H,'2017OT'!$M:$M,Report!AC$4,'2017OT'!$B:$B,Report!$C26)</f>
        <v>0</v>
      </c>
      <c r="AD26" s="61">
        <f>SUMIFS('2017OT'!$H:$H,'2017OT'!$M:$M,Report!AD$4,'2017OT'!$B:$B,Report!$C26)</f>
        <v>0</v>
      </c>
      <c r="AE26" s="61">
        <f>SUMIFS('2017OT'!$H:$H,'2017OT'!$M:$M,Report!AE$4,'2017OT'!$B:$B,Report!$C26)</f>
        <v>0</v>
      </c>
      <c r="AF26" s="61">
        <f>SUMIFS('2017OT'!$H:$H,'2017OT'!$M:$M,Report!AF$4,'2017OT'!$B:$B,Report!$C26)</f>
        <v>0</v>
      </c>
      <c r="AG26" s="61">
        <f>SUMIFS('2017OT'!$H:$H,'2017OT'!$M:$M,Report!AG$4,'2017OT'!$B:$B,Report!$C26)</f>
        <v>0</v>
      </c>
      <c r="AH26" s="61">
        <f>SUMIFS('2017OT'!$H:$H,'2017OT'!$M:$M,Report!AH$4,'2017OT'!$B:$B,Report!$C26)</f>
        <v>0</v>
      </c>
      <c r="AJ26" s="61">
        <f>SUMIFS('2017OT'!$H:$H,'2017OT'!$M:$M,Report!AJ$4,'2017OT'!$B:$B,Report!$C26)</f>
        <v>0</v>
      </c>
      <c r="AK26" s="61">
        <f>SUMIFS('2017OT'!$H:$H,'2017OT'!$M:$M,Report!AK$4,'2017OT'!$B:$B,Report!$C26)</f>
        <v>0</v>
      </c>
      <c r="AL26" s="61">
        <f>SUMIFS('2017OT'!$H:$H,'2017OT'!$M:$M,Report!AL$4,'2017OT'!$B:$B,Report!$C26)</f>
        <v>0</v>
      </c>
      <c r="AM26" s="61">
        <f>SUMIFS('2017OT'!$H:$H,'2017OT'!$M:$M,Report!AM$4,'2017OT'!$B:$B,Report!$C26)</f>
        <v>0</v>
      </c>
      <c r="AN26" s="61">
        <f>SUMIFS('2017OT'!$H:$H,'2017OT'!$M:$M,Report!AN$4,'2017OT'!$B:$B,Report!$C26)</f>
        <v>0</v>
      </c>
      <c r="AO26" s="61">
        <f>SUMIFS('2017OT'!$H:$H,'2017OT'!$M:$M,Report!AO$4,'2017OT'!$B:$B,Report!$C26)</f>
        <v>0</v>
      </c>
      <c r="AP26" s="61">
        <f>SUMIFS('2017OT'!$H:$H,'2017OT'!$M:$M,Report!AP$4,'2017OT'!$B:$B,Report!$C26)</f>
        <v>0</v>
      </c>
      <c r="AQ26" s="61">
        <f>SUMIFS('2017OT'!$H:$H,'2017OT'!$M:$M,Report!AQ$4,'2017OT'!$B:$B,Report!$C26)</f>
        <v>0</v>
      </c>
      <c r="AR26" s="61">
        <f>SUMIFS('2017OT'!$H:$H,'2017OT'!$M:$M,Report!AR$4,'2017OT'!$B:$B,Report!$C26)</f>
        <v>0</v>
      </c>
      <c r="AS26" s="61">
        <f>SUMIFS('2017OT'!$H:$H,'2017OT'!$M:$M,Report!AS$4,'2017OT'!$B:$B,Report!$C26)</f>
        <v>0</v>
      </c>
      <c r="AT26" s="61">
        <f>SUMIFS('2017OT'!$H:$H,'2017OT'!$M:$M,Report!AT$4,'2017OT'!$B:$B,Report!$C26)</f>
        <v>0</v>
      </c>
      <c r="AU26" s="61">
        <f>SUMIFS('2017OT'!$H:$H,'2017OT'!$M:$M,Report!AU$4,'2017OT'!$B:$B,Report!$C26)</f>
        <v>0</v>
      </c>
      <c r="AV26" s="61"/>
      <c r="AW26" s="31">
        <f t="shared" si="4"/>
        <v>0</v>
      </c>
      <c r="AX26" s="31" t="str">
        <f>IFERROR(VLOOKUP($C26,#REF!,3,0),"")</f>
        <v/>
      </c>
      <c r="AY26" s="31" t="str">
        <f>IFERROR(VLOOKUP($C26,#REF!,3,0),"")</f>
        <v/>
      </c>
      <c r="AZ26" s="31" t="str">
        <f>IFERROR(VLOOKUP($C26,#REF!,3,0),"")</f>
        <v/>
      </c>
      <c r="BA26" s="31" t="str">
        <f>IFERROR(VLOOKUP($C26,#REF!,3,0),"")</f>
        <v/>
      </c>
      <c r="BB26" s="31" t="str">
        <f>IFERROR(VLOOKUP($C26,#REF!,3,0),"")</f>
        <v/>
      </c>
      <c r="BC26" s="31" t="str">
        <f>IFERROR(VLOOKUP($C26,#REF!,3,0),"")</f>
        <v/>
      </c>
      <c r="BD26" s="31" t="str">
        <f>IFERROR(VLOOKUP($C26,#REF!,3,0),"")</f>
        <v/>
      </c>
      <c r="BE26" s="31" t="str">
        <f>IFERROR(VLOOKUP($C26,#REF!,3,0),"")</f>
        <v/>
      </c>
      <c r="BF26" s="31" t="str">
        <f>IFERROR(VLOOKUP($C26,#REF!,3,0),"")</f>
        <v/>
      </c>
      <c r="BG26" s="31" t="str">
        <f>IFERROR(VLOOKUP($C26,#REF!,3,0),"")</f>
        <v/>
      </c>
      <c r="BH26" s="31" t="str">
        <f>IFERROR(VLOOKUP($C26,#REF!,3,0),"")</f>
        <v/>
      </c>
      <c r="BI26" s="31" t="str">
        <f>IFERROR(VLOOKUP($C26,#REF!,3,0),"")</f>
        <v/>
      </c>
      <c r="BK26" s="31">
        <f t="shared" si="5"/>
        <v>0</v>
      </c>
      <c r="BL26" s="31" t="str">
        <f t="shared" si="6"/>
        <v/>
      </c>
      <c r="BM26" s="31" t="str">
        <f t="shared" si="7"/>
        <v/>
      </c>
      <c r="BN26" s="31" t="str">
        <f t="shared" si="8"/>
        <v/>
      </c>
      <c r="BO26" s="31" t="str">
        <f t="shared" si="9"/>
        <v/>
      </c>
      <c r="BP26" s="31" t="str">
        <f t="shared" si="25"/>
        <v/>
      </c>
      <c r="BQ26" s="31" t="str">
        <f t="shared" si="18"/>
        <v/>
      </c>
      <c r="BR26" s="31" t="str">
        <f t="shared" si="19"/>
        <v/>
      </c>
      <c r="BS26" s="31" t="str">
        <f t="shared" si="20"/>
        <v/>
      </c>
      <c r="BT26" s="31" t="str">
        <f t="shared" si="21"/>
        <v/>
      </c>
      <c r="BU26" s="31" t="str">
        <f t="shared" si="22"/>
        <v/>
      </c>
      <c r="BV26" s="31" t="str">
        <f t="shared" si="23"/>
        <v/>
      </c>
      <c r="BW26" s="31" t="str">
        <f t="shared" si="24"/>
        <v/>
      </c>
    </row>
    <row r="27" spans="1:88" ht="15" customHeight="1">
      <c r="A27" s="83">
        <v>22</v>
      </c>
      <c r="B27" s="19" t="s">
        <v>11</v>
      </c>
      <c r="C27" s="19" t="s">
        <v>21</v>
      </c>
      <c r="D27" s="19" t="s">
        <v>230</v>
      </c>
      <c r="E27" s="19"/>
      <c r="F27" s="75"/>
      <c r="G27" s="31">
        <f t="shared" si="1"/>
        <v>180.24999999999966</v>
      </c>
      <c r="H27" s="31">
        <f t="shared" si="2"/>
        <v>0</v>
      </c>
      <c r="I27" s="31">
        <f t="shared" si="3"/>
        <v>0</v>
      </c>
      <c r="J27" s="61">
        <f>SUMIFS('2017OT'!$H:$H,'2017OT'!$M:$M,Report!J$4,'2017OT'!$B:$B,Report!$C27)</f>
        <v>25.999999999999986</v>
      </c>
      <c r="K27" s="61">
        <f>SUMIFS('2017OT'!$H:$H,'2017OT'!$M:$M,Report!K$4,'2017OT'!$B:$B,Report!$C27)</f>
        <v>22.99999999999994</v>
      </c>
      <c r="L27" s="61">
        <f>SUMIFS('2017OT'!$H:$H,'2017OT'!$M:$M,Report!L$4,'2017OT'!$B:$B,Report!$C27)</f>
        <v>56.749999999999858</v>
      </c>
      <c r="M27" s="61">
        <f>SUMIFS('2017OT'!$H:$H,'2017OT'!$M:$M,Report!M$4,'2017OT'!$B:$B,Report!$C27)</f>
        <v>54.499999999999936</v>
      </c>
      <c r="N27" s="61">
        <f>SUMIFS('2017OT'!$H:$H,'2017OT'!$M:$M,Report!N$4,'2017OT'!$B:$B,Report!$C27)</f>
        <v>19.99999999999994</v>
      </c>
      <c r="O27" s="61">
        <f>SUMIFS('2017OT'!$H:$H,'2017OT'!$M:$M,Report!O$4,'2017OT'!$B:$B,Report!$C27)</f>
        <v>0</v>
      </c>
      <c r="P27" s="61">
        <f>SUMIFS('2017OT'!$H:$H,'2017OT'!$M:$M,Report!P$4,'2017OT'!$B:$B,Report!$C27)</f>
        <v>0</v>
      </c>
      <c r="Q27" s="61">
        <f>SUMIFS('2017OT'!$H:$H,'2017OT'!$M:$M,Report!Q$4,'2017OT'!$B:$B,Report!$C27)</f>
        <v>0</v>
      </c>
      <c r="R27" s="61">
        <f>SUMIFS('2017OT'!$H:$H,'2017OT'!$M:$M,Report!R$4,'2017OT'!$B:$B,Report!$C27)</f>
        <v>0</v>
      </c>
      <c r="S27" s="61">
        <f>SUMIFS('2017OT'!$H:$H,'2017OT'!$M:$M,Report!S$4,'2017OT'!$B:$B,Report!$C27)</f>
        <v>0</v>
      </c>
      <c r="T27" s="61">
        <f>SUMIFS('2017OT'!$H:$H,'2017OT'!$M:$M,Report!T$4,'2017OT'!$B:$B,Report!$C27)</f>
        <v>0</v>
      </c>
      <c r="U27" s="61">
        <f>SUMIFS('2017OT'!$H:$H,'2017OT'!$M:$M,Report!U$4,'2017OT'!$B:$B,Report!$C27)</f>
        <v>0</v>
      </c>
      <c r="W27" s="61">
        <f>SUMIFS('2017OT'!$H:$H,'2017OT'!$M:$M,Report!W$4,'2017OT'!$B:$B,Report!$C27)</f>
        <v>0</v>
      </c>
      <c r="X27" s="61">
        <f>SUMIFS('2017OT'!$H:$H,'2017OT'!$M:$M,Report!X$4,'2017OT'!$B:$B,Report!$C27)</f>
        <v>0</v>
      </c>
      <c r="Y27" s="61">
        <f>SUMIFS('2017OT'!$H:$H,'2017OT'!$M:$M,Report!Y$4,'2017OT'!$B:$B,Report!$C27)</f>
        <v>0</v>
      </c>
      <c r="Z27" s="61">
        <f>SUMIFS('2017OT'!$H:$H,'2017OT'!$M:$M,Report!Z$4,'2017OT'!$B:$B,Report!$C27)</f>
        <v>0</v>
      </c>
      <c r="AA27" s="61">
        <f>SUMIFS('2017OT'!$H:$H,'2017OT'!$M:$M,Report!AA$4,'2017OT'!$B:$B,Report!$C27)</f>
        <v>0</v>
      </c>
      <c r="AB27" s="61">
        <f>SUMIFS('2017OT'!$H:$H,'2017OT'!$M:$M,Report!AB$4,'2017OT'!$B:$B,Report!$C27)</f>
        <v>0</v>
      </c>
      <c r="AC27" s="61">
        <f>SUMIFS('2017OT'!$H:$H,'2017OT'!$M:$M,Report!AC$4,'2017OT'!$B:$B,Report!$C27)</f>
        <v>0</v>
      </c>
      <c r="AD27" s="61">
        <f>SUMIFS('2017OT'!$H:$H,'2017OT'!$M:$M,Report!AD$4,'2017OT'!$B:$B,Report!$C27)</f>
        <v>0</v>
      </c>
      <c r="AE27" s="61">
        <f>SUMIFS('2017OT'!$H:$H,'2017OT'!$M:$M,Report!AE$4,'2017OT'!$B:$B,Report!$C27)</f>
        <v>0</v>
      </c>
      <c r="AF27" s="61">
        <f>SUMIFS('2017OT'!$H:$H,'2017OT'!$M:$M,Report!AF$4,'2017OT'!$B:$B,Report!$C27)</f>
        <v>0</v>
      </c>
      <c r="AG27" s="61">
        <f>SUMIFS('2017OT'!$H:$H,'2017OT'!$M:$M,Report!AG$4,'2017OT'!$B:$B,Report!$C27)</f>
        <v>0</v>
      </c>
      <c r="AH27" s="61">
        <f>SUMIFS('2017OT'!$H:$H,'2017OT'!$M:$M,Report!AH$4,'2017OT'!$B:$B,Report!$C27)</f>
        <v>0</v>
      </c>
      <c r="AJ27" s="61">
        <f>SUMIFS('2017OT'!$H:$H,'2017OT'!$M:$M,Report!AJ$4,'2017OT'!$B:$B,Report!$C27)</f>
        <v>0</v>
      </c>
      <c r="AK27" s="61">
        <f>SUMIFS('2017OT'!$H:$H,'2017OT'!$M:$M,Report!AK$4,'2017OT'!$B:$B,Report!$C27)</f>
        <v>0</v>
      </c>
      <c r="AL27" s="61">
        <f>SUMIFS('2017OT'!$H:$H,'2017OT'!$M:$M,Report!AL$4,'2017OT'!$B:$B,Report!$C27)</f>
        <v>0</v>
      </c>
      <c r="AM27" s="61">
        <f>SUMIFS('2017OT'!$H:$H,'2017OT'!$M:$M,Report!AM$4,'2017OT'!$B:$B,Report!$C27)</f>
        <v>0</v>
      </c>
      <c r="AN27" s="61">
        <f>SUMIFS('2017OT'!$H:$H,'2017OT'!$M:$M,Report!AN$4,'2017OT'!$B:$B,Report!$C27)</f>
        <v>0</v>
      </c>
      <c r="AO27" s="61">
        <f>SUMIFS('2017OT'!$H:$H,'2017OT'!$M:$M,Report!AO$4,'2017OT'!$B:$B,Report!$C27)</f>
        <v>0</v>
      </c>
      <c r="AP27" s="61">
        <f>SUMIFS('2017OT'!$H:$H,'2017OT'!$M:$M,Report!AP$4,'2017OT'!$B:$B,Report!$C27)</f>
        <v>0</v>
      </c>
      <c r="AQ27" s="61">
        <f>SUMIFS('2017OT'!$H:$H,'2017OT'!$M:$M,Report!AQ$4,'2017OT'!$B:$B,Report!$C27)</f>
        <v>0</v>
      </c>
      <c r="AR27" s="61">
        <f>SUMIFS('2017OT'!$H:$H,'2017OT'!$M:$M,Report!AR$4,'2017OT'!$B:$B,Report!$C27)</f>
        <v>0</v>
      </c>
      <c r="AS27" s="61">
        <f>SUMIFS('2017OT'!$H:$H,'2017OT'!$M:$M,Report!AS$4,'2017OT'!$B:$B,Report!$C27)</f>
        <v>0</v>
      </c>
      <c r="AT27" s="61">
        <f>SUMIFS('2017OT'!$H:$H,'2017OT'!$M:$M,Report!AT$4,'2017OT'!$B:$B,Report!$C27)</f>
        <v>0</v>
      </c>
      <c r="AU27" s="61">
        <f>SUMIFS('2017OT'!$H:$H,'2017OT'!$M:$M,Report!AU$4,'2017OT'!$B:$B,Report!$C27)</f>
        <v>0</v>
      </c>
      <c r="AV27" s="61"/>
      <c r="AW27" s="31">
        <f t="shared" si="4"/>
        <v>0</v>
      </c>
      <c r="AX27" s="31" t="str">
        <f>IFERROR(VLOOKUP($C27,#REF!,3,0),"")</f>
        <v/>
      </c>
      <c r="AY27" s="31" t="str">
        <f>IFERROR(VLOOKUP($C27,#REF!,3,0),"")</f>
        <v/>
      </c>
      <c r="AZ27" s="31" t="str">
        <f>IFERROR(VLOOKUP($C27,#REF!,3,0),"")</f>
        <v/>
      </c>
      <c r="BA27" s="31" t="str">
        <f>IFERROR(VLOOKUP($C27,#REF!,3,0),"")</f>
        <v/>
      </c>
      <c r="BB27" s="31" t="str">
        <f>IFERROR(VLOOKUP($C27,#REF!,3,0),"")</f>
        <v/>
      </c>
      <c r="BC27" s="31" t="str">
        <f>IFERROR(VLOOKUP($C27,#REF!,3,0),"")</f>
        <v/>
      </c>
      <c r="BD27" s="31" t="str">
        <f>IFERROR(VLOOKUP($C27,#REF!,3,0),"")</f>
        <v/>
      </c>
      <c r="BE27" s="31" t="str">
        <f>IFERROR(VLOOKUP($C27,#REF!,3,0),"")</f>
        <v/>
      </c>
      <c r="BF27" s="31" t="str">
        <f>IFERROR(VLOOKUP($C27,#REF!,3,0),"")</f>
        <v/>
      </c>
      <c r="BG27" s="31" t="str">
        <f>IFERROR(VLOOKUP($C27,#REF!,3,0),"")</f>
        <v/>
      </c>
      <c r="BH27" s="31" t="str">
        <f>IFERROR(VLOOKUP($C27,#REF!,3,0),"")</f>
        <v/>
      </c>
      <c r="BI27" s="31" t="str">
        <f>IFERROR(VLOOKUP($C27,#REF!,3,0),"")</f>
        <v/>
      </c>
      <c r="BK27" s="31">
        <f t="shared" si="5"/>
        <v>0</v>
      </c>
      <c r="BL27" s="31" t="str">
        <f t="shared" si="6"/>
        <v/>
      </c>
      <c r="BM27" s="31" t="str">
        <f t="shared" si="7"/>
        <v/>
      </c>
      <c r="BN27" s="31" t="str">
        <f t="shared" si="8"/>
        <v/>
      </c>
      <c r="BO27" s="31" t="str">
        <f t="shared" si="9"/>
        <v/>
      </c>
      <c r="BP27" s="31" t="str">
        <f t="shared" si="25"/>
        <v/>
      </c>
      <c r="BQ27" s="31" t="str">
        <f t="shared" si="18"/>
        <v/>
      </c>
      <c r="BR27" s="31" t="str">
        <f t="shared" si="19"/>
        <v/>
      </c>
      <c r="BS27" s="31" t="str">
        <f t="shared" si="20"/>
        <v/>
      </c>
      <c r="BT27" s="31" t="str">
        <f t="shared" si="21"/>
        <v/>
      </c>
      <c r="BU27" s="31" t="str">
        <f t="shared" si="22"/>
        <v/>
      </c>
      <c r="BV27" s="31" t="str">
        <f t="shared" si="23"/>
        <v/>
      </c>
      <c r="BW27" s="31" t="str">
        <f t="shared" si="24"/>
        <v/>
      </c>
    </row>
    <row r="28" spans="1:88" ht="15" customHeight="1">
      <c r="A28" s="83">
        <v>23</v>
      </c>
      <c r="B28" s="19" t="s">
        <v>11</v>
      </c>
      <c r="C28" s="19" t="s">
        <v>187</v>
      </c>
      <c r="D28" s="19" t="s">
        <v>230</v>
      </c>
      <c r="E28" s="19"/>
      <c r="F28" s="75"/>
      <c r="G28" s="31">
        <f t="shared" si="1"/>
        <v>56.749999999999972</v>
      </c>
      <c r="H28" s="31">
        <f t="shared" si="2"/>
        <v>0</v>
      </c>
      <c r="I28" s="31">
        <f t="shared" si="3"/>
        <v>0</v>
      </c>
      <c r="J28" s="61">
        <f>SUMIFS('2017OT'!$H:$H,'2017OT'!$M:$M,Report!J$4,'2017OT'!$B:$B,Report!$C28)</f>
        <v>0</v>
      </c>
      <c r="K28" s="61">
        <f>SUMIFS('2017OT'!$H:$H,'2017OT'!$M:$M,Report!K$4,'2017OT'!$B:$B,Report!$C28)</f>
        <v>0</v>
      </c>
      <c r="L28" s="61">
        <f>SUMIFS('2017OT'!$H:$H,'2017OT'!$M:$M,Report!L$4,'2017OT'!$B:$B,Report!$C28)</f>
        <v>0</v>
      </c>
      <c r="M28" s="61">
        <f>SUMIFS('2017OT'!$H:$H,'2017OT'!$M:$M,Report!M$4,'2017OT'!$B:$B,Report!$C28)</f>
        <v>0</v>
      </c>
      <c r="N28" s="61">
        <f>SUMIFS('2017OT'!$H:$H,'2017OT'!$M:$M,Report!N$4,'2017OT'!$B:$B,Report!$C28)</f>
        <v>0</v>
      </c>
      <c r="O28" s="61">
        <f>SUMIFS('2017OT'!$H:$H,'2017OT'!$M:$M,Report!O$4,'2017OT'!$B:$B,Report!$C28)</f>
        <v>14.499999999999982</v>
      </c>
      <c r="P28" s="61">
        <f>SUMIFS('2017OT'!$H:$H,'2017OT'!$M:$M,Report!P$4,'2017OT'!$B:$B,Report!$C28)</f>
        <v>32.249999999999986</v>
      </c>
      <c r="Q28" s="61">
        <f>SUMIFS('2017OT'!$H:$H,'2017OT'!$M:$M,Report!Q$4,'2017OT'!$B:$B,Report!$C28)</f>
        <v>10.000000000000004</v>
      </c>
      <c r="R28" s="61">
        <f>SUMIFS('2017OT'!$H:$H,'2017OT'!$M:$M,Report!R$4,'2017OT'!$B:$B,Report!$C28)</f>
        <v>0</v>
      </c>
      <c r="S28" s="61">
        <f>SUMIFS('2017OT'!$H:$H,'2017OT'!$M:$M,Report!S$4,'2017OT'!$B:$B,Report!$C28)</f>
        <v>0</v>
      </c>
      <c r="T28" s="61">
        <f>SUMIFS('2017OT'!$H:$H,'2017OT'!$M:$M,Report!T$4,'2017OT'!$B:$B,Report!$C28)</f>
        <v>0</v>
      </c>
      <c r="U28" s="61">
        <f>SUMIFS('2017OT'!$H:$H,'2017OT'!$M:$M,Report!U$4,'2017OT'!$B:$B,Report!$C28)</f>
        <v>0</v>
      </c>
      <c r="V28" s="27"/>
      <c r="W28" s="61">
        <f>SUMIFS('2017OT'!$H:$H,'2017OT'!$M:$M,Report!W$4,'2017OT'!$B:$B,Report!$C28)</f>
        <v>0</v>
      </c>
      <c r="X28" s="61">
        <f>SUMIFS('2017OT'!$H:$H,'2017OT'!$M:$M,Report!X$4,'2017OT'!$B:$B,Report!$C28)</f>
        <v>0</v>
      </c>
      <c r="Y28" s="61">
        <f>SUMIFS('2017OT'!$H:$H,'2017OT'!$M:$M,Report!Y$4,'2017OT'!$B:$B,Report!$C28)</f>
        <v>0</v>
      </c>
      <c r="Z28" s="61">
        <f>SUMIFS('2017OT'!$H:$H,'2017OT'!$M:$M,Report!Z$4,'2017OT'!$B:$B,Report!$C28)</f>
        <v>0</v>
      </c>
      <c r="AA28" s="61">
        <f>SUMIFS('2017OT'!$H:$H,'2017OT'!$M:$M,Report!AA$4,'2017OT'!$B:$B,Report!$C28)</f>
        <v>0</v>
      </c>
      <c r="AB28" s="61">
        <f>SUMIFS('2017OT'!$H:$H,'2017OT'!$M:$M,Report!AB$4,'2017OT'!$B:$B,Report!$C28)</f>
        <v>0</v>
      </c>
      <c r="AC28" s="61">
        <f>SUMIFS('2017OT'!$H:$H,'2017OT'!$M:$M,Report!AC$4,'2017OT'!$B:$B,Report!$C28)</f>
        <v>0</v>
      </c>
      <c r="AD28" s="61">
        <f>SUMIFS('2017OT'!$H:$H,'2017OT'!$M:$M,Report!AD$4,'2017OT'!$B:$B,Report!$C28)</f>
        <v>0</v>
      </c>
      <c r="AE28" s="61">
        <f>SUMIFS('2017OT'!$H:$H,'2017OT'!$M:$M,Report!AE$4,'2017OT'!$B:$B,Report!$C28)</f>
        <v>0</v>
      </c>
      <c r="AF28" s="61">
        <f>SUMIFS('2017OT'!$H:$H,'2017OT'!$M:$M,Report!AF$4,'2017OT'!$B:$B,Report!$C28)</f>
        <v>0</v>
      </c>
      <c r="AG28" s="61">
        <f>SUMIFS('2017OT'!$H:$H,'2017OT'!$M:$M,Report!AG$4,'2017OT'!$B:$B,Report!$C28)</f>
        <v>0</v>
      </c>
      <c r="AH28" s="61">
        <f>SUMIFS('2017OT'!$H:$H,'2017OT'!$M:$M,Report!AH$4,'2017OT'!$B:$B,Report!$C28)</f>
        <v>0</v>
      </c>
      <c r="AI28" s="27"/>
      <c r="AJ28" s="61">
        <f>SUMIFS('2017OT'!$H:$H,'2017OT'!$M:$M,Report!AJ$4,'2017OT'!$B:$B,Report!$C28)</f>
        <v>0</v>
      </c>
      <c r="AK28" s="61">
        <f>SUMIFS('2017OT'!$H:$H,'2017OT'!$M:$M,Report!AK$4,'2017OT'!$B:$B,Report!$C28)</f>
        <v>0</v>
      </c>
      <c r="AL28" s="61">
        <f>SUMIFS('2017OT'!$H:$H,'2017OT'!$M:$M,Report!AL$4,'2017OT'!$B:$B,Report!$C28)</f>
        <v>0</v>
      </c>
      <c r="AM28" s="61">
        <f>SUMIFS('2017OT'!$H:$H,'2017OT'!$M:$M,Report!AM$4,'2017OT'!$B:$B,Report!$C28)</f>
        <v>0</v>
      </c>
      <c r="AN28" s="61">
        <f>SUMIFS('2017OT'!$H:$H,'2017OT'!$M:$M,Report!AN$4,'2017OT'!$B:$B,Report!$C28)</f>
        <v>0</v>
      </c>
      <c r="AO28" s="61">
        <f>SUMIFS('2017OT'!$H:$H,'2017OT'!$M:$M,Report!AO$4,'2017OT'!$B:$B,Report!$C28)</f>
        <v>0</v>
      </c>
      <c r="AP28" s="61">
        <f>SUMIFS('2017OT'!$H:$H,'2017OT'!$M:$M,Report!AP$4,'2017OT'!$B:$B,Report!$C28)</f>
        <v>0</v>
      </c>
      <c r="AQ28" s="61">
        <f>SUMIFS('2017OT'!$H:$H,'2017OT'!$M:$M,Report!AQ$4,'2017OT'!$B:$B,Report!$C28)</f>
        <v>0</v>
      </c>
      <c r="AR28" s="61">
        <f>SUMIFS('2017OT'!$H:$H,'2017OT'!$M:$M,Report!AR$4,'2017OT'!$B:$B,Report!$C28)</f>
        <v>0</v>
      </c>
      <c r="AS28" s="61">
        <f>SUMIFS('2017OT'!$H:$H,'2017OT'!$M:$M,Report!AS$4,'2017OT'!$B:$B,Report!$C28)</f>
        <v>0</v>
      </c>
      <c r="AT28" s="61">
        <f>SUMIFS('2017OT'!$H:$H,'2017OT'!$M:$M,Report!AT$4,'2017OT'!$B:$B,Report!$C28)</f>
        <v>0</v>
      </c>
      <c r="AU28" s="61">
        <f>SUMIFS('2017OT'!$H:$H,'2017OT'!$M:$M,Report!AU$4,'2017OT'!$B:$B,Report!$C28)</f>
        <v>0</v>
      </c>
      <c r="AV28" s="61"/>
      <c r="AW28" s="31">
        <f t="shared" si="4"/>
        <v>0</v>
      </c>
      <c r="AX28" s="31" t="str">
        <f>IFERROR(VLOOKUP($C28,#REF!,3,0),"")</f>
        <v/>
      </c>
      <c r="AY28" s="31" t="str">
        <f>IFERROR(VLOOKUP($C28,#REF!,3,0),"")</f>
        <v/>
      </c>
      <c r="AZ28" s="31" t="str">
        <f>IFERROR(VLOOKUP($C28,#REF!,3,0),"")</f>
        <v/>
      </c>
      <c r="BA28" s="31" t="str">
        <f>IFERROR(VLOOKUP($C28,#REF!,3,0),"")</f>
        <v/>
      </c>
      <c r="BB28" s="31" t="str">
        <f>IFERROR(VLOOKUP($C28,#REF!,3,0),"")</f>
        <v/>
      </c>
      <c r="BC28" s="31" t="str">
        <f>IFERROR(VLOOKUP($C28,#REF!,3,0),"")</f>
        <v/>
      </c>
      <c r="BD28" s="31" t="str">
        <f>IFERROR(VLOOKUP($C28,#REF!,3,0),"")</f>
        <v/>
      </c>
      <c r="BE28" s="31" t="str">
        <f>IFERROR(VLOOKUP($C28,#REF!,3,0),"")</f>
        <v/>
      </c>
      <c r="BF28" s="31" t="str">
        <f>IFERROR(VLOOKUP($C28,#REF!,3,0),"")</f>
        <v/>
      </c>
      <c r="BG28" s="31" t="str">
        <f>IFERROR(VLOOKUP($C28,#REF!,3,0),"")</f>
        <v/>
      </c>
      <c r="BH28" s="31" t="str">
        <f>IFERROR(VLOOKUP($C28,#REF!,3,0),"")</f>
        <v/>
      </c>
      <c r="BI28" s="31" t="str">
        <f>IFERROR(VLOOKUP($C28,#REF!,3,0),"")</f>
        <v/>
      </c>
      <c r="BJ28" s="27"/>
      <c r="BK28" s="31">
        <f t="shared" si="5"/>
        <v>0</v>
      </c>
      <c r="BL28" s="31" t="str">
        <f t="shared" si="6"/>
        <v/>
      </c>
      <c r="BM28" s="31" t="str">
        <f t="shared" si="7"/>
        <v/>
      </c>
      <c r="BN28" s="31" t="str">
        <f t="shared" si="8"/>
        <v/>
      </c>
      <c r="BO28" s="31" t="str">
        <f t="shared" si="9"/>
        <v/>
      </c>
      <c r="BP28" s="31" t="str">
        <f t="shared" si="25"/>
        <v/>
      </c>
      <c r="BQ28" s="31" t="str">
        <f t="shared" si="18"/>
        <v/>
      </c>
      <c r="BR28" s="31" t="str">
        <f t="shared" si="19"/>
        <v/>
      </c>
      <c r="BS28" s="31" t="str">
        <f t="shared" si="20"/>
        <v/>
      </c>
      <c r="BT28" s="31" t="str">
        <f t="shared" si="21"/>
        <v/>
      </c>
      <c r="BU28" s="31" t="str">
        <f t="shared" si="22"/>
        <v/>
      </c>
      <c r="BV28" s="31" t="str">
        <f t="shared" si="23"/>
        <v/>
      </c>
      <c r="BW28" s="31" t="str">
        <f t="shared" si="24"/>
        <v/>
      </c>
    </row>
    <row r="29" spans="1:88" ht="15" customHeight="1">
      <c r="A29" s="83">
        <v>24</v>
      </c>
      <c r="B29" s="19" t="s">
        <v>11</v>
      </c>
      <c r="C29" s="19" t="s">
        <v>543</v>
      </c>
      <c r="D29" s="19" t="s">
        <v>230</v>
      </c>
      <c r="E29" s="19"/>
      <c r="F29" s="75"/>
      <c r="G29" s="31">
        <f t="shared" si="1"/>
        <v>0</v>
      </c>
      <c r="H29" s="31">
        <f t="shared" si="2"/>
        <v>80.249999999999943</v>
      </c>
      <c r="I29" s="31">
        <f t="shared" si="3"/>
        <v>0</v>
      </c>
      <c r="J29" s="61">
        <f>SUMIFS('2017OT'!$H:$H,'2017OT'!$M:$M,Report!J$4,'2017OT'!$B:$B,Report!$C29)</f>
        <v>0</v>
      </c>
      <c r="K29" s="61">
        <f>SUMIFS('2017OT'!$H:$H,'2017OT'!$M:$M,Report!K$4,'2017OT'!$B:$B,Report!$C29)</f>
        <v>0</v>
      </c>
      <c r="L29" s="61">
        <f>SUMIFS('2017OT'!$H:$H,'2017OT'!$M:$M,Report!L$4,'2017OT'!$B:$B,Report!$C29)</f>
        <v>0</v>
      </c>
      <c r="M29" s="61">
        <f>SUMIFS('2017OT'!$H:$H,'2017OT'!$M:$M,Report!M$4,'2017OT'!$B:$B,Report!$C29)</f>
        <v>0</v>
      </c>
      <c r="N29" s="61">
        <f>SUMIFS('2017OT'!$H:$H,'2017OT'!$M:$M,Report!N$4,'2017OT'!$B:$B,Report!$C29)</f>
        <v>0</v>
      </c>
      <c r="O29" s="61">
        <f>SUMIFS('2017OT'!$H:$H,'2017OT'!$M:$M,Report!O$4,'2017OT'!$B:$B,Report!$C29)</f>
        <v>0</v>
      </c>
      <c r="P29" s="61">
        <f>SUMIFS('2017OT'!$H:$H,'2017OT'!$M:$M,Report!P$4,'2017OT'!$B:$B,Report!$C29)</f>
        <v>0</v>
      </c>
      <c r="Q29" s="61">
        <f>SUMIFS('2017OT'!$H:$H,'2017OT'!$M:$M,Report!Q$4,'2017OT'!$B:$B,Report!$C29)</f>
        <v>0</v>
      </c>
      <c r="R29" s="61">
        <f>SUMIFS('2017OT'!$H:$H,'2017OT'!$M:$M,Report!R$4,'2017OT'!$B:$B,Report!$C29)</f>
        <v>0</v>
      </c>
      <c r="S29" s="61">
        <f>SUMIFS('2017OT'!$H:$H,'2017OT'!$M:$M,Report!S$4,'2017OT'!$B:$B,Report!$C29)</f>
        <v>0</v>
      </c>
      <c r="T29" s="61">
        <f>SUMIFS('2017OT'!$H:$H,'2017OT'!$M:$M,Report!T$4,'2017OT'!$B:$B,Report!$C29)</f>
        <v>0</v>
      </c>
      <c r="U29" s="61">
        <f>SUMIFS('2017OT'!$H:$H,'2017OT'!$M:$M,Report!U$4,'2017OT'!$B:$B,Report!$C29)</f>
        <v>0</v>
      </c>
      <c r="W29" s="61">
        <f>SUMIFS('2017OT'!$H:$H,'2017OT'!$M:$M,Report!W$4,'2017OT'!$B:$B,Report!$C29)</f>
        <v>0</v>
      </c>
      <c r="X29" s="61">
        <f>SUMIFS('2017OT'!$H:$H,'2017OT'!$M:$M,Report!X$4,'2017OT'!$B:$B,Report!$C29)</f>
        <v>0</v>
      </c>
      <c r="Y29" s="61">
        <f>SUMIFS('2017OT'!$H:$H,'2017OT'!$M:$M,Report!Y$4,'2017OT'!$B:$B,Report!$C29)</f>
        <v>0</v>
      </c>
      <c r="Z29" s="61">
        <f>SUMIFS('2017OT'!$H:$H,'2017OT'!$M:$M,Report!Z$4,'2017OT'!$B:$B,Report!$C29)</f>
        <v>0</v>
      </c>
      <c r="AA29" s="61">
        <f>SUMIFS('2017OT'!$H:$H,'2017OT'!$M:$M,Report!AA$4,'2017OT'!$B:$B,Report!$C29)</f>
        <v>29.499999999999982</v>
      </c>
      <c r="AB29" s="61">
        <f>SUMIFS('2017OT'!$H:$H,'2017OT'!$M:$M,Report!AB$4,'2017OT'!$B:$B,Report!$C29)</f>
        <v>36.999999999999943</v>
      </c>
      <c r="AC29" s="61">
        <f>SUMIFS('2017OT'!$H:$H,'2017OT'!$M:$M,Report!AC$4,'2017OT'!$B:$B,Report!$C29)</f>
        <v>13.750000000000016</v>
      </c>
      <c r="AD29" s="61">
        <f>SUMIFS('2017OT'!$H:$H,'2017OT'!$M:$M,Report!AD$4,'2017OT'!$B:$B,Report!$C29)</f>
        <v>0</v>
      </c>
      <c r="AE29" s="61">
        <f>SUMIFS('2017OT'!$H:$H,'2017OT'!$M:$M,Report!AE$4,'2017OT'!$B:$B,Report!$C29)</f>
        <v>0</v>
      </c>
      <c r="AF29" s="61">
        <f>SUMIFS('2017OT'!$H:$H,'2017OT'!$M:$M,Report!AF$4,'2017OT'!$B:$B,Report!$C29)</f>
        <v>0</v>
      </c>
      <c r="AG29" s="61">
        <f>SUMIFS('2017OT'!$H:$H,'2017OT'!$M:$M,Report!AG$4,'2017OT'!$B:$B,Report!$C29)</f>
        <v>0</v>
      </c>
      <c r="AH29" s="61">
        <f>SUMIFS('2017OT'!$H:$H,'2017OT'!$M:$M,Report!AH$4,'2017OT'!$B:$B,Report!$C29)</f>
        <v>0</v>
      </c>
      <c r="AJ29" s="61">
        <f>SUMIFS('2017OT'!$H:$H,'2017OT'!$M:$M,Report!AJ$4,'2017OT'!$B:$B,Report!$C29)</f>
        <v>0</v>
      </c>
      <c r="AK29" s="61">
        <f>SUMIFS('2017OT'!$H:$H,'2017OT'!$M:$M,Report!AK$4,'2017OT'!$B:$B,Report!$C29)</f>
        <v>0</v>
      </c>
      <c r="AL29" s="61">
        <f>SUMIFS('2017OT'!$H:$H,'2017OT'!$M:$M,Report!AL$4,'2017OT'!$B:$B,Report!$C29)</f>
        <v>0</v>
      </c>
      <c r="AM29" s="61">
        <f>SUMIFS('2017OT'!$H:$H,'2017OT'!$M:$M,Report!AM$4,'2017OT'!$B:$B,Report!$C29)</f>
        <v>0</v>
      </c>
      <c r="AN29" s="61">
        <f>SUMIFS('2017OT'!$H:$H,'2017OT'!$M:$M,Report!AN$4,'2017OT'!$B:$B,Report!$C29)</f>
        <v>0</v>
      </c>
      <c r="AO29" s="61">
        <f>SUMIFS('2017OT'!$H:$H,'2017OT'!$M:$M,Report!AO$4,'2017OT'!$B:$B,Report!$C29)</f>
        <v>0</v>
      </c>
      <c r="AP29" s="61">
        <f>SUMIFS('2017OT'!$H:$H,'2017OT'!$M:$M,Report!AP$4,'2017OT'!$B:$B,Report!$C29)</f>
        <v>0</v>
      </c>
      <c r="AQ29" s="61">
        <f>SUMIFS('2017OT'!$H:$H,'2017OT'!$M:$M,Report!AQ$4,'2017OT'!$B:$B,Report!$C29)</f>
        <v>0</v>
      </c>
      <c r="AR29" s="61">
        <f>SUMIFS('2017OT'!$H:$H,'2017OT'!$M:$M,Report!AR$4,'2017OT'!$B:$B,Report!$C29)</f>
        <v>0</v>
      </c>
      <c r="AS29" s="61">
        <f>SUMIFS('2017OT'!$H:$H,'2017OT'!$M:$M,Report!AS$4,'2017OT'!$B:$B,Report!$C29)</f>
        <v>0</v>
      </c>
      <c r="AT29" s="61">
        <f>SUMIFS('2017OT'!$H:$H,'2017OT'!$M:$M,Report!AT$4,'2017OT'!$B:$B,Report!$C29)</f>
        <v>0</v>
      </c>
      <c r="AU29" s="61">
        <f>SUMIFS('2017OT'!$H:$H,'2017OT'!$M:$M,Report!AU$4,'2017OT'!$B:$B,Report!$C29)</f>
        <v>0</v>
      </c>
      <c r="AV29" s="61"/>
      <c r="AW29" s="31">
        <f t="shared" si="4"/>
        <v>0</v>
      </c>
      <c r="AX29" s="31" t="str">
        <f>IFERROR(VLOOKUP($C29,#REF!,3,0),"")</f>
        <v/>
      </c>
      <c r="AY29" s="31" t="str">
        <f>IFERROR(VLOOKUP($C29,#REF!,3,0),"")</f>
        <v/>
      </c>
      <c r="AZ29" s="31" t="str">
        <f>IFERROR(VLOOKUP($C29,#REF!,3,0),"")</f>
        <v/>
      </c>
      <c r="BA29" s="31" t="str">
        <f>IFERROR(VLOOKUP($C29,#REF!,3,0),"")</f>
        <v/>
      </c>
      <c r="BB29" s="31" t="str">
        <f>IFERROR(VLOOKUP($C29,#REF!,3,0),"")</f>
        <v/>
      </c>
      <c r="BC29" s="31" t="str">
        <f>IFERROR(VLOOKUP($C29,#REF!,3,0),"")</f>
        <v/>
      </c>
      <c r="BD29" s="31" t="str">
        <f>IFERROR(VLOOKUP($C29,#REF!,3,0),"")</f>
        <v/>
      </c>
      <c r="BE29" s="31" t="str">
        <f>IFERROR(VLOOKUP($C29,#REF!,3,0),"")</f>
        <v/>
      </c>
      <c r="BF29" s="31" t="str">
        <f>IFERROR(VLOOKUP($C29,#REF!,3,0),"")</f>
        <v/>
      </c>
      <c r="BG29" s="31" t="str">
        <f>IFERROR(VLOOKUP($C29,#REF!,3,0),"")</f>
        <v/>
      </c>
      <c r="BH29" s="31" t="str">
        <f>IFERROR(VLOOKUP($C29,#REF!,3,0),"")</f>
        <v/>
      </c>
      <c r="BI29" s="31" t="str">
        <f>IFERROR(VLOOKUP($C29,#REF!,3,0),"")</f>
        <v/>
      </c>
      <c r="BK29" s="31">
        <f t="shared" si="5"/>
        <v>0</v>
      </c>
      <c r="BL29" s="31" t="str">
        <f t="shared" si="6"/>
        <v/>
      </c>
      <c r="BM29" s="31" t="str">
        <f t="shared" si="7"/>
        <v/>
      </c>
      <c r="BN29" s="31" t="str">
        <f t="shared" si="8"/>
        <v/>
      </c>
      <c r="BO29" s="31" t="str">
        <f t="shared" si="9"/>
        <v/>
      </c>
      <c r="BP29" s="31" t="str">
        <f t="shared" si="25"/>
        <v/>
      </c>
      <c r="BQ29" s="31" t="str">
        <f t="shared" si="18"/>
        <v/>
      </c>
      <c r="BR29" s="31" t="str">
        <f t="shared" si="19"/>
        <v/>
      </c>
      <c r="BS29" s="31" t="str">
        <f t="shared" si="20"/>
        <v/>
      </c>
      <c r="BT29" s="31" t="str">
        <f t="shared" si="21"/>
        <v/>
      </c>
      <c r="BU29" s="31" t="str">
        <f t="shared" si="22"/>
        <v/>
      </c>
      <c r="BV29" s="31" t="str">
        <f t="shared" si="23"/>
        <v/>
      </c>
      <c r="BW29" s="31" t="str">
        <f t="shared" si="24"/>
        <v/>
      </c>
    </row>
    <row r="30" spans="1:88" ht="15" customHeight="1">
      <c r="A30" s="83">
        <v>25</v>
      </c>
      <c r="B30" s="19" t="s">
        <v>11</v>
      </c>
      <c r="C30" s="19" t="s">
        <v>574</v>
      </c>
      <c r="D30" s="19" t="s">
        <v>230</v>
      </c>
      <c r="E30" s="19"/>
      <c r="F30" s="75"/>
      <c r="G30" s="31">
        <f t="shared" si="1"/>
        <v>0</v>
      </c>
      <c r="H30" s="31">
        <f t="shared" si="2"/>
        <v>58.749999999999957</v>
      </c>
      <c r="I30" s="31">
        <f t="shared" si="3"/>
        <v>0</v>
      </c>
      <c r="J30" s="61">
        <f>SUMIFS('2017OT'!$H:$H,'2017OT'!$M:$M,Report!J$4,'2017OT'!$B:$B,Report!$C30)</f>
        <v>0</v>
      </c>
      <c r="K30" s="61">
        <f>SUMIFS('2017OT'!$H:$H,'2017OT'!$M:$M,Report!K$4,'2017OT'!$B:$B,Report!$C30)</f>
        <v>0</v>
      </c>
      <c r="L30" s="61">
        <f>SUMIFS('2017OT'!$H:$H,'2017OT'!$M:$M,Report!L$4,'2017OT'!$B:$B,Report!$C30)</f>
        <v>0</v>
      </c>
      <c r="M30" s="61">
        <f>SUMIFS('2017OT'!$H:$H,'2017OT'!$M:$M,Report!M$4,'2017OT'!$B:$B,Report!$C30)</f>
        <v>0</v>
      </c>
      <c r="N30" s="61">
        <f>SUMIFS('2017OT'!$H:$H,'2017OT'!$M:$M,Report!N$4,'2017OT'!$B:$B,Report!$C30)</f>
        <v>0</v>
      </c>
      <c r="O30" s="61">
        <f>SUMIFS('2017OT'!$H:$H,'2017OT'!$M:$M,Report!O$4,'2017OT'!$B:$B,Report!$C30)</f>
        <v>0</v>
      </c>
      <c r="P30" s="61">
        <f>SUMIFS('2017OT'!$H:$H,'2017OT'!$M:$M,Report!P$4,'2017OT'!$B:$B,Report!$C30)</f>
        <v>0</v>
      </c>
      <c r="Q30" s="61">
        <f>SUMIFS('2017OT'!$H:$H,'2017OT'!$M:$M,Report!Q$4,'2017OT'!$B:$B,Report!$C30)</f>
        <v>0</v>
      </c>
      <c r="R30" s="61">
        <f>SUMIFS('2017OT'!$H:$H,'2017OT'!$M:$M,Report!R$4,'2017OT'!$B:$B,Report!$C30)</f>
        <v>0</v>
      </c>
      <c r="S30" s="61">
        <f>SUMIFS('2017OT'!$H:$H,'2017OT'!$M:$M,Report!S$4,'2017OT'!$B:$B,Report!$C30)</f>
        <v>0</v>
      </c>
      <c r="T30" s="61">
        <f>SUMIFS('2017OT'!$H:$H,'2017OT'!$M:$M,Report!T$4,'2017OT'!$B:$B,Report!$C30)</f>
        <v>0</v>
      </c>
      <c r="U30" s="61">
        <f>SUMIFS('2017OT'!$H:$H,'2017OT'!$M:$M,Report!U$4,'2017OT'!$B:$B,Report!$C30)</f>
        <v>0</v>
      </c>
      <c r="W30" s="61">
        <f>SUMIFS('2017OT'!$H:$H,'2017OT'!$M:$M,Report!W$4,'2017OT'!$B:$B,Report!$C30)</f>
        <v>0</v>
      </c>
      <c r="X30" s="61">
        <f>SUMIFS('2017OT'!$H:$H,'2017OT'!$M:$M,Report!X$4,'2017OT'!$B:$B,Report!$C30)</f>
        <v>0</v>
      </c>
      <c r="Y30" s="61">
        <f>SUMIFS('2017OT'!$H:$H,'2017OT'!$M:$M,Report!Y$4,'2017OT'!$B:$B,Report!$C30)</f>
        <v>0</v>
      </c>
      <c r="Z30" s="61">
        <f>SUMIFS('2017OT'!$H:$H,'2017OT'!$M:$M,Report!Z$4,'2017OT'!$B:$B,Report!$C30)</f>
        <v>0</v>
      </c>
      <c r="AA30" s="61">
        <f>SUMIFS('2017OT'!$H:$H,'2017OT'!$M:$M,Report!AA$4,'2017OT'!$B:$B,Report!$C30)</f>
        <v>0</v>
      </c>
      <c r="AB30" s="61">
        <f>SUMIFS('2017OT'!$H:$H,'2017OT'!$M:$M,Report!AB$4,'2017OT'!$B:$B,Report!$C30)</f>
        <v>44.999999999999943</v>
      </c>
      <c r="AC30" s="61">
        <f>SUMIFS('2017OT'!$H:$H,'2017OT'!$M:$M,Report!AC$4,'2017OT'!$B:$B,Report!$C30)</f>
        <v>13.750000000000016</v>
      </c>
      <c r="AD30" s="61">
        <f>SUMIFS('2017OT'!$H:$H,'2017OT'!$M:$M,Report!AD$4,'2017OT'!$B:$B,Report!$C30)</f>
        <v>0</v>
      </c>
      <c r="AE30" s="61">
        <f>SUMIFS('2017OT'!$H:$H,'2017OT'!$M:$M,Report!AE$4,'2017OT'!$B:$B,Report!$C30)</f>
        <v>0</v>
      </c>
      <c r="AF30" s="61">
        <f>SUMIFS('2017OT'!$H:$H,'2017OT'!$M:$M,Report!AF$4,'2017OT'!$B:$B,Report!$C30)</f>
        <v>0</v>
      </c>
      <c r="AG30" s="61">
        <f>SUMIFS('2017OT'!$H:$H,'2017OT'!$M:$M,Report!AG$4,'2017OT'!$B:$B,Report!$C30)</f>
        <v>0</v>
      </c>
      <c r="AH30" s="61">
        <f>SUMIFS('2017OT'!$H:$H,'2017OT'!$M:$M,Report!AH$4,'2017OT'!$B:$B,Report!$C30)</f>
        <v>0</v>
      </c>
      <c r="AJ30" s="61">
        <f>SUMIFS('2017OT'!$H:$H,'2017OT'!$M:$M,Report!AJ$4,'2017OT'!$B:$B,Report!$C30)</f>
        <v>0</v>
      </c>
      <c r="AK30" s="61">
        <f>SUMIFS('2017OT'!$H:$H,'2017OT'!$M:$M,Report!AK$4,'2017OT'!$B:$B,Report!$C30)</f>
        <v>0</v>
      </c>
      <c r="AL30" s="61">
        <f>SUMIFS('2017OT'!$H:$H,'2017OT'!$M:$M,Report!AL$4,'2017OT'!$B:$B,Report!$C30)</f>
        <v>0</v>
      </c>
      <c r="AM30" s="61">
        <f>SUMIFS('2017OT'!$H:$H,'2017OT'!$M:$M,Report!AM$4,'2017OT'!$B:$B,Report!$C30)</f>
        <v>0</v>
      </c>
      <c r="AN30" s="61">
        <f>SUMIFS('2017OT'!$H:$H,'2017OT'!$M:$M,Report!AN$4,'2017OT'!$B:$B,Report!$C30)</f>
        <v>0</v>
      </c>
      <c r="AO30" s="61">
        <f>SUMIFS('2017OT'!$H:$H,'2017OT'!$M:$M,Report!AO$4,'2017OT'!$B:$B,Report!$C30)</f>
        <v>0</v>
      </c>
      <c r="AP30" s="61">
        <f>SUMIFS('2017OT'!$H:$H,'2017OT'!$M:$M,Report!AP$4,'2017OT'!$B:$B,Report!$C30)</f>
        <v>0</v>
      </c>
      <c r="AQ30" s="61">
        <f>SUMIFS('2017OT'!$H:$H,'2017OT'!$M:$M,Report!AQ$4,'2017OT'!$B:$B,Report!$C30)</f>
        <v>0</v>
      </c>
      <c r="AR30" s="61">
        <f>SUMIFS('2017OT'!$H:$H,'2017OT'!$M:$M,Report!AR$4,'2017OT'!$B:$B,Report!$C30)</f>
        <v>0</v>
      </c>
      <c r="AS30" s="61">
        <f>SUMIFS('2017OT'!$H:$H,'2017OT'!$M:$M,Report!AS$4,'2017OT'!$B:$B,Report!$C30)</f>
        <v>0</v>
      </c>
      <c r="AT30" s="61">
        <f>SUMIFS('2017OT'!$H:$H,'2017OT'!$M:$M,Report!AT$4,'2017OT'!$B:$B,Report!$C30)</f>
        <v>0</v>
      </c>
      <c r="AU30" s="61">
        <f>SUMIFS('2017OT'!$H:$H,'2017OT'!$M:$M,Report!AU$4,'2017OT'!$B:$B,Report!$C30)</f>
        <v>0</v>
      </c>
      <c r="AV30" s="61"/>
      <c r="AW30" s="31">
        <f t="shared" si="4"/>
        <v>0</v>
      </c>
      <c r="AX30" s="31" t="str">
        <f>IFERROR(VLOOKUP($C30,#REF!,3,0),"")</f>
        <v/>
      </c>
      <c r="AY30" s="31" t="str">
        <f>IFERROR(VLOOKUP($C30,#REF!,3,0),"")</f>
        <v/>
      </c>
      <c r="AZ30" s="31" t="str">
        <f>IFERROR(VLOOKUP($C30,#REF!,3,0),"")</f>
        <v/>
      </c>
      <c r="BA30" s="31" t="str">
        <f>IFERROR(VLOOKUP($C30,#REF!,3,0),"")</f>
        <v/>
      </c>
      <c r="BB30" s="31" t="str">
        <f>IFERROR(VLOOKUP($C30,#REF!,3,0),"")</f>
        <v/>
      </c>
      <c r="BC30" s="31" t="str">
        <f>IFERROR(VLOOKUP($C30,#REF!,3,0),"")</f>
        <v/>
      </c>
      <c r="BD30" s="31" t="str">
        <f>IFERROR(VLOOKUP($C30,#REF!,3,0),"")</f>
        <v/>
      </c>
      <c r="BE30" s="31" t="str">
        <f>IFERROR(VLOOKUP($C30,#REF!,3,0),"")</f>
        <v/>
      </c>
      <c r="BF30" s="31" t="str">
        <f>IFERROR(VLOOKUP($C30,#REF!,3,0),"")</f>
        <v/>
      </c>
      <c r="BG30" s="31" t="str">
        <f>IFERROR(VLOOKUP($C30,#REF!,3,0),"")</f>
        <v/>
      </c>
      <c r="BH30" s="31" t="str">
        <f>IFERROR(VLOOKUP($C30,#REF!,3,0),"")</f>
        <v/>
      </c>
      <c r="BI30" s="31" t="str">
        <f>IFERROR(VLOOKUP($C30,#REF!,3,0),"")</f>
        <v/>
      </c>
      <c r="BK30" s="31">
        <f t="shared" si="5"/>
        <v>0</v>
      </c>
      <c r="BL30" s="31" t="str">
        <f t="shared" si="6"/>
        <v/>
      </c>
      <c r="BM30" s="31" t="str">
        <f t="shared" si="7"/>
        <v/>
      </c>
      <c r="BN30" s="31" t="str">
        <f t="shared" si="8"/>
        <v/>
      </c>
      <c r="BO30" s="31" t="str">
        <f t="shared" si="9"/>
        <v/>
      </c>
      <c r="BP30" s="31" t="str">
        <f t="shared" si="25"/>
        <v/>
      </c>
      <c r="BQ30" s="31" t="str">
        <f t="shared" si="18"/>
        <v/>
      </c>
      <c r="BR30" s="31" t="str">
        <f t="shared" si="19"/>
        <v/>
      </c>
      <c r="BS30" s="31" t="str">
        <f t="shared" si="20"/>
        <v/>
      </c>
      <c r="BT30" s="31" t="str">
        <f t="shared" si="21"/>
        <v/>
      </c>
      <c r="BU30" s="31" t="str">
        <f t="shared" si="22"/>
        <v/>
      </c>
      <c r="BV30" s="31" t="str">
        <f t="shared" si="23"/>
        <v/>
      </c>
      <c r="BW30" s="31" t="str">
        <f t="shared" si="24"/>
        <v/>
      </c>
    </row>
    <row r="31" spans="1:88" ht="15" customHeight="1">
      <c r="A31" s="83">
        <v>26</v>
      </c>
      <c r="B31" s="19" t="s">
        <v>11</v>
      </c>
      <c r="C31" s="19" t="s">
        <v>682</v>
      </c>
      <c r="D31" s="19" t="s">
        <v>230</v>
      </c>
      <c r="E31" s="19"/>
      <c r="F31" s="80">
        <v>43175</v>
      </c>
      <c r="G31" s="31">
        <f t="shared" si="1"/>
        <v>0</v>
      </c>
      <c r="H31" s="31">
        <f t="shared" si="2"/>
        <v>1.9999999999999964</v>
      </c>
      <c r="I31" s="31">
        <f t="shared" si="3"/>
        <v>13.999999999999988</v>
      </c>
      <c r="J31" s="61">
        <f>SUMIFS('2017OT'!$H:$H,'2017OT'!$M:$M,Report!J$4,'2017OT'!$B:$B,Report!$C31)</f>
        <v>0</v>
      </c>
      <c r="K31" s="61">
        <f>SUMIFS('2017OT'!$H:$H,'2017OT'!$M:$M,Report!K$4,'2017OT'!$B:$B,Report!$C31)</f>
        <v>0</v>
      </c>
      <c r="L31" s="61">
        <f>SUMIFS('2017OT'!$H:$H,'2017OT'!$M:$M,Report!L$4,'2017OT'!$B:$B,Report!$C31)</f>
        <v>0</v>
      </c>
      <c r="M31" s="61">
        <f>SUMIFS('2017OT'!$H:$H,'2017OT'!$M:$M,Report!M$4,'2017OT'!$B:$B,Report!$C31)</f>
        <v>0</v>
      </c>
      <c r="N31" s="61">
        <f>SUMIFS('2017OT'!$H:$H,'2017OT'!$M:$M,Report!N$4,'2017OT'!$B:$B,Report!$C31)</f>
        <v>0</v>
      </c>
      <c r="O31" s="61">
        <f>SUMIFS('2017OT'!$H:$H,'2017OT'!$M:$M,Report!O$4,'2017OT'!$B:$B,Report!$C31)</f>
        <v>0</v>
      </c>
      <c r="P31" s="61">
        <f>SUMIFS('2017OT'!$H:$H,'2017OT'!$M:$M,Report!P$4,'2017OT'!$B:$B,Report!$C31)</f>
        <v>0</v>
      </c>
      <c r="Q31" s="61">
        <f>SUMIFS('2017OT'!$H:$H,'2017OT'!$M:$M,Report!Q$4,'2017OT'!$B:$B,Report!$C31)</f>
        <v>0</v>
      </c>
      <c r="R31" s="61">
        <f>SUMIFS('2017OT'!$H:$H,'2017OT'!$M:$M,Report!R$4,'2017OT'!$B:$B,Report!$C31)</f>
        <v>0</v>
      </c>
      <c r="S31" s="61">
        <f>SUMIFS('2017OT'!$H:$H,'2017OT'!$M:$M,Report!S$4,'2017OT'!$B:$B,Report!$C31)</f>
        <v>0</v>
      </c>
      <c r="T31" s="61">
        <f>SUMIFS('2017OT'!$H:$H,'2017OT'!$M:$M,Report!T$4,'2017OT'!$B:$B,Report!$C31)</f>
        <v>0</v>
      </c>
      <c r="U31" s="61">
        <f>SUMIFS('2017OT'!$H:$H,'2017OT'!$M:$M,Report!U$4,'2017OT'!$B:$B,Report!$C31)</f>
        <v>0</v>
      </c>
      <c r="W31" s="61">
        <f>SUMIFS('2017OT'!$H:$H,'2017OT'!$M:$M,Report!W$4,'2017OT'!$B:$B,Report!$C31)</f>
        <v>0</v>
      </c>
      <c r="X31" s="61">
        <f>SUMIFS('2017OT'!$H:$H,'2017OT'!$M:$M,Report!X$4,'2017OT'!$B:$B,Report!$C31)</f>
        <v>0</v>
      </c>
      <c r="Y31" s="61">
        <f>SUMIFS('2017OT'!$H:$H,'2017OT'!$M:$M,Report!Y$4,'2017OT'!$B:$B,Report!$C31)</f>
        <v>0</v>
      </c>
      <c r="Z31" s="61">
        <f>SUMIFS('2017OT'!$H:$H,'2017OT'!$M:$M,Report!Z$4,'2017OT'!$B:$B,Report!$C31)</f>
        <v>0</v>
      </c>
      <c r="AA31" s="61">
        <f>SUMIFS('2017OT'!$H:$H,'2017OT'!$M:$M,Report!AA$4,'2017OT'!$B:$B,Report!$C31)</f>
        <v>0</v>
      </c>
      <c r="AB31" s="61">
        <f>SUMIFS('2017OT'!$H:$H,'2017OT'!$M:$M,Report!AB$4,'2017OT'!$B:$B,Report!$C31)</f>
        <v>0</v>
      </c>
      <c r="AC31" s="61">
        <f>SUMIFS('2017OT'!$H:$H,'2017OT'!$M:$M,Report!AC$4,'2017OT'!$B:$B,Report!$C31)</f>
        <v>0</v>
      </c>
      <c r="AD31" s="61">
        <f>SUMIFS('2017OT'!$H:$H,'2017OT'!$M:$M,Report!AD$4,'2017OT'!$B:$B,Report!$C31)</f>
        <v>0</v>
      </c>
      <c r="AE31" s="61">
        <f>SUMIFS('2017OT'!$H:$H,'2017OT'!$M:$M,Report!AE$4,'2017OT'!$B:$B,Report!$C31)</f>
        <v>0</v>
      </c>
      <c r="AF31" s="61">
        <f>SUMIFS('2017OT'!$H:$H,'2017OT'!$M:$M,Report!AF$4,'2017OT'!$B:$B,Report!$C31)</f>
        <v>1.9999999999999964</v>
      </c>
      <c r="AG31" s="61">
        <f>SUMIFS('2017OT'!$H:$H,'2017OT'!$M:$M,Report!AG$4,'2017OT'!$B:$B,Report!$C31)</f>
        <v>0</v>
      </c>
      <c r="AH31" s="61">
        <f>SUMIFS('2017OT'!$H:$H,'2017OT'!$M:$M,Report!AH$4,'2017OT'!$B:$B,Report!$C31)</f>
        <v>0</v>
      </c>
      <c r="AJ31" s="61">
        <f>SUMIFS('2017OT'!$H:$H,'2017OT'!$M:$M,Report!AJ$4,'2017OT'!$B:$B,Report!$C31)</f>
        <v>13.999999999999988</v>
      </c>
      <c r="AK31" s="61">
        <f>SUMIFS('2017OT'!$H:$H,'2017OT'!$M:$M,Report!AK$4,'2017OT'!$B:$B,Report!$C31)</f>
        <v>0</v>
      </c>
      <c r="AL31" s="61">
        <f>SUMIFS('2017OT'!$H:$H,'2017OT'!$M:$M,Report!AL$4,'2017OT'!$B:$B,Report!$C31)</f>
        <v>0</v>
      </c>
      <c r="AM31" s="61">
        <f>SUMIFS('2017OT'!$H:$H,'2017OT'!$M:$M,Report!AM$4,'2017OT'!$B:$B,Report!$C31)</f>
        <v>0</v>
      </c>
      <c r="AN31" s="61">
        <f>SUMIFS('2017OT'!$H:$H,'2017OT'!$M:$M,Report!AN$4,'2017OT'!$B:$B,Report!$C31)</f>
        <v>0</v>
      </c>
      <c r="AO31" s="61">
        <f>SUMIFS('2017OT'!$H:$H,'2017OT'!$M:$M,Report!AO$4,'2017OT'!$B:$B,Report!$C31)</f>
        <v>0</v>
      </c>
      <c r="AP31" s="61">
        <f>SUMIFS('2017OT'!$H:$H,'2017OT'!$M:$M,Report!AP$4,'2017OT'!$B:$B,Report!$C31)</f>
        <v>0</v>
      </c>
      <c r="AQ31" s="61">
        <f>SUMIFS('2017OT'!$H:$H,'2017OT'!$M:$M,Report!AQ$4,'2017OT'!$B:$B,Report!$C31)</f>
        <v>0</v>
      </c>
      <c r="AR31" s="61">
        <f>SUMIFS('2017OT'!$H:$H,'2017OT'!$M:$M,Report!AR$4,'2017OT'!$B:$B,Report!$C31)</f>
        <v>0</v>
      </c>
      <c r="AS31" s="61">
        <f>SUMIFS('2017OT'!$H:$H,'2017OT'!$M:$M,Report!AS$4,'2017OT'!$B:$B,Report!$C31)</f>
        <v>0</v>
      </c>
      <c r="AT31" s="61">
        <f>SUMIFS('2017OT'!$H:$H,'2017OT'!$M:$M,Report!AT$4,'2017OT'!$B:$B,Report!$C31)</f>
        <v>0</v>
      </c>
      <c r="AU31" s="61">
        <f>SUMIFS('2017OT'!$H:$H,'2017OT'!$M:$M,Report!AU$4,'2017OT'!$B:$B,Report!$C31)</f>
        <v>0</v>
      </c>
      <c r="AV31" s="61"/>
      <c r="AW31" s="31">
        <f t="shared" si="4"/>
        <v>0</v>
      </c>
      <c r="AX31" s="31" t="str">
        <f>IFERROR(VLOOKUP($C31,#REF!,3,0),"")</f>
        <v/>
      </c>
      <c r="AY31" s="31" t="str">
        <f>IFERROR(VLOOKUP($C31,#REF!,3,0),"")</f>
        <v/>
      </c>
      <c r="AZ31" s="31" t="str">
        <f>IFERROR(VLOOKUP($C31,#REF!,3,0),"")</f>
        <v/>
      </c>
      <c r="BA31" s="31" t="str">
        <f>IFERROR(VLOOKUP($C31,#REF!,3,0),"")</f>
        <v/>
      </c>
      <c r="BB31" s="31" t="str">
        <f>IFERROR(VLOOKUP($C31,#REF!,3,0),"")</f>
        <v/>
      </c>
      <c r="BC31" s="31" t="str">
        <f>IFERROR(VLOOKUP($C31,#REF!,3,0),"")</f>
        <v/>
      </c>
      <c r="BD31" s="31" t="str">
        <f>IFERROR(VLOOKUP($C31,#REF!,3,0),"")</f>
        <v/>
      </c>
      <c r="BE31" s="31" t="str">
        <f>IFERROR(VLOOKUP($C31,#REF!,3,0),"")</f>
        <v/>
      </c>
      <c r="BF31" s="31" t="str">
        <f>IFERROR(VLOOKUP($C31,#REF!,3,0),"")</f>
        <v/>
      </c>
      <c r="BG31" s="31" t="str">
        <f>IFERROR(VLOOKUP($C31,#REF!,3,0),"")</f>
        <v/>
      </c>
      <c r="BH31" s="31" t="str">
        <f>IFERROR(VLOOKUP($C31,#REF!,3,0),"")</f>
        <v/>
      </c>
      <c r="BI31" s="31" t="str">
        <f>IFERROR(VLOOKUP($C31,#REF!,3,0),"")</f>
        <v/>
      </c>
      <c r="BK31" s="31">
        <f t="shared" si="5"/>
        <v>0</v>
      </c>
      <c r="BL31" s="31" t="str">
        <f t="shared" si="6"/>
        <v/>
      </c>
      <c r="BM31" s="31" t="str">
        <f t="shared" si="7"/>
        <v/>
      </c>
      <c r="BN31" s="31" t="str">
        <f t="shared" si="8"/>
        <v/>
      </c>
      <c r="BO31" s="31" t="str">
        <f t="shared" si="9"/>
        <v/>
      </c>
      <c r="BP31" s="31" t="str">
        <f t="shared" si="25"/>
        <v/>
      </c>
      <c r="BQ31" s="31" t="str">
        <f t="shared" si="18"/>
        <v/>
      </c>
      <c r="BR31" s="31" t="str">
        <f t="shared" si="19"/>
        <v/>
      </c>
      <c r="BS31" s="31" t="str">
        <f t="shared" si="20"/>
        <v/>
      </c>
      <c r="BT31" s="31" t="str">
        <f t="shared" si="21"/>
        <v/>
      </c>
      <c r="BU31" s="31" t="str">
        <f t="shared" si="22"/>
        <v/>
      </c>
      <c r="BV31" s="31" t="str">
        <f t="shared" si="23"/>
        <v/>
      </c>
      <c r="BW31" s="31" t="str">
        <f t="shared" si="24"/>
        <v/>
      </c>
    </row>
    <row r="32" spans="1:88" ht="15.75">
      <c r="A32" s="83">
        <v>27</v>
      </c>
      <c r="B32" s="19" t="s">
        <v>11</v>
      </c>
      <c r="C32" s="19" t="s">
        <v>683</v>
      </c>
      <c r="D32" s="19" t="s">
        <v>230</v>
      </c>
      <c r="E32" s="19"/>
      <c r="F32" s="75"/>
      <c r="G32" s="31">
        <f t="shared" si="1"/>
        <v>0</v>
      </c>
      <c r="H32" s="31">
        <f t="shared" si="2"/>
        <v>1.9999999999999964</v>
      </c>
      <c r="I32" s="31">
        <f t="shared" si="3"/>
        <v>5.9999999999999911</v>
      </c>
      <c r="J32" s="61">
        <f>SUMIFS('2017OT'!$H:$H,'2017OT'!$M:$M,Report!J$4,'2017OT'!$B:$B,Report!$C32)</f>
        <v>0</v>
      </c>
      <c r="K32" s="61">
        <f>SUMIFS('2017OT'!$H:$H,'2017OT'!$M:$M,Report!K$4,'2017OT'!$B:$B,Report!$C32)</f>
        <v>0</v>
      </c>
      <c r="L32" s="61">
        <f>SUMIFS('2017OT'!$H:$H,'2017OT'!$M:$M,Report!L$4,'2017OT'!$B:$B,Report!$C32)</f>
        <v>0</v>
      </c>
      <c r="M32" s="61">
        <f>SUMIFS('2017OT'!$H:$H,'2017OT'!$M:$M,Report!M$4,'2017OT'!$B:$B,Report!$C32)</f>
        <v>0</v>
      </c>
      <c r="N32" s="61">
        <f>SUMIFS('2017OT'!$H:$H,'2017OT'!$M:$M,Report!N$4,'2017OT'!$B:$B,Report!$C32)</f>
        <v>0</v>
      </c>
      <c r="O32" s="61">
        <f>SUMIFS('2017OT'!$H:$H,'2017OT'!$M:$M,Report!O$4,'2017OT'!$B:$B,Report!$C32)</f>
        <v>0</v>
      </c>
      <c r="P32" s="61">
        <f>SUMIFS('2017OT'!$H:$H,'2017OT'!$M:$M,Report!P$4,'2017OT'!$B:$B,Report!$C32)</f>
        <v>0</v>
      </c>
      <c r="Q32" s="61">
        <f>SUMIFS('2017OT'!$H:$H,'2017OT'!$M:$M,Report!Q$4,'2017OT'!$B:$B,Report!$C32)</f>
        <v>0</v>
      </c>
      <c r="R32" s="61">
        <f>SUMIFS('2017OT'!$H:$H,'2017OT'!$M:$M,Report!R$4,'2017OT'!$B:$B,Report!$C32)</f>
        <v>0</v>
      </c>
      <c r="S32" s="61">
        <f>SUMIFS('2017OT'!$H:$H,'2017OT'!$M:$M,Report!S$4,'2017OT'!$B:$B,Report!$C32)</f>
        <v>0</v>
      </c>
      <c r="T32" s="61">
        <f>SUMIFS('2017OT'!$H:$H,'2017OT'!$M:$M,Report!T$4,'2017OT'!$B:$B,Report!$C32)</f>
        <v>0</v>
      </c>
      <c r="U32" s="61">
        <f>SUMIFS('2017OT'!$H:$H,'2017OT'!$M:$M,Report!U$4,'2017OT'!$B:$B,Report!$C32)</f>
        <v>0</v>
      </c>
      <c r="W32" s="61">
        <f>SUMIFS('2017OT'!$H:$H,'2017OT'!$M:$M,Report!W$4,'2017OT'!$B:$B,Report!$C32)</f>
        <v>0</v>
      </c>
      <c r="X32" s="61">
        <f>SUMIFS('2017OT'!$H:$H,'2017OT'!$M:$M,Report!X$4,'2017OT'!$B:$B,Report!$C32)</f>
        <v>0</v>
      </c>
      <c r="Y32" s="61">
        <f>SUMIFS('2017OT'!$H:$H,'2017OT'!$M:$M,Report!Y$4,'2017OT'!$B:$B,Report!$C32)</f>
        <v>0</v>
      </c>
      <c r="Z32" s="61">
        <f>SUMIFS('2017OT'!$H:$H,'2017OT'!$M:$M,Report!Z$4,'2017OT'!$B:$B,Report!$C32)</f>
        <v>0</v>
      </c>
      <c r="AA32" s="61">
        <f>SUMIFS('2017OT'!$H:$H,'2017OT'!$M:$M,Report!AA$4,'2017OT'!$B:$B,Report!$C32)</f>
        <v>0</v>
      </c>
      <c r="AB32" s="61">
        <f>SUMIFS('2017OT'!$H:$H,'2017OT'!$M:$M,Report!AB$4,'2017OT'!$B:$B,Report!$C32)</f>
        <v>0</v>
      </c>
      <c r="AC32" s="61">
        <f>SUMIFS('2017OT'!$H:$H,'2017OT'!$M:$M,Report!AC$4,'2017OT'!$B:$B,Report!$C32)</f>
        <v>0</v>
      </c>
      <c r="AD32" s="61">
        <f>SUMIFS('2017OT'!$H:$H,'2017OT'!$M:$M,Report!AD$4,'2017OT'!$B:$B,Report!$C32)</f>
        <v>0</v>
      </c>
      <c r="AE32" s="61">
        <f>SUMIFS('2017OT'!$H:$H,'2017OT'!$M:$M,Report!AE$4,'2017OT'!$B:$B,Report!$C32)</f>
        <v>0</v>
      </c>
      <c r="AF32" s="61">
        <f>SUMIFS('2017OT'!$H:$H,'2017OT'!$M:$M,Report!AF$4,'2017OT'!$B:$B,Report!$C32)</f>
        <v>1.9999999999999964</v>
      </c>
      <c r="AG32" s="61">
        <f>SUMIFS('2017OT'!$H:$H,'2017OT'!$M:$M,Report!AG$4,'2017OT'!$B:$B,Report!$C32)</f>
        <v>0</v>
      </c>
      <c r="AH32" s="61">
        <f>SUMIFS('2017OT'!$H:$H,'2017OT'!$M:$M,Report!AH$4,'2017OT'!$B:$B,Report!$C32)</f>
        <v>0</v>
      </c>
      <c r="AJ32" s="61">
        <f>SUMIFS('2017OT'!$H:$H,'2017OT'!$M:$M,Report!AJ$4,'2017OT'!$B:$B,Report!$C32)</f>
        <v>5.9999999999999911</v>
      </c>
      <c r="AK32" s="61">
        <f>SUMIFS('2017OT'!$H:$H,'2017OT'!$M:$M,Report!AK$4,'2017OT'!$B:$B,Report!$C32)</f>
        <v>0</v>
      </c>
      <c r="AL32" s="61">
        <f>SUMIFS('2017OT'!$H:$H,'2017OT'!$M:$M,Report!AL$4,'2017OT'!$B:$B,Report!$C32)</f>
        <v>0</v>
      </c>
      <c r="AM32" s="61">
        <f>SUMIFS('2017OT'!$H:$H,'2017OT'!$M:$M,Report!AM$4,'2017OT'!$B:$B,Report!$C32)</f>
        <v>0</v>
      </c>
      <c r="AN32" s="61">
        <f>SUMIFS('2017OT'!$H:$H,'2017OT'!$M:$M,Report!AN$4,'2017OT'!$B:$B,Report!$C32)</f>
        <v>0</v>
      </c>
      <c r="AO32" s="61">
        <f>SUMIFS('2017OT'!$H:$H,'2017OT'!$M:$M,Report!AO$4,'2017OT'!$B:$B,Report!$C32)</f>
        <v>0</v>
      </c>
      <c r="AP32" s="61">
        <f>SUMIFS('2017OT'!$H:$H,'2017OT'!$M:$M,Report!AP$4,'2017OT'!$B:$B,Report!$C32)</f>
        <v>0</v>
      </c>
      <c r="AQ32" s="61">
        <f>SUMIFS('2017OT'!$H:$H,'2017OT'!$M:$M,Report!AQ$4,'2017OT'!$B:$B,Report!$C32)</f>
        <v>0</v>
      </c>
      <c r="AR32" s="61">
        <f>SUMIFS('2017OT'!$H:$H,'2017OT'!$M:$M,Report!AR$4,'2017OT'!$B:$B,Report!$C32)</f>
        <v>0</v>
      </c>
      <c r="AS32" s="61">
        <f>SUMIFS('2017OT'!$H:$H,'2017OT'!$M:$M,Report!AS$4,'2017OT'!$B:$B,Report!$C32)</f>
        <v>0</v>
      </c>
      <c r="AT32" s="61">
        <f>SUMIFS('2017OT'!$H:$H,'2017OT'!$M:$M,Report!AT$4,'2017OT'!$B:$B,Report!$C32)</f>
        <v>0</v>
      </c>
      <c r="AU32" s="61">
        <f>SUMIFS('2017OT'!$H:$H,'2017OT'!$M:$M,Report!AU$4,'2017OT'!$B:$B,Report!$C32)</f>
        <v>0</v>
      </c>
      <c r="AV32" s="61"/>
      <c r="AW32" s="31">
        <f t="shared" si="4"/>
        <v>0</v>
      </c>
      <c r="AX32" s="31" t="str">
        <f>IFERROR(VLOOKUP($C32,#REF!,3,0),"")</f>
        <v/>
      </c>
      <c r="AY32" s="31" t="str">
        <f>IFERROR(VLOOKUP($C32,#REF!,3,0),"")</f>
        <v/>
      </c>
      <c r="AZ32" s="31" t="str">
        <f>IFERROR(VLOOKUP($C32,#REF!,3,0),"")</f>
        <v/>
      </c>
      <c r="BA32" s="31" t="str">
        <f>IFERROR(VLOOKUP($C32,#REF!,3,0),"")</f>
        <v/>
      </c>
      <c r="BB32" s="31" t="str">
        <f>IFERROR(VLOOKUP($C32,#REF!,3,0),"")</f>
        <v/>
      </c>
      <c r="BC32" s="31" t="str">
        <f>IFERROR(VLOOKUP($C32,#REF!,3,0),"")</f>
        <v/>
      </c>
      <c r="BD32" s="31" t="str">
        <f>IFERROR(VLOOKUP($C32,#REF!,3,0),"")</f>
        <v/>
      </c>
      <c r="BE32" s="31" t="str">
        <f>IFERROR(VLOOKUP($C32,#REF!,3,0),"")</f>
        <v/>
      </c>
      <c r="BF32" s="31" t="str">
        <f>IFERROR(VLOOKUP($C32,#REF!,3,0),"")</f>
        <v/>
      </c>
      <c r="BG32" s="31" t="str">
        <f>IFERROR(VLOOKUP($C32,#REF!,3,0),"")</f>
        <v/>
      </c>
      <c r="BH32" s="31" t="str">
        <f>IFERROR(VLOOKUP($C32,#REF!,3,0),"")</f>
        <v/>
      </c>
      <c r="BI32" s="31" t="str">
        <f>IFERROR(VLOOKUP($C32,#REF!,3,0),"")</f>
        <v/>
      </c>
      <c r="BK32" s="31">
        <f t="shared" si="5"/>
        <v>0</v>
      </c>
      <c r="BL32" s="31" t="str">
        <f t="shared" si="6"/>
        <v/>
      </c>
      <c r="BM32" s="31" t="str">
        <f t="shared" si="7"/>
        <v/>
      </c>
      <c r="BN32" s="31" t="str">
        <f t="shared" si="8"/>
        <v/>
      </c>
      <c r="BO32" s="31" t="str">
        <f t="shared" si="9"/>
        <v/>
      </c>
      <c r="BP32" s="31" t="str">
        <f t="shared" si="25"/>
        <v/>
      </c>
      <c r="BQ32" s="31" t="str">
        <f t="shared" si="18"/>
        <v/>
      </c>
      <c r="BR32" s="31" t="str">
        <f t="shared" si="19"/>
        <v/>
      </c>
      <c r="BS32" s="31" t="str">
        <f t="shared" si="20"/>
        <v/>
      </c>
      <c r="BT32" s="31" t="str">
        <f t="shared" si="21"/>
        <v/>
      </c>
      <c r="BU32" s="31" t="str">
        <f t="shared" si="22"/>
        <v/>
      </c>
      <c r="BV32" s="31" t="str">
        <f t="shared" si="23"/>
        <v/>
      </c>
      <c r="BW32" s="31" t="str">
        <f t="shared" si="24"/>
        <v/>
      </c>
    </row>
    <row r="33" spans="1:88" ht="15" customHeight="1">
      <c r="A33" s="83">
        <v>28</v>
      </c>
      <c r="B33" s="19" t="s">
        <v>22</v>
      </c>
      <c r="C33" s="19" t="s">
        <v>23</v>
      </c>
      <c r="D33" s="19" t="s">
        <v>230</v>
      </c>
      <c r="E33" s="19"/>
      <c r="F33" s="80">
        <v>43175</v>
      </c>
      <c r="G33" s="31">
        <f t="shared" si="1"/>
        <v>2529.25</v>
      </c>
      <c r="H33" s="31">
        <f t="shared" si="2"/>
        <v>1815.75</v>
      </c>
      <c r="I33" s="31">
        <f t="shared" si="3"/>
        <v>0</v>
      </c>
      <c r="J33" s="61">
        <f>SUMIFS('2017OT'!$H:$H,'2017OT'!$M:$M,Report!J$4,'2017OT'!$B:$B,Report!$C33)</f>
        <v>181.5</v>
      </c>
      <c r="K33" s="61">
        <f>SUMIFS('2017OT'!$H:$H,'2017OT'!$M:$M,Report!K$4,'2017OT'!$B:$B,Report!$C33)</f>
        <v>171.49999999999994</v>
      </c>
      <c r="L33" s="61">
        <f>SUMIFS('2017OT'!$H:$H,'2017OT'!$M:$M,Report!L$4,'2017OT'!$B:$B,Report!$C33)</f>
        <v>225.49999999999994</v>
      </c>
      <c r="M33" s="61">
        <f>SUMIFS('2017OT'!$H:$H,'2017OT'!$M:$M,Report!M$4,'2017OT'!$B:$B,Report!$C33)</f>
        <v>233.24999999999994</v>
      </c>
      <c r="N33" s="61">
        <f>SUMIFS('2017OT'!$H:$H,'2017OT'!$M:$M,Report!N$4,'2017OT'!$B:$B,Report!$C33)</f>
        <v>197</v>
      </c>
      <c r="O33" s="61">
        <f>SUMIFS('2017OT'!$H:$H,'2017OT'!$M:$M,Report!O$4,'2017OT'!$B:$B,Report!$C33)</f>
        <v>199.25</v>
      </c>
      <c r="P33" s="61">
        <f>SUMIFS('2017OT'!$H:$H,'2017OT'!$M:$M,Report!P$4,'2017OT'!$B:$B,Report!$C33)</f>
        <v>243.25</v>
      </c>
      <c r="Q33" s="61">
        <f>SUMIFS('2017OT'!$H:$H,'2017OT'!$M:$M,Report!Q$4,'2017OT'!$B:$B,Report!$C33)</f>
        <v>186</v>
      </c>
      <c r="R33" s="61">
        <f>SUMIFS('2017OT'!$H:$H,'2017OT'!$M:$M,Report!R$4,'2017OT'!$B:$B,Report!$C33)</f>
        <v>212.49999999999997</v>
      </c>
      <c r="S33" s="61">
        <f>SUMIFS('2017OT'!$H:$H,'2017OT'!$M:$M,Report!S$4,'2017OT'!$B:$B,Report!$C33)</f>
        <v>236.25</v>
      </c>
      <c r="T33" s="61">
        <f>SUMIFS('2017OT'!$H:$H,'2017OT'!$M:$M,Report!T$4,'2017OT'!$B:$B,Report!$C33)</f>
        <v>212.24999999999994</v>
      </c>
      <c r="U33" s="61">
        <f>SUMIFS('2017OT'!$H:$H,'2017OT'!$M:$M,Report!U$4,'2017OT'!$B:$B,Report!$C33)</f>
        <v>230.99999999999994</v>
      </c>
      <c r="V33" s="27"/>
      <c r="W33" s="61">
        <f>SUMIFS('2017OT'!$H:$H,'2017OT'!$M:$M,Report!W$4,'2017OT'!$B:$B,Report!$C33)</f>
        <v>193</v>
      </c>
      <c r="X33" s="61">
        <f>SUMIFS('2017OT'!$H:$H,'2017OT'!$M:$M,Report!X$4,'2017OT'!$B:$B,Report!$C33)</f>
        <v>138.24999999999997</v>
      </c>
      <c r="Y33" s="61">
        <f>SUMIFS('2017OT'!$H:$H,'2017OT'!$M:$M,Report!Y$4,'2017OT'!$B:$B,Report!$C33)</f>
        <v>246</v>
      </c>
      <c r="Z33" s="61">
        <f>SUMIFS('2017OT'!$H:$H,'2017OT'!$M:$M,Report!Z$4,'2017OT'!$B:$B,Report!$C33)</f>
        <v>211.25000000000009</v>
      </c>
      <c r="AA33" s="61">
        <f>SUMIFS('2017OT'!$H:$H,'2017OT'!$M:$M,Report!AA$4,'2017OT'!$B:$B,Report!$C33)</f>
        <v>212.5</v>
      </c>
      <c r="AB33" s="61">
        <f>SUMIFS('2017OT'!$H:$H,'2017OT'!$M:$M,Report!AB$4,'2017OT'!$B:$B,Report!$C33)</f>
        <v>245</v>
      </c>
      <c r="AC33" s="61">
        <f>SUMIFS('2017OT'!$H:$H,'2017OT'!$M:$M,Report!AC$4,'2017OT'!$B:$B,Report!$C33)</f>
        <v>193.74999999999997</v>
      </c>
      <c r="AD33" s="61">
        <f>SUMIFS('2017OT'!$H:$H,'2017OT'!$M:$M,Report!AD$4,'2017OT'!$B:$B,Report!$C33)</f>
        <v>183.99999999999997</v>
      </c>
      <c r="AE33" s="61">
        <f>SUMIFS('2017OT'!$H:$H,'2017OT'!$M:$M,Report!AE$4,'2017OT'!$B:$B,Report!$C33)</f>
        <v>151.99999999999997</v>
      </c>
      <c r="AF33" s="61">
        <f>SUMIFS('2017OT'!$H:$H,'2017OT'!$M:$M,Report!AF$4,'2017OT'!$B:$B,Report!$C33)</f>
        <v>39.999999999999993</v>
      </c>
      <c r="AG33" s="61">
        <f>SUMIFS('2017OT'!$H:$H,'2017OT'!$M:$M,Report!AG$4,'2017OT'!$B:$B,Report!$C33)</f>
        <v>0</v>
      </c>
      <c r="AH33" s="61">
        <f>SUMIFS('2017OT'!$H:$H,'2017OT'!$M:$M,Report!AH$4,'2017OT'!$B:$B,Report!$C33)</f>
        <v>0</v>
      </c>
      <c r="AI33" s="27"/>
      <c r="AJ33" s="61">
        <f>SUMIFS('2017OT'!$H:$H,'2017OT'!$M:$M,Report!AJ$4,'2017OT'!$B:$B,Report!$C33)</f>
        <v>0</v>
      </c>
      <c r="AK33" s="61">
        <f>SUMIFS('2017OT'!$H:$H,'2017OT'!$M:$M,Report!AK$4,'2017OT'!$B:$B,Report!$C33)</f>
        <v>0</v>
      </c>
      <c r="AL33" s="61">
        <f>SUMIFS('2017OT'!$H:$H,'2017OT'!$M:$M,Report!AL$4,'2017OT'!$B:$B,Report!$C33)</f>
        <v>0</v>
      </c>
      <c r="AM33" s="61">
        <f>SUMIFS('2017OT'!$H:$H,'2017OT'!$M:$M,Report!AM$4,'2017OT'!$B:$B,Report!$C33)</f>
        <v>0</v>
      </c>
      <c r="AN33" s="61">
        <f>SUMIFS('2017OT'!$H:$H,'2017OT'!$M:$M,Report!AN$4,'2017OT'!$B:$B,Report!$C33)</f>
        <v>0</v>
      </c>
      <c r="AO33" s="61">
        <f>SUMIFS('2017OT'!$H:$H,'2017OT'!$M:$M,Report!AO$4,'2017OT'!$B:$B,Report!$C33)</f>
        <v>0</v>
      </c>
      <c r="AP33" s="61">
        <f>SUMIFS('2017OT'!$H:$H,'2017OT'!$M:$M,Report!AP$4,'2017OT'!$B:$B,Report!$C33)</f>
        <v>0</v>
      </c>
      <c r="AQ33" s="61">
        <f>SUMIFS('2017OT'!$H:$H,'2017OT'!$M:$M,Report!AQ$4,'2017OT'!$B:$B,Report!$C33)</f>
        <v>0</v>
      </c>
      <c r="AR33" s="61">
        <f>SUMIFS('2017OT'!$H:$H,'2017OT'!$M:$M,Report!AR$4,'2017OT'!$B:$B,Report!$C33)</f>
        <v>0</v>
      </c>
      <c r="AS33" s="61">
        <f>SUMIFS('2017OT'!$H:$H,'2017OT'!$M:$M,Report!AS$4,'2017OT'!$B:$B,Report!$C33)</f>
        <v>0</v>
      </c>
      <c r="AT33" s="61">
        <f>SUMIFS('2017OT'!$H:$H,'2017OT'!$M:$M,Report!AT$4,'2017OT'!$B:$B,Report!$C33)</f>
        <v>0</v>
      </c>
      <c r="AU33" s="61">
        <f>SUMIFS('2017OT'!$H:$H,'2017OT'!$M:$M,Report!AU$4,'2017OT'!$B:$B,Report!$C33)</f>
        <v>0</v>
      </c>
      <c r="AV33" s="61"/>
      <c r="AW33" s="31">
        <f t="shared" si="4"/>
        <v>0</v>
      </c>
      <c r="AX33" s="31" t="str">
        <f>IFERROR(VLOOKUP($C33,#REF!,3,0),"")</f>
        <v/>
      </c>
      <c r="AY33" s="31" t="str">
        <f>IFERROR(VLOOKUP($C33,#REF!,3,0),"")</f>
        <v/>
      </c>
      <c r="AZ33" s="31" t="str">
        <f>IFERROR(VLOOKUP($C33,#REF!,3,0),"")</f>
        <v/>
      </c>
      <c r="BA33" s="31" t="str">
        <f>IFERROR(VLOOKUP($C33,#REF!,3,0),"")</f>
        <v/>
      </c>
      <c r="BB33" s="31" t="str">
        <f>IFERROR(VLOOKUP($C33,#REF!,3,0),"")</f>
        <v/>
      </c>
      <c r="BC33" s="31" t="str">
        <f>IFERROR(VLOOKUP($C33,#REF!,3,0),"")</f>
        <v/>
      </c>
      <c r="BD33" s="31" t="str">
        <f>IFERROR(VLOOKUP($C33,#REF!,3,0),"")</f>
        <v/>
      </c>
      <c r="BE33" s="31" t="str">
        <f>IFERROR(VLOOKUP($C33,#REF!,3,0),"")</f>
        <v/>
      </c>
      <c r="BF33" s="31" t="str">
        <f>IFERROR(VLOOKUP($C33,#REF!,3,0),"")</f>
        <v/>
      </c>
      <c r="BG33" s="31" t="str">
        <f>IFERROR(VLOOKUP($C33,#REF!,3,0),"")</f>
        <v/>
      </c>
      <c r="BH33" s="31" t="str">
        <f>IFERROR(VLOOKUP($C33,#REF!,3,0),"")</f>
        <v/>
      </c>
      <c r="BI33" s="31" t="str">
        <f>IFERROR(VLOOKUP($C33,#REF!,3,0),"")</f>
        <v/>
      </c>
      <c r="BJ33" s="27"/>
      <c r="BK33" s="31">
        <f t="shared" si="5"/>
        <v>0</v>
      </c>
      <c r="BL33" s="31" t="str">
        <f t="shared" si="6"/>
        <v/>
      </c>
      <c r="BM33" s="31" t="str">
        <f t="shared" si="7"/>
        <v/>
      </c>
      <c r="BN33" s="31" t="str">
        <f t="shared" si="8"/>
        <v/>
      </c>
      <c r="BO33" s="31" t="str">
        <f t="shared" si="9"/>
        <v/>
      </c>
      <c r="BP33" s="31" t="str">
        <f t="shared" si="25"/>
        <v/>
      </c>
      <c r="BQ33" s="31" t="str">
        <f t="shared" si="18"/>
        <v/>
      </c>
      <c r="BR33" s="31" t="str">
        <f t="shared" si="19"/>
        <v/>
      </c>
      <c r="BS33" s="31" t="str">
        <f t="shared" si="20"/>
        <v/>
      </c>
      <c r="BT33" s="31" t="str">
        <f t="shared" si="21"/>
        <v/>
      </c>
      <c r="BU33" s="31" t="str">
        <f t="shared" si="22"/>
        <v/>
      </c>
      <c r="BV33" s="31" t="str">
        <f t="shared" si="23"/>
        <v/>
      </c>
      <c r="BW33" s="31" t="str">
        <f t="shared" si="24"/>
        <v/>
      </c>
    </row>
    <row r="34" spans="1:88" ht="15" customHeight="1">
      <c r="A34" s="83">
        <v>29</v>
      </c>
      <c r="B34" s="19" t="s">
        <v>22</v>
      </c>
      <c r="C34" s="19" t="s">
        <v>27</v>
      </c>
      <c r="D34" s="19" t="s">
        <v>230</v>
      </c>
      <c r="E34" s="19"/>
      <c r="F34" s="80">
        <v>43175</v>
      </c>
      <c r="G34" s="31">
        <f t="shared" si="1"/>
        <v>174.25</v>
      </c>
      <c r="H34" s="31">
        <f t="shared" si="2"/>
        <v>425.00000000000011</v>
      </c>
      <c r="I34" s="31">
        <f t="shared" si="3"/>
        <v>43</v>
      </c>
      <c r="J34" s="61">
        <f>SUMIFS('2017OT'!$H:$H,'2017OT'!$M:$M,Report!J$4,'2017OT'!$B:$B,Report!$C34)</f>
        <v>10.5</v>
      </c>
      <c r="K34" s="61">
        <f>SUMIFS('2017OT'!$H:$H,'2017OT'!$M:$M,Report!K$4,'2017OT'!$B:$B,Report!$C34)</f>
        <v>31.499999999999986</v>
      </c>
      <c r="L34" s="61">
        <f>SUMIFS('2017OT'!$H:$H,'2017OT'!$M:$M,Report!L$4,'2017OT'!$B:$B,Report!$C34)</f>
        <v>33.999999999999993</v>
      </c>
      <c r="M34" s="61">
        <f>SUMIFS('2017OT'!$H:$H,'2017OT'!$M:$M,Report!M$4,'2017OT'!$B:$B,Report!$C34)</f>
        <v>16.499999999999986</v>
      </c>
      <c r="N34" s="61">
        <f>SUMIFS('2017OT'!$H:$H,'2017OT'!$M:$M,Report!N$4,'2017OT'!$B:$B,Report!$C34)</f>
        <v>10.000000000000007</v>
      </c>
      <c r="O34" s="61">
        <f>SUMIFS('2017OT'!$H:$H,'2017OT'!$M:$M,Report!O$4,'2017OT'!$B:$B,Report!$C34)</f>
        <v>0</v>
      </c>
      <c r="P34" s="61">
        <f>SUMIFS('2017OT'!$H:$H,'2017OT'!$M:$M,Report!P$4,'2017OT'!$B:$B,Report!$C34)</f>
        <v>0</v>
      </c>
      <c r="Q34" s="61">
        <f>SUMIFS('2017OT'!$H:$H,'2017OT'!$M:$M,Report!Q$4,'2017OT'!$B:$B,Report!$C34)</f>
        <v>0</v>
      </c>
      <c r="R34" s="61">
        <f>SUMIFS('2017OT'!$H:$H,'2017OT'!$M:$M,Report!R$4,'2017OT'!$B:$B,Report!$C34)</f>
        <v>7.25</v>
      </c>
      <c r="S34" s="61">
        <f>SUMIFS('2017OT'!$H:$H,'2017OT'!$M:$M,Report!S$4,'2017OT'!$B:$B,Report!$C34)</f>
        <v>16.500000000000014</v>
      </c>
      <c r="T34" s="61">
        <f>SUMIFS('2017OT'!$H:$H,'2017OT'!$M:$M,Report!T$4,'2017OT'!$B:$B,Report!$C34)</f>
        <v>0</v>
      </c>
      <c r="U34" s="61">
        <f>SUMIFS('2017OT'!$H:$H,'2017OT'!$M:$M,Report!U$4,'2017OT'!$B:$B,Report!$C34)</f>
        <v>48</v>
      </c>
      <c r="W34" s="61">
        <f>SUMIFS('2017OT'!$H:$H,'2017OT'!$M:$M,Report!W$4,'2017OT'!$B:$B,Report!$C34)</f>
        <v>48.500000000000007</v>
      </c>
      <c r="X34" s="61">
        <f>SUMIFS('2017OT'!$H:$H,'2017OT'!$M:$M,Report!X$4,'2017OT'!$B:$B,Report!$C34)</f>
        <v>23.000000000000028</v>
      </c>
      <c r="Y34" s="61">
        <f>SUMIFS('2017OT'!$H:$H,'2017OT'!$M:$M,Report!Y$4,'2017OT'!$B:$B,Report!$C34)</f>
        <v>145.5</v>
      </c>
      <c r="Z34" s="61">
        <f>SUMIFS('2017OT'!$H:$H,'2017OT'!$M:$M,Report!Z$4,'2017OT'!$B:$B,Report!$C34)</f>
        <v>112.00000000000006</v>
      </c>
      <c r="AA34" s="61">
        <f>SUMIFS('2017OT'!$H:$H,'2017OT'!$M:$M,Report!AA$4,'2017OT'!$B:$B,Report!$C34)</f>
        <v>32.000000000000021</v>
      </c>
      <c r="AB34" s="61">
        <f>SUMIFS('2017OT'!$H:$H,'2017OT'!$M:$M,Report!AB$4,'2017OT'!$B:$B,Report!$C34)</f>
        <v>0</v>
      </c>
      <c r="AC34" s="61">
        <f>SUMIFS('2017OT'!$H:$H,'2017OT'!$M:$M,Report!AC$4,'2017OT'!$B:$B,Report!$C34)</f>
        <v>0</v>
      </c>
      <c r="AD34" s="61">
        <f>SUMIFS('2017OT'!$H:$H,'2017OT'!$M:$M,Report!AD$4,'2017OT'!$B:$B,Report!$C34)</f>
        <v>0</v>
      </c>
      <c r="AE34" s="61">
        <f>SUMIFS('2017OT'!$H:$H,'2017OT'!$M:$M,Report!AE$4,'2017OT'!$B:$B,Report!$C34)</f>
        <v>0</v>
      </c>
      <c r="AF34" s="61">
        <f>SUMIFS('2017OT'!$H:$H,'2017OT'!$M:$M,Report!AF$4,'2017OT'!$B:$B,Report!$C34)</f>
        <v>7.9999999999999982</v>
      </c>
      <c r="AG34" s="61">
        <f>SUMIFS('2017OT'!$H:$H,'2017OT'!$M:$M,Report!AG$4,'2017OT'!$B:$B,Report!$C34)</f>
        <v>23.999999999999993</v>
      </c>
      <c r="AH34" s="61">
        <f>SUMIFS('2017OT'!$H:$H,'2017OT'!$M:$M,Report!AH$4,'2017OT'!$B:$B,Report!$C34)</f>
        <v>31.999999999999993</v>
      </c>
      <c r="AJ34" s="61">
        <f>SUMIFS('2017OT'!$H:$H,'2017OT'!$M:$M,Report!AJ$4,'2017OT'!$B:$B,Report!$C34)</f>
        <v>23</v>
      </c>
      <c r="AK34" s="61">
        <f>SUMIFS('2017OT'!$H:$H,'2017OT'!$M:$M,Report!AK$4,'2017OT'!$B:$B,Report!$C34)</f>
        <v>20</v>
      </c>
      <c r="AL34" s="61">
        <f>SUMIFS('2017OT'!$H:$H,'2017OT'!$M:$M,Report!AL$4,'2017OT'!$B:$B,Report!$C34)</f>
        <v>0</v>
      </c>
      <c r="AM34" s="61">
        <f>SUMIFS('2017OT'!$H:$H,'2017OT'!$M:$M,Report!AM$4,'2017OT'!$B:$B,Report!$C34)</f>
        <v>0</v>
      </c>
      <c r="AN34" s="61">
        <f>SUMIFS('2017OT'!$H:$H,'2017OT'!$M:$M,Report!AN$4,'2017OT'!$B:$B,Report!$C34)</f>
        <v>0</v>
      </c>
      <c r="AO34" s="61">
        <f>SUMIFS('2017OT'!$H:$H,'2017OT'!$M:$M,Report!AO$4,'2017OT'!$B:$B,Report!$C34)</f>
        <v>0</v>
      </c>
      <c r="AP34" s="61">
        <f>SUMIFS('2017OT'!$H:$H,'2017OT'!$M:$M,Report!AP$4,'2017OT'!$B:$B,Report!$C34)</f>
        <v>0</v>
      </c>
      <c r="AQ34" s="61">
        <f>SUMIFS('2017OT'!$H:$H,'2017OT'!$M:$M,Report!AQ$4,'2017OT'!$B:$B,Report!$C34)</f>
        <v>0</v>
      </c>
      <c r="AR34" s="61">
        <f>SUMIFS('2017OT'!$H:$H,'2017OT'!$M:$M,Report!AR$4,'2017OT'!$B:$B,Report!$C34)</f>
        <v>0</v>
      </c>
      <c r="AS34" s="61">
        <f>SUMIFS('2017OT'!$H:$H,'2017OT'!$M:$M,Report!AS$4,'2017OT'!$B:$B,Report!$C34)</f>
        <v>0</v>
      </c>
      <c r="AT34" s="61">
        <f>SUMIFS('2017OT'!$H:$H,'2017OT'!$M:$M,Report!AT$4,'2017OT'!$B:$B,Report!$C34)</f>
        <v>0</v>
      </c>
      <c r="AU34" s="61">
        <f>SUMIFS('2017OT'!$H:$H,'2017OT'!$M:$M,Report!AU$4,'2017OT'!$B:$B,Report!$C34)</f>
        <v>0</v>
      </c>
      <c r="AV34" s="61"/>
      <c r="AW34" s="31">
        <f t="shared" si="4"/>
        <v>0</v>
      </c>
      <c r="AX34" s="31" t="str">
        <f>IFERROR(VLOOKUP($C34,#REF!,3,0),"")</f>
        <v/>
      </c>
      <c r="AY34" s="31" t="str">
        <f>IFERROR(VLOOKUP($C34,#REF!,3,0),"")</f>
        <v/>
      </c>
      <c r="AZ34" s="31" t="str">
        <f>IFERROR(VLOOKUP($C34,#REF!,3,0),"")</f>
        <v/>
      </c>
      <c r="BA34" s="31" t="str">
        <f>IFERROR(VLOOKUP($C34,#REF!,3,0),"")</f>
        <v/>
      </c>
      <c r="BB34" s="31" t="str">
        <f>IFERROR(VLOOKUP($C34,#REF!,3,0),"")</f>
        <v/>
      </c>
      <c r="BC34" s="31" t="str">
        <f>IFERROR(VLOOKUP($C34,#REF!,3,0),"")</f>
        <v/>
      </c>
      <c r="BD34" s="31" t="str">
        <f>IFERROR(VLOOKUP($C34,#REF!,3,0),"")</f>
        <v/>
      </c>
      <c r="BE34" s="31" t="str">
        <f>IFERROR(VLOOKUP($C34,#REF!,3,0),"")</f>
        <v/>
      </c>
      <c r="BF34" s="31" t="str">
        <f>IFERROR(VLOOKUP($C34,#REF!,3,0),"")</f>
        <v/>
      </c>
      <c r="BG34" s="31" t="str">
        <f>IFERROR(VLOOKUP($C34,#REF!,3,0),"")</f>
        <v/>
      </c>
      <c r="BH34" s="31" t="str">
        <f>IFERROR(VLOOKUP($C34,#REF!,3,0),"")</f>
        <v/>
      </c>
      <c r="BI34" s="31" t="str">
        <f>IFERROR(VLOOKUP($C34,#REF!,3,0),"")</f>
        <v/>
      </c>
      <c r="BK34" s="31">
        <f t="shared" si="5"/>
        <v>0</v>
      </c>
      <c r="BL34" s="31" t="str">
        <f t="shared" si="6"/>
        <v/>
      </c>
      <c r="BM34" s="31" t="str">
        <f t="shared" si="7"/>
        <v/>
      </c>
      <c r="BN34" s="31" t="str">
        <f t="shared" si="8"/>
        <v/>
      </c>
      <c r="BO34" s="31" t="str">
        <f t="shared" si="9"/>
        <v/>
      </c>
      <c r="BP34" s="31" t="str">
        <f t="shared" si="25"/>
        <v/>
      </c>
      <c r="BQ34" s="31" t="str">
        <f t="shared" si="18"/>
        <v/>
      </c>
      <c r="BR34" s="31" t="str">
        <f t="shared" si="19"/>
        <v/>
      </c>
      <c r="BS34" s="31" t="str">
        <f t="shared" si="20"/>
        <v/>
      </c>
      <c r="BT34" s="31" t="str">
        <f t="shared" si="21"/>
        <v/>
      </c>
      <c r="BU34" s="31" t="str">
        <f t="shared" si="22"/>
        <v/>
      </c>
      <c r="BV34" s="31" t="str">
        <f t="shared" si="23"/>
        <v/>
      </c>
      <c r="BW34" s="31" t="str">
        <f t="shared" si="24"/>
        <v/>
      </c>
    </row>
    <row r="35" spans="1:88" ht="15" customHeight="1">
      <c r="A35" s="83">
        <v>30</v>
      </c>
      <c r="B35" s="19" t="s">
        <v>22</v>
      </c>
      <c r="C35" s="19" t="s">
        <v>28</v>
      </c>
      <c r="D35" s="19" t="s">
        <v>230</v>
      </c>
      <c r="E35" s="19"/>
      <c r="F35" s="80">
        <v>43175</v>
      </c>
      <c r="G35" s="31">
        <f t="shared" si="1"/>
        <v>226.99999999999994</v>
      </c>
      <c r="H35" s="31">
        <f t="shared" si="2"/>
        <v>0</v>
      </c>
      <c r="I35" s="31">
        <f t="shared" si="3"/>
        <v>0</v>
      </c>
      <c r="J35" s="61">
        <f>SUMIFS('2017OT'!$H:$H,'2017OT'!$M:$M,Report!J$4,'2017OT'!$B:$B,Report!$C35)</f>
        <v>65.5</v>
      </c>
      <c r="K35" s="61">
        <f>SUMIFS('2017OT'!$H:$H,'2017OT'!$M:$M,Report!K$4,'2017OT'!$B:$B,Report!$C35)</f>
        <v>124.99999999999996</v>
      </c>
      <c r="L35" s="61">
        <f>SUMIFS('2017OT'!$H:$H,'2017OT'!$M:$M,Report!L$4,'2017OT'!$B:$B,Report!$C35)</f>
        <v>36.500000000000014</v>
      </c>
      <c r="M35" s="61">
        <f>SUMIFS('2017OT'!$H:$H,'2017OT'!$M:$M,Report!M$4,'2017OT'!$B:$B,Report!$C35)</f>
        <v>0</v>
      </c>
      <c r="N35" s="61">
        <f>SUMIFS('2017OT'!$H:$H,'2017OT'!$M:$M,Report!N$4,'2017OT'!$B:$B,Report!$C35)</f>
        <v>0</v>
      </c>
      <c r="O35" s="61">
        <f>SUMIFS('2017OT'!$H:$H,'2017OT'!$M:$M,Report!O$4,'2017OT'!$B:$B,Report!$C35)</f>
        <v>0</v>
      </c>
      <c r="P35" s="61">
        <f>SUMIFS('2017OT'!$H:$H,'2017OT'!$M:$M,Report!P$4,'2017OT'!$B:$B,Report!$C35)</f>
        <v>0</v>
      </c>
      <c r="Q35" s="61">
        <f>SUMIFS('2017OT'!$H:$H,'2017OT'!$M:$M,Report!Q$4,'2017OT'!$B:$B,Report!$C35)</f>
        <v>0</v>
      </c>
      <c r="R35" s="61">
        <f>SUMIFS('2017OT'!$H:$H,'2017OT'!$M:$M,Report!R$4,'2017OT'!$B:$B,Report!$C35)</f>
        <v>0</v>
      </c>
      <c r="S35" s="61">
        <f>SUMIFS('2017OT'!$H:$H,'2017OT'!$M:$M,Report!S$4,'2017OT'!$B:$B,Report!$C35)</f>
        <v>0</v>
      </c>
      <c r="T35" s="61">
        <f>SUMIFS('2017OT'!$H:$H,'2017OT'!$M:$M,Report!T$4,'2017OT'!$B:$B,Report!$C35)</f>
        <v>0</v>
      </c>
      <c r="U35" s="61">
        <f>SUMIFS('2017OT'!$H:$H,'2017OT'!$M:$M,Report!U$4,'2017OT'!$B:$B,Report!$C35)</f>
        <v>0</v>
      </c>
      <c r="W35" s="61">
        <f>SUMIFS('2017OT'!$H:$H,'2017OT'!$M:$M,Report!W$4,'2017OT'!$B:$B,Report!$C35)</f>
        <v>0</v>
      </c>
      <c r="X35" s="61">
        <f>SUMIFS('2017OT'!$H:$H,'2017OT'!$M:$M,Report!X$4,'2017OT'!$B:$B,Report!$C35)</f>
        <v>0</v>
      </c>
      <c r="Y35" s="61">
        <f>SUMIFS('2017OT'!$H:$H,'2017OT'!$M:$M,Report!Y$4,'2017OT'!$B:$B,Report!$C35)</f>
        <v>0</v>
      </c>
      <c r="Z35" s="61">
        <f>SUMIFS('2017OT'!$H:$H,'2017OT'!$M:$M,Report!Z$4,'2017OT'!$B:$B,Report!$C35)</f>
        <v>0</v>
      </c>
      <c r="AA35" s="61">
        <f>SUMIFS('2017OT'!$H:$H,'2017OT'!$M:$M,Report!AA$4,'2017OT'!$B:$B,Report!$C35)</f>
        <v>0</v>
      </c>
      <c r="AB35" s="61">
        <f>SUMIFS('2017OT'!$H:$H,'2017OT'!$M:$M,Report!AB$4,'2017OT'!$B:$B,Report!$C35)</f>
        <v>0</v>
      </c>
      <c r="AC35" s="61">
        <f>SUMIFS('2017OT'!$H:$H,'2017OT'!$M:$M,Report!AC$4,'2017OT'!$B:$B,Report!$C35)</f>
        <v>0</v>
      </c>
      <c r="AD35" s="61">
        <f>SUMIFS('2017OT'!$H:$H,'2017OT'!$M:$M,Report!AD$4,'2017OT'!$B:$B,Report!$C35)</f>
        <v>0</v>
      </c>
      <c r="AE35" s="61">
        <f>SUMIFS('2017OT'!$H:$H,'2017OT'!$M:$M,Report!AE$4,'2017OT'!$B:$B,Report!$C35)</f>
        <v>0</v>
      </c>
      <c r="AF35" s="61">
        <f>SUMIFS('2017OT'!$H:$H,'2017OT'!$M:$M,Report!AF$4,'2017OT'!$B:$B,Report!$C35)</f>
        <v>0</v>
      </c>
      <c r="AG35" s="61">
        <f>SUMIFS('2017OT'!$H:$H,'2017OT'!$M:$M,Report!AG$4,'2017OT'!$B:$B,Report!$C35)</f>
        <v>0</v>
      </c>
      <c r="AH35" s="61">
        <f>SUMIFS('2017OT'!$H:$H,'2017OT'!$M:$M,Report!AH$4,'2017OT'!$B:$B,Report!$C35)</f>
        <v>0</v>
      </c>
      <c r="AJ35" s="61">
        <f>SUMIFS('2017OT'!$H:$H,'2017OT'!$M:$M,Report!AJ$4,'2017OT'!$B:$B,Report!$C35)</f>
        <v>0</v>
      </c>
      <c r="AK35" s="61">
        <f>SUMIFS('2017OT'!$H:$H,'2017OT'!$M:$M,Report!AK$4,'2017OT'!$B:$B,Report!$C35)</f>
        <v>0</v>
      </c>
      <c r="AL35" s="61">
        <f>SUMIFS('2017OT'!$H:$H,'2017OT'!$M:$M,Report!AL$4,'2017OT'!$B:$B,Report!$C35)</f>
        <v>0</v>
      </c>
      <c r="AM35" s="61">
        <f>SUMIFS('2017OT'!$H:$H,'2017OT'!$M:$M,Report!AM$4,'2017OT'!$B:$B,Report!$C35)</f>
        <v>0</v>
      </c>
      <c r="AN35" s="61">
        <f>SUMIFS('2017OT'!$H:$H,'2017OT'!$M:$M,Report!AN$4,'2017OT'!$B:$B,Report!$C35)</f>
        <v>0</v>
      </c>
      <c r="AO35" s="61">
        <f>SUMIFS('2017OT'!$H:$H,'2017OT'!$M:$M,Report!AO$4,'2017OT'!$B:$B,Report!$C35)</f>
        <v>0</v>
      </c>
      <c r="AP35" s="61">
        <f>SUMIFS('2017OT'!$H:$H,'2017OT'!$M:$M,Report!AP$4,'2017OT'!$B:$B,Report!$C35)</f>
        <v>0</v>
      </c>
      <c r="AQ35" s="61">
        <f>SUMIFS('2017OT'!$H:$H,'2017OT'!$M:$M,Report!AQ$4,'2017OT'!$B:$B,Report!$C35)</f>
        <v>0</v>
      </c>
      <c r="AR35" s="61">
        <f>SUMIFS('2017OT'!$H:$H,'2017OT'!$M:$M,Report!AR$4,'2017OT'!$B:$B,Report!$C35)</f>
        <v>0</v>
      </c>
      <c r="AS35" s="61">
        <f>SUMIFS('2017OT'!$H:$H,'2017OT'!$M:$M,Report!AS$4,'2017OT'!$B:$B,Report!$C35)</f>
        <v>0</v>
      </c>
      <c r="AT35" s="61">
        <f>SUMIFS('2017OT'!$H:$H,'2017OT'!$M:$M,Report!AT$4,'2017OT'!$B:$B,Report!$C35)</f>
        <v>0</v>
      </c>
      <c r="AU35" s="61">
        <f>SUMIFS('2017OT'!$H:$H,'2017OT'!$M:$M,Report!AU$4,'2017OT'!$B:$B,Report!$C35)</f>
        <v>0</v>
      </c>
      <c r="AV35" s="61"/>
      <c r="AW35" s="31">
        <f t="shared" si="4"/>
        <v>0</v>
      </c>
      <c r="AX35" s="31" t="str">
        <f>IFERROR(VLOOKUP($C35,#REF!,3,0),"")</f>
        <v/>
      </c>
      <c r="AY35" s="31" t="str">
        <f>IFERROR(VLOOKUP($C35,#REF!,3,0),"")</f>
        <v/>
      </c>
      <c r="AZ35" s="31" t="str">
        <f>IFERROR(VLOOKUP($C35,#REF!,3,0),"")</f>
        <v/>
      </c>
      <c r="BA35" s="31" t="str">
        <f>IFERROR(VLOOKUP($C35,#REF!,3,0),"")</f>
        <v/>
      </c>
      <c r="BB35" s="31" t="str">
        <f>IFERROR(VLOOKUP($C35,#REF!,3,0),"")</f>
        <v/>
      </c>
      <c r="BC35" s="31" t="str">
        <f>IFERROR(VLOOKUP($C35,#REF!,3,0),"")</f>
        <v/>
      </c>
      <c r="BD35" s="31" t="str">
        <f>IFERROR(VLOOKUP($C35,#REF!,3,0),"")</f>
        <v/>
      </c>
      <c r="BE35" s="31" t="str">
        <f>IFERROR(VLOOKUP($C35,#REF!,3,0),"")</f>
        <v/>
      </c>
      <c r="BF35" s="31" t="str">
        <f>IFERROR(VLOOKUP($C35,#REF!,3,0),"")</f>
        <v/>
      </c>
      <c r="BG35" s="31" t="str">
        <f>IFERROR(VLOOKUP($C35,#REF!,3,0),"")</f>
        <v/>
      </c>
      <c r="BH35" s="31" t="str">
        <f>IFERROR(VLOOKUP($C35,#REF!,3,0),"")</f>
        <v/>
      </c>
      <c r="BI35" s="31" t="str">
        <f>IFERROR(VLOOKUP($C35,#REF!,3,0),"")</f>
        <v/>
      </c>
      <c r="BK35" s="31">
        <f t="shared" si="5"/>
        <v>0</v>
      </c>
      <c r="BL35" s="31" t="str">
        <f t="shared" si="6"/>
        <v/>
      </c>
      <c r="BM35" s="31" t="str">
        <f t="shared" si="7"/>
        <v/>
      </c>
      <c r="BN35" s="31" t="str">
        <f t="shared" si="8"/>
        <v/>
      </c>
      <c r="BO35" s="31" t="str">
        <f t="shared" si="9"/>
        <v/>
      </c>
      <c r="BP35" s="31" t="str">
        <f t="shared" si="25"/>
        <v/>
      </c>
      <c r="BQ35" s="31" t="str">
        <f t="shared" si="18"/>
        <v/>
      </c>
      <c r="BR35" s="31" t="str">
        <f t="shared" si="19"/>
        <v/>
      </c>
      <c r="BS35" s="31" t="str">
        <f t="shared" si="20"/>
        <v/>
      </c>
      <c r="BT35" s="31" t="str">
        <f t="shared" si="21"/>
        <v/>
      </c>
      <c r="BU35" s="31" t="str">
        <f t="shared" si="22"/>
        <v/>
      </c>
      <c r="BV35" s="31" t="str">
        <f t="shared" si="23"/>
        <v/>
      </c>
      <c r="BW35" s="31" t="str">
        <f t="shared" si="24"/>
        <v/>
      </c>
    </row>
    <row r="36" spans="1:88" ht="15" customHeight="1">
      <c r="A36" s="83">
        <v>31</v>
      </c>
      <c r="B36" s="19" t="s">
        <v>22</v>
      </c>
      <c r="C36" s="19" t="s">
        <v>29</v>
      </c>
      <c r="D36" s="19" t="s">
        <v>230</v>
      </c>
      <c r="E36" s="19"/>
      <c r="F36" s="75"/>
      <c r="G36" s="31">
        <f t="shared" si="1"/>
        <v>185.75</v>
      </c>
      <c r="H36" s="31">
        <f t="shared" si="2"/>
        <v>0</v>
      </c>
      <c r="I36" s="31">
        <f t="shared" si="3"/>
        <v>0</v>
      </c>
      <c r="J36" s="61">
        <f>SUMIFS('2017OT'!$H:$H,'2017OT'!$M:$M,Report!J$4,'2017OT'!$B:$B,Report!$C36)</f>
        <v>86.5</v>
      </c>
      <c r="K36" s="61">
        <f>SUMIFS('2017OT'!$H:$H,'2017OT'!$M:$M,Report!K$4,'2017OT'!$B:$B,Report!$C36)</f>
        <v>30.499999999999993</v>
      </c>
      <c r="L36" s="61">
        <f>SUMIFS('2017OT'!$H:$H,'2017OT'!$M:$M,Report!L$4,'2017OT'!$B:$B,Report!$C36)</f>
        <v>12.750000000000007</v>
      </c>
      <c r="M36" s="61">
        <f>SUMIFS('2017OT'!$H:$H,'2017OT'!$M:$M,Report!M$4,'2017OT'!$B:$B,Report!$C36)</f>
        <v>44.499999999999964</v>
      </c>
      <c r="N36" s="61">
        <f>SUMIFS('2017OT'!$H:$H,'2017OT'!$M:$M,Report!N$4,'2017OT'!$B:$B,Report!$C36)</f>
        <v>11.500000000000014</v>
      </c>
      <c r="O36" s="61">
        <f>SUMIFS('2017OT'!$H:$H,'2017OT'!$M:$M,Report!O$4,'2017OT'!$B:$B,Report!$C36)</f>
        <v>0</v>
      </c>
      <c r="P36" s="61">
        <f>SUMIFS('2017OT'!$H:$H,'2017OT'!$M:$M,Report!P$4,'2017OT'!$B:$B,Report!$C36)</f>
        <v>0</v>
      </c>
      <c r="Q36" s="61">
        <f>SUMIFS('2017OT'!$H:$H,'2017OT'!$M:$M,Report!Q$4,'2017OT'!$B:$B,Report!$C36)</f>
        <v>0</v>
      </c>
      <c r="R36" s="61">
        <f>SUMIFS('2017OT'!$H:$H,'2017OT'!$M:$M,Report!R$4,'2017OT'!$B:$B,Report!$C36)</f>
        <v>0</v>
      </c>
      <c r="S36" s="61">
        <f>SUMIFS('2017OT'!$H:$H,'2017OT'!$M:$M,Report!S$4,'2017OT'!$B:$B,Report!$C36)</f>
        <v>0</v>
      </c>
      <c r="T36" s="61">
        <f>SUMIFS('2017OT'!$H:$H,'2017OT'!$M:$M,Report!T$4,'2017OT'!$B:$B,Report!$C36)</f>
        <v>0</v>
      </c>
      <c r="U36" s="61">
        <f>SUMIFS('2017OT'!$H:$H,'2017OT'!$M:$M,Report!U$4,'2017OT'!$B:$B,Report!$C36)</f>
        <v>0</v>
      </c>
      <c r="W36" s="61">
        <f>SUMIFS('2017OT'!$H:$H,'2017OT'!$M:$M,Report!W$4,'2017OT'!$B:$B,Report!$C36)</f>
        <v>0</v>
      </c>
      <c r="X36" s="61">
        <f>SUMIFS('2017OT'!$H:$H,'2017OT'!$M:$M,Report!X$4,'2017OT'!$B:$B,Report!$C36)</f>
        <v>0</v>
      </c>
      <c r="Y36" s="61">
        <f>SUMIFS('2017OT'!$H:$H,'2017OT'!$M:$M,Report!Y$4,'2017OT'!$B:$B,Report!$C36)</f>
        <v>0</v>
      </c>
      <c r="Z36" s="61">
        <f>SUMIFS('2017OT'!$H:$H,'2017OT'!$M:$M,Report!Z$4,'2017OT'!$B:$B,Report!$C36)</f>
        <v>0</v>
      </c>
      <c r="AA36" s="61">
        <f>SUMIFS('2017OT'!$H:$H,'2017OT'!$M:$M,Report!AA$4,'2017OT'!$B:$B,Report!$C36)</f>
        <v>0</v>
      </c>
      <c r="AB36" s="61">
        <f>SUMIFS('2017OT'!$H:$H,'2017OT'!$M:$M,Report!AB$4,'2017OT'!$B:$B,Report!$C36)</f>
        <v>0</v>
      </c>
      <c r="AC36" s="61">
        <f>SUMIFS('2017OT'!$H:$H,'2017OT'!$M:$M,Report!AC$4,'2017OT'!$B:$B,Report!$C36)</f>
        <v>0</v>
      </c>
      <c r="AD36" s="61">
        <f>SUMIFS('2017OT'!$H:$H,'2017OT'!$M:$M,Report!AD$4,'2017OT'!$B:$B,Report!$C36)</f>
        <v>0</v>
      </c>
      <c r="AE36" s="61">
        <f>SUMIFS('2017OT'!$H:$H,'2017OT'!$M:$M,Report!AE$4,'2017OT'!$B:$B,Report!$C36)</f>
        <v>0</v>
      </c>
      <c r="AF36" s="61">
        <f>SUMIFS('2017OT'!$H:$H,'2017OT'!$M:$M,Report!AF$4,'2017OT'!$B:$B,Report!$C36)</f>
        <v>0</v>
      </c>
      <c r="AG36" s="61">
        <f>SUMIFS('2017OT'!$H:$H,'2017OT'!$M:$M,Report!AG$4,'2017OT'!$B:$B,Report!$C36)</f>
        <v>0</v>
      </c>
      <c r="AH36" s="61">
        <f>SUMIFS('2017OT'!$H:$H,'2017OT'!$M:$M,Report!AH$4,'2017OT'!$B:$B,Report!$C36)</f>
        <v>0</v>
      </c>
      <c r="AJ36" s="61">
        <f>SUMIFS('2017OT'!$H:$H,'2017OT'!$M:$M,Report!AJ$4,'2017OT'!$B:$B,Report!$C36)</f>
        <v>0</v>
      </c>
      <c r="AK36" s="61">
        <f>SUMIFS('2017OT'!$H:$H,'2017OT'!$M:$M,Report!AK$4,'2017OT'!$B:$B,Report!$C36)</f>
        <v>0</v>
      </c>
      <c r="AL36" s="61">
        <f>SUMIFS('2017OT'!$H:$H,'2017OT'!$M:$M,Report!AL$4,'2017OT'!$B:$B,Report!$C36)</f>
        <v>0</v>
      </c>
      <c r="AM36" s="61">
        <f>SUMIFS('2017OT'!$H:$H,'2017OT'!$M:$M,Report!AM$4,'2017OT'!$B:$B,Report!$C36)</f>
        <v>0</v>
      </c>
      <c r="AN36" s="61">
        <f>SUMIFS('2017OT'!$H:$H,'2017OT'!$M:$M,Report!AN$4,'2017OT'!$B:$B,Report!$C36)</f>
        <v>0</v>
      </c>
      <c r="AO36" s="61">
        <f>SUMIFS('2017OT'!$H:$H,'2017OT'!$M:$M,Report!AO$4,'2017OT'!$B:$B,Report!$C36)</f>
        <v>0</v>
      </c>
      <c r="AP36" s="61">
        <f>SUMIFS('2017OT'!$H:$H,'2017OT'!$M:$M,Report!AP$4,'2017OT'!$B:$B,Report!$C36)</f>
        <v>0</v>
      </c>
      <c r="AQ36" s="61">
        <f>SUMIFS('2017OT'!$H:$H,'2017OT'!$M:$M,Report!AQ$4,'2017OT'!$B:$B,Report!$C36)</f>
        <v>0</v>
      </c>
      <c r="AR36" s="61">
        <f>SUMIFS('2017OT'!$H:$H,'2017OT'!$M:$M,Report!AR$4,'2017OT'!$B:$B,Report!$C36)</f>
        <v>0</v>
      </c>
      <c r="AS36" s="61">
        <f>SUMIFS('2017OT'!$H:$H,'2017OT'!$M:$M,Report!AS$4,'2017OT'!$B:$B,Report!$C36)</f>
        <v>0</v>
      </c>
      <c r="AT36" s="61">
        <f>SUMIFS('2017OT'!$H:$H,'2017OT'!$M:$M,Report!AT$4,'2017OT'!$B:$B,Report!$C36)</f>
        <v>0</v>
      </c>
      <c r="AU36" s="61">
        <f>SUMIFS('2017OT'!$H:$H,'2017OT'!$M:$M,Report!AU$4,'2017OT'!$B:$B,Report!$C36)</f>
        <v>0</v>
      </c>
      <c r="AV36" s="61"/>
      <c r="AW36" s="31">
        <f t="shared" si="4"/>
        <v>0</v>
      </c>
      <c r="AX36" s="31" t="str">
        <f>IFERROR(VLOOKUP($C36,#REF!,3,0),"")</f>
        <v/>
      </c>
      <c r="AY36" s="31" t="str">
        <f>IFERROR(VLOOKUP($C36,#REF!,3,0),"")</f>
        <v/>
      </c>
      <c r="AZ36" s="31" t="str">
        <f>IFERROR(VLOOKUP($C36,#REF!,3,0),"")</f>
        <v/>
      </c>
      <c r="BA36" s="31" t="str">
        <f>IFERROR(VLOOKUP($C36,#REF!,3,0),"")</f>
        <v/>
      </c>
      <c r="BB36" s="31" t="str">
        <f>IFERROR(VLOOKUP($C36,#REF!,3,0),"")</f>
        <v/>
      </c>
      <c r="BC36" s="31" t="str">
        <f>IFERROR(VLOOKUP($C36,#REF!,3,0),"")</f>
        <v/>
      </c>
      <c r="BD36" s="31" t="str">
        <f>IFERROR(VLOOKUP($C36,#REF!,3,0),"")</f>
        <v/>
      </c>
      <c r="BE36" s="31" t="str">
        <f>IFERROR(VLOOKUP($C36,#REF!,3,0),"")</f>
        <v/>
      </c>
      <c r="BF36" s="31" t="str">
        <f>IFERROR(VLOOKUP($C36,#REF!,3,0),"")</f>
        <v/>
      </c>
      <c r="BG36" s="31" t="str">
        <f>IFERROR(VLOOKUP($C36,#REF!,3,0),"")</f>
        <v/>
      </c>
      <c r="BH36" s="31" t="str">
        <f>IFERROR(VLOOKUP($C36,#REF!,3,0),"")</f>
        <v/>
      </c>
      <c r="BI36" s="31" t="str">
        <f>IFERROR(VLOOKUP($C36,#REF!,3,0),"")</f>
        <v/>
      </c>
      <c r="BK36" s="31">
        <f t="shared" si="5"/>
        <v>0</v>
      </c>
      <c r="BL36" s="31" t="str">
        <f t="shared" si="6"/>
        <v/>
      </c>
      <c r="BM36" s="31" t="str">
        <f t="shared" si="7"/>
        <v/>
      </c>
      <c r="BN36" s="31" t="str">
        <f t="shared" si="8"/>
        <v/>
      </c>
      <c r="BO36" s="31" t="str">
        <f t="shared" si="9"/>
        <v/>
      </c>
      <c r="BP36" s="31" t="str">
        <f t="shared" si="25"/>
        <v/>
      </c>
      <c r="BQ36" s="31" t="str">
        <f t="shared" si="18"/>
        <v/>
      </c>
      <c r="BR36" s="31" t="str">
        <f t="shared" si="19"/>
        <v/>
      </c>
      <c r="BS36" s="31" t="str">
        <f t="shared" si="20"/>
        <v/>
      </c>
      <c r="BT36" s="31" t="str">
        <f t="shared" si="21"/>
        <v/>
      </c>
      <c r="BU36" s="31" t="str">
        <f t="shared" si="22"/>
        <v/>
      </c>
      <c r="BV36" s="31" t="str">
        <f t="shared" si="23"/>
        <v/>
      </c>
      <c r="BW36" s="31" t="str">
        <f t="shared" si="24"/>
        <v/>
      </c>
    </row>
    <row r="37" spans="1:88" ht="15" customHeight="1">
      <c r="A37" s="83">
        <v>32</v>
      </c>
      <c r="B37" s="19" t="s">
        <v>22</v>
      </c>
      <c r="C37" s="19" t="s">
        <v>76</v>
      </c>
      <c r="D37" s="19" t="s">
        <v>230</v>
      </c>
      <c r="E37" s="19"/>
      <c r="F37" s="80">
        <v>43175</v>
      </c>
      <c r="G37" s="31">
        <f t="shared" si="1"/>
        <v>39.749999999999964</v>
      </c>
      <c r="H37" s="31">
        <f t="shared" si="2"/>
        <v>0</v>
      </c>
      <c r="I37" s="31">
        <f t="shared" si="3"/>
        <v>0</v>
      </c>
      <c r="J37" s="61">
        <f>SUMIFS('2017OT'!$H:$H,'2017OT'!$M:$M,Report!J$4,'2017OT'!$B:$B,Report!$C37)</f>
        <v>0</v>
      </c>
      <c r="K37" s="61">
        <f>SUMIFS('2017OT'!$H:$H,'2017OT'!$M:$M,Report!K$4,'2017OT'!$B:$B,Report!$C37)</f>
        <v>0</v>
      </c>
      <c r="L37" s="61">
        <f>SUMIFS('2017OT'!$H:$H,'2017OT'!$M:$M,Report!L$4,'2017OT'!$B:$B,Report!$C37)</f>
        <v>39.749999999999964</v>
      </c>
      <c r="M37" s="61">
        <f>SUMIFS('2017OT'!$H:$H,'2017OT'!$M:$M,Report!M$4,'2017OT'!$B:$B,Report!$C37)</f>
        <v>0</v>
      </c>
      <c r="N37" s="61">
        <f>SUMIFS('2017OT'!$H:$H,'2017OT'!$M:$M,Report!N$4,'2017OT'!$B:$B,Report!$C37)</f>
        <v>0</v>
      </c>
      <c r="O37" s="61">
        <f>SUMIFS('2017OT'!$H:$H,'2017OT'!$M:$M,Report!O$4,'2017OT'!$B:$B,Report!$C37)</f>
        <v>0</v>
      </c>
      <c r="P37" s="61">
        <f>SUMIFS('2017OT'!$H:$H,'2017OT'!$M:$M,Report!P$4,'2017OT'!$B:$B,Report!$C37)</f>
        <v>0</v>
      </c>
      <c r="Q37" s="61">
        <f>SUMIFS('2017OT'!$H:$H,'2017OT'!$M:$M,Report!Q$4,'2017OT'!$B:$B,Report!$C37)</f>
        <v>0</v>
      </c>
      <c r="R37" s="61">
        <f>SUMIFS('2017OT'!$H:$H,'2017OT'!$M:$M,Report!R$4,'2017OT'!$B:$B,Report!$C37)</f>
        <v>0</v>
      </c>
      <c r="S37" s="61">
        <f>SUMIFS('2017OT'!$H:$H,'2017OT'!$M:$M,Report!S$4,'2017OT'!$B:$B,Report!$C37)</f>
        <v>0</v>
      </c>
      <c r="T37" s="61">
        <f>SUMIFS('2017OT'!$H:$H,'2017OT'!$M:$M,Report!T$4,'2017OT'!$B:$B,Report!$C37)</f>
        <v>0</v>
      </c>
      <c r="U37" s="61">
        <f>SUMIFS('2017OT'!$H:$H,'2017OT'!$M:$M,Report!U$4,'2017OT'!$B:$B,Report!$C37)</f>
        <v>0</v>
      </c>
      <c r="W37" s="61">
        <f>SUMIFS('2017OT'!$H:$H,'2017OT'!$M:$M,Report!W$4,'2017OT'!$B:$B,Report!$C37)</f>
        <v>0</v>
      </c>
      <c r="X37" s="61">
        <f>SUMIFS('2017OT'!$H:$H,'2017OT'!$M:$M,Report!X$4,'2017OT'!$B:$B,Report!$C37)</f>
        <v>0</v>
      </c>
      <c r="Y37" s="61">
        <f>SUMIFS('2017OT'!$H:$H,'2017OT'!$M:$M,Report!Y$4,'2017OT'!$B:$B,Report!$C37)</f>
        <v>0</v>
      </c>
      <c r="Z37" s="61">
        <f>SUMIFS('2017OT'!$H:$H,'2017OT'!$M:$M,Report!Z$4,'2017OT'!$B:$B,Report!$C37)</f>
        <v>0</v>
      </c>
      <c r="AA37" s="61">
        <f>SUMIFS('2017OT'!$H:$H,'2017OT'!$M:$M,Report!AA$4,'2017OT'!$B:$B,Report!$C37)</f>
        <v>0</v>
      </c>
      <c r="AB37" s="61">
        <f>SUMIFS('2017OT'!$H:$H,'2017OT'!$M:$M,Report!AB$4,'2017OT'!$B:$B,Report!$C37)</f>
        <v>0</v>
      </c>
      <c r="AC37" s="61">
        <f>SUMIFS('2017OT'!$H:$H,'2017OT'!$M:$M,Report!AC$4,'2017OT'!$B:$B,Report!$C37)</f>
        <v>0</v>
      </c>
      <c r="AD37" s="61">
        <f>SUMIFS('2017OT'!$H:$H,'2017OT'!$M:$M,Report!AD$4,'2017OT'!$B:$B,Report!$C37)</f>
        <v>0</v>
      </c>
      <c r="AE37" s="61">
        <f>SUMIFS('2017OT'!$H:$H,'2017OT'!$M:$M,Report!AE$4,'2017OT'!$B:$B,Report!$C37)</f>
        <v>0</v>
      </c>
      <c r="AF37" s="61">
        <f>SUMIFS('2017OT'!$H:$H,'2017OT'!$M:$M,Report!AF$4,'2017OT'!$B:$B,Report!$C37)</f>
        <v>0</v>
      </c>
      <c r="AG37" s="61">
        <f>SUMIFS('2017OT'!$H:$H,'2017OT'!$M:$M,Report!AG$4,'2017OT'!$B:$B,Report!$C37)</f>
        <v>0</v>
      </c>
      <c r="AH37" s="61">
        <f>SUMIFS('2017OT'!$H:$H,'2017OT'!$M:$M,Report!AH$4,'2017OT'!$B:$B,Report!$C37)</f>
        <v>0</v>
      </c>
      <c r="AJ37" s="61">
        <f>SUMIFS('2017OT'!$H:$H,'2017OT'!$M:$M,Report!AJ$4,'2017OT'!$B:$B,Report!$C37)</f>
        <v>0</v>
      </c>
      <c r="AK37" s="61">
        <f>SUMIFS('2017OT'!$H:$H,'2017OT'!$M:$M,Report!AK$4,'2017OT'!$B:$B,Report!$C37)</f>
        <v>0</v>
      </c>
      <c r="AL37" s="61">
        <f>SUMIFS('2017OT'!$H:$H,'2017OT'!$M:$M,Report!AL$4,'2017OT'!$B:$B,Report!$C37)</f>
        <v>0</v>
      </c>
      <c r="AM37" s="61">
        <f>SUMIFS('2017OT'!$H:$H,'2017OT'!$M:$M,Report!AM$4,'2017OT'!$B:$B,Report!$C37)</f>
        <v>0</v>
      </c>
      <c r="AN37" s="61">
        <f>SUMIFS('2017OT'!$H:$H,'2017OT'!$M:$M,Report!AN$4,'2017OT'!$B:$B,Report!$C37)</f>
        <v>0</v>
      </c>
      <c r="AO37" s="61">
        <f>SUMIFS('2017OT'!$H:$H,'2017OT'!$M:$M,Report!AO$4,'2017OT'!$B:$B,Report!$C37)</f>
        <v>0</v>
      </c>
      <c r="AP37" s="61">
        <f>SUMIFS('2017OT'!$H:$H,'2017OT'!$M:$M,Report!AP$4,'2017OT'!$B:$B,Report!$C37)</f>
        <v>0</v>
      </c>
      <c r="AQ37" s="61">
        <f>SUMIFS('2017OT'!$H:$H,'2017OT'!$M:$M,Report!AQ$4,'2017OT'!$B:$B,Report!$C37)</f>
        <v>0</v>
      </c>
      <c r="AR37" s="61">
        <f>SUMIFS('2017OT'!$H:$H,'2017OT'!$M:$M,Report!AR$4,'2017OT'!$B:$B,Report!$C37)</f>
        <v>0</v>
      </c>
      <c r="AS37" s="61">
        <f>SUMIFS('2017OT'!$H:$H,'2017OT'!$M:$M,Report!AS$4,'2017OT'!$B:$B,Report!$C37)</f>
        <v>0</v>
      </c>
      <c r="AT37" s="61">
        <f>SUMIFS('2017OT'!$H:$H,'2017OT'!$M:$M,Report!AT$4,'2017OT'!$B:$B,Report!$C37)</f>
        <v>0</v>
      </c>
      <c r="AU37" s="61">
        <f>SUMIFS('2017OT'!$H:$H,'2017OT'!$M:$M,Report!AU$4,'2017OT'!$B:$B,Report!$C37)</f>
        <v>0</v>
      </c>
      <c r="AV37" s="61"/>
      <c r="AW37" s="31">
        <f t="shared" si="4"/>
        <v>0</v>
      </c>
      <c r="AX37" s="31" t="str">
        <f>IFERROR(VLOOKUP($C37,#REF!,3,0),"")</f>
        <v/>
      </c>
      <c r="AY37" s="31" t="str">
        <f>IFERROR(VLOOKUP($C37,#REF!,3,0),"")</f>
        <v/>
      </c>
      <c r="AZ37" s="31" t="str">
        <f>IFERROR(VLOOKUP($C37,#REF!,3,0),"")</f>
        <v/>
      </c>
      <c r="BA37" s="31" t="str">
        <f>IFERROR(VLOOKUP($C37,#REF!,3,0),"")</f>
        <v/>
      </c>
      <c r="BB37" s="31" t="str">
        <f>IFERROR(VLOOKUP($C37,#REF!,3,0),"")</f>
        <v/>
      </c>
      <c r="BC37" s="31" t="str">
        <f>IFERROR(VLOOKUP($C37,#REF!,3,0),"")</f>
        <v/>
      </c>
      <c r="BD37" s="31" t="str">
        <f>IFERROR(VLOOKUP($C37,#REF!,3,0),"")</f>
        <v/>
      </c>
      <c r="BE37" s="31" t="str">
        <f>IFERROR(VLOOKUP($C37,#REF!,3,0),"")</f>
        <v/>
      </c>
      <c r="BF37" s="31" t="str">
        <f>IFERROR(VLOOKUP($C37,#REF!,3,0),"")</f>
        <v/>
      </c>
      <c r="BG37" s="31" t="str">
        <f>IFERROR(VLOOKUP($C37,#REF!,3,0),"")</f>
        <v/>
      </c>
      <c r="BH37" s="31" t="str">
        <f>IFERROR(VLOOKUP($C37,#REF!,3,0),"")</f>
        <v/>
      </c>
      <c r="BI37" s="31" t="str">
        <f>IFERROR(VLOOKUP($C37,#REF!,3,0),"")</f>
        <v/>
      </c>
      <c r="BK37" s="31">
        <f t="shared" si="5"/>
        <v>0</v>
      </c>
      <c r="BL37" s="31" t="str">
        <f t="shared" si="6"/>
        <v/>
      </c>
      <c r="BM37" s="31" t="str">
        <f t="shared" si="7"/>
        <v/>
      </c>
      <c r="BN37" s="31" t="str">
        <f t="shared" si="8"/>
        <v/>
      </c>
      <c r="BO37" s="31" t="str">
        <f t="shared" si="9"/>
        <v/>
      </c>
      <c r="BP37" s="31" t="str">
        <f t="shared" si="25"/>
        <v/>
      </c>
      <c r="BQ37" s="31" t="str">
        <f t="shared" si="18"/>
        <v/>
      </c>
      <c r="BR37" s="31" t="str">
        <f t="shared" si="19"/>
        <v/>
      </c>
      <c r="BS37" s="31" t="str">
        <f t="shared" si="20"/>
        <v/>
      </c>
      <c r="BT37" s="31" t="str">
        <f t="shared" si="21"/>
        <v/>
      </c>
      <c r="BU37" s="31" t="str">
        <f t="shared" si="22"/>
        <v/>
      </c>
      <c r="BV37" s="31" t="str">
        <f t="shared" si="23"/>
        <v/>
      </c>
      <c r="BW37" s="31" t="str">
        <f t="shared" si="24"/>
        <v/>
      </c>
    </row>
    <row r="38" spans="1:88" ht="15" customHeight="1">
      <c r="A38" s="83">
        <v>33</v>
      </c>
      <c r="B38" s="19" t="s">
        <v>22</v>
      </c>
      <c r="C38" s="19" t="s">
        <v>77</v>
      </c>
      <c r="D38" s="19" t="s">
        <v>230</v>
      </c>
      <c r="E38" s="19"/>
      <c r="F38" s="75"/>
      <c r="G38" s="31">
        <f t="shared" ref="G38:G55" si="26">SUM(J38:U38)</f>
        <v>343.24999999999994</v>
      </c>
      <c r="H38" s="31">
        <f t="shared" ref="H38:H55" si="27">SUM(W38:AH38)</f>
        <v>115.99999999999999</v>
      </c>
      <c r="I38" s="31">
        <f t="shared" si="3"/>
        <v>0</v>
      </c>
      <c r="J38" s="61">
        <f>SUMIFS('2017OT'!$H:$H,'2017OT'!$M:$M,Report!J$4,'2017OT'!$B:$B,Report!$C38)</f>
        <v>0</v>
      </c>
      <c r="K38" s="61">
        <f>SUMIFS('2017OT'!$H:$H,'2017OT'!$M:$M,Report!K$4,'2017OT'!$B:$B,Report!$C38)</f>
        <v>0</v>
      </c>
      <c r="L38" s="61">
        <f>SUMIFS('2017OT'!$H:$H,'2017OT'!$M:$M,Report!L$4,'2017OT'!$B:$B,Report!$C38)</f>
        <v>94.249999999999915</v>
      </c>
      <c r="M38" s="61">
        <f>SUMIFS('2017OT'!$H:$H,'2017OT'!$M:$M,Report!M$4,'2017OT'!$B:$B,Report!$C38)</f>
        <v>92.749999999999986</v>
      </c>
      <c r="N38" s="61">
        <f>SUMIFS('2017OT'!$H:$H,'2017OT'!$M:$M,Report!N$4,'2017OT'!$B:$B,Report!$C38)</f>
        <v>28.000000000000028</v>
      </c>
      <c r="O38" s="61">
        <f>SUMIFS('2017OT'!$H:$H,'2017OT'!$M:$M,Report!O$4,'2017OT'!$B:$B,Report!$C38)</f>
        <v>0</v>
      </c>
      <c r="P38" s="61">
        <f>SUMIFS('2017OT'!$H:$H,'2017OT'!$M:$M,Report!P$4,'2017OT'!$B:$B,Report!$C38)</f>
        <v>14.500000000000014</v>
      </c>
      <c r="Q38" s="61">
        <f>SUMIFS('2017OT'!$H:$H,'2017OT'!$M:$M,Report!Q$4,'2017OT'!$B:$B,Report!$C38)</f>
        <v>46.5</v>
      </c>
      <c r="R38" s="61">
        <f>SUMIFS('2017OT'!$H:$H,'2017OT'!$M:$M,Report!R$4,'2017OT'!$B:$B,Report!$C38)</f>
        <v>23.250000000000014</v>
      </c>
      <c r="S38" s="61">
        <f>SUMIFS('2017OT'!$H:$H,'2017OT'!$M:$M,Report!S$4,'2017OT'!$B:$B,Report!$C38)</f>
        <v>24</v>
      </c>
      <c r="T38" s="61">
        <f>SUMIFS('2017OT'!$H:$H,'2017OT'!$M:$M,Report!T$4,'2017OT'!$B:$B,Report!$C38)</f>
        <v>8.5000000000000071</v>
      </c>
      <c r="U38" s="61">
        <f>SUMIFS('2017OT'!$H:$H,'2017OT'!$M:$M,Report!U$4,'2017OT'!$B:$B,Report!$C38)</f>
        <v>11.499999999999993</v>
      </c>
      <c r="W38" s="61">
        <f>SUMIFS('2017OT'!$H:$H,'2017OT'!$M:$M,Report!W$4,'2017OT'!$B:$B,Report!$C38)</f>
        <v>61.999999999999993</v>
      </c>
      <c r="X38" s="61">
        <f>SUMIFS('2017OT'!$H:$H,'2017OT'!$M:$M,Report!X$4,'2017OT'!$B:$B,Report!$C38)</f>
        <v>37.999999999999993</v>
      </c>
      <c r="Y38" s="61">
        <f>SUMIFS('2017OT'!$H:$H,'2017OT'!$M:$M,Report!Y$4,'2017OT'!$B:$B,Report!$C38)</f>
        <v>16</v>
      </c>
      <c r="Z38" s="61">
        <f>SUMIFS('2017OT'!$H:$H,'2017OT'!$M:$M,Report!Z$4,'2017OT'!$B:$B,Report!$C38)</f>
        <v>0</v>
      </c>
      <c r="AA38" s="61">
        <f>SUMIFS('2017OT'!$H:$H,'2017OT'!$M:$M,Report!AA$4,'2017OT'!$B:$B,Report!$C38)</f>
        <v>0</v>
      </c>
      <c r="AB38" s="61">
        <f>SUMIFS('2017OT'!$H:$H,'2017OT'!$M:$M,Report!AB$4,'2017OT'!$B:$B,Report!$C38)</f>
        <v>0</v>
      </c>
      <c r="AC38" s="61">
        <f>SUMIFS('2017OT'!$H:$H,'2017OT'!$M:$M,Report!AC$4,'2017OT'!$B:$B,Report!$C38)</f>
        <v>0</v>
      </c>
      <c r="AD38" s="61">
        <f>SUMIFS('2017OT'!$H:$H,'2017OT'!$M:$M,Report!AD$4,'2017OT'!$B:$B,Report!$C38)</f>
        <v>0</v>
      </c>
      <c r="AE38" s="61">
        <f>SUMIFS('2017OT'!$H:$H,'2017OT'!$M:$M,Report!AE$4,'2017OT'!$B:$B,Report!$C38)</f>
        <v>0</v>
      </c>
      <c r="AF38" s="61">
        <f>SUMIFS('2017OT'!$H:$H,'2017OT'!$M:$M,Report!AF$4,'2017OT'!$B:$B,Report!$C38)</f>
        <v>0</v>
      </c>
      <c r="AG38" s="61">
        <f>SUMIFS('2017OT'!$H:$H,'2017OT'!$M:$M,Report!AG$4,'2017OT'!$B:$B,Report!$C38)</f>
        <v>0</v>
      </c>
      <c r="AH38" s="61">
        <f>SUMIFS('2017OT'!$H:$H,'2017OT'!$M:$M,Report!AH$4,'2017OT'!$B:$B,Report!$C38)</f>
        <v>0</v>
      </c>
      <c r="AJ38" s="61">
        <f>SUMIFS('2017OT'!$H:$H,'2017OT'!$M:$M,Report!AJ$4,'2017OT'!$B:$B,Report!$C38)</f>
        <v>0</v>
      </c>
      <c r="AK38" s="61">
        <f>SUMIFS('2017OT'!$H:$H,'2017OT'!$M:$M,Report!AK$4,'2017OT'!$B:$B,Report!$C38)</f>
        <v>0</v>
      </c>
      <c r="AL38" s="61">
        <f>SUMIFS('2017OT'!$H:$H,'2017OT'!$M:$M,Report!AL$4,'2017OT'!$B:$B,Report!$C38)</f>
        <v>0</v>
      </c>
      <c r="AM38" s="61">
        <f>SUMIFS('2017OT'!$H:$H,'2017OT'!$M:$M,Report!AM$4,'2017OT'!$B:$B,Report!$C38)</f>
        <v>0</v>
      </c>
      <c r="AN38" s="61">
        <f>SUMIFS('2017OT'!$H:$H,'2017OT'!$M:$M,Report!AN$4,'2017OT'!$B:$B,Report!$C38)</f>
        <v>0</v>
      </c>
      <c r="AO38" s="61">
        <f>SUMIFS('2017OT'!$H:$H,'2017OT'!$M:$M,Report!AO$4,'2017OT'!$B:$B,Report!$C38)</f>
        <v>0</v>
      </c>
      <c r="AP38" s="61">
        <f>SUMIFS('2017OT'!$H:$H,'2017OT'!$M:$M,Report!AP$4,'2017OT'!$B:$B,Report!$C38)</f>
        <v>0</v>
      </c>
      <c r="AQ38" s="61">
        <f>SUMIFS('2017OT'!$H:$H,'2017OT'!$M:$M,Report!AQ$4,'2017OT'!$B:$B,Report!$C38)</f>
        <v>0</v>
      </c>
      <c r="AR38" s="61">
        <f>SUMIFS('2017OT'!$H:$H,'2017OT'!$M:$M,Report!AR$4,'2017OT'!$B:$B,Report!$C38)</f>
        <v>0</v>
      </c>
      <c r="AS38" s="61">
        <f>SUMIFS('2017OT'!$H:$H,'2017OT'!$M:$M,Report!AS$4,'2017OT'!$B:$B,Report!$C38)</f>
        <v>0</v>
      </c>
      <c r="AT38" s="61">
        <f>SUMIFS('2017OT'!$H:$H,'2017OT'!$M:$M,Report!AT$4,'2017OT'!$B:$B,Report!$C38)</f>
        <v>0</v>
      </c>
      <c r="AU38" s="61">
        <f>SUMIFS('2017OT'!$H:$H,'2017OT'!$M:$M,Report!AU$4,'2017OT'!$B:$B,Report!$C38)</f>
        <v>0</v>
      </c>
      <c r="AV38" s="61"/>
      <c r="AW38" s="31">
        <f t="shared" ref="AW38:AW55" si="28">SUM(AX38:BI38)</f>
        <v>0</v>
      </c>
      <c r="AX38" s="31" t="str">
        <f>IFERROR(VLOOKUP($C38,#REF!,3,0),"")</f>
        <v/>
      </c>
      <c r="AY38" s="31" t="str">
        <f>IFERROR(VLOOKUP($C38,#REF!,3,0),"")</f>
        <v/>
      </c>
      <c r="AZ38" s="31" t="str">
        <f>IFERROR(VLOOKUP($C38,#REF!,3,0),"")</f>
        <v/>
      </c>
      <c r="BA38" s="31" t="str">
        <f>IFERROR(VLOOKUP($C38,#REF!,3,0),"")</f>
        <v/>
      </c>
      <c r="BB38" s="31" t="str">
        <f>IFERROR(VLOOKUP($C38,#REF!,3,0),"")</f>
        <v/>
      </c>
      <c r="BC38" s="31" t="str">
        <f>IFERROR(VLOOKUP($C38,#REF!,3,0),"")</f>
        <v/>
      </c>
      <c r="BD38" s="31" t="str">
        <f>IFERROR(VLOOKUP($C38,#REF!,3,0),"")</f>
        <v/>
      </c>
      <c r="BE38" s="31" t="str">
        <f>IFERROR(VLOOKUP($C38,#REF!,3,0),"")</f>
        <v/>
      </c>
      <c r="BF38" s="31" t="str">
        <f>IFERROR(VLOOKUP($C38,#REF!,3,0),"")</f>
        <v/>
      </c>
      <c r="BG38" s="31" t="str">
        <f>IFERROR(VLOOKUP($C38,#REF!,3,0),"")</f>
        <v/>
      </c>
      <c r="BH38" s="31" t="str">
        <f>IFERROR(VLOOKUP($C38,#REF!,3,0),"")</f>
        <v/>
      </c>
      <c r="BI38" s="31" t="str">
        <f>IFERROR(VLOOKUP($C38,#REF!,3,0),"")</f>
        <v/>
      </c>
      <c r="BK38" s="31">
        <f t="shared" ref="BK38:BK55" si="29">SUM(BL38:BW38)</f>
        <v>0</v>
      </c>
      <c r="BL38" s="31" t="str">
        <f t="shared" ref="BL38:BL55" si="30">IF(AND((AX38&lt;&gt;""),$B38=$B$6),AX38-$BY$7,"")</f>
        <v/>
      </c>
      <c r="BM38" s="31" t="str">
        <f t="shared" ref="BM38:BM55" si="31">IF(AND((AY38&lt;&gt;""),$B38=$B$6),AY38-$BZ$7,"")</f>
        <v/>
      </c>
      <c r="BN38" s="31" t="str">
        <f t="shared" ref="BN38:BN55" si="32">IF(AND((AZ38&lt;&gt;""),$B38=$B$6),AZ38-$CA$7,"")</f>
        <v/>
      </c>
      <c r="BO38" s="31" t="str">
        <f t="shared" ref="BO38:BO55" si="33">IF(AND((BA38&lt;&gt;""),$B38=$B$6),BA38-$CB$7,"")</f>
        <v/>
      </c>
      <c r="BP38" s="31" t="str">
        <f t="shared" si="25"/>
        <v/>
      </c>
      <c r="BQ38" s="31" t="str">
        <f t="shared" si="18"/>
        <v/>
      </c>
      <c r="BR38" s="31" t="str">
        <f t="shared" si="19"/>
        <v/>
      </c>
      <c r="BS38" s="31" t="str">
        <f t="shared" si="20"/>
        <v/>
      </c>
      <c r="BT38" s="31" t="str">
        <f t="shared" si="21"/>
        <v/>
      </c>
      <c r="BU38" s="31" t="str">
        <f t="shared" si="22"/>
        <v/>
      </c>
      <c r="BV38" s="31" t="str">
        <f t="shared" si="23"/>
        <v/>
      </c>
      <c r="BW38" s="31" t="str">
        <f t="shared" si="24"/>
        <v/>
      </c>
    </row>
    <row r="39" spans="1:88" ht="15" customHeight="1">
      <c r="A39" s="83">
        <v>34</v>
      </c>
      <c r="B39" s="19" t="s">
        <v>22</v>
      </c>
      <c r="C39" s="19" t="s">
        <v>79</v>
      </c>
      <c r="D39" s="19" t="s">
        <v>230</v>
      </c>
      <c r="E39" s="19"/>
      <c r="F39" s="75"/>
      <c r="G39" s="31">
        <f t="shared" si="26"/>
        <v>33.249999999999964</v>
      </c>
      <c r="H39" s="31">
        <f t="shared" si="27"/>
        <v>0</v>
      </c>
      <c r="I39" s="31">
        <f t="shared" si="3"/>
        <v>0</v>
      </c>
      <c r="J39" s="61">
        <f>SUMIFS('2017OT'!$H:$H,'2017OT'!$M:$M,Report!J$4,'2017OT'!$B:$B,Report!$C39)</f>
        <v>0</v>
      </c>
      <c r="K39" s="61">
        <f>SUMIFS('2017OT'!$H:$H,'2017OT'!$M:$M,Report!K$4,'2017OT'!$B:$B,Report!$C39)</f>
        <v>0</v>
      </c>
      <c r="L39" s="61">
        <f>SUMIFS('2017OT'!$H:$H,'2017OT'!$M:$M,Report!L$4,'2017OT'!$B:$B,Report!$C39)</f>
        <v>33.249999999999964</v>
      </c>
      <c r="M39" s="61">
        <f>SUMIFS('2017OT'!$H:$H,'2017OT'!$M:$M,Report!M$4,'2017OT'!$B:$B,Report!$C39)</f>
        <v>0</v>
      </c>
      <c r="N39" s="61">
        <f>SUMIFS('2017OT'!$H:$H,'2017OT'!$M:$M,Report!N$4,'2017OT'!$B:$B,Report!$C39)</f>
        <v>0</v>
      </c>
      <c r="O39" s="61">
        <f>SUMIFS('2017OT'!$H:$H,'2017OT'!$M:$M,Report!O$4,'2017OT'!$B:$B,Report!$C39)</f>
        <v>0</v>
      </c>
      <c r="P39" s="61">
        <f>SUMIFS('2017OT'!$H:$H,'2017OT'!$M:$M,Report!P$4,'2017OT'!$B:$B,Report!$C39)</f>
        <v>0</v>
      </c>
      <c r="Q39" s="61">
        <f>SUMIFS('2017OT'!$H:$H,'2017OT'!$M:$M,Report!Q$4,'2017OT'!$B:$B,Report!$C39)</f>
        <v>0</v>
      </c>
      <c r="R39" s="61">
        <f>SUMIFS('2017OT'!$H:$H,'2017OT'!$M:$M,Report!R$4,'2017OT'!$B:$B,Report!$C39)</f>
        <v>0</v>
      </c>
      <c r="S39" s="61">
        <f>SUMIFS('2017OT'!$H:$H,'2017OT'!$M:$M,Report!S$4,'2017OT'!$B:$B,Report!$C39)</f>
        <v>0</v>
      </c>
      <c r="T39" s="61">
        <f>SUMIFS('2017OT'!$H:$H,'2017OT'!$M:$M,Report!T$4,'2017OT'!$B:$B,Report!$C39)</f>
        <v>0</v>
      </c>
      <c r="U39" s="61">
        <f>SUMIFS('2017OT'!$H:$H,'2017OT'!$M:$M,Report!U$4,'2017OT'!$B:$B,Report!$C39)</f>
        <v>0</v>
      </c>
      <c r="W39" s="61">
        <f>SUMIFS('2017OT'!$H:$H,'2017OT'!$M:$M,Report!W$4,'2017OT'!$B:$B,Report!$C39)</f>
        <v>0</v>
      </c>
      <c r="X39" s="61">
        <f>SUMIFS('2017OT'!$H:$H,'2017OT'!$M:$M,Report!X$4,'2017OT'!$B:$B,Report!$C39)</f>
        <v>0</v>
      </c>
      <c r="Y39" s="61">
        <f>SUMIFS('2017OT'!$H:$H,'2017OT'!$M:$M,Report!Y$4,'2017OT'!$B:$B,Report!$C39)</f>
        <v>0</v>
      </c>
      <c r="Z39" s="61">
        <f>SUMIFS('2017OT'!$H:$H,'2017OT'!$M:$M,Report!Z$4,'2017OT'!$B:$B,Report!$C39)</f>
        <v>0</v>
      </c>
      <c r="AA39" s="61">
        <f>SUMIFS('2017OT'!$H:$H,'2017OT'!$M:$M,Report!AA$4,'2017OT'!$B:$B,Report!$C39)</f>
        <v>0</v>
      </c>
      <c r="AB39" s="61">
        <f>SUMIFS('2017OT'!$H:$H,'2017OT'!$M:$M,Report!AB$4,'2017OT'!$B:$B,Report!$C39)</f>
        <v>0</v>
      </c>
      <c r="AC39" s="61">
        <f>SUMIFS('2017OT'!$H:$H,'2017OT'!$M:$M,Report!AC$4,'2017OT'!$B:$B,Report!$C39)</f>
        <v>0</v>
      </c>
      <c r="AD39" s="61">
        <f>SUMIFS('2017OT'!$H:$H,'2017OT'!$M:$M,Report!AD$4,'2017OT'!$B:$B,Report!$C39)</f>
        <v>0</v>
      </c>
      <c r="AE39" s="61">
        <f>SUMIFS('2017OT'!$H:$H,'2017OT'!$M:$M,Report!AE$4,'2017OT'!$B:$B,Report!$C39)</f>
        <v>0</v>
      </c>
      <c r="AF39" s="61">
        <f>SUMIFS('2017OT'!$H:$H,'2017OT'!$M:$M,Report!AF$4,'2017OT'!$B:$B,Report!$C39)</f>
        <v>0</v>
      </c>
      <c r="AG39" s="61">
        <f>SUMIFS('2017OT'!$H:$H,'2017OT'!$M:$M,Report!AG$4,'2017OT'!$B:$B,Report!$C39)</f>
        <v>0</v>
      </c>
      <c r="AH39" s="61">
        <f>SUMIFS('2017OT'!$H:$H,'2017OT'!$M:$M,Report!AH$4,'2017OT'!$B:$B,Report!$C39)</f>
        <v>0</v>
      </c>
      <c r="AJ39" s="61">
        <f>SUMIFS('2017OT'!$H:$H,'2017OT'!$M:$M,Report!AJ$4,'2017OT'!$B:$B,Report!$C39)</f>
        <v>0</v>
      </c>
      <c r="AK39" s="61">
        <f>SUMIFS('2017OT'!$H:$H,'2017OT'!$M:$M,Report!AK$4,'2017OT'!$B:$B,Report!$C39)</f>
        <v>0</v>
      </c>
      <c r="AL39" s="61">
        <f>SUMIFS('2017OT'!$H:$H,'2017OT'!$M:$M,Report!AL$4,'2017OT'!$B:$B,Report!$C39)</f>
        <v>0</v>
      </c>
      <c r="AM39" s="61">
        <f>SUMIFS('2017OT'!$H:$H,'2017OT'!$M:$M,Report!AM$4,'2017OT'!$B:$B,Report!$C39)</f>
        <v>0</v>
      </c>
      <c r="AN39" s="61">
        <f>SUMIFS('2017OT'!$H:$H,'2017OT'!$M:$M,Report!AN$4,'2017OT'!$B:$B,Report!$C39)</f>
        <v>0</v>
      </c>
      <c r="AO39" s="61">
        <f>SUMIFS('2017OT'!$H:$H,'2017OT'!$M:$M,Report!AO$4,'2017OT'!$B:$B,Report!$C39)</f>
        <v>0</v>
      </c>
      <c r="AP39" s="61">
        <f>SUMIFS('2017OT'!$H:$H,'2017OT'!$M:$M,Report!AP$4,'2017OT'!$B:$B,Report!$C39)</f>
        <v>0</v>
      </c>
      <c r="AQ39" s="61">
        <f>SUMIFS('2017OT'!$H:$H,'2017OT'!$M:$M,Report!AQ$4,'2017OT'!$B:$B,Report!$C39)</f>
        <v>0</v>
      </c>
      <c r="AR39" s="61">
        <f>SUMIFS('2017OT'!$H:$H,'2017OT'!$M:$M,Report!AR$4,'2017OT'!$B:$B,Report!$C39)</f>
        <v>0</v>
      </c>
      <c r="AS39" s="61">
        <f>SUMIFS('2017OT'!$H:$H,'2017OT'!$M:$M,Report!AS$4,'2017OT'!$B:$B,Report!$C39)</f>
        <v>0</v>
      </c>
      <c r="AT39" s="61">
        <f>SUMIFS('2017OT'!$H:$H,'2017OT'!$M:$M,Report!AT$4,'2017OT'!$B:$B,Report!$C39)</f>
        <v>0</v>
      </c>
      <c r="AU39" s="61">
        <f>SUMIFS('2017OT'!$H:$H,'2017OT'!$M:$M,Report!AU$4,'2017OT'!$B:$B,Report!$C39)</f>
        <v>0</v>
      </c>
      <c r="AV39" s="61"/>
      <c r="AW39" s="31">
        <f t="shared" si="28"/>
        <v>0</v>
      </c>
      <c r="AX39" s="31" t="str">
        <f>IFERROR(VLOOKUP($C39,#REF!,3,0),"")</f>
        <v/>
      </c>
      <c r="AY39" s="31" t="str">
        <f>IFERROR(VLOOKUP($C39,#REF!,3,0),"")</f>
        <v/>
      </c>
      <c r="AZ39" s="31" t="str">
        <f>IFERROR(VLOOKUP($C39,#REF!,3,0),"")</f>
        <v/>
      </c>
      <c r="BA39" s="31" t="str">
        <f>IFERROR(VLOOKUP($C39,#REF!,3,0),"")</f>
        <v/>
      </c>
      <c r="BB39" s="31" t="str">
        <f>IFERROR(VLOOKUP($C39,#REF!,3,0),"")</f>
        <v/>
      </c>
      <c r="BC39" s="31" t="str">
        <f>IFERROR(VLOOKUP($C39,#REF!,3,0),"")</f>
        <v/>
      </c>
      <c r="BD39" s="31" t="str">
        <f>IFERROR(VLOOKUP($C39,#REF!,3,0),"")</f>
        <v/>
      </c>
      <c r="BE39" s="31" t="str">
        <f>IFERROR(VLOOKUP($C39,#REF!,3,0),"")</f>
        <v/>
      </c>
      <c r="BF39" s="31" t="str">
        <f>IFERROR(VLOOKUP($C39,#REF!,3,0),"")</f>
        <v/>
      </c>
      <c r="BG39" s="31" t="str">
        <f>IFERROR(VLOOKUP($C39,#REF!,3,0),"")</f>
        <v/>
      </c>
      <c r="BH39" s="31" t="str">
        <f>IFERROR(VLOOKUP($C39,#REF!,3,0),"")</f>
        <v/>
      </c>
      <c r="BI39" s="31" t="str">
        <f>IFERROR(VLOOKUP($C39,#REF!,3,0),"")</f>
        <v/>
      </c>
      <c r="BK39" s="31">
        <f t="shared" si="29"/>
        <v>0</v>
      </c>
      <c r="BL39" s="31" t="str">
        <f t="shared" si="30"/>
        <v/>
      </c>
      <c r="BM39" s="31" t="str">
        <f t="shared" si="31"/>
        <v/>
      </c>
      <c r="BN39" s="31" t="str">
        <f t="shared" si="32"/>
        <v/>
      </c>
      <c r="BO39" s="31" t="str">
        <f t="shared" si="33"/>
        <v/>
      </c>
      <c r="BP39" s="31" t="str">
        <f t="shared" si="25"/>
        <v/>
      </c>
      <c r="BQ39" s="31" t="str">
        <f t="shared" si="18"/>
        <v/>
      </c>
      <c r="BR39" s="31" t="str">
        <f t="shared" si="19"/>
        <v/>
      </c>
      <c r="BS39" s="31" t="str">
        <f t="shared" si="20"/>
        <v/>
      </c>
      <c r="BT39" s="31" t="str">
        <f t="shared" si="21"/>
        <v/>
      </c>
      <c r="BU39" s="31" t="str">
        <f t="shared" si="22"/>
        <v/>
      </c>
      <c r="BV39" s="31" t="str">
        <f t="shared" si="23"/>
        <v/>
      </c>
      <c r="BW39" s="31" t="str">
        <f t="shared" si="24"/>
        <v/>
      </c>
    </row>
    <row r="40" spans="1:88" ht="15" customHeight="1">
      <c r="A40" s="83">
        <v>35</v>
      </c>
      <c r="B40" s="19" t="s">
        <v>22</v>
      </c>
      <c r="C40" s="19" t="s">
        <v>80</v>
      </c>
      <c r="D40" s="19" t="s">
        <v>230</v>
      </c>
      <c r="E40" s="19"/>
      <c r="F40" s="80">
        <v>43175</v>
      </c>
      <c r="G40" s="31">
        <f t="shared" si="26"/>
        <v>417.75</v>
      </c>
      <c r="H40" s="31">
        <f t="shared" si="27"/>
        <v>0</v>
      </c>
      <c r="I40" s="31">
        <f t="shared" si="3"/>
        <v>0</v>
      </c>
      <c r="J40" s="61">
        <f>SUMIFS('2017OT'!$H:$H,'2017OT'!$M:$M,Report!J$4,'2017OT'!$B:$B,Report!$C40)</f>
        <v>0</v>
      </c>
      <c r="K40" s="61">
        <f>SUMIFS('2017OT'!$H:$H,'2017OT'!$M:$M,Report!K$4,'2017OT'!$B:$B,Report!$C40)</f>
        <v>0</v>
      </c>
      <c r="L40" s="61">
        <f>SUMIFS('2017OT'!$H:$H,'2017OT'!$M:$M,Report!L$4,'2017OT'!$B:$B,Report!$C40)</f>
        <v>70.249999999999957</v>
      </c>
      <c r="M40" s="61">
        <f>SUMIFS('2017OT'!$H:$H,'2017OT'!$M:$M,Report!M$4,'2017OT'!$B:$B,Report!$C40)</f>
        <v>44.249999999999986</v>
      </c>
      <c r="N40" s="61">
        <f>SUMIFS('2017OT'!$H:$H,'2017OT'!$M:$M,Report!N$4,'2017OT'!$B:$B,Report!$C40)</f>
        <v>22.999999999999986</v>
      </c>
      <c r="O40" s="61">
        <f>SUMIFS('2017OT'!$H:$H,'2017OT'!$M:$M,Report!O$4,'2017OT'!$B:$B,Report!$C40)</f>
        <v>35.75</v>
      </c>
      <c r="P40" s="61">
        <f>SUMIFS('2017OT'!$H:$H,'2017OT'!$M:$M,Report!P$4,'2017OT'!$B:$B,Report!$C40)</f>
        <v>110.00000000000003</v>
      </c>
      <c r="Q40" s="61">
        <f>SUMIFS('2017OT'!$H:$H,'2017OT'!$M:$M,Report!Q$4,'2017OT'!$B:$B,Report!$C40)</f>
        <v>39.5</v>
      </c>
      <c r="R40" s="61">
        <f>SUMIFS('2017OT'!$H:$H,'2017OT'!$M:$M,Report!R$4,'2017OT'!$B:$B,Report!$C40)</f>
        <v>44</v>
      </c>
      <c r="S40" s="61">
        <f>SUMIFS('2017OT'!$H:$H,'2017OT'!$M:$M,Report!S$4,'2017OT'!$B:$B,Report!$C40)</f>
        <v>27</v>
      </c>
      <c r="T40" s="61">
        <f>SUMIFS('2017OT'!$H:$H,'2017OT'!$M:$M,Report!T$4,'2017OT'!$B:$B,Report!$C40)</f>
        <v>16.500000000000007</v>
      </c>
      <c r="U40" s="61">
        <f>SUMIFS('2017OT'!$H:$H,'2017OT'!$M:$M,Report!U$4,'2017OT'!$B:$B,Report!$C40)</f>
        <v>7.5</v>
      </c>
      <c r="W40" s="61">
        <f>SUMIFS('2017OT'!$H:$H,'2017OT'!$M:$M,Report!W$4,'2017OT'!$B:$B,Report!$C40)</f>
        <v>0</v>
      </c>
      <c r="X40" s="61">
        <f>SUMIFS('2017OT'!$H:$H,'2017OT'!$M:$M,Report!X$4,'2017OT'!$B:$B,Report!$C40)</f>
        <v>0</v>
      </c>
      <c r="Y40" s="61">
        <f>SUMIFS('2017OT'!$H:$H,'2017OT'!$M:$M,Report!Y$4,'2017OT'!$B:$B,Report!$C40)</f>
        <v>0</v>
      </c>
      <c r="Z40" s="61">
        <f>SUMIFS('2017OT'!$H:$H,'2017OT'!$M:$M,Report!Z$4,'2017OT'!$B:$B,Report!$C40)</f>
        <v>0</v>
      </c>
      <c r="AA40" s="61">
        <f>SUMIFS('2017OT'!$H:$H,'2017OT'!$M:$M,Report!AA$4,'2017OT'!$B:$B,Report!$C40)</f>
        <v>0</v>
      </c>
      <c r="AB40" s="61">
        <f>SUMIFS('2017OT'!$H:$H,'2017OT'!$M:$M,Report!AB$4,'2017OT'!$B:$B,Report!$C40)</f>
        <v>0</v>
      </c>
      <c r="AC40" s="61">
        <f>SUMIFS('2017OT'!$H:$H,'2017OT'!$M:$M,Report!AC$4,'2017OT'!$B:$B,Report!$C40)</f>
        <v>0</v>
      </c>
      <c r="AD40" s="61">
        <f>SUMIFS('2017OT'!$H:$H,'2017OT'!$M:$M,Report!AD$4,'2017OT'!$B:$B,Report!$C40)</f>
        <v>0</v>
      </c>
      <c r="AE40" s="61">
        <f>SUMIFS('2017OT'!$H:$H,'2017OT'!$M:$M,Report!AE$4,'2017OT'!$B:$B,Report!$C40)</f>
        <v>0</v>
      </c>
      <c r="AF40" s="61">
        <f>SUMIFS('2017OT'!$H:$H,'2017OT'!$M:$M,Report!AF$4,'2017OT'!$B:$B,Report!$C40)</f>
        <v>0</v>
      </c>
      <c r="AG40" s="61">
        <f>SUMIFS('2017OT'!$H:$H,'2017OT'!$M:$M,Report!AG$4,'2017OT'!$B:$B,Report!$C40)</f>
        <v>0</v>
      </c>
      <c r="AH40" s="61">
        <f>SUMIFS('2017OT'!$H:$H,'2017OT'!$M:$M,Report!AH$4,'2017OT'!$B:$B,Report!$C40)</f>
        <v>0</v>
      </c>
      <c r="AJ40" s="61">
        <f>SUMIFS('2017OT'!$H:$H,'2017OT'!$M:$M,Report!AJ$4,'2017OT'!$B:$B,Report!$C40)</f>
        <v>0</v>
      </c>
      <c r="AK40" s="61">
        <f>SUMIFS('2017OT'!$H:$H,'2017OT'!$M:$M,Report!AK$4,'2017OT'!$B:$B,Report!$C40)</f>
        <v>0</v>
      </c>
      <c r="AL40" s="61">
        <f>SUMIFS('2017OT'!$H:$H,'2017OT'!$M:$M,Report!AL$4,'2017OT'!$B:$B,Report!$C40)</f>
        <v>0</v>
      </c>
      <c r="AM40" s="61">
        <f>SUMIFS('2017OT'!$H:$H,'2017OT'!$M:$M,Report!AM$4,'2017OT'!$B:$B,Report!$C40)</f>
        <v>0</v>
      </c>
      <c r="AN40" s="61">
        <f>SUMIFS('2017OT'!$H:$H,'2017OT'!$M:$M,Report!AN$4,'2017OT'!$B:$B,Report!$C40)</f>
        <v>0</v>
      </c>
      <c r="AO40" s="61">
        <f>SUMIFS('2017OT'!$H:$H,'2017OT'!$M:$M,Report!AO$4,'2017OT'!$B:$B,Report!$C40)</f>
        <v>0</v>
      </c>
      <c r="AP40" s="61">
        <f>SUMIFS('2017OT'!$H:$H,'2017OT'!$M:$M,Report!AP$4,'2017OT'!$B:$B,Report!$C40)</f>
        <v>0</v>
      </c>
      <c r="AQ40" s="61">
        <f>SUMIFS('2017OT'!$H:$H,'2017OT'!$M:$M,Report!AQ$4,'2017OT'!$B:$B,Report!$C40)</f>
        <v>0</v>
      </c>
      <c r="AR40" s="61">
        <f>SUMIFS('2017OT'!$H:$H,'2017OT'!$M:$M,Report!AR$4,'2017OT'!$B:$B,Report!$C40)</f>
        <v>0</v>
      </c>
      <c r="AS40" s="61">
        <f>SUMIFS('2017OT'!$H:$H,'2017OT'!$M:$M,Report!AS$4,'2017OT'!$B:$B,Report!$C40)</f>
        <v>0</v>
      </c>
      <c r="AT40" s="61">
        <f>SUMIFS('2017OT'!$H:$H,'2017OT'!$M:$M,Report!AT$4,'2017OT'!$B:$B,Report!$C40)</f>
        <v>0</v>
      </c>
      <c r="AU40" s="61">
        <f>SUMIFS('2017OT'!$H:$H,'2017OT'!$M:$M,Report!AU$4,'2017OT'!$B:$B,Report!$C40)</f>
        <v>0</v>
      </c>
      <c r="AV40" s="61"/>
      <c r="AW40" s="31">
        <f t="shared" si="28"/>
        <v>0</v>
      </c>
      <c r="AX40" s="31" t="str">
        <f>IFERROR(VLOOKUP($C40,#REF!,3,0),"")</f>
        <v/>
      </c>
      <c r="AY40" s="31" t="str">
        <f>IFERROR(VLOOKUP($C40,#REF!,3,0),"")</f>
        <v/>
      </c>
      <c r="AZ40" s="31" t="str">
        <f>IFERROR(VLOOKUP($C40,#REF!,3,0),"")</f>
        <v/>
      </c>
      <c r="BA40" s="31" t="str">
        <f>IFERROR(VLOOKUP($C40,#REF!,3,0),"")</f>
        <v/>
      </c>
      <c r="BB40" s="31" t="str">
        <f>IFERROR(VLOOKUP($C40,#REF!,3,0),"")</f>
        <v/>
      </c>
      <c r="BC40" s="31" t="str">
        <f>IFERROR(VLOOKUP($C40,#REF!,3,0),"")</f>
        <v/>
      </c>
      <c r="BD40" s="31" t="str">
        <f>IFERROR(VLOOKUP($C40,#REF!,3,0),"")</f>
        <v/>
      </c>
      <c r="BE40" s="31" t="str">
        <f>IFERROR(VLOOKUP($C40,#REF!,3,0),"")</f>
        <v/>
      </c>
      <c r="BF40" s="31" t="str">
        <f>IFERROR(VLOOKUP($C40,#REF!,3,0),"")</f>
        <v/>
      </c>
      <c r="BG40" s="31" t="str">
        <f>IFERROR(VLOOKUP($C40,#REF!,3,0),"")</f>
        <v/>
      </c>
      <c r="BH40" s="31" t="str">
        <f>IFERROR(VLOOKUP($C40,#REF!,3,0),"")</f>
        <v/>
      </c>
      <c r="BI40" s="31" t="str">
        <f>IFERROR(VLOOKUP($C40,#REF!,3,0),"")</f>
        <v/>
      </c>
      <c r="BK40" s="31">
        <f t="shared" si="29"/>
        <v>0</v>
      </c>
      <c r="BL40" s="31" t="str">
        <f t="shared" si="30"/>
        <v/>
      </c>
      <c r="BM40" s="31" t="str">
        <f t="shared" si="31"/>
        <v/>
      </c>
      <c r="BN40" s="31" t="str">
        <f t="shared" si="32"/>
        <v/>
      </c>
      <c r="BO40" s="31" t="str">
        <f t="shared" si="33"/>
        <v/>
      </c>
      <c r="BP40" s="31" t="str">
        <f t="shared" si="25"/>
        <v/>
      </c>
      <c r="BQ40" s="31" t="str">
        <f t="shared" si="18"/>
        <v/>
      </c>
      <c r="BR40" s="31" t="str">
        <f t="shared" si="19"/>
        <v/>
      </c>
      <c r="BS40" s="31" t="str">
        <f t="shared" si="20"/>
        <v/>
      </c>
      <c r="BT40" s="31" t="str">
        <f t="shared" si="21"/>
        <v/>
      </c>
      <c r="BU40" s="31" t="str">
        <f t="shared" si="22"/>
        <v/>
      </c>
      <c r="BV40" s="31" t="str">
        <f t="shared" si="23"/>
        <v/>
      </c>
      <c r="BW40" s="31" t="str">
        <f t="shared" si="24"/>
        <v/>
      </c>
    </row>
    <row r="41" spans="1:88" ht="15" customHeight="1">
      <c r="A41" s="83">
        <v>36</v>
      </c>
      <c r="B41" s="19" t="s">
        <v>22</v>
      </c>
      <c r="C41" s="19" t="s">
        <v>190</v>
      </c>
      <c r="D41" s="19" t="s">
        <v>230</v>
      </c>
      <c r="E41" s="19"/>
      <c r="F41" s="75"/>
      <c r="G41" s="31">
        <f t="shared" si="26"/>
        <v>67.499999999999972</v>
      </c>
      <c r="H41" s="31">
        <f t="shared" si="27"/>
        <v>16</v>
      </c>
      <c r="I41" s="31">
        <f t="shared" si="3"/>
        <v>0</v>
      </c>
      <c r="J41" s="61">
        <f>SUMIFS('2017OT'!$H:$H,'2017OT'!$M:$M,Report!J$4,'2017OT'!$B:$B,Report!$C41)</f>
        <v>0</v>
      </c>
      <c r="K41" s="61">
        <f>SUMIFS('2017OT'!$H:$H,'2017OT'!$M:$M,Report!K$4,'2017OT'!$B:$B,Report!$C41)</f>
        <v>0</v>
      </c>
      <c r="L41" s="61">
        <f>SUMIFS('2017OT'!$H:$H,'2017OT'!$M:$M,Report!L$4,'2017OT'!$B:$B,Report!$C41)</f>
        <v>0</v>
      </c>
      <c r="M41" s="61">
        <f>SUMIFS('2017OT'!$H:$H,'2017OT'!$M:$M,Report!M$4,'2017OT'!$B:$B,Report!$C41)</f>
        <v>0</v>
      </c>
      <c r="N41" s="61">
        <f>SUMIFS('2017OT'!$H:$H,'2017OT'!$M:$M,Report!N$4,'2017OT'!$B:$B,Report!$C41)</f>
        <v>0</v>
      </c>
      <c r="O41" s="61">
        <f>SUMIFS('2017OT'!$H:$H,'2017OT'!$M:$M,Report!O$4,'2017OT'!$B:$B,Report!$C41)</f>
        <v>0</v>
      </c>
      <c r="P41" s="61">
        <f>SUMIFS('2017OT'!$H:$H,'2017OT'!$M:$M,Report!P$4,'2017OT'!$B:$B,Report!$C41)</f>
        <v>14.499999999999986</v>
      </c>
      <c r="Q41" s="61">
        <f>SUMIFS('2017OT'!$H:$H,'2017OT'!$M:$M,Report!Q$4,'2017OT'!$B:$B,Report!$C41)</f>
        <v>7.9999999999999929</v>
      </c>
      <c r="R41" s="61">
        <f>SUMIFS('2017OT'!$H:$H,'2017OT'!$M:$M,Report!R$4,'2017OT'!$B:$B,Report!$C41)</f>
        <v>0</v>
      </c>
      <c r="S41" s="61">
        <f>SUMIFS('2017OT'!$H:$H,'2017OT'!$M:$M,Report!S$4,'2017OT'!$B:$B,Report!$C41)</f>
        <v>0</v>
      </c>
      <c r="T41" s="61">
        <f>SUMIFS('2017OT'!$H:$H,'2017OT'!$M:$M,Report!T$4,'2017OT'!$B:$B,Report!$C41)</f>
        <v>0</v>
      </c>
      <c r="U41" s="61">
        <f>SUMIFS('2017OT'!$H:$H,'2017OT'!$M:$M,Report!U$4,'2017OT'!$B:$B,Report!$C41)</f>
        <v>45</v>
      </c>
      <c r="W41" s="61">
        <f>SUMIFS('2017OT'!$H:$H,'2017OT'!$M:$M,Report!W$4,'2017OT'!$B:$B,Report!$C41)</f>
        <v>16</v>
      </c>
      <c r="X41" s="61">
        <f>SUMIFS('2017OT'!$H:$H,'2017OT'!$M:$M,Report!X$4,'2017OT'!$B:$B,Report!$C41)</f>
        <v>0</v>
      </c>
      <c r="Y41" s="61">
        <f>SUMIFS('2017OT'!$H:$H,'2017OT'!$M:$M,Report!Y$4,'2017OT'!$B:$B,Report!$C41)</f>
        <v>0</v>
      </c>
      <c r="Z41" s="61">
        <f>SUMIFS('2017OT'!$H:$H,'2017OT'!$M:$M,Report!Z$4,'2017OT'!$B:$B,Report!$C41)</f>
        <v>0</v>
      </c>
      <c r="AA41" s="61">
        <f>SUMIFS('2017OT'!$H:$H,'2017OT'!$M:$M,Report!AA$4,'2017OT'!$B:$B,Report!$C41)</f>
        <v>0</v>
      </c>
      <c r="AB41" s="61">
        <f>SUMIFS('2017OT'!$H:$H,'2017OT'!$M:$M,Report!AB$4,'2017OT'!$B:$B,Report!$C41)</f>
        <v>0</v>
      </c>
      <c r="AC41" s="61">
        <f>SUMIFS('2017OT'!$H:$H,'2017OT'!$M:$M,Report!AC$4,'2017OT'!$B:$B,Report!$C41)</f>
        <v>0</v>
      </c>
      <c r="AD41" s="61">
        <f>SUMIFS('2017OT'!$H:$H,'2017OT'!$M:$M,Report!AD$4,'2017OT'!$B:$B,Report!$C41)</f>
        <v>0</v>
      </c>
      <c r="AE41" s="61">
        <f>SUMIFS('2017OT'!$H:$H,'2017OT'!$M:$M,Report!AE$4,'2017OT'!$B:$B,Report!$C41)</f>
        <v>0</v>
      </c>
      <c r="AF41" s="61">
        <f>SUMIFS('2017OT'!$H:$H,'2017OT'!$M:$M,Report!AF$4,'2017OT'!$B:$B,Report!$C41)</f>
        <v>0</v>
      </c>
      <c r="AG41" s="61">
        <f>SUMIFS('2017OT'!$H:$H,'2017OT'!$M:$M,Report!AG$4,'2017OT'!$B:$B,Report!$C41)</f>
        <v>0</v>
      </c>
      <c r="AH41" s="61">
        <f>SUMIFS('2017OT'!$H:$H,'2017OT'!$M:$M,Report!AH$4,'2017OT'!$B:$B,Report!$C41)</f>
        <v>0</v>
      </c>
      <c r="AJ41" s="61">
        <f>SUMIFS('2017OT'!$H:$H,'2017OT'!$M:$M,Report!AJ$4,'2017OT'!$B:$B,Report!$C41)</f>
        <v>0</v>
      </c>
      <c r="AK41" s="61">
        <f>SUMIFS('2017OT'!$H:$H,'2017OT'!$M:$M,Report!AK$4,'2017OT'!$B:$B,Report!$C41)</f>
        <v>0</v>
      </c>
      <c r="AL41" s="61">
        <f>SUMIFS('2017OT'!$H:$H,'2017OT'!$M:$M,Report!AL$4,'2017OT'!$B:$B,Report!$C41)</f>
        <v>0</v>
      </c>
      <c r="AM41" s="61">
        <f>SUMIFS('2017OT'!$H:$H,'2017OT'!$M:$M,Report!AM$4,'2017OT'!$B:$B,Report!$C41)</f>
        <v>0</v>
      </c>
      <c r="AN41" s="61">
        <f>SUMIFS('2017OT'!$H:$H,'2017OT'!$M:$M,Report!AN$4,'2017OT'!$B:$B,Report!$C41)</f>
        <v>0</v>
      </c>
      <c r="AO41" s="61">
        <f>SUMIFS('2017OT'!$H:$H,'2017OT'!$M:$M,Report!AO$4,'2017OT'!$B:$B,Report!$C41)</f>
        <v>0</v>
      </c>
      <c r="AP41" s="61">
        <f>SUMIFS('2017OT'!$H:$H,'2017OT'!$M:$M,Report!AP$4,'2017OT'!$B:$B,Report!$C41)</f>
        <v>0</v>
      </c>
      <c r="AQ41" s="61">
        <f>SUMIFS('2017OT'!$H:$H,'2017OT'!$M:$M,Report!AQ$4,'2017OT'!$B:$B,Report!$C41)</f>
        <v>0</v>
      </c>
      <c r="AR41" s="61">
        <f>SUMIFS('2017OT'!$H:$H,'2017OT'!$M:$M,Report!AR$4,'2017OT'!$B:$B,Report!$C41)</f>
        <v>0</v>
      </c>
      <c r="AS41" s="61">
        <f>SUMIFS('2017OT'!$H:$H,'2017OT'!$M:$M,Report!AS$4,'2017OT'!$B:$B,Report!$C41)</f>
        <v>0</v>
      </c>
      <c r="AT41" s="61">
        <f>SUMIFS('2017OT'!$H:$H,'2017OT'!$M:$M,Report!AT$4,'2017OT'!$B:$B,Report!$C41)</f>
        <v>0</v>
      </c>
      <c r="AU41" s="61">
        <f>SUMIFS('2017OT'!$H:$H,'2017OT'!$M:$M,Report!AU$4,'2017OT'!$B:$B,Report!$C41)</f>
        <v>0</v>
      </c>
      <c r="AV41" s="61"/>
      <c r="AW41" s="31">
        <f t="shared" si="28"/>
        <v>0</v>
      </c>
      <c r="AX41" s="31" t="str">
        <f>IFERROR(VLOOKUP($C41,#REF!,3,0),"")</f>
        <v/>
      </c>
      <c r="AY41" s="31" t="str">
        <f>IFERROR(VLOOKUP($C41,#REF!,3,0),"")</f>
        <v/>
      </c>
      <c r="AZ41" s="31" t="str">
        <f>IFERROR(VLOOKUP($C41,#REF!,3,0),"")</f>
        <v/>
      </c>
      <c r="BA41" s="31" t="str">
        <f>IFERROR(VLOOKUP($C41,#REF!,3,0),"")</f>
        <v/>
      </c>
      <c r="BB41" s="31" t="str">
        <f>IFERROR(VLOOKUP($C41,#REF!,3,0),"")</f>
        <v/>
      </c>
      <c r="BC41" s="31" t="str">
        <f>IFERROR(VLOOKUP($C41,#REF!,3,0),"")</f>
        <v/>
      </c>
      <c r="BD41" s="31" t="str">
        <f>IFERROR(VLOOKUP($C41,#REF!,3,0),"")</f>
        <v/>
      </c>
      <c r="BE41" s="31" t="str">
        <f>IFERROR(VLOOKUP($C41,#REF!,3,0),"")</f>
        <v/>
      </c>
      <c r="BF41" s="31" t="str">
        <f>IFERROR(VLOOKUP($C41,#REF!,3,0),"")</f>
        <v/>
      </c>
      <c r="BG41" s="31" t="str">
        <f>IFERROR(VLOOKUP($C41,#REF!,3,0),"")</f>
        <v/>
      </c>
      <c r="BH41" s="31" t="str">
        <f>IFERROR(VLOOKUP($C41,#REF!,3,0),"")</f>
        <v/>
      </c>
      <c r="BI41" s="31" t="str">
        <f>IFERROR(VLOOKUP($C41,#REF!,3,0),"")</f>
        <v/>
      </c>
      <c r="BK41" s="31">
        <f t="shared" si="29"/>
        <v>0</v>
      </c>
      <c r="BL41" s="31" t="str">
        <f t="shared" si="30"/>
        <v/>
      </c>
      <c r="BM41" s="31" t="str">
        <f t="shared" si="31"/>
        <v/>
      </c>
      <c r="BN41" s="31" t="str">
        <f t="shared" si="32"/>
        <v/>
      </c>
      <c r="BO41" s="31" t="str">
        <f t="shared" si="33"/>
        <v/>
      </c>
      <c r="BP41" s="31" t="str">
        <f t="shared" si="25"/>
        <v/>
      </c>
      <c r="BQ41" s="31" t="str">
        <f t="shared" si="18"/>
        <v/>
      </c>
      <c r="BR41" s="31" t="str">
        <f t="shared" si="19"/>
        <v/>
      </c>
      <c r="BS41" s="31" t="str">
        <f t="shared" si="20"/>
        <v/>
      </c>
      <c r="BT41" s="31" t="str">
        <f t="shared" si="21"/>
        <v/>
      </c>
      <c r="BU41" s="31" t="str">
        <f t="shared" si="22"/>
        <v/>
      </c>
      <c r="BV41" s="31" t="str">
        <f t="shared" si="23"/>
        <v/>
      </c>
      <c r="BW41" s="31" t="str">
        <f t="shared" si="24"/>
        <v/>
      </c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</row>
    <row r="42" spans="1:88" ht="15" customHeight="1">
      <c r="A42" s="83">
        <v>37</v>
      </c>
      <c r="B42" s="19" t="s">
        <v>22</v>
      </c>
      <c r="C42" s="19" t="s">
        <v>254</v>
      </c>
      <c r="D42" s="19" t="s">
        <v>230</v>
      </c>
      <c r="E42" s="19"/>
      <c r="F42" s="75"/>
      <c r="G42" s="31">
        <f t="shared" si="26"/>
        <v>392</v>
      </c>
      <c r="H42" s="31">
        <f t="shared" si="27"/>
        <v>353.50000000000011</v>
      </c>
      <c r="I42" s="31">
        <f t="shared" si="3"/>
        <v>0</v>
      </c>
      <c r="J42" s="61">
        <f>SUMIFS('2017OT'!$H:$H,'2017OT'!$M:$M,Report!J$4,'2017OT'!$B:$B,Report!$C42)</f>
        <v>0</v>
      </c>
      <c r="K42" s="61">
        <f>SUMIFS('2017OT'!$H:$H,'2017OT'!$M:$M,Report!K$4,'2017OT'!$B:$B,Report!$C42)</f>
        <v>0</v>
      </c>
      <c r="L42" s="61">
        <f>SUMIFS('2017OT'!$H:$H,'2017OT'!$M:$M,Report!L$4,'2017OT'!$B:$B,Report!$C42)</f>
        <v>0</v>
      </c>
      <c r="M42" s="61">
        <f>SUMIFS('2017OT'!$H:$H,'2017OT'!$M:$M,Report!M$4,'2017OT'!$B:$B,Report!$C42)</f>
        <v>0</v>
      </c>
      <c r="N42" s="61">
        <f>SUMIFS('2017OT'!$H:$H,'2017OT'!$M:$M,Report!N$4,'2017OT'!$B:$B,Report!$C42)</f>
        <v>0</v>
      </c>
      <c r="O42" s="61">
        <f>SUMIFS('2017OT'!$H:$H,'2017OT'!$M:$M,Report!O$4,'2017OT'!$B:$B,Report!$C42)</f>
        <v>0</v>
      </c>
      <c r="P42" s="61">
        <f>SUMIFS('2017OT'!$H:$H,'2017OT'!$M:$M,Report!P$4,'2017OT'!$B:$B,Report!$C42)</f>
        <v>0</v>
      </c>
      <c r="Q42" s="61">
        <f>SUMIFS('2017OT'!$H:$H,'2017OT'!$M:$M,Report!Q$4,'2017OT'!$B:$B,Report!$C42)</f>
        <v>87.999999999999972</v>
      </c>
      <c r="R42" s="61">
        <f>SUMIFS('2017OT'!$H:$H,'2017OT'!$M:$M,Report!R$4,'2017OT'!$B:$B,Report!$C42)</f>
        <v>73.500000000000014</v>
      </c>
      <c r="S42" s="61">
        <f>SUMIFS('2017OT'!$H:$H,'2017OT'!$M:$M,Report!S$4,'2017OT'!$B:$B,Report!$C42)</f>
        <v>93.750000000000028</v>
      </c>
      <c r="T42" s="61">
        <f>SUMIFS('2017OT'!$H:$H,'2017OT'!$M:$M,Report!T$4,'2017OT'!$B:$B,Report!$C42)</f>
        <v>65.750000000000014</v>
      </c>
      <c r="U42" s="61">
        <f>SUMIFS('2017OT'!$H:$H,'2017OT'!$M:$M,Report!U$4,'2017OT'!$B:$B,Report!$C42)</f>
        <v>70.999999999999972</v>
      </c>
      <c r="W42" s="61">
        <f>SUMIFS('2017OT'!$H:$H,'2017OT'!$M:$M,Report!W$4,'2017OT'!$B:$B,Report!$C42)</f>
        <v>18.500000000000018</v>
      </c>
      <c r="X42" s="61">
        <f>SUMIFS('2017OT'!$H:$H,'2017OT'!$M:$M,Report!X$4,'2017OT'!$B:$B,Report!$C42)</f>
        <v>24.000000000000014</v>
      </c>
      <c r="Y42" s="61">
        <f>SUMIFS('2017OT'!$H:$H,'2017OT'!$M:$M,Report!Y$4,'2017OT'!$B:$B,Report!$C42)</f>
        <v>153</v>
      </c>
      <c r="Z42" s="61">
        <f>SUMIFS('2017OT'!$H:$H,'2017OT'!$M:$M,Report!Z$4,'2017OT'!$B:$B,Report!$C42)</f>
        <v>112.50000000000009</v>
      </c>
      <c r="AA42" s="61">
        <f>SUMIFS('2017OT'!$H:$H,'2017OT'!$M:$M,Report!AA$4,'2017OT'!$B:$B,Report!$C42)</f>
        <v>45.500000000000014</v>
      </c>
      <c r="AB42" s="61">
        <f>SUMIFS('2017OT'!$H:$H,'2017OT'!$M:$M,Report!AB$4,'2017OT'!$B:$B,Report!$C42)</f>
        <v>0</v>
      </c>
      <c r="AC42" s="61">
        <f>SUMIFS('2017OT'!$H:$H,'2017OT'!$M:$M,Report!AC$4,'2017OT'!$B:$B,Report!$C42)</f>
        <v>0</v>
      </c>
      <c r="AD42" s="61">
        <f>SUMIFS('2017OT'!$H:$H,'2017OT'!$M:$M,Report!AD$4,'2017OT'!$B:$B,Report!$C42)</f>
        <v>0</v>
      </c>
      <c r="AE42" s="61">
        <f>SUMIFS('2017OT'!$H:$H,'2017OT'!$M:$M,Report!AE$4,'2017OT'!$B:$B,Report!$C42)</f>
        <v>0</v>
      </c>
      <c r="AF42" s="61">
        <f>SUMIFS('2017OT'!$H:$H,'2017OT'!$M:$M,Report!AF$4,'2017OT'!$B:$B,Report!$C42)</f>
        <v>0</v>
      </c>
      <c r="AG42" s="61">
        <f>SUMIFS('2017OT'!$H:$H,'2017OT'!$M:$M,Report!AG$4,'2017OT'!$B:$B,Report!$C42)</f>
        <v>0</v>
      </c>
      <c r="AH42" s="61">
        <f>SUMIFS('2017OT'!$H:$H,'2017OT'!$M:$M,Report!AH$4,'2017OT'!$B:$B,Report!$C42)</f>
        <v>0</v>
      </c>
      <c r="AJ42" s="61">
        <f>SUMIFS('2017OT'!$H:$H,'2017OT'!$M:$M,Report!AJ$4,'2017OT'!$B:$B,Report!$C42)</f>
        <v>0</v>
      </c>
      <c r="AK42" s="61">
        <f>SUMIFS('2017OT'!$H:$H,'2017OT'!$M:$M,Report!AK$4,'2017OT'!$B:$B,Report!$C42)</f>
        <v>0</v>
      </c>
      <c r="AL42" s="61">
        <f>SUMIFS('2017OT'!$H:$H,'2017OT'!$M:$M,Report!AL$4,'2017OT'!$B:$B,Report!$C42)</f>
        <v>0</v>
      </c>
      <c r="AM42" s="61">
        <f>SUMIFS('2017OT'!$H:$H,'2017OT'!$M:$M,Report!AM$4,'2017OT'!$B:$B,Report!$C42)</f>
        <v>0</v>
      </c>
      <c r="AN42" s="61">
        <f>SUMIFS('2017OT'!$H:$H,'2017OT'!$M:$M,Report!AN$4,'2017OT'!$B:$B,Report!$C42)</f>
        <v>0</v>
      </c>
      <c r="AO42" s="61">
        <f>SUMIFS('2017OT'!$H:$H,'2017OT'!$M:$M,Report!AO$4,'2017OT'!$B:$B,Report!$C42)</f>
        <v>0</v>
      </c>
      <c r="AP42" s="61">
        <f>SUMIFS('2017OT'!$H:$H,'2017OT'!$M:$M,Report!AP$4,'2017OT'!$B:$B,Report!$C42)</f>
        <v>0</v>
      </c>
      <c r="AQ42" s="61">
        <f>SUMIFS('2017OT'!$H:$H,'2017OT'!$M:$M,Report!AQ$4,'2017OT'!$B:$B,Report!$C42)</f>
        <v>0</v>
      </c>
      <c r="AR42" s="61">
        <f>SUMIFS('2017OT'!$H:$H,'2017OT'!$M:$M,Report!AR$4,'2017OT'!$B:$B,Report!$C42)</f>
        <v>0</v>
      </c>
      <c r="AS42" s="61">
        <f>SUMIFS('2017OT'!$H:$H,'2017OT'!$M:$M,Report!AS$4,'2017OT'!$B:$B,Report!$C42)</f>
        <v>0</v>
      </c>
      <c r="AT42" s="61">
        <f>SUMIFS('2017OT'!$H:$H,'2017OT'!$M:$M,Report!AT$4,'2017OT'!$B:$B,Report!$C42)</f>
        <v>0</v>
      </c>
      <c r="AU42" s="61">
        <f>SUMIFS('2017OT'!$H:$H,'2017OT'!$M:$M,Report!AU$4,'2017OT'!$B:$B,Report!$C42)</f>
        <v>0</v>
      </c>
      <c r="AV42" s="61"/>
      <c r="AW42" s="31">
        <f t="shared" si="28"/>
        <v>0</v>
      </c>
      <c r="AX42" s="31" t="str">
        <f>IFERROR(VLOOKUP($C42,#REF!,3,0),"")</f>
        <v/>
      </c>
      <c r="AY42" s="31" t="str">
        <f>IFERROR(VLOOKUP($C42,#REF!,3,0),"")</f>
        <v/>
      </c>
      <c r="AZ42" s="31" t="str">
        <f>IFERROR(VLOOKUP($C42,#REF!,3,0),"")</f>
        <v/>
      </c>
      <c r="BA42" s="31" t="str">
        <f>IFERROR(VLOOKUP($C42,#REF!,3,0),"")</f>
        <v/>
      </c>
      <c r="BB42" s="31" t="str">
        <f>IFERROR(VLOOKUP($C42,#REF!,3,0),"")</f>
        <v/>
      </c>
      <c r="BC42" s="31" t="str">
        <f>IFERROR(VLOOKUP($C42,#REF!,3,0),"")</f>
        <v/>
      </c>
      <c r="BD42" s="31" t="str">
        <f>IFERROR(VLOOKUP($C42,#REF!,3,0),"")</f>
        <v/>
      </c>
      <c r="BE42" s="31" t="str">
        <f>IFERROR(VLOOKUP($C42,#REF!,3,0),"")</f>
        <v/>
      </c>
      <c r="BF42" s="31" t="str">
        <f>IFERROR(VLOOKUP($C42,#REF!,3,0),"")</f>
        <v/>
      </c>
      <c r="BG42" s="31" t="str">
        <f>IFERROR(VLOOKUP($C42,#REF!,3,0),"")</f>
        <v/>
      </c>
      <c r="BH42" s="31" t="str">
        <f>IFERROR(VLOOKUP($C42,#REF!,3,0),"")</f>
        <v/>
      </c>
      <c r="BI42" s="31" t="str">
        <f>IFERROR(VLOOKUP($C42,#REF!,3,0),"")</f>
        <v/>
      </c>
      <c r="BK42" s="31">
        <f t="shared" si="29"/>
        <v>0</v>
      </c>
      <c r="BL42" s="31" t="str">
        <f t="shared" si="30"/>
        <v/>
      </c>
      <c r="BM42" s="31" t="str">
        <f t="shared" si="31"/>
        <v/>
      </c>
      <c r="BN42" s="31" t="str">
        <f t="shared" si="32"/>
        <v/>
      </c>
      <c r="BO42" s="31" t="str">
        <f t="shared" si="33"/>
        <v/>
      </c>
      <c r="BP42" s="31" t="str">
        <f t="shared" si="25"/>
        <v/>
      </c>
      <c r="BQ42" s="31" t="str">
        <f t="shared" si="18"/>
        <v/>
      </c>
      <c r="BR42" s="31" t="str">
        <f t="shared" si="19"/>
        <v/>
      </c>
      <c r="BS42" s="31" t="str">
        <f t="shared" si="20"/>
        <v/>
      </c>
      <c r="BT42" s="31" t="str">
        <f t="shared" si="21"/>
        <v/>
      </c>
      <c r="BU42" s="31" t="str">
        <f t="shared" si="22"/>
        <v/>
      </c>
      <c r="BV42" s="31" t="str">
        <f t="shared" si="23"/>
        <v/>
      </c>
      <c r="BW42" s="31" t="str">
        <f t="shared" si="24"/>
        <v/>
      </c>
    </row>
    <row r="43" spans="1:88" ht="15" customHeight="1">
      <c r="A43" s="83">
        <v>38</v>
      </c>
      <c r="B43" s="19" t="s">
        <v>22</v>
      </c>
      <c r="C43" s="19" t="s">
        <v>255</v>
      </c>
      <c r="D43" s="19" t="s">
        <v>230</v>
      </c>
      <c r="E43" s="19"/>
      <c r="F43" s="80">
        <v>43175</v>
      </c>
      <c r="G43" s="31">
        <f t="shared" si="26"/>
        <v>255.00000000000006</v>
      </c>
      <c r="H43" s="31">
        <f t="shared" si="27"/>
        <v>206.50000000000006</v>
      </c>
      <c r="I43" s="31">
        <f t="shared" si="3"/>
        <v>0</v>
      </c>
      <c r="J43" s="61">
        <f>SUMIFS('2017OT'!$H:$H,'2017OT'!$M:$M,Report!J$4,'2017OT'!$B:$B,Report!$C43)</f>
        <v>0</v>
      </c>
      <c r="K43" s="61">
        <f>SUMIFS('2017OT'!$H:$H,'2017OT'!$M:$M,Report!K$4,'2017OT'!$B:$B,Report!$C43)</f>
        <v>0</v>
      </c>
      <c r="L43" s="61">
        <f>SUMIFS('2017OT'!$H:$H,'2017OT'!$M:$M,Report!L$4,'2017OT'!$B:$B,Report!$C43)</f>
        <v>0</v>
      </c>
      <c r="M43" s="61">
        <f>SUMIFS('2017OT'!$H:$H,'2017OT'!$M:$M,Report!M$4,'2017OT'!$B:$B,Report!$C43)</f>
        <v>0</v>
      </c>
      <c r="N43" s="61">
        <f>SUMIFS('2017OT'!$H:$H,'2017OT'!$M:$M,Report!N$4,'2017OT'!$B:$B,Report!$C43)</f>
        <v>0</v>
      </c>
      <c r="O43" s="61">
        <f>SUMIFS('2017OT'!$H:$H,'2017OT'!$M:$M,Report!O$4,'2017OT'!$B:$B,Report!$C43)</f>
        <v>0</v>
      </c>
      <c r="P43" s="61">
        <f>SUMIFS('2017OT'!$H:$H,'2017OT'!$M:$M,Report!P$4,'2017OT'!$B:$B,Report!$C43)</f>
        <v>0</v>
      </c>
      <c r="Q43" s="61">
        <f>SUMIFS('2017OT'!$H:$H,'2017OT'!$M:$M,Report!Q$4,'2017OT'!$B:$B,Report!$C43)</f>
        <v>32.999999999999979</v>
      </c>
      <c r="R43" s="61">
        <f>SUMIFS('2017OT'!$H:$H,'2017OT'!$M:$M,Report!R$4,'2017OT'!$B:$B,Report!$C43)</f>
        <v>44.000000000000007</v>
      </c>
      <c r="S43" s="61">
        <f>SUMIFS('2017OT'!$H:$H,'2017OT'!$M:$M,Report!S$4,'2017OT'!$B:$B,Report!$C43)</f>
        <v>65.000000000000028</v>
      </c>
      <c r="T43" s="61">
        <f>SUMIFS('2017OT'!$H:$H,'2017OT'!$M:$M,Report!T$4,'2017OT'!$B:$B,Report!$C43)</f>
        <v>51.000000000000057</v>
      </c>
      <c r="U43" s="61">
        <f>SUMIFS('2017OT'!$H:$H,'2017OT'!$M:$M,Report!U$4,'2017OT'!$B:$B,Report!$C43)</f>
        <v>62.000000000000007</v>
      </c>
      <c r="W43" s="61">
        <f>SUMIFS('2017OT'!$H:$H,'2017OT'!$M:$M,Report!W$4,'2017OT'!$B:$B,Report!$C43)</f>
        <v>68.000000000000028</v>
      </c>
      <c r="X43" s="61">
        <f>SUMIFS('2017OT'!$H:$H,'2017OT'!$M:$M,Report!X$4,'2017OT'!$B:$B,Report!$C43)</f>
        <v>0</v>
      </c>
      <c r="Y43" s="61">
        <f>SUMIFS('2017OT'!$H:$H,'2017OT'!$M:$M,Report!Y$4,'2017OT'!$B:$B,Report!$C43)</f>
        <v>96.5</v>
      </c>
      <c r="Z43" s="61">
        <f>SUMIFS('2017OT'!$H:$H,'2017OT'!$M:$M,Report!Z$4,'2017OT'!$B:$B,Report!$C43)</f>
        <v>42.000000000000043</v>
      </c>
      <c r="AA43" s="61">
        <f>SUMIFS('2017OT'!$H:$H,'2017OT'!$M:$M,Report!AA$4,'2017OT'!$B:$B,Report!$C43)</f>
        <v>0</v>
      </c>
      <c r="AB43" s="61">
        <f>SUMIFS('2017OT'!$H:$H,'2017OT'!$M:$M,Report!AB$4,'2017OT'!$B:$B,Report!$C43)</f>
        <v>0</v>
      </c>
      <c r="AC43" s="61">
        <f>SUMIFS('2017OT'!$H:$H,'2017OT'!$M:$M,Report!AC$4,'2017OT'!$B:$B,Report!$C43)</f>
        <v>0</v>
      </c>
      <c r="AD43" s="61">
        <f>SUMIFS('2017OT'!$H:$H,'2017OT'!$M:$M,Report!AD$4,'2017OT'!$B:$B,Report!$C43)</f>
        <v>0</v>
      </c>
      <c r="AE43" s="61">
        <f>SUMIFS('2017OT'!$H:$H,'2017OT'!$M:$M,Report!AE$4,'2017OT'!$B:$B,Report!$C43)</f>
        <v>0</v>
      </c>
      <c r="AF43" s="61">
        <f>SUMIFS('2017OT'!$H:$H,'2017OT'!$M:$M,Report!AF$4,'2017OT'!$B:$B,Report!$C43)</f>
        <v>0</v>
      </c>
      <c r="AG43" s="61">
        <f>SUMIFS('2017OT'!$H:$H,'2017OT'!$M:$M,Report!AG$4,'2017OT'!$B:$B,Report!$C43)</f>
        <v>0</v>
      </c>
      <c r="AH43" s="61">
        <f>SUMIFS('2017OT'!$H:$H,'2017OT'!$M:$M,Report!AH$4,'2017OT'!$B:$B,Report!$C43)</f>
        <v>0</v>
      </c>
      <c r="AJ43" s="61">
        <f>SUMIFS('2017OT'!$H:$H,'2017OT'!$M:$M,Report!AJ$4,'2017OT'!$B:$B,Report!$C43)</f>
        <v>0</v>
      </c>
      <c r="AK43" s="61">
        <f>SUMIFS('2017OT'!$H:$H,'2017OT'!$M:$M,Report!AK$4,'2017OT'!$B:$B,Report!$C43)</f>
        <v>0</v>
      </c>
      <c r="AL43" s="61">
        <f>SUMIFS('2017OT'!$H:$H,'2017OT'!$M:$M,Report!AL$4,'2017OT'!$B:$B,Report!$C43)</f>
        <v>0</v>
      </c>
      <c r="AM43" s="61">
        <f>SUMIFS('2017OT'!$H:$H,'2017OT'!$M:$M,Report!AM$4,'2017OT'!$B:$B,Report!$C43)</f>
        <v>0</v>
      </c>
      <c r="AN43" s="61">
        <f>SUMIFS('2017OT'!$H:$H,'2017OT'!$M:$M,Report!AN$4,'2017OT'!$B:$B,Report!$C43)</f>
        <v>0</v>
      </c>
      <c r="AO43" s="61">
        <f>SUMIFS('2017OT'!$H:$H,'2017OT'!$M:$M,Report!AO$4,'2017OT'!$B:$B,Report!$C43)</f>
        <v>0</v>
      </c>
      <c r="AP43" s="61">
        <f>SUMIFS('2017OT'!$H:$H,'2017OT'!$M:$M,Report!AP$4,'2017OT'!$B:$B,Report!$C43)</f>
        <v>0</v>
      </c>
      <c r="AQ43" s="61">
        <f>SUMIFS('2017OT'!$H:$H,'2017OT'!$M:$M,Report!AQ$4,'2017OT'!$B:$B,Report!$C43)</f>
        <v>0</v>
      </c>
      <c r="AR43" s="61">
        <f>SUMIFS('2017OT'!$H:$H,'2017OT'!$M:$M,Report!AR$4,'2017OT'!$B:$B,Report!$C43)</f>
        <v>0</v>
      </c>
      <c r="AS43" s="61">
        <f>SUMIFS('2017OT'!$H:$H,'2017OT'!$M:$M,Report!AS$4,'2017OT'!$B:$B,Report!$C43)</f>
        <v>0</v>
      </c>
      <c r="AT43" s="61">
        <f>SUMIFS('2017OT'!$H:$H,'2017OT'!$M:$M,Report!AT$4,'2017OT'!$B:$B,Report!$C43)</f>
        <v>0</v>
      </c>
      <c r="AU43" s="61">
        <f>SUMIFS('2017OT'!$H:$H,'2017OT'!$M:$M,Report!AU$4,'2017OT'!$B:$B,Report!$C43)</f>
        <v>0</v>
      </c>
      <c r="AV43" s="61"/>
      <c r="AW43" s="31">
        <f t="shared" si="28"/>
        <v>0</v>
      </c>
      <c r="AX43" s="31" t="str">
        <f>IFERROR(VLOOKUP($C43,#REF!,3,0),"")</f>
        <v/>
      </c>
      <c r="AY43" s="31" t="str">
        <f>IFERROR(VLOOKUP($C43,#REF!,3,0),"")</f>
        <v/>
      </c>
      <c r="AZ43" s="31" t="str">
        <f>IFERROR(VLOOKUP($C43,#REF!,3,0),"")</f>
        <v/>
      </c>
      <c r="BA43" s="31" t="str">
        <f>IFERROR(VLOOKUP($C43,#REF!,3,0),"")</f>
        <v/>
      </c>
      <c r="BB43" s="31" t="str">
        <f>IFERROR(VLOOKUP($C43,#REF!,3,0),"")</f>
        <v/>
      </c>
      <c r="BC43" s="31" t="str">
        <f>IFERROR(VLOOKUP($C43,#REF!,3,0),"")</f>
        <v/>
      </c>
      <c r="BD43" s="31" t="str">
        <f>IFERROR(VLOOKUP($C43,#REF!,3,0),"")</f>
        <v/>
      </c>
      <c r="BE43" s="31" t="str">
        <f>IFERROR(VLOOKUP($C43,#REF!,3,0),"")</f>
        <v/>
      </c>
      <c r="BF43" s="31" t="str">
        <f>IFERROR(VLOOKUP($C43,#REF!,3,0),"")</f>
        <v/>
      </c>
      <c r="BG43" s="31" t="str">
        <f>IFERROR(VLOOKUP($C43,#REF!,3,0),"")</f>
        <v/>
      </c>
      <c r="BH43" s="31" t="str">
        <f>IFERROR(VLOOKUP($C43,#REF!,3,0),"")</f>
        <v/>
      </c>
      <c r="BI43" s="31" t="str">
        <f>IFERROR(VLOOKUP($C43,#REF!,3,0),"")</f>
        <v/>
      </c>
      <c r="BK43" s="31">
        <f t="shared" si="29"/>
        <v>0</v>
      </c>
      <c r="BL43" s="31" t="str">
        <f t="shared" si="30"/>
        <v/>
      </c>
      <c r="BM43" s="31" t="str">
        <f t="shared" si="31"/>
        <v/>
      </c>
      <c r="BN43" s="31" t="str">
        <f t="shared" si="32"/>
        <v/>
      </c>
      <c r="BO43" s="31" t="str">
        <f t="shared" si="33"/>
        <v/>
      </c>
      <c r="BP43" s="31" t="str">
        <f t="shared" si="25"/>
        <v/>
      </c>
      <c r="BQ43" s="31" t="str">
        <f t="shared" si="18"/>
        <v/>
      </c>
      <c r="BR43" s="31" t="str">
        <f t="shared" si="19"/>
        <v/>
      </c>
      <c r="BS43" s="31" t="str">
        <f t="shared" si="20"/>
        <v/>
      </c>
      <c r="BT43" s="31" t="str">
        <f t="shared" si="21"/>
        <v/>
      </c>
      <c r="BU43" s="31" t="str">
        <f t="shared" si="22"/>
        <v/>
      </c>
      <c r="BV43" s="31" t="str">
        <f t="shared" si="23"/>
        <v/>
      </c>
      <c r="BW43" s="31" t="str">
        <f t="shared" si="24"/>
        <v/>
      </c>
      <c r="BX43" s="27"/>
      <c r="BY43" s="32">
        <v>18</v>
      </c>
      <c r="BZ43" s="32">
        <v>18</v>
      </c>
      <c r="CA43" s="32">
        <v>22</v>
      </c>
      <c r="CB43" s="32">
        <v>20</v>
      </c>
      <c r="CC43" s="27"/>
      <c r="CD43" s="27"/>
      <c r="CE43" s="27"/>
      <c r="CF43" s="27"/>
      <c r="CG43" s="27"/>
      <c r="CH43" s="27"/>
      <c r="CI43" s="27"/>
      <c r="CJ43" s="27"/>
    </row>
    <row r="44" spans="1:88" ht="15" customHeight="1">
      <c r="A44" s="83">
        <v>39</v>
      </c>
      <c r="B44" s="19" t="s">
        <v>22</v>
      </c>
      <c r="C44" s="19" t="s">
        <v>346</v>
      </c>
      <c r="D44" s="19" t="s">
        <v>230</v>
      </c>
      <c r="E44" s="19"/>
      <c r="F44" s="75"/>
      <c r="G44" s="31">
        <f t="shared" si="26"/>
        <v>104</v>
      </c>
      <c r="H44" s="31">
        <f t="shared" si="27"/>
        <v>215.75000000000006</v>
      </c>
      <c r="I44" s="31">
        <f t="shared" si="3"/>
        <v>0</v>
      </c>
      <c r="J44" s="61">
        <f>SUMIFS('2017OT'!$H:$H,'2017OT'!$M:$M,Report!J$4,'2017OT'!$B:$B,Report!$C44)</f>
        <v>0</v>
      </c>
      <c r="K44" s="61">
        <f>SUMIFS('2017OT'!$H:$H,'2017OT'!$M:$M,Report!K$4,'2017OT'!$B:$B,Report!$C44)</f>
        <v>0</v>
      </c>
      <c r="L44" s="61">
        <f>SUMIFS('2017OT'!$H:$H,'2017OT'!$M:$M,Report!L$4,'2017OT'!$B:$B,Report!$C44)</f>
        <v>0</v>
      </c>
      <c r="M44" s="61">
        <f>SUMIFS('2017OT'!$H:$H,'2017OT'!$M:$M,Report!M$4,'2017OT'!$B:$B,Report!$C44)</f>
        <v>0</v>
      </c>
      <c r="N44" s="61">
        <f>SUMIFS('2017OT'!$H:$H,'2017OT'!$M:$M,Report!N$4,'2017OT'!$B:$B,Report!$C44)</f>
        <v>0</v>
      </c>
      <c r="O44" s="61">
        <f>SUMIFS('2017OT'!$H:$H,'2017OT'!$M:$M,Report!O$4,'2017OT'!$B:$B,Report!$C44)</f>
        <v>0</v>
      </c>
      <c r="P44" s="61">
        <f>SUMIFS('2017OT'!$H:$H,'2017OT'!$M:$M,Report!P$4,'2017OT'!$B:$B,Report!$C44)</f>
        <v>0</v>
      </c>
      <c r="Q44" s="61">
        <f>SUMIFS('2017OT'!$H:$H,'2017OT'!$M:$M,Report!Q$4,'2017OT'!$B:$B,Report!$C44)</f>
        <v>0</v>
      </c>
      <c r="R44" s="61">
        <f>SUMIFS('2017OT'!$H:$H,'2017OT'!$M:$M,Report!R$4,'2017OT'!$B:$B,Report!$C44)</f>
        <v>0</v>
      </c>
      <c r="S44" s="61">
        <f>SUMIFS('2017OT'!$H:$H,'2017OT'!$M:$M,Report!S$4,'2017OT'!$B:$B,Report!$C44)</f>
        <v>0</v>
      </c>
      <c r="T44" s="61">
        <f>SUMIFS('2017OT'!$H:$H,'2017OT'!$M:$M,Report!T$4,'2017OT'!$B:$B,Report!$C44)</f>
        <v>49.999999999999979</v>
      </c>
      <c r="U44" s="61">
        <f>SUMIFS('2017OT'!$H:$H,'2017OT'!$M:$M,Report!U$4,'2017OT'!$B:$B,Report!$C44)</f>
        <v>54.000000000000021</v>
      </c>
      <c r="V44" s="27"/>
      <c r="W44" s="61">
        <f>SUMIFS('2017OT'!$H:$H,'2017OT'!$M:$M,Report!W$4,'2017OT'!$B:$B,Report!$C44)</f>
        <v>66.000000000000028</v>
      </c>
      <c r="X44" s="61">
        <f>SUMIFS('2017OT'!$H:$H,'2017OT'!$M:$M,Report!X$4,'2017OT'!$B:$B,Report!$C44)</f>
        <v>49.000000000000036</v>
      </c>
      <c r="Y44" s="61">
        <f>SUMIFS('2017OT'!$H:$H,'2017OT'!$M:$M,Report!Y$4,'2017OT'!$B:$B,Report!$C44)</f>
        <v>89.250000000000014</v>
      </c>
      <c r="Z44" s="61">
        <f>SUMIFS('2017OT'!$H:$H,'2017OT'!$M:$M,Report!Z$4,'2017OT'!$B:$B,Report!$C44)</f>
        <v>6.5</v>
      </c>
      <c r="AA44" s="61">
        <f>SUMIFS('2017OT'!$H:$H,'2017OT'!$M:$M,Report!AA$4,'2017OT'!$B:$B,Report!$C44)</f>
        <v>5.0000000000000142</v>
      </c>
      <c r="AB44" s="61">
        <f>SUMIFS('2017OT'!$H:$H,'2017OT'!$M:$M,Report!AB$4,'2017OT'!$B:$B,Report!$C44)</f>
        <v>0</v>
      </c>
      <c r="AC44" s="61">
        <f>SUMIFS('2017OT'!$H:$H,'2017OT'!$M:$M,Report!AC$4,'2017OT'!$B:$B,Report!$C44)</f>
        <v>0</v>
      </c>
      <c r="AD44" s="61">
        <f>SUMIFS('2017OT'!$H:$H,'2017OT'!$M:$M,Report!AD$4,'2017OT'!$B:$B,Report!$C44)</f>
        <v>0</v>
      </c>
      <c r="AE44" s="61">
        <f>SUMIFS('2017OT'!$H:$H,'2017OT'!$M:$M,Report!AE$4,'2017OT'!$B:$B,Report!$C44)</f>
        <v>0</v>
      </c>
      <c r="AF44" s="61">
        <f>SUMIFS('2017OT'!$H:$H,'2017OT'!$M:$M,Report!AF$4,'2017OT'!$B:$B,Report!$C44)</f>
        <v>0</v>
      </c>
      <c r="AG44" s="61">
        <f>SUMIFS('2017OT'!$H:$H,'2017OT'!$M:$M,Report!AG$4,'2017OT'!$B:$B,Report!$C44)</f>
        <v>0</v>
      </c>
      <c r="AH44" s="61">
        <f>SUMIFS('2017OT'!$H:$H,'2017OT'!$M:$M,Report!AH$4,'2017OT'!$B:$B,Report!$C44)</f>
        <v>0</v>
      </c>
      <c r="AI44" s="27"/>
      <c r="AJ44" s="61">
        <f>SUMIFS('2017OT'!$H:$H,'2017OT'!$M:$M,Report!AJ$4,'2017OT'!$B:$B,Report!$C44)</f>
        <v>0</v>
      </c>
      <c r="AK44" s="61">
        <f>SUMIFS('2017OT'!$H:$H,'2017OT'!$M:$M,Report!AK$4,'2017OT'!$B:$B,Report!$C44)</f>
        <v>0</v>
      </c>
      <c r="AL44" s="61">
        <f>SUMIFS('2017OT'!$H:$H,'2017OT'!$M:$M,Report!AL$4,'2017OT'!$B:$B,Report!$C44)</f>
        <v>0</v>
      </c>
      <c r="AM44" s="61">
        <f>SUMIFS('2017OT'!$H:$H,'2017OT'!$M:$M,Report!AM$4,'2017OT'!$B:$B,Report!$C44)</f>
        <v>0</v>
      </c>
      <c r="AN44" s="61">
        <f>SUMIFS('2017OT'!$H:$H,'2017OT'!$M:$M,Report!AN$4,'2017OT'!$B:$B,Report!$C44)</f>
        <v>0</v>
      </c>
      <c r="AO44" s="61">
        <f>SUMIFS('2017OT'!$H:$H,'2017OT'!$M:$M,Report!AO$4,'2017OT'!$B:$B,Report!$C44)</f>
        <v>0</v>
      </c>
      <c r="AP44" s="61">
        <f>SUMIFS('2017OT'!$H:$H,'2017OT'!$M:$M,Report!AP$4,'2017OT'!$B:$B,Report!$C44)</f>
        <v>0</v>
      </c>
      <c r="AQ44" s="61">
        <f>SUMIFS('2017OT'!$H:$H,'2017OT'!$M:$M,Report!AQ$4,'2017OT'!$B:$B,Report!$C44)</f>
        <v>0</v>
      </c>
      <c r="AR44" s="61">
        <f>SUMIFS('2017OT'!$H:$H,'2017OT'!$M:$M,Report!AR$4,'2017OT'!$B:$B,Report!$C44)</f>
        <v>0</v>
      </c>
      <c r="AS44" s="61">
        <f>SUMIFS('2017OT'!$H:$H,'2017OT'!$M:$M,Report!AS$4,'2017OT'!$B:$B,Report!$C44)</f>
        <v>0</v>
      </c>
      <c r="AT44" s="61">
        <f>SUMIFS('2017OT'!$H:$H,'2017OT'!$M:$M,Report!AT$4,'2017OT'!$B:$B,Report!$C44)</f>
        <v>0</v>
      </c>
      <c r="AU44" s="61">
        <f>SUMIFS('2017OT'!$H:$H,'2017OT'!$M:$M,Report!AU$4,'2017OT'!$B:$B,Report!$C44)</f>
        <v>0</v>
      </c>
      <c r="AV44" s="61"/>
      <c r="AW44" s="31">
        <f t="shared" si="28"/>
        <v>0</v>
      </c>
      <c r="AX44" s="31" t="str">
        <f>IFERROR(VLOOKUP($C44,#REF!,3,0),"")</f>
        <v/>
      </c>
      <c r="AY44" s="31" t="str">
        <f>IFERROR(VLOOKUP($C44,#REF!,3,0),"")</f>
        <v/>
      </c>
      <c r="AZ44" s="31" t="str">
        <f>IFERROR(VLOOKUP($C44,#REF!,3,0),"")</f>
        <v/>
      </c>
      <c r="BA44" s="31" t="str">
        <f>IFERROR(VLOOKUP($C44,#REF!,3,0),"")</f>
        <v/>
      </c>
      <c r="BB44" s="31" t="str">
        <f>IFERROR(VLOOKUP($C44,#REF!,3,0),"")</f>
        <v/>
      </c>
      <c r="BC44" s="31" t="str">
        <f>IFERROR(VLOOKUP($C44,#REF!,3,0),"")</f>
        <v/>
      </c>
      <c r="BD44" s="31" t="str">
        <f>IFERROR(VLOOKUP($C44,#REF!,3,0),"")</f>
        <v/>
      </c>
      <c r="BE44" s="31" t="str">
        <f>IFERROR(VLOOKUP($C44,#REF!,3,0),"")</f>
        <v/>
      </c>
      <c r="BF44" s="31" t="str">
        <f>IFERROR(VLOOKUP($C44,#REF!,3,0),"")</f>
        <v/>
      </c>
      <c r="BG44" s="31" t="str">
        <f>IFERROR(VLOOKUP($C44,#REF!,3,0),"")</f>
        <v/>
      </c>
      <c r="BH44" s="31" t="str">
        <f>IFERROR(VLOOKUP($C44,#REF!,3,0),"")</f>
        <v/>
      </c>
      <c r="BI44" s="31" t="str">
        <f>IFERROR(VLOOKUP($C44,#REF!,3,0),"")</f>
        <v/>
      </c>
      <c r="BJ44" s="27"/>
      <c r="BK44" s="31">
        <f t="shared" si="29"/>
        <v>0</v>
      </c>
      <c r="BL44" s="31" t="str">
        <f t="shared" si="30"/>
        <v/>
      </c>
      <c r="BM44" s="31" t="str">
        <f t="shared" si="31"/>
        <v/>
      </c>
      <c r="BN44" s="31" t="str">
        <f t="shared" si="32"/>
        <v/>
      </c>
      <c r="BO44" s="31" t="str">
        <f t="shared" si="33"/>
        <v/>
      </c>
      <c r="BP44" s="31" t="str">
        <f t="shared" si="25"/>
        <v/>
      </c>
      <c r="BQ44" s="31" t="str">
        <f t="shared" si="18"/>
        <v/>
      </c>
      <c r="BR44" s="31" t="str">
        <f t="shared" si="19"/>
        <v/>
      </c>
      <c r="BS44" s="31" t="str">
        <f t="shared" si="20"/>
        <v/>
      </c>
      <c r="BT44" s="31" t="str">
        <f t="shared" si="21"/>
        <v/>
      </c>
      <c r="BU44" s="31" t="str">
        <f t="shared" si="22"/>
        <v/>
      </c>
      <c r="BV44" s="31" t="str">
        <f t="shared" si="23"/>
        <v/>
      </c>
      <c r="BW44" s="31" t="str">
        <f t="shared" si="24"/>
        <v/>
      </c>
    </row>
    <row r="45" spans="1:88" ht="15" customHeight="1">
      <c r="A45" s="83">
        <v>40</v>
      </c>
      <c r="B45" s="19" t="s">
        <v>22</v>
      </c>
      <c r="C45" s="19" t="s">
        <v>347</v>
      </c>
      <c r="D45" s="19" t="s">
        <v>230</v>
      </c>
      <c r="E45" s="19"/>
      <c r="F45" s="75"/>
      <c r="G45" s="31">
        <f t="shared" si="26"/>
        <v>144.5</v>
      </c>
      <c r="H45" s="31">
        <f t="shared" si="27"/>
        <v>126.00000000000003</v>
      </c>
      <c r="I45" s="31">
        <f t="shared" si="3"/>
        <v>0</v>
      </c>
      <c r="J45" s="61">
        <f>SUMIFS('2017OT'!$H:$H,'2017OT'!$M:$M,Report!J$4,'2017OT'!$B:$B,Report!$C45)</f>
        <v>0</v>
      </c>
      <c r="K45" s="61">
        <f>SUMIFS('2017OT'!$H:$H,'2017OT'!$M:$M,Report!K$4,'2017OT'!$B:$B,Report!$C45)</f>
        <v>0</v>
      </c>
      <c r="L45" s="61">
        <f>SUMIFS('2017OT'!$H:$H,'2017OT'!$M:$M,Report!L$4,'2017OT'!$B:$B,Report!$C45)</f>
        <v>0</v>
      </c>
      <c r="M45" s="61">
        <f>SUMIFS('2017OT'!$H:$H,'2017OT'!$M:$M,Report!M$4,'2017OT'!$B:$B,Report!$C45)</f>
        <v>0</v>
      </c>
      <c r="N45" s="61">
        <f>SUMIFS('2017OT'!$H:$H,'2017OT'!$M:$M,Report!N$4,'2017OT'!$B:$B,Report!$C45)</f>
        <v>0</v>
      </c>
      <c r="O45" s="61">
        <f>SUMIFS('2017OT'!$H:$H,'2017OT'!$M:$M,Report!O$4,'2017OT'!$B:$B,Report!$C45)</f>
        <v>0</v>
      </c>
      <c r="P45" s="61">
        <f>SUMIFS('2017OT'!$H:$H,'2017OT'!$M:$M,Report!P$4,'2017OT'!$B:$B,Report!$C45)</f>
        <v>0</v>
      </c>
      <c r="Q45" s="61">
        <f>SUMIFS('2017OT'!$H:$H,'2017OT'!$M:$M,Report!Q$4,'2017OT'!$B:$B,Report!$C45)</f>
        <v>0</v>
      </c>
      <c r="R45" s="61">
        <f>SUMIFS('2017OT'!$H:$H,'2017OT'!$M:$M,Report!R$4,'2017OT'!$B:$B,Report!$C45)</f>
        <v>0</v>
      </c>
      <c r="S45" s="61">
        <f>SUMIFS('2017OT'!$H:$H,'2017OT'!$M:$M,Report!S$4,'2017OT'!$B:$B,Report!$C45)</f>
        <v>0</v>
      </c>
      <c r="T45" s="61">
        <f>SUMIFS('2017OT'!$H:$H,'2017OT'!$M:$M,Report!T$4,'2017OT'!$B:$B,Report!$C45)</f>
        <v>39.999999999999993</v>
      </c>
      <c r="U45" s="61">
        <f>SUMIFS('2017OT'!$H:$H,'2017OT'!$M:$M,Report!U$4,'2017OT'!$B:$B,Report!$C45)</f>
        <v>104.50000000000001</v>
      </c>
      <c r="V45" s="27"/>
      <c r="W45" s="61">
        <f>SUMIFS('2017OT'!$H:$H,'2017OT'!$M:$M,Report!W$4,'2017OT'!$B:$B,Report!$C45)</f>
        <v>116.50000000000003</v>
      </c>
      <c r="X45" s="61">
        <f>SUMIFS('2017OT'!$H:$H,'2017OT'!$M:$M,Report!X$4,'2017OT'!$B:$B,Report!$C45)</f>
        <v>9.5000000000000018</v>
      </c>
      <c r="Y45" s="61">
        <f>SUMIFS('2017OT'!$H:$H,'2017OT'!$M:$M,Report!Y$4,'2017OT'!$B:$B,Report!$C45)</f>
        <v>0</v>
      </c>
      <c r="Z45" s="61">
        <f>SUMIFS('2017OT'!$H:$H,'2017OT'!$M:$M,Report!Z$4,'2017OT'!$B:$B,Report!$C45)</f>
        <v>0</v>
      </c>
      <c r="AA45" s="61">
        <f>SUMIFS('2017OT'!$H:$H,'2017OT'!$M:$M,Report!AA$4,'2017OT'!$B:$B,Report!$C45)</f>
        <v>0</v>
      </c>
      <c r="AB45" s="61">
        <f>SUMIFS('2017OT'!$H:$H,'2017OT'!$M:$M,Report!AB$4,'2017OT'!$B:$B,Report!$C45)</f>
        <v>0</v>
      </c>
      <c r="AC45" s="61">
        <f>SUMIFS('2017OT'!$H:$H,'2017OT'!$M:$M,Report!AC$4,'2017OT'!$B:$B,Report!$C45)</f>
        <v>0</v>
      </c>
      <c r="AD45" s="61">
        <f>SUMIFS('2017OT'!$H:$H,'2017OT'!$M:$M,Report!AD$4,'2017OT'!$B:$B,Report!$C45)</f>
        <v>0</v>
      </c>
      <c r="AE45" s="61">
        <f>SUMIFS('2017OT'!$H:$H,'2017OT'!$M:$M,Report!AE$4,'2017OT'!$B:$B,Report!$C45)</f>
        <v>0</v>
      </c>
      <c r="AF45" s="61">
        <f>SUMIFS('2017OT'!$H:$H,'2017OT'!$M:$M,Report!AF$4,'2017OT'!$B:$B,Report!$C45)</f>
        <v>0</v>
      </c>
      <c r="AG45" s="61">
        <f>SUMIFS('2017OT'!$H:$H,'2017OT'!$M:$M,Report!AG$4,'2017OT'!$B:$B,Report!$C45)</f>
        <v>0</v>
      </c>
      <c r="AH45" s="61">
        <f>SUMIFS('2017OT'!$H:$H,'2017OT'!$M:$M,Report!AH$4,'2017OT'!$B:$B,Report!$C45)</f>
        <v>0</v>
      </c>
      <c r="AI45" s="27"/>
      <c r="AJ45" s="61">
        <f>SUMIFS('2017OT'!$H:$H,'2017OT'!$M:$M,Report!AJ$4,'2017OT'!$B:$B,Report!$C45)</f>
        <v>0</v>
      </c>
      <c r="AK45" s="61">
        <f>SUMIFS('2017OT'!$H:$H,'2017OT'!$M:$M,Report!AK$4,'2017OT'!$B:$B,Report!$C45)</f>
        <v>0</v>
      </c>
      <c r="AL45" s="61">
        <f>SUMIFS('2017OT'!$H:$H,'2017OT'!$M:$M,Report!AL$4,'2017OT'!$B:$B,Report!$C45)</f>
        <v>0</v>
      </c>
      <c r="AM45" s="61">
        <f>SUMIFS('2017OT'!$H:$H,'2017OT'!$M:$M,Report!AM$4,'2017OT'!$B:$B,Report!$C45)</f>
        <v>0</v>
      </c>
      <c r="AN45" s="61">
        <f>SUMIFS('2017OT'!$H:$H,'2017OT'!$M:$M,Report!AN$4,'2017OT'!$B:$B,Report!$C45)</f>
        <v>0</v>
      </c>
      <c r="AO45" s="61">
        <f>SUMIFS('2017OT'!$H:$H,'2017OT'!$M:$M,Report!AO$4,'2017OT'!$B:$B,Report!$C45)</f>
        <v>0</v>
      </c>
      <c r="AP45" s="61">
        <f>SUMIFS('2017OT'!$H:$H,'2017OT'!$M:$M,Report!AP$4,'2017OT'!$B:$B,Report!$C45)</f>
        <v>0</v>
      </c>
      <c r="AQ45" s="61">
        <f>SUMIFS('2017OT'!$H:$H,'2017OT'!$M:$M,Report!AQ$4,'2017OT'!$B:$B,Report!$C45)</f>
        <v>0</v>
      </c>
      <c r="AR45" s="61">
        <f>SUMIFS('2017OT'!$H:$H,'2017OT'!$M:$M,Report!AR$4,'2017OT'!$B:$B,Report!$C45)</f>
        <v>0</v>
      </c>
      <c r="AS45" s="61">
        <f>SUMIFS('2017OT'!$H:$H,'2017OT'!$M:$M,Report!AS$4,'2017OT'!$B:$B,Report!$C45)</f>
        <v>0</v>
      </c>
      <c r="AT45" s="61">
        <f>SUMIFS('2017OT'!$H:$H,'2017OT'!$M:$M,Report!AT$4,'2017OT'!$B:$B,Report!$C45)</f>
        <v>0</v>
      </c>
      <c r="AU45" s="61">
        <f>SUMIFS('2017OT'!$H:$H,'2017OT'!$M:$M,Report!AU$4,'2017OT'!$B:$B,Report!$C45)</f>
        <v>0</v>
      </c>
      <c r="AV45" s="61"/>
      <c r="AW45" s="31">
        <f t="shared" si="28"/>
        <v>0</v>
      </c>
      <c r="AX45" s="31" t="str">
        <f>IFERROR(VLOOKUP($C45,#REF!,3,0),"")</f>
        <v/>
      </c>
      <c r="AY45" s="31" t="str">
        <f>IFERROR(VLOOKUP($C45,#REF!,3,0),"")</f>
        <v/>
      </c>
      <c r="AZ45" s="31" t="str">
        <f>IFERROR(VLOOKUP($C45,#REF!,3,0),"")</f>
        <v/>
      </c>
      <c r="BA45" s="31" t="str">
        <f>IFERROR(VLOOKUP($C45,#REF!,3,0),"")</f>
        <v/>
      </c>
      <c r="BB45" s="31" t="str">
        <f>IFERROR(VLOOKUP($C45,#REF!,3,0),"")</f>
        <v/>
      </c>
      <c r="BC45" s="31" t="str">
        <f>IFERROR(VLOOKUP($C45,#REF!,3,0),"")</f>
        <v/>
      </c>
      <c r="BD45" s="31" t="str">
        <f>IFERROR(VLOOKUP($C45,#REF!,3,0),"")</f>
        <v/>
      </c>
      <c r="BE45" s="31" t="str">
        <f>IFERROR(VLOOKUP($C45,#REF!,3,0),"")</f>
        <v/>
      </c>
      <c r="BF45" s="31" t="str">
        <f>IFERROR(VLOOKUP($C45,#REF!,3,0),"")</f>
        <v/>
      </c>
      <c r="BG45" s="31" t="str">
        <f>IFERROR(VLOOKUP($C45,#REF!,3,0),"")</f>
        <v/>
      </c>
      <c r="BH45" s="31" t="str">
        <f>IFERROR(VLOOKUP($C45,#REF!,3,0),"")</f>
        <v/>
      </c>
      <c r="BI45" s="31" t="str">
        <f>IFERROR(VLOOKUP($C45,#REF!,3,0),"")</f>
        <v/>
      </c>
      <c r="BJ45" s="27"/>
      <c r="BK45" s="31">
        <f t="shared" si="29"/>
        <v>0</v>
      </c>
      <c r="BL45" s="31" t="str">
        <f t="shared" si="30"/>
        <v/>
      </c>
      <c r="BM45" s="31" t="str">
        <f t="shared" si="31"/>
        <v/>
      </c>
      <c r="BN45" s="31" t="str">
        <f t="shared" si="32"/>
        <v/>
      </c>
      <c r="BO45" s="31" t="str">
        <f t="shared" si="33"/>
        <v/>
      </c>
      <c r="BP45" s="31" t="str">
        <f t="shared" si="25"/>
        <v/>
      </c>
      <c r="BQ45" s="31" t="str">
        <f t="shared" si="18"/>
        <v/>
      </c>
      <c r="BR45" s="31" t="str">
        <f t="shared" si="19"/>
        <v/>
      </c>
      <c r="BS45" s="31" t="str">
        <f t="shared" si="20"/>
        <v/>
      </c>
      <c r="BT45" s="31" t="str">
        <f t="shared" si="21"/>
        <v/>
      </c>
      <c r="BU45" s="31" t="str">
        <f t="shared" si="22"/>
        <v/>
      </c>
      <c r="BV45" s="31" t="str">
        <f t="shared" si="23"/>
        <v/>
      </c>
      <c r="BW45" s="31" t="str">
        <f t="shared" si="24"/>
        <v/>
      </c>
    </row>
    <row r="46" spans="1:88" ht="15" customHeight="1">
      <c r="A46" s="83">
        <v>41</v>
      </c>
      <c r="B46" s="19" t="s">
        <v>22</v>
      </c>
      <c r="C46" s="19" t="s">
        <v>363</v>
      </c>
      <c r="D46" s="19" t="s">
        <v>230</v>
      </c>
      <c r="E46" s="19"/>
      <c r="F46" s="75"/>
      <c r="G46" s="31">
        <f t="shared" si="26"/>
        <v>90.25</v>
      </c>
      <c r="H46" s="31">
        <f t="shared" si="27"/>
        <v>33.000000000000021</v>
      </c>
      <c r="I46" s="31">
        <f t="shared" si="3"/>
        <v>0</v>
      </c>
      <c r="J46" s="61">
        <f>SUMIFS('2017OT'!$H:$H,'2017OT'!$M:$M,Report!J$4,'2017OT'!$B:$B,Report!$C46)</f>
        <v>0</v>
      </c>
      <c r="K46" s="61">
        <f>SUMIFS('2017OT'!$H:$H,'2017OT'!$M:$M,Report!K$4,'2017OT'!$B:$B,Report!$C46)</f>
        <v>0</v>
      </c>
      <c r="L46" s="61">
        <f>SUMIFS('2017OT'!$H:$H,'2017OT'!$M:$M,Report!L$4,'2017OT'!$B:$B,Report!$C46)</f>
        <v>0</v>
      </c>
      <c r="M46" s="61">
        <f>SUMIFS('2017OT'!$H:$H,'2017OT'!$M:$M,Report!M$4,'2017OT'!$B:$B,Report!$C46)</f>
        <v>0</v>
      </c>
      <c r="N46" s="61">
        <f>SUMIFS('2017OT'!$H:$H,'2017OT'!$M:$M,Report!N$4,'2017OT'!$B:$B,Report!$C46)</f>
        <v>0</v>
      </c>
      <c r="O46" s="61">
        <f>SUMIFS('2017OT'!$H:$H,'2017OT'!$M:$M,Report!O$4,'2017OT'!$B:$B,Report!$C46)</f>
        <v>0</v>
      </c>
      <c r="P46" s="61">
        <f>SUMIFS('2017OT'!$H:$H,'2017OT'!$M:$M,Report!P$4,'2017OT'!$B:$B,Report!$C46)</f>
        <v>0</v>
      </c>
      <c r="Q46" s="61">
        <f>SUMIFS('2017OT'!$H:$H,'2017OT'!$M:$M,Report!Q$4,'2017OT'!$B:$B,Report!$C46)</f>
        <v>0</v>
      </c>
      <c r="R46" s="61">
        <f>SUMIFS('2017OT'!$H:$H,'2017OT'!$M:$M,Report!R$4,'2017OT'!$B:$B,Report!$C46)</f>
        <v>0</v>
      </c>
      <c r="S46" s="61">
        <f>SUMIFS('2017OT'!$H:$H,'2017OT'!$M:$M,Report!S$4,'2017OT'!$B:$B,Report!$C46)</f>
        <v>0</v>
      </c>
      <c r="T46" s="61">
        <f>SUMIFS('2017OT'!$H:$H,'2017OT'!$M:$M,Report!T$4,'2017OT'!$B:$B,Report!$C46)</f>
        <v>0</v>
      </c>
      <c r="U46" s="61">
        <f>SUMIFS('2017OT'!$H:$H,'2017OT'!$M:$M,Report!U$4,'2017OT'!$B:$B,Report!$C46)</f>
        <v>90.25</v>
      </c>
      <c r="W46" s="61">
        <f>SUMIFS('2017OT'!$H:$H,'2017OT'!$M:$M,Report!W$4,'2017OT'!$B:$B,Report!$C46)</f>
        <v>23.500000000000021</v>
      </c>
      <c r="X46" s="61">
        <f>SUMIFS('2017OT'!$H:$H,'2017OT'!$M:$M,Report!X$4,'2017OT'!$B:$B,Report!$C46)</f>
        <v>9.5000000000000018</v>
      </c>
      <c r="Y46" s="61">
        <f>SUMIFS('2017OT'!$H:$H,'2017OT'!$M:$M,Report!Y$4,'2017OT'!$B:$B,Report!$C46)</f>
        <v>0</v>
      </c>
      <c r="Z46" s="61">
        <f>SUMIFS('2017OT'!$H:$H,'2017OT'!$M:$M,Report!Z$4,'2017OT'!$B:$B,Report!$C46)</f>
        <v>0</v>
      </c>
      <c r="AA46" s="61">
        <f>SUMIFS('2017OT'!$H:$H,'2017OT'!$M:$M,Report!AA$4,'2017OT'!$B:$B,Report!$C46)</f>
        <v>0</v>
      </c>
      <c r="AB46" s="61">
        <f>SUMIFS('2017OT'!$H:$H,'2017OT'!$M:$M,Report!AB$4,'2017OT'!$B:$B,Report!$C46)</f>
        <v>0</v>
      </c>
      <c r="AC46" s="61">
        <f>SUMIFS('2017OT'!$H:$H,'2017OT'!$M:$M,Report!AC$4,'2017OT'!$B:$B,Report!$C46)</f>
        <v>0</v>
      </c>
      <c r="AD46" s="61">
        <f>SUMIFS('2017OT'!$H:$H,'2017OT'!$M:$M,Report!AD$4,'2017OT'!$B:$B,Report!$C46)</f>
        <v>0</v>
      </c>
      <c r="AE46" s="61">
        <f>SUMIFS('2017OT'!$H:$H,'2017OT'!$M:$M,Report!AE$4,'2017OT'!$B:$B,Report!$C46)</f>
        <v>0</v>
      </c>
      <c r="AF46" s="61">
        <f>SUMIFS('2017OT'!$H:$H,'2017OT'!$M:$M,Report!AF$4,'2017OT'!$B:$B,Report!$C46)</f>
        <v>0</v>
      </c>
      <c r="AG46" s="61">
        <f>SUMIFS('2017OT'!$H:$H,'2017OT'!$M:$M,Report!AG$4,'2017OT'!$B:$B,Report!$C46)</f>
        <v>0</v>
      </c>
      <c r="AH46" s="61">
        <f>SUMIFS('2017OT'!$H:$H,'2017OT'!$M:$M,Report!AH$4,'2017OT'!$B:$B,Report!$C46)</f>
        <v>0</v>
      </c>
      <c r="AJ46" s="61">
        <f>SUMIFS('2017OT'!$H:$H,'2017OT'!$M:$M,Report!AJ$4,'2017OT'!$B:$B,Report!$C46)</f>
        <v>0</v>
      </c>
      <c r="AK46" s="61">
        <f>SUMIFS('2017OT'!$H:$H,'2017OT'!$M:$M,Report!AK$4,'2017OT'!$B:$B,Report!$C46)</f>
        <v>0</v>
      </c>
      <c r="AL46" s="61">
        <f>SUMIFS('2017OT'!$H:$H,'2017OT'!$M:$M,Report!AL$4,'2017OT'!$B:$B,Report!$C46)</f>
        <v>0</v>
      </c>
      <c r="AM46" s="61">
        <f>SUMIFS('2017OT'!$H:$H,'2017OT'!$M:$M,Report!AM$4,'2017OT'!$B:$B,Report!$C46)</f>
        <v>0</v>
      </c>
      <c r="AN46" s="61">
        <f>SUMIFS('2017OT'!$H:$H,'2017OT'!$M:$M,Report!AN$4,'2017OT'!$B:$B,Report!$C46)</f>
        <v>0</v>
      </c>
      <c r="AO46" s="61">
        <f>SUMIFS('2017OT'!$H:$H,'2017OT'!$M:$M,Report!AO$4,'2017OT'!$B:$B,Report!$C46)</f>
        <v>0</v>
      </c>
      <c r="AP46" s="61">
        <f>SUMIFS('2017OT'!$H:$H,'2017OT'!$M:$M,Report!AP$4,'2017OT'!$B:$B,Report!$C46)</f>
        <v>0</v>
      </c>
      <c r="AQ46" s="61">
        <f>SUMIFS('2017OT'!$H:$H,'2017OT'!$M:$M,Report!AQ$4,'2017OT'!$B:$B,Report!$C46)</f>
        <v>0</v>
      </c>
      <c r="AR46" s="61">
        <f>SUMIFS('2017OT'!$H:$H,'2017OT'!$M:$M,Report!AR$4,'2017OT'!$B:$B,Report!$C46)</f>
        <v>0</v>
      </c>
      <c r="AS46" s="61">
        <f>SUMIFS('2017OT'!$H:$H,'2017OT'!$M:$M,Report!AS$4,'2017OT'!$B:$B,Report!$C46)</f>
        <v>0</v>
      </c>
      <c r="AT46" s="61">
        <f>SUMIFS('2017OT'!$H:$H,'2017OT'!$M:$M,Report!AT$4,'2017OT'!$B:$B,Report!$C46)</f>
        <v>0</v>
      </c>
      <c r="AU46" s="61">
        <f>SUMIFS('2017OT'!$H:$H,'2017OT'!$M:$M,Report!AU$4,'2017OT'!$B:$B,Report!$C46)</f>
        <v>0</v>
      </c>
      <c r="AV46" s="61"/>
      <c r="AW46" s="31">
        <f t="shared" si="28"/>
        <v>0</v>
      </c>
      <c r="AX46" s="31" t="str">
        <f>IFERROR(VLOOKUP($C46,#REF!,3,0),"")</f>
        <v/>
      </c>
      <c r="AY46" s="31" t="str">
        <f>IFERROR(VLOOKUP($C46,#REF!,3,0),"")</f>
        <v/>
      </c>
      <c r="AZ46" s="31" t="str">
        <f>IFERROR(VLOOKUP($C46,#REF!,3,0),"")</f>
        <v/>
      </c>
      <c r="BA46" s="31" t="str">
        <f>IFERROR(VLOOKUP($C46,#REF!,3,0),"")</f>
        <v/>
      </c>
      <c r="BB46" s="31" t="str">
        <f>IFERROR(VLOOKUP($C46,#REF!,3,0),"")</f>
        <v/>
      </c>
      <c r="BC46" s="31" t="str">
        <f>IFERROR(VLOOKUP($C46,#REF!,3,0),"")</f>
        <v/>
      </c>
      <c r="BD46" s="31" t="str">
        <f>IFERROR(VLOOKUP($C46,#REF!,3,0),"")</f>
        <v/>
      </c>
      <c r="BE46" s="31" t="str">
        <f>IFERROR(VLOOKUP($C46,#REF!,3,0),"")</f>
        <v/>
      </c>
      <c r="BF46" s="31" t="str">
        <f>IFERROR(VLOOKUP($C46,#REF!,3,0),"")</f>
        <v/>
      </c>
      <c r="BG46" s="31" t="str">
        <f>IFERROR(VLOOKUP($C46,#REF!,3,0),"")</f>
        <v/>
      </c>
      <c r="BH46" s="31" t="str">
        <f>IFERROR(VLOOKUP($C46,#REF!,3,0),"")</f>
        <v/>
      </c>
      <c r="BI46" s="31" t="str">
        <f>IFERROR(VLOOKUP($C46,#REF!,3,0),"")</f>
        <v/>
      </c>
      <c r="BK46" s="31">
        <f t="shared" si="29"/>
        <v>0</v>
      </c>
      <c r="BL46" s="31" t="str">
        <f t="shared" si="30"/>
        <v/>
      </c>
      <c r="BM46" s="31" t="str">
        <f t="shared" si="31"/>
        <v/>
      </c>
      <c r="BN46" s="31" t="str">
        <f t="shared" si="32"/>
        <v/>
      </c>
      <c r="BO46" s="31" t="str">
        <f t="shared" si="33"/>
        <v/>
      </c>
      <c r="BP46" s="31" t="str">
        <f t="shared" si="25"/>
        <v/>
      </c>
      <c r="BQ46" s="31" t="str">
        <f t="shared" si="18"/>
        <v/>
      </c>
      <c r="BR46" s="31" t="str">
        <f t="shared" si="19"/>
        <v/>
      </c>
      <c r="BS46" s="31" t="str">
        <f t="shared" si="20"/>
        <v/>
      </c>
      <c r="BT46" s="31" t="str">
        <f t="shared" si="21"/>
        <v/>
      </c>
      <c r="BU46" s="31" t="str">
        <f t="shared" si="22"/>
        <v/>
      </c>
      <c r="BV46" s="31" t="str">
        <f t="shared" si="23"/>
        <v/>
      </c>
      <c r="BW46" s="31" t="str">
        <f t="shared" si="24"/>
        <v/>
      </c>
    </row>
    <row r="47" spans="1:88" ht="15" customHeight="1">
      <c r="A47" s="83">
        <v>42</v>
      </c>
      <c r="B47" s="19" t="s">
        <v>22</v>
      </c>
      <c r="C47" s="19" t="s">
        <v>368</v>
      </c>
      <c r="D47" s="19" t="s">
        <v>230</v>
      </c>
      <c r="E47" s="19"/>
      <c r="F47" s="80">
        <v>43175</v>
      </c>
      <c r="G47" s="31">
        <f t="shared" si="26"/>
        <v>52.999999999999993</v>
      </c>
      <c r="H47" s="31">
        <f t="shared" si="27"/>
        <v>15.999999999999993</v>
      </c>
      <c r="I47" s="31">
        <f t="shared" si="3"/>
        <v>0</v>
      </c>
      <c r="J47" s="61">
        <f>SUMIFS('2017OT'!$H:$H,'2017OT'!$M:$M,Report!J$4,'2017OT'!$B:$B,Report!$C47)</f>
        <v>0</v>
      </c>
      <c r="K47" s="61">
        <f>SUMIFS('2017OT'!$H:$H,'2017OT'!$M:$M,Report!K$4,'2017OT'!$B:$B,Report!$C47)</f>
        <v>0</v>
      </c>
      <c r="L47" s="61">
        <f>SUMIFS('2017OT'!$H:$H,'2017OT'!$M:$M,Report!L$4,'2017OT'!$B:$B,Report!$C47)</f>
        <v>0</v>
      </c>
      <c r="M47" s="61">
        <f>SUMIFS('2017OT'!$H:$H,'2017OT'!$M:$M,Report!M$4,'2017OT'!$B:$B,Report!$C47)</f>
        <v>0</v>
      </c>
      <c r="N47" s="61">
        <f>SUMIFS('2017OT'!$H:$H,'2017OT'!$M:$M,Report!N$4,'2017OT'!$B:$B,Report!$C47)</f>
        <v>0</v>
      </c>
      <c r="O47" s="61">
        <f>SUMIFS('2017OT'!$H:$H,'2017OT'!$M:$M,Report!O$4,'2017OT'!$B:$B,Report!$C47)</f>
        <v>0</v>
      </c>
      <c r="P47" s="61">
        <f>SUMIFS('2017OT'!$H:$H,'2017OT'!$M:$M,Report!P$4,'2017OT'!$B:$B,Report!$C47)</f>
        <v>0</v>
      </c>
      <c r="Q47" s="61">
        <f>SUMIFS('2017OT'!$H:$H,'2017OT'!$M:$M,Report!Q$4,'2017OT'!$B:$B,Report!$C47)</f>
        <v>0</v>
      </c>
      <c r="R47" s="61">
        <f>SUMIFS('2017OT'!$H:$H,'2017OT'!$M:$M,Report!R$4,'2017OT'!$B:$B,Report!$C47)</f>
        <v>0</v>
      </c>
      <c r="S47" s="61">
        <f>SUMIFS('2017OT'!$H:$H,'2017OT'!$M:$M,Report!S$4,'2017OT'!$B:$B,Report!$C47)</f>
        <v>0</v>
      </c>
      <c r="T47" s="61">
        <f>SUMIFS('2017OT'!$H:$H,'2017OT'!$M:$M,Report!T$4,'2017OT'!$B:$B,Report!$C47)</f>
        <v>0</v>
      </c>
      <c r="U47" s="61">
        <f>SUMIFS('2017OT'!$H:$H,'2017OT'!$M:$M,Report!U$4,'2017OT'!$B:$B,Report!$C47)</f>
        <v>52.999999999999993</v>
      </c>
      <c r="W47" s="61">
        <f>SUMIFS('2017OT'!$H:$H,'2017OT'!$M:$M,Report!W$4,'2017OT'!$B:$B,Report!$C47)</f>
        <v>15.999999999999993</v>
      </c>
      <c r="X47" s="61">
        <f>SUMIFS('2017OT'!$H:$H,'2017OT'!$M:$M,Report!X$4,'2017OT'!$B:$B,Report!$C47)</f>
        <v>0</v>
      </c>
      <c r="Y47" s="61">
        <f>SUMIFS('2017OT'!$H:$H,'2017OT'!$M:$M,Report!Y$4,'2017OT'!$B:$B,Report!$C47)</f>
        <v>0</v>
      </c>
      <c r="Z47" s="61">
        <f>SUMIFS('2017OT'!$H:$H,'2017OT'!$M:$M,Report!Z$4,'2017OT'!$B:$B,Report!$C47)</f>
        <v>0</v>
      </c>
      <c r="AA47" s="61">
        <f>SUMIFS('2017OT'!$H:$H,'2017OT'!$M:$M,Report!AA$4,'2017OT'!$B:$B,Report!$C47)</f>
        <v>0</v>
      </c>
      <c r="AB47" s="61">
        <f>SUMIFS('2017OT'!$H:$H,'2017OT'!$M:$M,Report!AB$4,'2017OT'!$B:$B,Report!$C47)</f>
        <v>0</v>
      </c>
      <c r="AC47" s="61">
        <f>SUMIFS('2017OT'!$H:$H,'2017OT'!$M:$M,Report!AC$4,'2017OT'!$B:$B,Report!$C47)</f>
        <v>0</v>
      </c>
      <c r="AD47" s="61">
        <f>SUMIFS('2017OT'!$H:$H,'2017OT'!$M:$M,Report!AD$4,'2017OT'!$B:$B,Report!$C47)</f>
        <v>0</v>
      </c>
      <c r="AE47" s="61">
        <f>SUMIFS('2017OT'!$H:$H,'2017OT'!$M:$M,Report!AE$4,'2017OT'!$B:$B,Report!$C47)</f>
        <v>0</v>
      </c>
      <c r="AF47" s="61">
        <f>SUMIFS('2017OT'!$H:$H,'2017OT'!$M:$M,Report!AF$4,'2017OT'!$B:$B,Report!$C47)</f>
        <v>0</v>
      </c>
      <c r="AG47" s="61">
        <f>SUMIFS('2017OT'!$H:$H,'2017OT'!$M:$M,Report!AG$4,'2017OT'!$B:$B,Report!$C47)</f>
        <v>0</v>
      </c>
      <c r="AH47" s="61">
        <f>SUMIFS('2017OT'!$H:$H,'2017OT'!$M:$M,Report!AH$4,'2017OT'!$B:$B,Report!$C47)</f>
        <v>0</v>
      </c>
      <c r="AJ47" s="61">
        <f>SUMIFS('2017OT'!$H:$H,'2017OT'!$M:$M,Report!AJ$4,'2017OT'!$B:$B,Report!$C47)</f>
        <v>0</v>
      </c>
      <c r="AK47" s="61">
        <f>SUMIFS('2017OT'!$H:$H,'2017OT'!$M:$M,Report!AK$4,'2017OT'!$B:$B,Report!$C47)</f>
        <v>0</v>
      </c>
      <c r="AL47" s="61">
        <f>SUMIFS('2017OT'!$H:$H,'2017OT'!$M:$M,Report!AL$4,'2017OT'!$B:$B,Report!$C47)</f>
        <v>0</v>
      </c>
      <c r="AM47" s="61">
        <f>SUMIFS('2017OT'!$H:$H,'2017OT'!$M:$M,Report!AM$4,'2017OT'!$B:$B,Report!$C47)</f>
        <v>0</v>
      </c>
      <c r="AN47" s="61">
        <f>SUMIFS('2017OT'!$H:$H,'2017OT'!$M:$M,Report!AN$4,'2017OT'!$B:$B,Report!$C47)</f>
        <v>0</v>
      </c>
      <c r="AO47" s="61">
        <f>SUMIFS('2017OT'!$H:$H,'2017OT'!$M:$M,Report!AO$4,'2017OT'!$B:$B,Report!$C47)</f>
        <v>0</v>
      </c>
      <c r="AP47" s="61">
        <f>SUMIFS('2017OT'!$H:$H,'2017OT'!$M:$M,Report!AP$4,'2017OT'!$B:$B,Report!$C47)</f>
        <v>0</v>
      </c>
      <c r="AQ47" s="61">
        <f>SUMIFS('2017OT'!$H:$H,'2017OT'!$M:$M,Report!AQ$4,'2017OT'!$B:$B,Report!$C47)</f>
        <v>0</v>
      </c>
      <c r="AR47" s="61">
        <f>SUMIFS('2017OT'!$H:$H,'2017OT'!$M:$M,Report!AR$4,'2017OT'!$B:$B,Report!$C47)</f>
        <v>0</v>
      </c>
      <c r="AS47" s="61">
        <f>SUMIFS('2017OT'!$H:$H,'2017OT'!$M:$M,Report!AS$4,'2017OT'!$B:$B,Report!$C47)</f>
        <v>0</v>
      </c>
      <c r="AT47" s="61">
        <f>SUMIFS('2017OT'!$H:$H,'2017OT'!$M:$M,Report!AT$4,'2017OT'!$B:$B,Report!$C47)</f>
        <v>0</v>
      </c>
      <c r="AU47" s="61">
        <f>SUMIFS('2017OT'!$H:$H,'2017OT'!$M:$M,Report!AU$4,'2017OT'!$B:$B,Report!$C47)</f>
        <v>0</v>
      </c>
      <c r="AV47" s="61"/>
      <c r="AW47" s="31">
        <f t="shared" si="28"/>
        <v>0</v>
      </c>
      <c r="AX47" s="31" t="str">
        <f>IFERROR(VLOOKUP($C47,#REF!,3,0),"")</f>
        <v/>
      </c>
      <c r="AY47" s="31" t="str">
        <f>IFERROR(VLOOKUP($C47,#REF!,3,0),"")</f>
        <v/>
      </c>
      <c r="AZ47" s="31" t="str">
        <f>IFERROR(VLOOKUP($C47,#REF!,3,0),"")</f>
        <v/>
      </c>
      <c r="BA47" s="31" t="str">
        <f>IFERROR(VLOOKUP($C47,#REF!,3,0),"")</f>
        <v/>
      </c>
      <c r="BB47" s="31" t="str">
        <f>IFERROR(VLOOKUP($C47,#REF!,3,0),"")</f>
        <v/>
      </c>
      <c r="BC47" s="31" t="str">
        <f>IFERROR(VLOOKUP($C47,#REF!,3,0),"")</f>
        <v/>
      </c>
      <c r="BD47" s="31" t="str">
        <f>IFERROR(VLOOKUP($C47,#REF!,3,0),"")</f>
        <v/>
      </c>
      <c r="BE47" s="31" t="str">
        <f>IFERROR(VLOOKUP($C47,#REF!,3,0),"")</f>
        <v/>
      </c>
      <c r="BF47" s="31" t="str">
        <f>IFERROR(VLOOKUP($C47,#REF!,3,0),"")</f>
        <v/>
      </c>
      <c r="BG47" s="31" t="str">
        <f>IFERROR(VLOOKUP($C47,#REF!,3,0),"")</f>
        <v/>
      </c>
      <c r="BH47" s="31" t="str">
        <f>IFERROR(VLOOKUP($C47,#REF!,3,0),"")</f>
        <v/>
      </c>
      <c r="BI47" s="31" t="str">
        <f>IFERROR(VLOOKUP($C47,#REF!,3,0),"")</f>
        <v/>
      </c>
      <c r="BK47" s="31">
        <f t="shared" si="29"/>
        <v>0</v>
      </c>
      <c r="BL47" s="31" t="str">
        <f t="shared" si="30"/>
        <v/>
      </c>
      <c r="BM47" s="31" t="str">
        <f t="shared" si="31"/>
        <v/>
      </c>
      <c r="BN47" s="31" t="str">
        <f t="shared" si="32"/>
        <v/>
      </c>
      <c r="BO47" s="31" t="str">
        <f t="shared" si="33"/>
        <v/>
      </c>
      <c r="BP47" s="31" t="str">
        <f t="shared" si="25"/>
        <v/>
      </c>
      <c r="BQ47" s="31" t="str">
        <f t="shared" si="18"/>
        <v/>
      </c>
      <c r="BR47" s="31" t="str">
        <f t="shared" si="19"/>
        <v/>
      </c>
      <c r="BS47" s="31" t="str">
        <f t="shared" si="20"/>
        <v/>
      </c>
      <c r="BT47" s="31" t="str">
        <f t="shared" si="21"/>
        <v/>
      </c>
      <c r="BU47" s="31" t="str">
        <f t="shared" si="22"/>
        <v/>
      </c>
      <c r="BV47" s="31" t="str">
        <f t="shared" si="23"/>
        <v/>
      </c>
      <c r="BW47" s="31" t="str">
        <f t="shared" si="24"/>
        <v/>
      </c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</row>
    <row r="48" spans="1:88" ht="15" customHeight="1">
      <c r="A48" s="83">
        <v>43</v>
      </c>
      <c r="B48" s="19" t="s">
        <v>22</v>
      </c>
      <c r="C48" s="19" t="s">
        <v>369</v>
      </c>
      <c r="D48" s="19" t="s">
        <v>230</v>
      </c>
      <c r="E48" s="19"/>
      <c r="F48" s="80">
        <v>43175</v>
      </c>
      <c r="G48" s="31">
        <f t="shared" si="26"/>
        <v>39.999999999999993</v>
      </c>
      <c r="H48" s="31">
        <f t="shared" si="27"/>
        <v>8</v>
      </c>
      <c r="I48" s="31">
        <f t="shared" si="3"/>
        <v>0</v>
      </c>
      <c r="J48" s="61">
        <f>SUMIFS('2017OT'!$H:$H,'2017OT'!$M:$M,Report!J$4,'2017OT'!$B:$B,Report!$C48)</f>
        <v>0</v>
      </c>
      <c r="K48" s="61">
        <f>SUMIFS('2017OT'!$H:$H,'2017OT'!$M:$M,Report!K$4,'2017OT'!$B:$B,Report!$C48)</f>
        <v>0</v>
      </c>
      <c r="L48" s="61">
        <f>SUMIFS('2017OT'!$H:$H,'2017OT'!$M:$M,Report!L$4,'2017OT'!$B:$B,Report!$C48)</f>
        <v>0</v>
      </c>
      <c r="M48" s="61">
        <f>SUMIFS('2017OT'!$H:$H,'2017OT'!$M:$M,Report!M$4,'2017OT'!$B:$B,Report!$C48)</f>
        <v>0</v>
      </c>
      <c r="N48" s="61">
        <f>SUMIFS('2017OT'!$H:$H,'2017OT'!$M:$M,Report!N$4,'2017OT'!$B:$B,Report!$C48)</f>
        <v>0</v>
      </c>
      <c r="O48" s="61">
        <f>SUMIFS('2017OT'!$H:$H,'2017OT'!$M:$M,Report!O$4,'2017OT'!$B:$B,Report!$C48)</f>
        <v>0</v>
      </c>
      <c r="P48" s="61">
        <f>SUMIFS('2017OT'!$H:$H,'2017OT'!$M:$M,Report!P$4,'2017OT'!$B:$B,Report!$C48)</f>
        <v>0</v>
      </c>
      <c r="Q48" s="61">
        <f>SUMIFS('2017OT'!$H:$H,'2017OT'!$M:$M,Report!Q$4,'2017OT'!$B:$B,Report!$C48)</f>
        <v>0</v>
      </c>
      <c r="R48" s="61">
        <f>SUMIFS('2017OT'!$H:$H,'2017OT'!$M:$M,Report!R$4,'2017OT'!$B:$B,Report!$C48)</f>
        <v>0</v>
      </c>
      <c r="S48" s="61">
        <f>SUMIFS('2017OT'!$H:$H,'2017OT'!$M:$M,Report!S$4,'2017OT'!$B:$B,Report!$C48)</f>
        <v>0</v>
      </c>
      <c r="T48" s="61">
        <f>SUMIFS('2017OT'!$H:$H,'2017OT'!$M:$M,Report!T$4,'2017OT'!$B:$B,Report!$C48)</f>
        <v>0</v>
      </c>
      <c r="U48" s="61">
        <f>SUMIFS('2017OT'!$H:$H,'2017OT'!$M:$M,Report!U$4,'2017OT'!$B:$B,Report!$C48)</f>
        <v>39.999999999999993</v>
      </c>
      <c r="W48" s="61">
        <f>SUMIFS('2017OT'!$H:$H,'2017OT'!$M:$M,Report!W$4,'2017OT'!$B:$B,Report!$C48)</f>
        <v>8</v>
      </c>
      <c r="X48" s="61">
        <f>SUMIFS('2017OT'!$H:$H,'2017OT'!$M:$M,Report!X$4,'2017OT'!$B:$B,Report!$C48)</f>
        <v>0</v>
      </c>
      <c r="Y48" s="61">
        <f>SUMIFS('2017OT'!$H:$H,'2017OT'!$M:$M,Report!Y$4,'2017OT'!$B:$B,Report!$C48)</f>
        <v>0</v>
      </c>
      <c r="Z48" s="61">
        <f>SUMIFS('2017OT'!$H:$H,'2017OT'!$M:$M,Report!Z$4,'2017OT'!$B:$B,Report!$C48)</f>
        <v>0</v>
      </c>
      <c r="AA48" s="61">
        <f>SUMIFS('2017OT'!$H:$H,'2017OT'!$M:$M,Report!AA$4,'2017OT'!$B:$B,Report!$C48)</f>
        <v>0</v>
      </c>
      <c r="AB48" s="61">
        <f>SUMIFS('2017OT'!$H:$H,'2017OT'!$M:$M,Report!AB$4,'2017OT'!$B:$B,Report!$C48)</f>
        <v>0</v>
      </c>
      <c r="AC48" s="61">
        <f>SUMIFS('2017OT'!$H:$H,'2017OT'!$M:$M,Report!AC$4,'2017OT'!$B:$B,Report!$C48)</f>
        <v>0</v>
      </c>
      <c r="AD48" s="61">
        <f>SUMIFS('2017OT'!$H:$H,'2017OT'!$M:$M,Report!AD$4,'2017OT'!$B:$B,Report!$C48)</f>
        <v>0</v>
      </c>
      <c r="AE48" s="61">
        <f>SUMIFS('2017OT'!$H:$H,'2017OT'!$M:$M,Report!AE$4,'2017OT'!$B:$B,Report!$C48)</f>
        <v>0</v>
      </c>
      <c r="AF48" s="61">
        <f>SUMIFS('2017OT'!$H:$H,'2017OT'!$M:$M,Report!AF$4,'2017OT'!$B:$B,Report!$C48)</f>
        <v>0</v>
      </c>
      <c r="AG48" s="61">
        <f>SUMIFS('2017OT'!$H:$H,'2017OT'!$M:$M,Report!AG$4,'2017OT'!$B:$B,Report!$C48)</f>
        <v>0</v>
      </c>
      <c r="AH48" s="61">
        <f>SUMIFS('2017OT'!$H:$H,'2017OT'!$M:$M,Report!AH$4,'2017OT'!$B:$B,Report!$C48)</f>
        <v>0</v>
      </c>
      <c r="AJ48" s="61">
        <f>SUMIFS('2017OT'!$H:$H,'2017OT'!$M:$M,Report!AJ$4,'2017OT'!$B:$B,Report!$C48)</f>
        <v>0</v>
      </c>
      <c r="AK48" s="61">
        <f>SUMIFS('2017OT'!$H:$H,'2017OT'!$M:$M,Report!AK$4,'2017OT'!$B:$B,Report!$C48)</f>
        <v>0</v>
      </c>
      <c r="AL48" s="61">
        <f>SUMIFS('2017OT'!$H:$H,'2017OT'!$M:$M,Report!AL$4,'2017OT'!$B:$B,Report!$C48)</f>
        <v>0</v>
      </c>
      <c r="AM48" s="61">
        <f>SUMIFS('2017OT'!$H:$H,'2017OT'!$M:$M,Report!AM$4,'2017OT'!$B:$B,Report!$C48)</f>
        <v>0</v>
      </c>
      <c r="AN48" s="61">
        <f>SUMIFS('2017OT'!$H:$H,'2017OT'!$M:$M,Report!AN$4,'2017OT'!$B:$B,Report!$C48)</f>
        <v>0</v>
      </c>
      <c r="AO48" s="61">
        <f>SUMIFS('2017OT'!$H:$H,'2017OT'!$M:$M,Report!AO$4,'2017OT'!$B:$B,Report!$C48)</f>
        <v>0</v>
      </c>
      <c r="AP48" s="61">
        <f>SUMIFS('2017OT'!$H:$H,'2017OT'!$M:$M,Report!AP$4,'2017OT'!$B:$B,Report!$C48)</f>
        <v>0</v>
      </c>
      <c r="AQ48" s="61">
        <f>SUMIFS('2017OT'!$H:$H,'2017OT'!$M:$M,Report!AQ$4,'2017OT'!$B:$B,Report!$C48)</f>
        <v>0</v>
      </c>
      <c r="AR48" s="61">
        <f>SUMIFS('2017OT'!$H:$H,'2017OT'!$M:$M,Report!AR$4,'2017OT'!$B:$B,Report!$C48)</f>
        <v>0</v>
      </c>
      <c r="AS48" s="61">
        <f>SUMIFS('2017OT'!$H:$H,'2017OT'!$M:$M,Report!AS$4,'2017OT'!$B:$B,Report!$C48)</f>
        <v>0</v>
      </c>
      <c r="AT48" s="61">
        <f>SUMIFS('2017OT'!$H:$H,'2017OT'!$M:$M,Report!AT$4,'2017OT'!$B:$B,Report!$C48)</f>
        <v>0</v>
      </c>
      <c r="AU48" s="61">
        <f>SUMIFS('2017OT'!$H:$H,'2017OT'!$M:$M,Report!AU$4,'2017OT'!$B:$B,Report!$C48)</f>
        <v>0</v>
      </c>
      <c r="AV48" s="61"/>
      <c r="AW48" s="31">
        <f t="shared" si="28"/>
        <v>0</v>
      </c>
      <c r="AX48" s="31" t="str">
        <f>IFERROR(VLOOKUP($C48,#REF!,3,0),"")</f>
        <v/>
      </c>
      <c r="AY48" s="31" t="str">
        <f>IFERROR(VLOOKUP($C48,#REF!,3,0),"")</f>
        <v/>
      </c>
      <c r="AZ48" s="31" t="str">
        <f>IFERROR(VLOOKUP($C48,#REF!,3,0),"")</f>
        <v/>
      </c>
      <c r="BA48" s="31" t="str">
        <f>IFERROR(VLOOKUP($C48,#REF!,3,0),"")</f>
        <v/>
      </c>
      <c r="BB48" s="31" t="str">
        <f>IFERROR(VLOOKUP($C48,#REF!,3,0),"")</f>
        <v/>
      </c>
      <c r="BC48" s="31" t="str">
        <f>IFERROR(VLOOKUP($C48,#REF!,3,0),"")</f>
        <v/>
      </c>
      <c r="BD48" s="31" t="str">
        <f>IFERROR(VLOOKUP($C48,#REF!,3,0),"")</f>
        <v/>
      </c>
      <c r="BE48" s="31" t="str">
        <f>IFERROR(VLOOKUP($C48,#REF!,3,0),"")</f>
        <v/>
      </c>
      <c r="BF48" s="31" t="str">
        <f>IFERROR(VLOOKUP($C48,#REF!,3,0),"")</f>
        <v/>
      </c>
      <c r="BG48" s="31" t="str">
        <f>IFERROR(VLOOKUP($C48,#REF!,3,0),"")</f>
        <v/>
      </c>
      <c r="BH48" s="31" t="str">
        <f>IFERROR(VLOOKUP($C48,#REF!,3,0),"")</f>
        <v/>
      </c>
      <c r="BI48" s="31" t="str">
        <f>IFERROR(VLOOKUP($C48,#REF!,3,0),"")</f>
        <v/>
      </c>
      <c r="BK48" s="31">
        <f t="shared" si="29"/>
        <v>0</v>
      </c>
      <c r="BL48" s="31" t="str">
        <f t="shared" si="30"/>
        <v/>
      </c>
      <c r="BM48" s="31" t="str">
        <f t="shared" si="31"/>
        <v/>
      </c>
      <c r="BN48" s="31" t="str">
        <f t="shared" si="32"/>
        <v/>
      </c>
      <c r="BO48" s="31" t="str">
        <f t="shared" si="33"/>
        <v/>
      </c>
      <c r="BP48" s="31" t="str">
        <f t="shared" si="25"/>
        <v/>
      </c>
      <c r="BQ48" s="31" t="str">
        <f t="shared" si="18"/>
        <v/>
      </c>
      <c r="BR48" s="31" t="str">
        <f t="shared" si="19"/>
        <v/>
      </c>
      <c r="BS48" s="31" t="str">
        <f t="shared" si="20"/>
        <v/>
      </c>
      <c r="BT48" s="31" t="str">
        <f t="shared" si="21"/>
        <v/>
      </c>
      <c r="BU48" s="31" t="str">
        <f t="shared" si="22"/>
        <v/>
      </c>
      <c r="BV48" s="31" t="str">
        <f t="shared" si="23"/>
        <v/>
      </c>
      <c r="BW48" s="31" t="str">
        <f t="shared" si="24"/>
        <v/>
      </c>
    </row>
    <row r="49" spans="1:75" ht="15" customHeight="1">
      <c r="A49" s="83">
        <v>44</v>
      </c>
      <c r="B49" s="19" t="s">
        <v>22</v>
      </c>
      <c r="C49" s="19" t="s">
        <v>381</v>
      </c>
      <c r="D49" s="19" t="s">
        <v>230</v>
      </c>
      <c r="E49" s="19"/>
      <c r="F49" s="75"/>
      <c r="G49" s="31">
        <f t="shared" si="26"/>
        <v>78.749999999999972</v>
      </c>
      <c r="H49" s="31">
        <f t="shared" si="27"/>
        <v>8</v>
      </c>
      <c r="I49" s="31">
        <f t="shared" si="3"/>
        <v>0</v>
      </c>
      <c r="J49" s="61">
        <f>SUMIFS('2017OT'!$H:$H,'2017OT'!$M:$M,Report!J$4,'2017OT'!$B:$B,Report!$C49)</f>
        <v>0</v>
      </c>
      <c r="K49" s="61">
        <f>SUMIFS('2017OT'!$H:$H,'2017OT'!$M:$M,Report!K$4,'2017OT'!$B:$B,Report!$C49)</f>
        <v>0</v>
      </c>
      <c r="L49" s="61">
        <f>SUMIFS('2017OT'!$H:$H,'2017OT'!$M:$M,Report!L$4,'2017OT'!$B:$B,Report!$C49)</f>
        <v>0</v>
      </c>
      <c r="M49" s="61">
        <f>SUMIFS('2017OT'!$H:$H,'2017OT'!$M:$M,Report!M$4,'2017OT'!$B:$B,Report!$C49)</f>
        <v>0</v>
      </c>
      <c r="N49" s="61">
        <f>SUMIFS('2017OT'!$H:$H,'2017OT'!$M:$M,Report!N$4,'2017OT'!$B:$B,Report!$C49)</f>
        <v>0</v>
      </c>
      <c r="O49" s="61">
        <f>SUMIFS('2017OT'!$H:$H,'2017OT'!$M:$M,Report!O$4,'2017OT'!$B:$B,Report!$C49)</f>
        <v>0</v>
      </c>
      <c r="P49" s="61">
        <f>SUMIFS('2017OT'!$H:$H,'2017OT'!$M:$M,Report!P$4,'2017OT'!$B:$B,Report!$C49)</f>
        <v>0</v>
      </c>
      <c r="Q49" s="61">
        <f>SUMIFS('2017OT'!$H:$H,'2017OT'!$M:$M,Report!Q$4,'2017OT'!$B:$B,Report!$C49)</f>
        <v>0</v>
      </c>
      <c r="R49" s="61">
        <f>SUMIFS('2017OT'!$H:$H,'2017OT'!$M:$M,Report!R$4,'2017OT'!$B:$B,Report!$C49)</f>
        <v>0</v>
      </c>
      <c r="S49" s="61">
        <f>SUMIFS('2017OT'!$H:$H,'2017OT'!$M:$M,Report!S$4,'2017OT'!$B:$B,Report!$C49)</f>
        <v>0</v>
      </c>
      <c r="T49" s="61">
        <f>SUMIFS('2017OT'!$H:$H,'2017OT'!$M:$M,Report!T$4,'2017OT'!$B:$B,Report!$C49)</f>
        <v>0</v>
      </c>
      <c r="U49" s="61">
        <f>SUMIFS('2017OT'!$H:$H,'2017OT'!$M:$M,Report!U$4,'2017OT'!$B:$B,Report!$C49)</f>
        <v>78.749999999999972</v>
      </c>
      <c r="W49" s="61">
        <f>SUMIFS('2017OT'!$H:$H,'2017OT'!$M:$M,Report!W$4,'2017OT'!$B:$B,Report!$C49)</f>
        <v>8</v>
      </c>
      <c r="X49" s="61">
        <f>SUMIFS('2017OT'!$H:$H,'2017OT'!$M:$M,Report!X$4,'2017OT'!$B:$B,Report!$C49)</f>
        <v>0</v>
      </c>
      <c r="Y49" s="61">
        <f>SUMIFS('2017OT'!$H:$H,'2017OT'!$M:$M,Report!Y$4,'2017OT'!$B:$B,Report!$C49)</f>
        <v>0</v>
      </c>
      <c r="Z49" s="61">
        <f>SUMIFS('2017OT'!$H:$H,'2017OT'!$M:$M,Report!Z$4,'2017OT'!$B:$B,Report!$C49)</f>
        <v>0</v>
      </c>
      <c r="AA49" s="61">
        <f>SUMIFS('2017OT'!$H:$H,'2017OT'!$M:$M,Report!AA$4,'2017OT'!$B:$B,Report!$C49)</f>
        <v>0</v>
      </c>
      <c r="AB49" s="61">
        <f>SUMIFS('2017OT'!$H:$H,'2017OT'!$M:$M,Report!AB$4,'2017OT'!$B:$B,Report!$C49)</f>
        <v>0</v>
      </c>
      <c r="AC49" s="61">
        <f>SUMIFS('2017OT'!$H:$H,'2017OT'!$M:$M,Report!AC$4,'2017OT'!$B:$B,Report!$C49)</f>
        <v>0</v>
      </c>
      <c r="AD49" s="61">
        <f>SUMIFS('2017OT'!$H:$H,'2017OT'!$M:$M,Report!AD$4,'2017OT'!$B:$B,Report!$C49)</f>
        <v>0</v>
      </c>
      <c r="AE49" s="61">
        <f>SUMIFS('2017OT'!$H:$H,'2017OT'!$M:$M,Report!AE$4,'2017OT'!$B:$B,Report!$C49)</f>
        <v>0</v>
      </c>
      <c r="AF49" s="61">
        <f>SUMIFS('2017OT'!$H:$H,'2017OT'!$M:$M,Report!AF$4,'2017OT'!$B:$B,Report!$C49)</f>
        <v>0</v>
      </c>
      <c r="AG49" s="61">
        <f>SUMIFS('2017OT'!$H:$H,'2017OT'!$M:$M,Report!AG$4,'2017OT'!$B:$B,Report!$C49)</f>
        <v>0</v>
      </c>
      <c r="AH49" s="61">
        <f>SUMIFS('2017OT'!$H:$H,'2017OT'!$M:$M,Report!AH$4,'2017OT'!$B:$B,Report!$C49)</f>
        <v>0</v>
      </c>
      <c r="AJ49" s="61">
        <f>SUMIFS('2017OT'!$H:$H,'2017OT'!$M:$M,Report!AJ$4,'2017OT'!$B:$B,Report!$C49)</f>
        <v>0</v>
      </c>
      <c r="AK49" s="61">
        <f>SUMIFS('2017OT'!$H:$H,'2017OT'!$M:$M,Report!AK$4,'2017OT'!$B:$B,Report!$C49)</f>
        <v>0</v>
      </c>
      <c r="AL49" s="61">
        <f>SUMIFS('2017OT'!$H:$H,'2017OT'!$M:$M,Report!AL$4,'2017OT'!$B:$B,Report!$C49)</f>
        <v>0</v>
      </c>
      <c r="AM49" s="61">
        <f>SUMIFS('2017OT'!$H:$H,'2017OT'!$M:$M,Report!AM$4,'2017OT'!$B:$B,Report!$C49)</f>
        <v>0</v>
      </c>
      <c r="AN49" s="61">
        <f>SUMIFS('2017OT'!$H:$H,'2017OT'!$M:$M,Report!AN$4,'2017OT'!$B:$B,Report!$C49)</f>
        <v>0</v>
      </c>
      <c r="AO49" s="61">
        <f>SUMIFS('2017OT'!$H:$H,'2017OT'!$M:$M,Report!AO$4,'2017OT'!$B:$B,Report!$C49)</f>
        <v>0</v>
      </c>
      <c r="AP49" s="61">
        <f>SUMIFS('2017OT'!$H:$H,'2017OT'!$M:$M,Report!AP$4,'2017OT'!$B:$B,Report!$C49)</f>
        <v>0</v>
      </c>
      <c r="AQ49" s="61">
        <f>SUMIFS('2017OT'!$H:$H,'2017OT'!$M:$M,Report!AQ$4,'2017OT'!$B:$B,Report!$C49)</f>
        <v>0</v>
      </c>
      <c r="AR49" s="61">
        <f>SUMIFS('2017OT'!$H:$H,'2017OT'!$M:$M,Report!AR$4,'2017OT'!$B:$B,Report!$C49)</f>
        <v>0</v>
      </c>
      <c r="AS49" s="61">
        <f>SUMIFS('2017OT'!$H:$H,'2017OT'!$M:$M,Report!AS$4,'2017OT'!$B:$B,Report!$C49)</f>
        <v>0</v>
      </c>
      <c r="AT49" s="61">
        <f>SUMIFS('2017OT'!$H:$H,'2017OT'!$M:$M,Report!AT$4,'2017OT'!$B:$B,Report!$C49)</f>
        <v>0</v>
      </c>
      <c r="AU49" s="61">
        <f>SUMIFS('2017OT'!$H:$H,'2017OT'!$M:$M,Report!AU$4,'2017OT'!$B:$B,Report!$C49)</f>
        <v>0</v>
      </c>
      <c r="AV49" s="61"/>
      <c r="AW49" s="31">
        <f t="shared" si="28"/>
        <v>0</v>
      </c>
      <c r="AX49" s="31" t="str">
        <f>IFERROR(VLOOKUP($C49,#REF!,3,0),"")</f>
        <v/>
      </c>
      <c r="AY49" s="31" t="str">
        <f>IFERROR(VLOOKUP($C49,#REF!,3,0),"")</f>
        <v/>
      </c>
      <c r="AZ49" s="31" t="str">
        <f>IFERROR(VLOOKUP($C49,#REF!,3,0),"")</f>
        <v/>
      </c>
      <c r="BA49" s="31" t="str">
        <f>IFERROR(VLOOKUP($C49,#REF!,3,0),"")</f>
        <v/>
      </c>
      <c r="BB49" s="31" t="str">
        <f>IFERROR(VLOOKUP($C49,#REF!,3,0),"")</f>
        <v/>
      </c>
      <c r="BC49" s="31" t="str">
        <f>IFERROR(VLOOKUP($C49,#REF!,3,0),"")</f>
        <v/>
      </c>
      <c r="BD49" s="31" t="str">
        <f>IFERROR(VLOOKUP($C49,#REF!,3,0),"")</f>
        <v/>
      </c>
      <c r="BE49" s="31" t="str">
        <f>IFERROR(VLOOKUP($C49,#REF!,3,0),"")</f>
        <v/>
      </c>
      <c r="BF49" s="31" t="str">
        <f>IFERROR(VLOOKUP($C49,#REF!,3,0),"")</f>
        <v/>
      </c>
      <c r="BG49" s="31" t="str">
        <f>IFERROR(VLOOKUP($C49,#REF!,3,0),"")</f>
        <v/>
      </c>
      <c r="BH49" s="31" t="str">
        <f>IFERROR(VLOOKUP($C49,#REF!,3,0),"")</f>
        <v/>
      </c>
      <c r="BI49" s="31" t="str">
        <f>IFERROR(VLOOKUP($C49,#REF!,3,0),"")</f>
        <v/>
      </c>
      <c r="BK49" s="31">
        <f t="shared" si="29"/>
        <v>0</v>
      </c>
      <c r="BL49" s="31" t="str">
        <f t="shared" si="30"/>
        <v/>
      </c>
      <c r="BM49" s="31" t="str">
        <f t="shared" si="31"/>
        <v/>
      </c>
      <c r="BN49" s="31" t="str">
        <f t="shared" si="32"/>
        <v/>
      </c>
      <c r="BO49" s="31" t="str">
        <f t="shared" si="33"/>
        <v/>
      </c>
      <c r="BP49" s="31" t="str">
        <f t="shared" si="25"/>
        <v/>
      </c>
      <c r="BQ49" s="31" t="str">
        <f t="shared" si="18"/>
        <v/>
      </c>
      <c r="BR49" s="31" t="str">
        <f t="shared" si="19"/>
        <v/>
      </c>
      <c r="BS49" s="31" t="str">
        <f t="shared" si="20"/>
        <v/>
      </c>
      <c r="BT49" s="31" t="str">
        <f t="shared" si="21"/>
        <v/>
      </c>
      <c r="BU49" s="31" t="str">
        <f t="shared" si="22"/>
        <v/>
      </c>
      <c r="BV49" s="31" t="str">
        <f t="shared" si="23"/>
        <v/>
      </c>
      <c r="BW49" s="31" t="str">
        <f t="shared" si="24"/>
        <v/>
      </c>
    </row>
    <row r="50" spans="1:75" ht="15" customHeight="1">
      <c r="A50" s="83">
        <v>45</v>
      </c>
      <c r="B50" s="19" t="s">
        <v>22</v>
      </c>
      <c r="C50" s="19" t="s">
        <v>399</v>
      </c>
      <c r="D50" s="19"/>
      <c r="E50" s="19"/>
      <c r="F50" s="75"/>
      <c r="G50" s="31">
        <f t="shared" si="26"/>
        <v>13</v>
      </c>
      <c r="H50" s="31">
        <f t="shared" si="27"/>
        <v>29.999999999999979</v>
      </c>
      <c r="I50" s="31">
        <f t="shared" si="3"/>
        <v>0</v>
      </c>
      <c r="J50" s="61">
        <f>SUMIFS('2017OT'!$H:$H,'2017OT'!$M:$M,Report!J$4,'2017OT'!$B:$B,Report!$C50)</f>
        <v>0</v>
      </c>
      <c r="K50" s="61">
        <f>SUMIFS('2017OT'!$H:$H,'2017OT'!$M:$M,Report!K$4,'2017OT'!$B:$B,Report!$C50)</f>
        <v>0</v>
      </c>
      <c r="L50" s="61">
        <f>SUMIFS('2017OT'!$H:$H,'2017OT'!$M:$M,Report!L$4,'2017OT'!$B:$B,Report!$C50)</f>
        <v>0</v>
      </c>
      <c r="M50" s="61">
        <f>SUMIFS('2017OT'!$H:$H,'2017OT'!$M:$M,Report!M$4,'2017OT'!$B:$B,Report!$C50)</f>
        <v>0</v>
      </c>
      <c r="N50" s="61">
        <f>SUMIFS('2017OT'!$H:$H,'2017OT'!$M:$M,Report!N$4,'2017OT'!$B:$B,Report!$C50)</f>
        <v>0</v>
      </c>
      <c r="O50" s="61">
        <f>SUMIFS('2017OT'!$H:$H,'2017OT'!$M:$M,Report!O$4,'2017OT'!$B:$B,Report!$C50)</f>
        <v>0</v>
      </c>
      <c r="P50" s="61">
        <f>SUMIFS('2017OT'!$H:$H,'2017OT'!$M:$M,Report!P$4,'2017OT'!$B:$B,Report!$C50)</f>
        <v>0</v>
      </c>
      <c r="Q50" s="61">
        <f>SUMIFS('2017OT'!$H:$H,'2017OT'!$M:$M,Report!Q$4,'2017OT'!$B:$B,Report!$C50)</f>
        <v>0</v>
      </c>
      <c r="R50" s="61">
        <f>SUMIFS('2017OT'!$H:$H,'2017OT'!$M:$M,Report!R$4,'2017OT'!$B:$B,Report!$C50)</f>
        <v>0</v>
      </c>
      <c r="S50" s="61">
        <f>SUMIFS('2017OT'!$H:$H,'2017OT'!$M:$M,Report!S$4,'2017OT'!$B:$B,Report!$C50)</f>
        <v>0</v>
      </c>
      <c r="T50" s="61">
        <f>SUMIFS('2017OT'!$H:$H,'2017OT'!$M:$M,Report!T$4,'2017OT'!$B:$B,Report!$C50)</f>
        <v>0</v>
      </c>
      <c r="U50" s="61">
        <f>SUMIFS('2017OT'!$H:$H,'2017OT'!$M:$M,Report!U$4,'2017OT'!$B:$B,Report!$C50)</f>
        <v>13</v>
      </c>
      <c r="W50" s="61">
        <f>SUMIFS('2017OT'!$H:$H,'2017OT'!$M:$M,Report!W$4,'2017OT'!$B:$B,Report!$C50)</f>
        <v>29.999999999999979</v>
      </c>
      <c r="X50" s="61">
        <f>SUMIFS('2017OT'!$H:$H,'2017OT'!$M:$M,Report!X$4,'2017OT'!$B:$B,Report!$C50)</f>
        <v>0</v>
      </c>
      <c r="Y50" s="61">
        <f>SUMIFS('2017OT'!$H:$H,'2017OT'!$M:$M,Report!Y$4,'2017OT'!$B:$B,Report!$C50)</f>
        <v>0</v>
      </c>
      <c r="Z50" s="61">
        <f>SUMIFS('2017OT'!$H:$H,'2017OT'!$M:$M,Report!Z$4,'2017OT'!$B:$B,Report!$C50)</f>
        <v>0</v>
      </c>
      <c r="AA50" s="61">
        <f>SUMIFS('2017OT'!$H:$H,'2017OT'!$M:$M,Report!AA$4,'2017OT'!$B:$B,Report!$C50)</f>
        <v>0</v>
      </c>
      <c r="AB50" s="61">
        <f>SUMIFS('2017OT'!$H:$H,'2017OT'!$M:$M,Report!AB$4,'2017OT'!$B:$B,Report!$C50)</f>
        <v>0</v>
      </c>
      <c r="AC50" s="61">
        <f>SUMIFS('2017OT'!$H:$H,'2017OT'!$M:$M,Report!AC$4,'2017OT'!$B:$B,Report!$C50)</f>
        <v>0</v>
      </c>
      <c r="AD50" s="61">
        <f>SUMIFS('2017OT'!$H:$H,'2017OT'!$M:$M,Report!AD$4,'2017OT'!$B:$B,Report!$C50)</f>
        <v>0</v>
      </c>
      <c r="AE50" s="61">
        <f>SUMIFS('2017OT'!$H:$H,'2017OT'!$M:$M,Report!AE$4,'2017OT'!$B:$B,Report!$C50)</f>
        <v>0</v>
      </c>
      <c r="AF50" s="61">
        <f>SUMIFS('2017OT'!$H:$H,'2017OT'!$M:$M,Report!AF$4,'2017OT'!$B:$B,Report!$C50)</f>
        <v>0</v>
      </c>
      <c r="AG50" s="61">
        <f>SUMIFS('2017OT'!$H:$H,'2017OT'!$M:$M,Report!AG$4,'2017OT'!$B:$B,Report!$C50)</f>
        <v>0</v>
      </c>
      <c r="AH50" s="61">
        <f>SUMIFS('2017OT'!$H:$H,'2017OT'!$M:$M,Report!AH$4,'2017OT'!$B:$B,Report!$C50)</f>
        <v>0</v>
      </c>
      <c r="AJ50" s="61">
        <f>SUMIFS('2017OT'!$H:$H,'2017OT'!$M:$M,Report!AJ$4,'2017OT'!$B:$B,Report!$C50)</f>
        <v>0</v>
      </c>
      <c r="AK50" s="61">
        <f>SUMIFS('2017OT'!$H:$H,'2017OT'!$M:$M,Report!AK$4,'2017OT'!$B:$B,Report!$C50)</f>
        <v>0</v>
      </c>
      <c r="AL50" s="61">
        <f>SUMIFS('2017OT'!$H:$H,'2017OT'!$M:$M,Report!AL$4,'2017OT'!$B:$B,Report!$C50)</f>
        <v>0</v>
      </c>
      <c r="AM50" s="61">
        <f>SUMIFS('2017OT'!$H:$H,'2017OT'!$M:$M,Report!AM$4,'2017OT'!$B:$B,Report!$C50)</f>
        <v>0</v>
      </c>
      <c r="AN50" s="61">
        <f>SUMIFS('2017OT'!$H:$H,'2017OT'!$M:$M,Report!AN$4,'2017OT'!$B:$B,Report!$C50)</f>
        <v>0</v>
      </c>
      <c r="AO50" s="61">
        <f>SUMIFS('2017OT'!$H:$H,'2017OT'!$M:$M,Report!AO$4,'2017OT'!$B:$B,Report!$C50)</f>
        <v>0</v>
      </c>
      <c r="AP50" s="61">
        <f>SUMIFS('2017OT'!$H:$H,'2017OT'!$M:$M,Report!AP$4,'2017OT'!$B:$B,Report!$C50)</f>
        <v>0</v>
      </c>
      <c r="AQ50" s="61">
        <f>SUMIFS('2017OT'!$H:$H,'2017OT'!$M:$M,Report!AQ$4,'2017OT'!$B:$B,Report!$C50)</f>
        <v>0</v>
      </c>
      <c r="AR50" s="61">
        <f>SUMIFS('2017OT'!$H:$H,'2017OT'!$M:$M,Report!AR$4,'2017OT'!$B:$B,Report!$C50)</f>
        <v>0</v>
      </c>
      <c r="AS50" s="61">
        <f>SUMIFS('2017OT'!$H:$H,'2017OT'!$M:$M,Report!AS$4,'2017OT'!$B:$B,Report!$C50)</f>
        <v>0</v>
      </c>
      <c r="AT50" s="61">
        <f>SUMIFS('2017OT'!$H:$H,'2017OT'!$M:$M,Report!AT$4,'2017OT'!$B:$B,Report!$C50)</f>
        <v>0</v>
      </c>
      <c r="AU50" s="61">
        <f>SUMIFS('2017OT'!$H:$H,'2017OT'!$M:$M,Report!AU$4,'2017OT'!$B:$B,Report!$C50)</f>
        <v>0</v>
      </c>
      <c r="AV50" s="61"/>
      <c r="AW50" s="31">
        <f t="shared" si="28"/>
        <v>0</v>
      </c>
      <c r="AX50" s="31" t="str">
        <f>IFERROR(VLOOKUP($C50,#REF!,3,0),"")</f>
        <v/>
      </c>
      <c r="AY50" s="31" t="str">
        <f>IFERROR(VLOOKUP($C50,#REF!,3,0),"")</f>
        <v/>
      </c>
      <c r="AZ50" s="31" t="str">
        <f>IFERROR(VLOOKUP($C50,#REF!,3,0),"")</f>
        <v/>
      </c>
      <c r="BA50" s="31" t="str">
        <f>IFERROR(VLOOKUP($C50,#REF!,3,0),"")</f>
        <v/>
      </c>
      <c r="BB50" s="31" t="str">
        <f>IFERROR(VLOOKUP($C50,#REF!,3,0),"")</f>
        <v/>
      </c>
      <c r="BC50" s="31" t="str">
        <f>IFERROR(VLOOKUP($C50,#REF!,3,0),"")</f>
        <v/>
      </c>
      <c r="BD50" s="31" t="str">
        <f>IFERROR(VLOOKUP($C50,#REF!,3,0),"")</f>
        <v/>
      </c>
      <c r="BE50" s="31" t="str">
        <f>IFERROR(VLOOKUP($C50,#REF!,3,0),"")</f>
        <v/>
      </c>
      <c r="BF50" s="31" t="str">
        <f>IFERROR(VLOOKUP($C50,#REF!,3,0),"")</f>
        <v/>
      </c>
      <c r="BG50" s="31" t="str">
        <f>IFERROR(VLOOKUP($C50,#REF!,3,0),"")</f>
        <v/>
      </c>
      <c r="BH50" s="31" t="str">
        <f>IFERROR(VLOOKUP($C50,#REF!,3,0),"")</f>
        <v/>
      </c>
      <c r="BI50" s="31" t="str">
        <f>IFERROR(VLOOKUP($C50,#REF!,3,0),"")</f>
        <v/>
      </c>
      <c r="BK50" s="31">
        <f t="shared" si="29"/>
        <v>0</v>
      </c>
      <c r="BL50" s="31" t="str">
        <f t="shared" si="30"/>
        <v/>
      </c>
      <c r="BM50" s="31" t="str">
        <f t="shared" si="31"/>
        <v/>
      </c>
      <c r="BN50" s="31" t="str">
        <f t="shared" si="32"/>
        <v/>
      </c>
      <c r="BO50" s="31" t="str">
        <f t="shared" si="33"/>
        <v/>
      </c>
      <c r="BP50" s="31" t="str">
        <f t="shared" si="25"/>
        <v/>
      </c>
      <c r="BQ50" s="31" t="str">
        <f t="shared" si="18"/>
        <v/>
      </c>
      <c r="BR50" s="31" t="str">
        <f t="shared" si="19"/>
        <v/>
      </c>
      <c r="BS50" s="31" t="str">
        <f t="shared" si="20"/>
        <v/>
      </c>
      <c r="BT50" s="31" t="str">
        <f t="shared" si="21"/>
        <v/>
      </c>
      <c r="BU50" s="31" t="str">
        <f t="shared" si="22"/>
        <v/>
      </c>
      <c r="BV50" s="31" t="str">
        <f t="shared" si="23"/>
        <v/>
      </c>
      <c r="BW50" s="31" t="str">
        <f t="shared" si="24"/>
        <v/>
      </c>
    </row>
    <row r="51" spans="1:75" ht="15" customHeight="1">
      <c r="A51" s="83">
        <v>46</v>
      </c>
      <c r="B51" s="19" t="s">
        <v>22</v>
      </c>
      <c r="C51" s="19" t="s">
        <v>479</v>
      </c>
      <c r="D51" s="19"/>
      <c r="E51" s="19"/>
      <c r="F51" s="75"/>
      <c r="G51" s="31">
        <f t="shared" si="26"/>
        <v>0</v>
      </c>
      <c r="H51" s="31">
        <f t="shared" si="27"/>
        <v>191.83333333333337</v>
      </c>
      <c r="I51" s="31">
        <f t="shared" si="3"/>
        <v>0</v>
      </c>
      <c r="J51" s="61">
        <f>SUMIFS('2017OT'!$H:$H,'2017OT'!$M:$M,Report!J$4,'2017OT'!$B:$B,Report!$C51)</f>
        <v>0</v>
      </c>
      <c r="K51" s="61">
        <f>SUMIFS('2017OT'!$H:$H,'2017OT'!$M:$M,Report!K$4,'2017OT'!$B:$B,Report!$C51)</f>
        <v>0</v>
      </c>
      <c r="L51" s="61">
        <f>SUMIFS('2017OT'!$H:$H,'2017OT'!$M:$M,Report!L$4,'2017OT'!$B:$B,Report!$C51)</f>
        <v>0</v>
      </c>
      <c r="M51" s="61">
        <f>SUMIFS('2017OT'!$H:$H,'2017OT'!$M:$M,Report!M$4,'2017OT'!$B:$B,Report!$C51)</f>
        <v>0</v>
      </c>
      <c r="N51" s="61">
        <f>SUMIFS('2017OT'!$H:$H,'2017OT'!$M:$M,Report!N$4,'2017OT'!$B:$B,Report!$C51)</f>
        <v>0</v>
      </c>
      <c r="O51" s="61">
        <f>SUMIFS('2017OT'!$H:$H,'2017OT'!$M:$M,Report!O$4,'2017OT'!$B:$B,Report!$C51)</f>
        <v>0</v>
      </c>
      <c r="P51" s="61">
        <f>SUMIFS('2017OT'!$H:$H,'2017OT'!$M:$M,Report!P$4,'2017OT'!$B:$B,Report!$C51)</f>
        <v>0</v>
      </c>
      <c r="Q51" s="61">
        <f>SUMIFS('2017OT'!$H:$H,'2017OT'!$M:$M,Report!Q$4,'2017OT'!$B:$B,Report!$C51)</f>
        <v>0</v>
      </c>
      <c r="R51" s="61">
        <f>SUMIFS('2017OT'!$H:$H,'2017OT'!$M:$M,Report!R$4,'2017OT'!$B:$B,Report!$C51)</f>
        <v>0</v>
      </c>
      <c r="S51" s="61">
        <f>SUMIFS('2017OT'!$H:$H,'2017OT'!$M:$M,Report!S$4,'2017OT'!$B:$B,Report!$C51)</f>
        <v>0</v>
      </c>
      <c r="T51" s="61">
        <f>SUMIFS('2017OT'!$H:$H,'2017OT'!$M:$M,Report!T$4,'2017OT'!$B:$B,Report!$C51)</f>
        <v>0</v>
      </c>
      <c r="U51" s="61">
        <f>SUMIFS('2017OT'!$H:$H,'2017OT'!$M:$M,Report!U$4,'2017OT'!$B:$B,Report!$C51)</f>
        <v>0</v>
      </c>
      <c r="W51" s="61">
        <f>SUMIFS('2017OT'!$H:$H,'2017OT'!$M:$M,Report!W$4,'2017OT'!$B:$B,Report!$C51)</f>
        <v>0</v>
      </c>
      <c r="X51" s="61">
        <f>SUMIFS('2017OT'!$H:$H,'2017OT'!$M:$M,Report!X$4,'2017OT'!$B:$B,Report!$C51)</f>
        <v>0</v>
      </c>
      <c r="Y51" s="61">
        <f>SUMIFS('2017OT'!$H:$H,'2017OT'!$M:$M,Report!Y$4,'2017OT'!$B:$B,Report!$C51)</f>
        <v>80.000000000000014</v>
      </c>
      <c r="Z51" s="61">
        <f>SUMIFS('2017OT'!$H:$H,'2017OT'!$M:$M,Report!Z$4,'2017OT'!$B:$B,Report!$C51)</f>
        <v>104.00000000000003</v>
      </c>
      <c r="AA51" s="61">
        <f>SUMIFS('2017OT'!$H:$H,'2017OT'!$M:$M,Report!AA$4,'2017OT'!$B:$B,Report!$C51)</f>
        <v>7.8333333333333215</v>
      </c>
      <c r="AB51" s="61">
        <f>SUMIFS('2017OT'!$H:$H,'2017OT'!$M:$M,Report!AB$4,'2017OT'!$B:$B,Report!$C51)</f>
        <v>0</v>
      </c>
      <c r="AC51" s="61">
        <f>SUMIFS('2017OT'!$H:$H,'2017OT'!$M:$M,Report!AC$4,'2017OT'!$B:$B,Report!$C51)</f>
        <v>0</v>
      </c>
      <c r="AD51" s="61">
        <f>SUMIFS('2017OT'!$H:$H,'2017OT'!$M:$M,Report!AD$4,'2017OT'!$B:$B,Report!$C51)</f>
        <v>0</v>
      </c>
      <c r="AE51" s="61">
        <f>SUMIFS('2017OT'!$H:$H,'2017OT'!$M:$M,Report!AE$4,'2017OT'!$B:$B,Report!$C51)</f>
        <v>0</v>
      </c>
      <c r="AF51" s="61">
        <f>SUMIFS('2017OT'!$H:$H,'2017OT'!$M:$M,Report!AF$4,'2017OT'!$B:$B,Report!$C51)</f>
        <v>0</v>
      </c>
      <c r="AG51" s="61">
        <f>SUMIFS('2017OT'!$H:$H,'2017OT'!$M:$M,Report!AG$4,'2017OT'!$B:$B,Report!$C51)</f>
        <v>0</v>
      </c>
      <c r="AH51" s="61">
        <f>SUMIFS('2017OT'!$H:$H,'2017OT'!$M:$M,Report!AH$4,'2017OT'!$B:$B,Report!$C51)</f>
        <v>0</v>
      </c>
      <c r="AJ51" s="61">
        <f>SUMIFS('2017OT'!$H:$H,'2017OT'!$M:$M,Report!AJ$4,'2017OT'!$B:$B,Report!$C51)</f>
        <v>0</v>
      </c>
      <c r="AK51" s="61">
        <f>SUMIFS('2017OT'!$H:$H,'2017OT'!$M:$M,Report!AK$4,'2017OT'!$B:$B,Report!$C51)</f>
        <v>0</v>
      </c>
      <c r="AL51" s="61">
        <f>SUMIFS('2017OT'!$H:$H,'2017OT'!$M:$M,Report!AL$4,'2017OT'!$B:$B,Report!$C51)</f>
        <v>0</v>
      </c>
      <c r="AM51" s="61">
        <f>SUMIFS('2017OT'!$H:$H,'2017OT'!$M:$M,Report!AM$4,'2017OT'!$B:$B,Report!$C51)</f>
        <v>0</v>
      </c>
      <c r="AN51" s="61">
        <f>SUMIFS('2017OT'!$H:$H,'2017OT'!$M:$M,Report!AN$4,'2017OT'!$B:$B,Report!$C51)</f>
        <v>0</v>
      </c>
      <c r="AO51" s="61">
        <f>SUMIFS('2017OT'!$H:$H,'2017OT'!$M:$M,Report!AO$4,'2017OT'!$B:$B,Report!$C51)</f>
        <v>0</v>
      </c>
      <c r="AP51" s="61">
        <f>SUMIFS('2017OT'!$H:$H,'2017OT'!$M:$M,Report!AP$4,'2017OT'!$B:$B,Report!$C51)</f>
        <v>0</v>
      </c>
      <c r="AQ51" s="61">
        <f>SUMIFS('2017OT'!$H:$H,'2017OT'!$M:$M,Report!AQ$4,'2017OT'!$B:$B,Report!$C51)</f>
        <v>0</v>
      </c>
      <c r="AR51" s="61">
        <f>SUMIFS('2017OT'!$H:$H,'2017OT'!$M:$M,Report!AR$4,'2017OT'!$B:$B,Report!$C51)</f>
        <v>0</v>
      </c>
      <c r="AS51" s="61">
        <f>SUMIFS('2017OT'!$H:$H,'2017OT'!$M:$M,Report!AS$4,'2017OT'!$B:$B,Report!$C51)</f>
        <v>0</v>
      </c>
      <c r="AT51" s="61">
        <f>SUMIFS('2017OT'!$H:$H,'2017OT'!$M:$M,Report!AT$4,'2017OT'!$B:$B,Report!$C51)</f>
        <v>0</v>
      </c>
      <c r="AU51" s="61">
        <f>SUMIFS('2017OT'!$H:$H,'2017OT'!$M:$M,Report!AU$4,'2017OT'!$B:$B,Report!$C51)</f>
        <v>0</v>
      </c>
      <c r="AV51" s="61"/>
      <c r="AW51" s="31">
        <f t="shared" si="28"/>
        <v>0</v>
      </c>
      <c r="AX51" s="31" t="str">
        <f>IFERROR(VLOOKUP($C51,#REF!,3,0),"")</f>
        <v/>
      </c>
      <c r="AY51" s="31" t="str">
        <f>IFERROR(VLOOKUP($C51,#REF!,3,0),"")</f>
        <v/>
      </c>
      <c r="AZ51" s="31" t="str">
        <f>IFERROR(VLOOKUP($C51,#REF!,3,0),"")</f>
        <v/>
      </c>
      <c r="BA51" s="31" t="str">
        <f>IFERROR(VLOOKUP($C51,#REF!,3,0),"")</f>
        <v/>
      </c>
      <c r="BB51" s="31" t="str">
        <f>IFERROR(VLOOKUP($C51,#REF!,3,0),"")</f>
        <v/>
      </c>
      <c r="BC51" s="31" t="str">
        <f>IFERROR(VLOOKUP($C51,#REF!,3,0),"")</f>
        <v/>
      </c>
      <c r="BD51" s="31" t="str">
        <f>IFERROR(VLOOKUP($C51,#REF!,3,0),"")</f>
        <v/>
      </c>
      <c r="BE51" s="31" t="str">
        <f>IFERROR(VLOOKUP($C51,#REF!,3,0),"")</f>
        <v/>
      </c>
      <c r="BF51" s="31" t="str">
        <f>IFERROR(VLOOKUP($C51,#REF!,3,0),"")</f>
        <v/>
      </c>
      <c r="BG51" s="31" t="str">
        <f>IFERROR(VLOOKUP($C51,#REF!,3,0),"")</f>
        <v/>
      </c>
      <c r="BH51" s="31" t="str">
        <f>IFERROR(VLOOKUP($C51,#REF!,3,0),"")</f>
        <v/>
      </c>
      <c r="BI51" s="31" t="str">
        <f>IFERROR(VLOOKUP($C51,#REF!,3,0),"")</f>
        <v/>
      </c>
      <c r="BK51" s="31">
        <f t="shared" si="29"/>
        <v>0</v>
      </c>
      <c r="BL51" s="31" t="str">
        <f t="shared" si="30"/>
        <v/>
      </c>
      <c r="BM51" s="31" t="str">
        <f t="shared" si="31"/>
        <v/>
      </c>
      <c r="BN51" s="31" t="str">
        <f t="shared" si="32"/>
        <v/>
      </c>
      <c r="BO51" s="31" t="str">
        <f t="shared" si="33"/>
        <v/>
      </c>
      <c r="BP51" s="31" t="str">
        <f t="shared" si="25"/>
        <v/>
      </c>
      <c r="BQ51" s="31" t="str">
        <f t="shared" si="18"/>
        <v/>
      </c>
      <c r="BR51" s="31" t="str">
        <f t="shared" si="19"/>
        <v/>
      </c>
      <c r="BS51" s="31" t="str">
        <f t="shared" si="20"/>
        <v/>
      </c>
      <c r="BT51" s="31" t="str">
        <f t="shared" si="21"/>
        <v/>
      </c>
      <c r="BU51" s="31" t="str">
        <f t="shared" si="22"/>
        <v/>
      </c>
      <c r="BV51" s="31" t="str">
        <f t="shared" si="23"/>
        <v/>
      </c>
      <c r="BW51" s="31" t="str">
        <f t="shared" si="24"/>
        <v/>
      </c>
    </row>
    <row r="52" spans="1:75" ht="15" customHeight="1">
      <c r="A52" s="83">
        <v>47</v>
      </c>
      <c r="B52" s="19" t="s">
        <v>22</v>
      </c>
      <c r="C52" s="19" t="s">
        <v>480</v>
      </c>
      <c r="D52" s="19"/>
      <c r="E52" s="19"/>
      <c r="F52" s="75"/>
      <c r="G52" s="31">
        <f t="shared" si="26"/>
        <v>0</v>
      </c>
      <c r="H52" s="31">
        <f t="shared" si="27"/>
        <v>64.000000000000014</v>
      </c>
      <c r="I52" s="31">
        <f t="shared" si="3"/>
        <v>0</v>
      </c>
      <c r="J52" s="61">
        <f>SUMIFS('2017OT'!$H:$H,'2017OT'!$M:$M,Report!J$4,'2017OT'!$B:$B,Report!$C52)</f>
        <v>0</v>
      </c>
      <c r="K52" s="61">
        <f>SUMIFS('2017OT'!$H:$H,'2017OT'!$M:$M,Report!K$4,'2017OT'!$B:$B,Report!$C52)</f>
        <v>0</v>
      </c>
      <c r="L52" s="61">
        <f>SUMIFS('2017OT'!$H:$H,'2017OT'!$M:$M,Report!L$4,'2017OT'!$B:$B,Report!$C52)</f>
        <v>0</v>
      </c>
      <c r="M52" s="61">
        <f>SUMIFS('2017OT'!$H:$H,'2017OT'!$M:$M,Report!M$4,'2017OT'!$B:$B,Report!$C52)</f>
        <v>0</v>
      </c>
      <c r="N52" s="61">
        <f>SUMIFS('2017OT'!$H:$H,'2017OT'!$M:$M,Report!N$4,'2017OT'!$B:$B,Report!$C52)</f>
        <v>0</v>
      </c>
      <c r="O52" s="61">
        <f>SUMIFS('2017OT'!$H:$H,'2017OT'!$M:$M,Report!O$4,'2017OT'!$B:$B,Report!$C52)</f>
        <v>0</v>
      </c>
      <c r="P52" s="61">
        <f>SUMIFS('2017OT'!$H:$H,'2017OT'!$M:$M,Report!P$4,'2017OT'!$B:$B,Report!$C52)</f>
        <v>0</v>
      </c>
      <c r="Q52" s="61">
        <f>SUMIFS('2017OT'!$H:$H,'2017OT'!$M:$M,Report!Q$4,'2017OT'!$B:$B,Report!$C52)</f>
        <v>0</v>
      </c>
      <c r="R52" s="61">
        <f>SUMIFS('2017OT'!$H:$H,'2017OT'!$M:$M,Report!R$4,'2017OT'!$B:$B,Report!$C52)</f>
        <v>0</v>
      </c>
      <c r="S52" s="61">
        <f>SUMIFS('2017OT'!$H:$H,'2017OT'!$M:$M,Report!S$4,'2017OT'!$B:$B,Report!$C52)</f>
        <v>0</v>
      </c>
      <c r="T52" s="61">
        <f>SUMIFS('2017OT'!$H:$H,'2017OT'!$M:$M,Report!T$4,'2017OT'!$B:$B,Report!$C52)</f>
        <v>0</v>
      </c>
      <c r="U52" s="61">
        <f>SUMIFS('2017OT'!$H:$H,'2017OT'!$M:$M,Report!U$4,'2017OT'!$B:$B,Report!$C52)</f>
        <v>0</v>
      </c>
      <c r="W52" s="61">
        <f>SUMIFS('2017OT'!$H:$H,'2017OT'!$M:$M,Report!W$4,'2017OT'!$B:$B,Report!$C52)</f>
        <v>0</v>
      </c>
      <c r="X52" s="61">
        <f>SUMIFS('2017OT'!$H:$H,'2017OT'!$M:$M,Report!X$4,'2017OT'!$B:$B,Report!$C52)</f>
        <v>0</v>
      </c>
      <c r="Y52" s="61">
        <f>SUMIFS('2017OT'!$H:$H,'2017OT'!$M:$M,Report!Y$4,'2017OT'!$B:$B,Report!$C52)</f>
        <v>64.000000000000014</v>
      </c>
      <c r="Z52" s="61">
        <f>SUMIFS('2017OT'!$H:$H,'2017OT'!$M:$M,Report!Z$4,'2017OT'!$B:$B,Report!$C52)</f>
        <v>0</v>
      </c>
      <c r="AA52" s="61">
        <f>SUMIFS('2017OT'!$H:$H,'2017OT'!$M:$M,Report!AA$4,'2017OT'!$B:$B,Report!$C52)</f>
        <v>0</v>
      </c>
      <c r="AB52" s="61">
        <f>SUMIFS('2017OT'!$H:$H,'2017OT'!$M:$M,Report!AB$4,'2017OT'!$B:$B,Report!$C52)</f>
        <v>0</v>
      </c>
      <c r="AC52" s="61">
        <f>SUMIFS('2017OT'!$H:$H,'2017OT'!$M:$M,Report!AC$4,'2017OT'!$B:$B,Report!$C52)</f>
        <v>0</v>
      </c>
      <c r="AD52" s="61">
        <f>SUMIFS('2017OT'!$H:$H,'2017OT'!$M:$M,Report!AD$4,'2017OT'!$B:$B,Report!$C52)</f>
        <v>0</v>
      </c>
      <c r="AE52" s="61">
        <f>SUMIFS('2017OT'!$H:$H,'2017OT'!$M:$M,Report!AE$4,'2017OT'!$B:$B,Report!$C52)</f>
        <v>0</v>
      </c>
      <c r="AF52" s="61">
        <f>SUMIFS('2017OT'!$H:$H,'2017OT'!$M:$M,Report!AF$4,'2017OT'!$B:$B,Report!$C52)</f>
        <v>0</v>
      </c>
      <c r="AG52" s="61">
        <f>SUMIFS('2017OT'!$H:$H,'2017OT'!$M:$M,Report!AG$4,'2017OT'!$B:$B,Report!$C52)</f>
        <v>0</v>
      </c>
      <c r="AH52" s="61">
        <f>SUMIFS('2017OT'!$H:$H,'2017OT'!$M:$M,Report!AH$4,'2017OT'!$B:$B,Report!$C52)</f>
        <v>0</v>
      </c>
      <c r="AJ52" s="61">
        <f>SUMIFS('2017OT'!$H:$H,'2017OT'!$M:$M,Report!AJ$4,'2017OT'!$B:$B,Report!$C52)</f>
        <v>0</v>
      </c>
      <c r="AK52" s="61">
        <f>SUMIFS('2017OT'!$H:$H,'2017OT'!$M:$M,Report!AK$4,'2017OT'!$B:$B,Report!$C52)</f>
        <v>0</v>
      </c>
      <c r="AL52" s="61">
        <f>SUMIFS('2017OT'!$H:$H,'2017OT'!$M:$M,Report!AL$4,'2017OT'!$B:$B,Report!$C52)</f>
        <v>0</v>
      </c>
      <c r="AM52" s="61">
        <f>SUMIFS('2017OT'!$H:$H,'2017OT'!$M:$M,Report!AM$4,'2017OT'!$B:$B,Report!$C52)</f>
        <v>0</v>
      </c>
      <c r="AN52" s="61">
        <f>SUMIFS('2017OT'!$H:$H,'2017OT'!$M:$M,Report!AN$4,'2017OT'!$B:$B,Report!$C52)</f>
        <v>0</v>
      </c>
      <c r="AO52" s="61">
        <f>SUMIFS('2017OT'!$H:$H,'2017OT'!$M:$M,Report!AO$4,'2017OT'!$B:$B,Report!$C52)</f>
        <v>0</v>
      </c>
      <c r="AP52" s="61">
        <f>SUMIFS('2017OT'!$H:$H,'2017OT'!$M:$M,Report!AP$4,'2017OT'!$B:$B,Report!$C52)</f>
        <v>0</v>
      </c>
      <c r="AQ52" s="61">
        <f>SUMIFS('2017OT'!$H:$H,'2017OT'!$M:$M,Report!AQ$4,'2017OT'!$B:$B,Report!$C52)</f>
        <v>0</v>
      </c>
      <c r="AR52" s="61">
        <f>SUMIFS('2017OT'!$H:$H,'2017OT'!$M:$M,Report!AR$4,'2017OT'!$B:$B,Report!$C52)</f>
        <v>0</v>
      </c>
      <c r="AS52" s="61">
        <f>SUMIFS('2017OT'!$H:$H,'2017OT'!$M:$M,Report!AS$4,'2017OT'!$B:$B,Report!$C52)</f>
        <v>0</v>
      </c>
      <c r="AT52" s="61">
        <f>SUMIFS('2017OT'!$H:$H,'2017OT'!$M:$M,Report!AT$4,'2017OT'!$B:$B,Report!$C52)</f>
        <v>0</v>
      </c>
      <c r="AU52" s="61">
        <f>SUMIFS('2017OT'!$H:$H,'2017OT'!$M:$M,Report!AU$4,'2017OT'!$B:$B,Report!$C52)</f>
        <v>0</v>
      </c>
      <c r="AV52" s="61"/>
      <c r="AW52" s="31">
        <f t="shared" si="28"/>
        <v>0</v>
      </c>
      <c r="AX52" s="31" t="str">
        <f>IFERROR(VLOOKUP($C52,#REF!,3,0),"")</f>
        <v/>
      </c>
      <c r="AY52" s="31" t="str">
        <f>IFERROR(VLOOKUP($C52,#REF!,3,0),"")</f>
        <v/>
      </c>
      <c r="AZ52" s="31" t="str">
        <f>IFERROR(VLOOKUP($C52,#REF!,3,0),"")</f>
        <v/>
      </c>
      <c r="BA52" s="31" t="str">
        <f>IFERROR(VLOOKUP($C52,#REF!,3,0),"")</f>
        <v/>
      </c>
      <c r="BB52" s="31" t="str">
        <f>IFERROR(VLOOKUP($C52,#REF!,3,0),"")</f>
        <v/>
      </c>
      <c r="BC52" s="31" t="str">
        <f>IFERROR(VLOOKUP($C52,#REF!,3,0),"")</f>
        <v/>
      </c>
      <c r="BD52" s="31" t="str">
        <f>IFERROR(VLOOKUP($C52,#REF!,3,0),"")</f>
        <v/>
      </c>
      <c r="BE52" s="31" t="str">
        <f>IFERROR(VLOOKUP($C52,#REF!,3,0),"")</f>
        <v/>
      </c>
      <c r="BF52" s="31" t="str">
        <f>IFERROR(VLOOKUP($C52,#REF!,3,0),"")</f>
        <v/>
      </c>
      <c r="BG52" s="31" t="str">
        <f>IFERROR(VLOOKUP($C52,#REF!,3,0),"")</f>
        <v/>
      </c>
      <c r="BH52" s="31" t="str">
        <f>IFERROR(VLOOKUP($C52,#REF!,3,0),"")</f>
        <v/>
      </c>
      <c r="BI52" s="31" t="str">
        <f>IFERROR(VLOOKUP($C52,#REF!,3,0),"")</f>
        <v/>
      </c>
      <c r="BK52" s="31">
        <f t="shared" si="29"/>
        <v>0</v>
      </c>
      <c r="BL52" s="31" t="str">
        <f t="shared" si="30"/>
        <v/>
      </c>
      <c r="BM52" s="31" t="str">
        <f t="shared" si="31"/>
        <v/>
      </c>
      <c r="BN52" s="31" t="str">
        <f t="shared" si="32"/>
        <v/>
      </c>
      <c r="BO52" s="31" t="str">
        <f t="shared" si="33"/>
        <v/>
      </c>
      <c r="BP52" s="31" t="str">
        <f t="shared" si="25"/>
        <v/>
      </c>
      <c r="BQ52" s="31" t="str">
        <f t="shared" si="18"/>
        <v/>
      </c>
      <c r="BR52" s="31" t="str">
        <f t="shared" si="19"/>
        <v/>
      </c>
      <c r="BS52" s="31" t="str">
        <f t="shared" si="20"/>
        <v/>
      </c>
      <c r="BT52" s="31" t="str">
        <f t="shared" si="21"/>
        <v/>
      </c>
      <c r="BU52" s="31" t="str">
        <f t="shared" si="22"/>
        <v/>
      </c>
      <c r="BV52" s="31" t="str">
        <f t="shared" si="23"/>
        <v/>
      </c>
      <c r="BW52" s="31" t="str">
        <f t="shared" si="24"/>
        <v/>
      </c>
    </row>
    <row r="53" spans="1:75" ht="15" customHeight="1">
      <c r="A53" s="83">
        <v>48</v>
      </c>
      <c r="B53" s="19" t="s">
        <v>22</v>
      </c>
      <c r="C53" s="19" t="s">
        <v>481</v>
      </c>
      <c r="D53" s="19"/>
      <c r="E53" s="19"/>
      <c r="F53" s="75"/>
      <c r="G53" s="31">
        <f t="shared" si="26"/>
        <v>0</v>
      </c>
      <c r="H53" s="31">
        <f t="shared" si="27"/>
        <v>64.000000000000014</v>
      </c>
      <c r="I53" s="31">
        <f t="shared" si="3"/>
        <v>0</v>
      </c>
      <c r="J53" s="61">
        <f>SUMIFS('2017OT'!$H:$H,'2017OT'!$M:$M,Report!J$4,'2017OT'!$B:$B,Report!$C53)</f>
        <v>0</v>
      </c>
      <c r="K53" s="61">
        <f>SUMIFS('2017OT'!$H:$H,'2017OT'!$M:$M,Report!K$4,'2017OT'!$B:$B,Report!$C53)</f>
        <v>0</v>
      </c>
      <c r="L53" s="61">
        <f>SUMIFS('2017OT'!$H:$H,'2017OT'!$M:$M,Report!L$4,'2017OT'!$B:$B,Report!$C53)</f>
        <v>0</v>
      </c>
      <c r="M53" s="61">
        <f>SUMIFS('2017OT'!$H:$H,'2017OT'!$M:$M,Report!M$4,'2017OT'!$B:$B,Report!$C53)</f>
        <v>0</v>
      </c>
      <c r="N53" s="61">
        <f>SUMIFS('2017OT'!$H:$H,'2017OT'!$M:$M,Report!N$4,'2017OT'!$B:$B,Report!$C53)</f>
        <v>0</v>
      </c>
      <c r="O53" s="61">
        <f>SUMIFS('2017OT'!$H:$H,'2017OT'!$M:$M,Report!O$4,'2017OT'!$B:$B,Report!$C53)</f>
        <v>0</v>
      </c>
      <c r="P53" s="61">
        <f>SUMIFS('2017OT'!$H:$H,'2017OT'!$M:$M,Report!P$4,'2017OT'!$B:$B,Report!$C53)</f>
        <v>0</v>
      </c>
      <c r="Q53" s="61">
        <f>SUMIFS('2017OT'!$H:$H,'2017OT'!$M:$M,Report!Q$4,'2017OT'!$B:$B,Report!$C53)</f>
        <v>0</v>
      </c>
      <c r="R53" s="61">
        <f>SUMIFS('2017OT'!$H:$H,'2017OT'!$M:$M,Report!R$4,'2017OT'!$B:$B,Report!$C53)</f>
        <v>0</v>
      </c>
      <c r="S53" s="61">
        <f>SUMIFS('2017OT'!$H:$H,'2017OT'!$M:$M,Report!S$4,'2017OT'!$B:$B,Report!$C53)</f>
        <v>0</v>
      </c>
      <c r="T53" s="61">
        <f>SUMIFS('2017OT'!$H:$H,'2017OT'!$M:$M,Report!T$4,'2017OT'!$B:$B,Report!$C53)</f>
        <v>0</v>
      </c>
      <c r="U53" s="61">
        <f>SUMIFS('2017OT'!$H:$H,'2017OT'!$M:$M,Report!U$4,'2017OT'!$B:$B,Report!$C53)</f>
        <v>0</v>
      </c>
      <c r="W53" s="61">
        <f>SUMIFS('2017OT'!$H:$H,'2017OT'!$M:$M,Report!W$4,'2017OT'!$B:$B,Report!$C53)</f>
        <v>0</v>
      </c>
      <c r="X53" s="61">
        <f>SUMIFS('2017OT'!$H:$H,'2017OT'!$M:$M,Report!X$4,'2017OT'!$B:$B,Report!$C53)</f>
        <v>0</v>
      </c>
      <c r="Y53" s="61">
        <f>SUMIFS('2017OT'!$H:$H,'2017OT'!$M:$M,Report!Y$4,'2017OT'!$B:$B,Report!$C53)</f>
        <v>64.000000000000014</v>
      </c>
      <c r="Z53" s="61">
        <f>SUMIFS('2017OT'!$H:$H,'2017OT'!$M:$M,Report!Z$4,'2017OT'!$B:$B,Report!$C53)</f>
        <v>0</v>
      </c>
      <c r="AA53" s="61">
        <f>SUMIFS('2017OT'!$H:$H,'2017OT'!$M:$M,Report!AA$4,'2017OT'!$B:$B,Report!$C53)</f>
        <v>0</v>
      </c>
      <c r="AB53" s="61">
        <f>SUMIFS('2017OT'!$H:$H,'2017OT'!$M:$M,Report!AB$4,'2017OT'!$B:$B,Report!$C53)</f>
        <v>0</v>
      </c>
      <c r="AC53" s="61">
        <f>SUMIFS('2017OT'!$H:$H,'2017OT'!$M:$M,Report!AC$4,'2017OT'!$B:$B,Report!$C53)</f>
        <v>0</v>
      </c>
      <c r="AD53" s="61">
        <f>SUMIFS('2017OT'!$H:$H,'2017OT'!$M:$M,Report!AD$4,'2017OT'!$B:$B,Report!$C53)</f>
        <v>0</v>
      </c>
      <c r="AE53" s="61">
        <f>SUMIFS('2017OT'!$H:$H,'2017OT'!$M:$M,Report!AE$4,'2017OT'!$B:$B,Report!$C53)</f>
        <v>0</v>
      </c>
      <c r="AF53" s="61">
        <f>SUMIFS('2017OT'!$H:$H,'2017OT'!$M:$M,Report!AF$4,'2017OT'!$B:$B,Report!$C53)</f>
        <v>0</v>
      </c>
      <c r="AG53" s="61">
        <f>SUMIFS('2017OT'!$H:$H,'2017OT'!$M:$M,Report!AG$4,'2017OT'!$B:$B,Report!$C53)</f>
        <v>0</v>
      </c>
      <c r="AH53" s="61">
        <f>SUMIFS('2017OT'!$H:$H,'2017OT'!$M:$M,Report!AH$4,'2017OT'!$B:$B,Report!$C53)</f>
        <v>0</v>
      </c>
      <c r="AJ53" s="61">
        <f>SUMIFS('2017OT'!$H:$H,'2017OT'!$M:$M,Report!AJ$4,'2017OT'!$B:$B,Report!$C53)</f>
        <v>0</v>
      </c>
      <c r="AK53" s="61">
        <f>SUMIFS('2017OT'!$H:$H,'2017OT'!$M:$M,Report!AK$4,'2017OT'!$B:$B,Report!$C53)</f>
        <v>0</v>
      </c>
      <c r="AL53" s="61">
        <f>SUMIFS('2017OT'!$H:$H,'2017OT'!$M:$M,Report!AL$4,'2017OT'!$B:$B,Report!$C53)</f>
        <v>0</v>
      </c>
      <c r="AM53" s="61">
        <f>SUMIFS('2017OT'!$H:$H,'2017OT'!$M:$M,Report!AM$4,'2017OT'!$B:$B,Report!$C53)</f>
        <v>0</v>
      </c>
      <c r="AN53" s="61">
        <f>SUMIFS('2017OT'!$H:$H,'2017OT'!$M:$M,Report!AN$4,'2017OT'!$B:$B,Report!$C53)</f>
        <v>0</v>
      </c>
      <c r="AO53" s="61">
        <f>SUMIFS('2017OT'!$H:$H,'2017OT'!$M:$M,Report!AO$4,'2017OT'!$B:$B,Report!$C53)</f>
        <v>0</v>
      </c>
      <c r="AP53" s="61">
        <f>SUMIFS('2017OT'!$H:$H,'2017OT'!$M:$M,Report!AP$4,'2017OT'!$B:$B,Report!$C53)</f>
        <v>0</v>
      </c>
      <c r="AQ53" s="61">
        <f>SUMIFS('2017OT'!$H:$H,'2017OT'!$M:$M,Report!AQ$4,'2017OT'!$B:$B,Report!$C53)</f>
        <v>0</v>
      </c>
      <c r="AR53" s="61">
        <f>SUMIFS('2017OT'!$H:$H,'2017OT'!$M:$M,Report!AR$4,'2017OT'!$B:$B,Report!$C53)</f>
        <v>0</v>
      </c>
      <c r="AS53" s="61">
        <f>SUMIFS('2017OT'!$H:$H,'2017OT'!$M:$M,Report!AS$4,'2017OT'!$B:$B,Report!$C53)</f>
        <v>0</v>
      </c>
      <c r="AT53" s="61">
        <f>SUMIFS('2017OT'!$H:$H,'2017OT'!$M:$M,Report!AT$4,'2017OT'!$B:$B,Report!$C53)</f>
        <v>0</v>
      </c>
      <c r="AU53" s="61">
        <f>SUMIFS('2017OT'!$H:$H,'2017OT'!$M:$M,Report!AU$4,'2017OT'!$B:$B,Report!$C53)</f>
        <v>0</v>
      </c>
      <c r="AV53" s="61"/>
      <c r="AW53" s="31">
        <f t="shared" si="28"/>
        <v>0</v>
      </c>
      <c r="AX53" s="31" t="str">
        <f>IFERROR(VLOOKUP($C53,#REF!,3,0),"")</f>
        <v/>
      </c>
      <c r="AY53" s="31" t="str">
        <f>IFERROR(VLOOKUP($C53,#REF!,3,0),"")</f>
        <v/>
      </c>
      <c r="AZ53" s="31" t="str">
        <f>IFERROR(VLOOKUP($C53,#REF!,3,0),"")</f>
        <v/>
      </c>
      <c r="BA53" s="31" t="str">
        <f>IFERROR(VLOOKUP($C53,#REF!,3,0),"")</f>
        <v/>
      </c>
      <c r="BB53" s="31" t="str">
        <f>IFERROR(VLOOKUP($C53,#REF!,3,0),"")</f>
        <v/>
      </c>
      <c r="BC53" s="31" t="str">
        <f>IFERROR(VLOOKUP($C53,#REF!,3,0),"")</f>
        <v/>
      </c>
      <c r="BD53" s="31" t="str">
        <f>IFERROR(VLOOKUP($C53,#REF!,3,0),"")</f>
        <v/>
      </c>
      <c r="BE53" s="31" t="str">
        <f>IFERROR(VLOOKUP($C53,#REF!,3,0),"")</f>
        <v/>
      </c>
      <c r="BF53" s="31" t="str">
        <f>IFERROR(VLOOKUP($C53,#REF!,3,0),"")</f>
        <v/>
      </c>
      <c r="BG53" s="31" t="str">
        <f>IFERROR(VLOOKUP($C53,#REF!,3,0),"")</f>
        <v/>
      </c>
      <c r="BH53" s="31" t="str">
        <f>IFERROR(VLOOKUP($C53,#REF!,3,0),"")</f>
        <v/>
      </c>
      <c r="BI53" s="31" t="str">
        <f>IFERROR(VLOOKUP($C53,#REF!,3,0),"")</f>
        <v/>
      </c>
      <c r="BK53" s="31">
        <f t="shared" si="29"/>
        <v>0</v>
      </c>
      <c r="BL53" s="31" t="str">
        <f t="shared" si="30"/>
        <v/>
      </c>
      <c r="BM53" s="31" t="str">
        <f t="shared" si="31"/>
        <v/>
      </c>
      <c r="BN53" s="31" t="str">
        <f t="shared" si="32"/>
        <v/>
      </c>
      <c r="BO53" s="31" t="str">
        <f t="shared" si="33"/>
        <v/>
      </c>
      <c r="BP53" s="31" t="str">
        <f t="shared" si="25"/>
        <v/>
      </c>
      <c r="BQ53" s="31" t="str">
        <f t="shared" si="18"/>
        <v/>
      </c>
      <c r="BR53" s="31" t="str">
        <f t="shared" si="19"/>
        <v/>
      </c>
      <c r="BS53" s="31" t="str">
        <f t="shared" si="20"/>
        <v/>
      </c>
      <c r="BT53" s="31" t="str">
        <f t="shared" si="21"/>
        <v/>
      </c>
      <c r="BU53" s="31" t="str">
        <f t="shared" si="22"/>
        <v/>
      </c>
      <c r="BV53" s="31" t="str">
        <f t="shared" si="23"/>
        <v/>
      </c>
      <c r="BW53" s="31" t="str">
        <f t="shared" si="24"/>
        <v/>
      </c>
    </row>
    <row r="54" spans="1:75" ht="15" customHeight="1">
      <c r="A54" s="83">
        <v>49</v>
      </c>
      <c r="B54" s="19" t="s">
        <v>22</v>
      </c>
      <c r="C54" s="19" t="s">
        <v>482</v>
      </c>
      <c r="D54" s="19"/>
      <c r="E54" s="19"/>
      <c r="F54" s="75"/>
      <c r="G54" s="31">
        <f t="shared" si="26"/>
        <v>0</v>
      </c>
      <c r="H54" s="31">
        <f t="shared" si="27"/>
        <v>64.000000000000014</v>
      </c>
      <c r="I54" s="31">
        <f t="shared" si="3"/>
        <v>0</v>
      </c>
      <c r="J54" s="61">
        <f>SUMIFS('2017OT'!$H:$H,'2017OT'!$M:$M,Report!J$4,'2017OT'!$B:$B,Report!$C54)</f>
        <v>0</v>
      </c>
      <c r="K54" s="61">
        <f>SUMIFS('2017OT'!$H:$H,'2017OT'!$M:$M,Report!K$4,'2017OT'!$B:$B,Report!$C54)</f>
        <v>0</v>
      </c>
      <c r="L54" s="61">
        <f>SUMIFS('2017OT'!$H:$H,'2017OT'!$M:$M,Report!L$4,'2017OT'!$B:$B,Report!$C54)</f>
        <v>0</v>
      </c>
      <c r="M54" s="61">
        <f>SUMIFS('2017OT'!$H:$H,'2017OT'!$M:$M,Report!M$4,'2017OT'!$B:$B,Report!$C54)</f>
        <v>0</v>
      </c>
      <c r="N54" s="61">
        <f>SUMIFS('2017OT'!$H:$H,'2017OT'!$M:$M,Report!N$4,'2017OT'!$B:$B,Report!$C54)</f>
        <v>0</v>
      </c>
      <c r="O54" s="61">
        <f>SUMIFS('2017OT'!$H:$H,'2017OT'!$M:$M,Report!O$4,'2017OT'!$B:$B,Report!$C54)</f>
        <v>0</v>
      </c>
      <c r="P54" s="61">
        <f>SUMIFS('2017OT'!$H:$H,'2017OT'!$M:$M,Report!P$4,'2017OT'!$B:$B,Report!$C54)</f>
        <v>0</v>
      </c>
      <c r="Q54" s="61">
        <f>SUMIFS('2017OT'!$H:$H,'2017OT'!$M:$M,Report!Q$4,'2017OT'!$B:$B,Report!$C54)</f>
        <v>0</v>
      </c>
      <c r="R54" s="61">
        <f>SUMIFS('2017OT'!$H:$H,'2017OT'!$M:$M,Report!R$4,'2017OT'!$B:$B,Report!$C54)</f>
        <v>0</v>
      </c>
      <c r="S54" s="61">
        <f>SUMIFS('2017OT'!$H:$H,'2017OT'!$M:$M,Report!S$4,'2017OT'!$B:$B,Report!$C54)</f>
        <v>0</v>
      </c>
      <c r="T54" s="61">
        <f>SUMIFS('2017OT'!$H:$H,'2017OT'!$M:$M,Report!T$4,'2017OT'!$B:$B,Report!$C54)</f>
        <v>0</v>
      </c>
      <c r="U54" s="61">
        <f>SUMIFS('2017OT'!$H:$H,'2017OT'!$M:$M,Report!U$4,'2017OT'!$B:$B,Report!$C54)</f>
        <v>0</v>
      </c>
      <c r="W54" s="61">
        <f>SUMIFS('2017OT'!$H:$H,'2017OT'!$M:$M,Report!W$4,'2017OT'!$B:$B,Report!$C54)</f>
        <v>0</v>
      </c>
      <c r="X54" s="61">
        <f>SUMIFS('2017OT'!$H:$H,'2017OT'!$M:$M,Report!X$4,'2017OT'!$B:$B,Report!$C54)</f>
        <v>0</v>
      </c>
      <c r="Y54" s="61">
        <f>SUMIFS('2017OT'!$H:$H,'2017OT'!$M:$M,Report!Y$4,'2017OT'!$B:$B,Report!$C54)</f>
        <v>64.000000000000014</v>
      </c>
      <c r="Z54" s="61">
        <f>SUMIFS('2017OT'!$H:$H,'2017OT'!$M:$M,Report!Z$4,'2017OT'!$B:$B,Report!$C54)</f>
        <v>0</v>
      </c>
      <c r="AA54" s="61">
        <f>SUMIFS('2017OT'!$H:$H,'2017OT'!$M:$M,Report!AA$4,'2017OT'!$B:$B,Report!$C54)</f>
        <v>0</v>
      </c>
      <c r="AB54" s="61">
        <f>SUMIFS('2017OT'!$H:$H,'2017OT'!$M:$M,Report!AB$4,'2017OT'!$B:$B,Report!$C54)</f>
        <v>0</v>
      </c>
      <c r="AC54" s="61">
        <f>SUMIFS('2017OT'!$H:$H,'2017OT'!$M:$M,Report!AC$4,'2017OT'!$B:$B,Report!$C54)</f>
        <v>0</v>
      </c>
      <c r="AD54" s="61">
        <f>SUMIFS('2017OT'!$H:$H,'2017OT'!$M:$M,Report!AD$4,'2017OT'!$B:$B,Report!$C54)</f>
        <v>0</v>
      </c>
      <c r="AE54" s="61">
        <f>SUMIFS('2017OT'!$H:$H,'2017OT'!$M:$M,Report!AE$4,'2017OT'!$B:$B,Report!$C54)</f>
        <v>0</v>
      </c>
      <c r="AF54" s="61">
        <f>SUMIFS('2017OT'!$H:$H,'2017OT'!$M:$M,Report!AF$4,'2017OT'!$B:$B,Report!$C54)</f>
        <v>0</v>
      </c>
      <c r="AG54" s="61">
        <f>SUMIFS('2017OT'!$H:$H,'2017OT'!$M:$M,Report!AG$4,'2017OT'!$B:$B,Report!$C54)</f>
        <v>0</v>
      </c>
      <c r="AH54" s="61">
        <f>SUMIFS('2017OT'!$H:$H,'2017OT'!$M:$M,Report!AH$4,'2017OT'!$B:$B,Report!$C54)</f>
        <v>0</v>
      </c>
      <c r="AJ54" s="61">
        <f>SUMIFS('2017OT'!$H:$H,'2017OT'!$M:$M,Report!AJ$4,'2017OT'!$B:$B,Report!$C54)</f>
        <v>0</v>
      </c>
      <c r="AK54" s="61">
        <f>SUMIFS('2017OT'!$H:$H,'2017OT'!$M:$M,Report!AK$4,'2017OT'!$B:$B,Report!$C54)</f>
        <v>0</v>
      </c>
      <c r="AL54" s="61">
        <f>SUMIFS('2017OT'!$H:$H,'2017OT'!$M:$M,Report!AL$4,'2017OT'!$B:$B,Report!$C54)</f>
        <v>0</v>
      </c>
      <c r="AM54" s="61">
        <f>SUMIFS('2017OT'!$H:$H,'2017OT'!$M:$M,Report!AM$4,'2017OT'!$B:$B,Report!$C54)</f>
        <v>0</v>
      </c>
      <c r="AN54" s="61">
        <f>SUMIFS('2017OT'!$H:$H,'2017OT'!$M:$M,Report!AN$4,'2017OT'!$B:$B,Report!$C54)</f>
        <v>0</v>
      </c>
      <c r="AO54" s="61">
        <f>SUMIFS('2017OT'!$H:$H,'2017OT'!$M:$M,Report!AO$4,'2017OT'!$B:$B,Report!$C54)</f>
        <v>0</v>
      </c>
      <c r="AP54" s="61">
        <f>SUMIFS('2017OT'!$H:$H,'2017OT'!$M:$M,Report!AP$4,'2017OT'!$B:$B,Report!$C54)</f>
        <v>0</v>
      </c>
      <c r="AQ54" s="61">
        <f>SUMIFS('2017OT'!$H:$H,'2017OT'!$M:$M,Report!AQ$4,'2017OT'!$B:$B,Report!$C54)</f>
        <v>0</v>
      </c>
      <c r="AR54" s="61">
        <f>SUMIFS('2017OT'!$H:$H,'2017OT'!$M:$M,Report!AR$4,'2017OT'!$B:$B,Report!$C54)</f>
        <v>0</v>
      </c>
      <c r="AS54" s="61">
        <f>SUMIFS('2017OT'!$H:$H,'2017OT'!$M:$M,Report!AS$4,'2017OT'!$B:$B,Report!$C54)</f>
        <v>0</v>
      </c>
      <c r="AT54" s="61">
        <f>SUMIFS('2017OT'!$H:$H,'2017OT'!$M:$M,Report!AT$4,'2017OT'!$B:$B,Report!$C54)</f>
        <v>0</v>
      </c>
      <c r="AU54" s="61">
        <f>SUMIFS('2017OT'!$H:$H,'2017OT'!$M:$M,Report!AU$4,'2017OT'!$B:$B,Report!$C54)</f>
        <v>0</v>
      </c>
      <c r="AV54" s="61"/>
      <c r="AW54" s="31">
        <f t="shared" si="28"/>
        <v>0</v>
      </c>
      <c r="AX54" s="31" t="str">
        <f>IFERROR(VLOOKUP($C54,#REF!,3,0),"")</f>
        <v/>
      </c>
      <c r="AY54" s="31" t="str">
        <f>IFERROR(VLOOKUP($C54,#REF!,3,0),"")</f>
        <v/>
      </c>
      <c r="AZ54" s="31" t="str">
        <f>IFERROR(VLOOKUP($C54,#REF!,3,0),"")</f>
        <v/>
      </c>
      <c r="BA54" s="31" t="str">
        <f>IFERROR(VLOOKUP($C54,#REF!,3,0),"")</f>
        <v/>
      </c>
      <c r="BB54" s="31" t="str">
        <f>IFERROR(VLOOKUP($C54,#REF!,3,0),"")</f>
        <v/>
      </c>
      <c r="BC54" s="31" t="str">
        <f>IFERROR(VLOOKUP($C54,#REF!,3,0),"")</f>
        <v/>
      </c>
      <c r="BD54" s="31" t="str">
        <f>IFERROR(VLOOKUP($C54,#REF!,3,0),"")</f>
        <v/>
      </c>
      <c r="BE54" s="31" t="str">
        <f>IFERROR(VLOOKUP($C54,#REF!,3,0),"")</f>
        <v/>
      </c>
      <c r="BF54" s="31" t="str">
        <f>IFERROR(VLOOKUP($C54,#REF!,3,0),"")</f>
        <v/>
      </c>
      <c r="BG54" s="31" t="str">
        <f>IFERROR(VLOOKUP($C54,#REF!,3,0),"")</f>
        <v/>
      </c>
      <c r="BH54" s="31" t="str">
        <f>IFERROR(VLOOKUP($C54,#REF!,3,0),"")</f>
        <v/>
      </c>
      <c r="BI54" s="31" t="str">
        <f>IFERROR(VLOOKUP($C54,#REF!,3,0),"")</f>
        <v/>
      </c>
      <c r="BK54" s="31">
        <f t="shared" si="29"/>
        <v>0</v>
      </c>
      <c r="BL54" s="31" t="str">
        <f t="shared" si="30"/>
        <v/>
      </c>
      <c r="BM54" s="31" t="str">
        <f t="shared" si="31"/>
        <v/>
      </c>
      <c r="BN54" s="31" t="str">
        <f t="shared" si="32"/>
        <v/>
      </c>
      <c r="BO54" s="31" t="str">
        <f t="shared" si="33"/>
        <v/>
      </c>
      <c r="BP54" s="31" t="str">
        <f t="shared" si="25"/>
        <v/>
      </c>
      <c r="BQ54" s="31" t="str">
        <f t="shared" si="18"/>
        <v/>
      </c>
      <c r="BR54" s="31" t="str">
        <f t="shared" si="19"/>
        <v/>
      </c>
      <c r="BS54" s="31" t="str">
        <f t="shared" si="20"/>
        <v/>
      </c>
      <c r="BT54" s="31" t="str">
        <f t="shared" si="21"/>
        <v/>
      </c>
      <c r="BU54" s="31" t="str">
        <f t="shared" si="22"/>
        <v/>
      </c>
      <c r="BV54" s="31" t="str">
        <f t="shared" si="23"/>
        <v/>
      </c>
      <c r="BW54" s="31" t="str">
        <f t="shared" si="24"/>
        <v/>
      </c>
    </row>
    <row r="55" spans="1:75" ht="15" customHeight="1">
      <c r="A55" s="83">
        <v>50</v>
      </c>
      <c r="B55" s="19" t="s">
        <v>22</v>
      </c>
      <c r="C55" s="19" t="s">
        <v>483</v>
      </c>
      <c r="D55" s="19"/>
      <c r="E55" s="19"/>
      <c r="F55" s="75"/>
      <c r="G55" s="31">
        <f t="shared" si="26"/>
        <v>0</v>
      </c>
      <c r="H55" s="31">
        <f t="shared" si="27"/>
        <v>72.000000000000014</v>
      </c>
      <c r="I55" s="31">
        <f t="shared" si="3"/>
        <v>0</v>
      </c>
      <c r="J55" s="61">
        <f>SUMIFS('2017OT'!$H:$H,'2017OT'!$M:$M,Report!J$4,'2017OT'!$B:$B,Report!$C55)</f>
        <v>0</v>
      </c>
      <c r="K55" s="61">
        <f>SUMIFS('2017OT'!$H:$H,'2017OT'!$M:$M,Report!K$4,'2017OT'!$B:$B,Report!$C55)</f>
        <v>0</v>
      </c>
      <c r="L55" s="61">
        <f>SUMIFS('2017OT'!$H:$H,'2017OT'!$M:$M,Report!L$4,'2017OT'!$B:$B,Report!$C55)</f>
        <v>0</v>
      </c>
      <c r="M55" s="61">
        <f>SUMIFS('2017OT'!$H:$H,'2017OT'!$M:$M,Report!M$4,'2017OT'!$B:$B,Report!$C55)</f>
        <v>0</v>
      </c>
      <c r="N55" s="61">
        <f>SUMIFS('2017OT'!$H:$H,'2017OT'!$M:$M,Report!N$4,'2017OT'!$B:$B,Report!$C55)</f>
        <v>0</v>
      </c>
      <c r="O55" s="61">
        <f>SUMIFS('2017OT'!$H:$H,'2017OT'!$M:$M,Report!O$4,'2017OT'!$B:$B,Report!$C55)</f>
        <v>0</v>
      </c>
      <c r="P55" s="61">
        <f>SUMIFS('2017OT'!$H:$H,'2017OT'!$M:$M,Report!P$4,'2017OT'!$B:$B,Report!$C55)</f>
        <v>0</v>
      </c>
      <c r="Q55" s="61">
        <f>SUMIFS('2017OT'!$H:$H,'2017OT'!$M:$M,Report!Q$4,'2017OT'!$B:$B,Report!$C55)</f>
        <v>0</v>
      </c>
      <c r="R55" s="61">
        <f>SUMIFS('2017OT'!$H:$H,'2017OT'!$M:$M,Report!R$4,'2017OT'!$B:$B,Report!$C55)</f>
        <v>0</v>
      </c>
      <c r="S55" s="61">
        <f>SUMIFS('2017OT'!$H:$H,'2017OT'!$M:$M,Report!S$4,'2017OT'!$B:$B,Report!$C55)</f>
        <v>0</v>
      </c>
      <c r="T55" s="61">
        <f>SUMIFS('2017OT'!$H:$H,'2017OT'!$M:$M,Report!T$4,'2017OT'!$B:$B,Report!$C55)</f>
        <v>0</v>
      </c>
      <c r="U55" s="61">
        <f>SUMIFS('2017OT'!$H:$H,'2017OT'!$M:$M,Report!U$4,'2017OT'!$B:$B,Report!$C55)</f>
        <v>0</v>
      </c>
      <c r="W55" s="61">
        <f>SUMIFS('2017OT'!$H:$H,'2017OT'!$M:$M,Report!W$4,'2017OT'!$B:$B,Report!$C55)</f>
        <v>0</v>
      </c>
      <c r="X55" s="61">
        <f>SUMIFS('2017OT'!$H:$H,'2017OT'!$M:$M,Report!X$4,'2017OT'!$B:$B,Report!$C55)</f>
        <v>0</v>
      </c>
      <c r="Y55" s="61">
        <f>SUMIFS('2017OT'!$H:$H,'2017OT'!$M:$M,Report!Y$4,'2017OT'!$B:$B,Report!$C55)</f>
        <v>72.000000000000014</v>
      </c>
      <c r="Z55" s="61">
        <f>SUMIFS('2017OT'!$H:$H,'2017OT'!$M:$M,Report!Z$4,'2017OT'!$B:$B,Report!$C55)</f>
        <v>0</v>
      </c>
      <c r="AA55" s="61">
        <f>SUMIFS('2017OT'!$H:$H,'2017OT'!$M:$M,Report!AA$4,'2017OT'!$B:$B,Report!$C55)</f>
        <v>0</v>
      </c>
      <c r="AB55" s="61">
        <f>SUMIFS('2017OT'!$H:$H,'2017OT'!$M:$M,Report!AB$4,'2017OT'!$B:$B,Report!$C55)</f>
        <v>0</v>
      </c>
      <c r="AC55" s="61">
        <f>SUMIFS('2017OT'!$H:$H,'2017OT'!$M:$M,Report!AC$4,'2017OT'!$B:$B,Report!$C55)</f>
        <v>0</v>
      </c>
      <c r="AD55" s="61">
        <f>SUMIFS('2017OT'!$H:$H,'2017OT'!$M:$M,Report!AD$4,'2017OT'!$B:$B,Report!$C55)</f>
        <v>0</v>
      </c>
      <c r="AE55" s="61">
        <f>SUMIFS('2017OT'!$H:$H,'2017OT'!$M:$M,Report!AE$4,'2017OT'!$B:$B,Report!$C55)</f>
        <v>0</v>
      </c>
      <c r="AF55" s="61">
        <f>SUMIFS('2017OT'!$H:$H,'2017OT'!$M:$M,Report!AF$4,'2017OT'!$B:$B,Report!$C55)</f>
        <v>0</v>
      </c>
      <c r="AG55" s="61">
        <f>SUMIFS('2017OT'!$H:$H,'2017OT'!$M:$M,Report!AG$4,'2017OT'!$B:$B,Report!$C55)</f>
        <v>0</v>
      </c>
      <c r="AH55" s="61">
        <f>SUMIFS('2017OT'!$H:$H,'2017OT'!$M:$M,Report!AH$4,'2017OT'!$B:$B,Report!$C55)</f>
        <v>0</v>
      </c>
      <c r="AJ55" s="61">
        <f>SUMIFS('2017OT'!$H:$H,'2017OT'!$M:$M,Report!AJ$4,'2017OT'!$B:$B,Report!$C55)</f>
        <v>0</v>
      </c>
      <c r="AK55" s="61">
        <f>SUMIFS('2017OT'!$H:$H,'2017OT'!$M:$M,Report!AK$4,'2017OT'!$B:$B,Report!$C55)</f>
        <v>0</v>
      </c>
      <c r="AL55" s="61">
        <f>SUMIFS('2017OT'!$H:$H,'2017OT'!$M:$M,Report!AL$4,'2017OT'!$B:$B,Report!$C55)</f>
        <v>0</v>
      </c>
      <c r="AM55" s="61">
        <f>SUMIFS('2017OT'!$H:$H,'2017OT'!$M:$M,Report!AM$4,'2017OT'!$B:$B,Report!$C55)</f>
        <v>0</v>
      </c>
      <c r="AN55" s="61">
        <f>SUMIFS('2017OT'!$H:$H,'2017OT'!$M:$M,Report!AN$4,'2017OT'!$B:$B,Report!$C55)</f>
        <v>0</v>
      </c>
      <c r="AO55" s="61">
        <f>SUMIFS('2017OT'!$H:$H,'2017OT'!$M:$M,Report!AO$4,'2017OT'!$B:$B,Report!$C55)</f>
        <v>0</v>
      </c>
      <c r="AP55" s="61">
        <f>SUMIFS('2017OT'!$H:$H,'2017OT'!$M:$M,Report!AP$4,'2017OT'!$B:$B,Report!$C55)</f>
        <v>0</v>
      </c>
      <c r="AQ55" s="61">
        <f>SUMIFS('2017OT'!$H:$H,'2017OT'!$M:$M,Report!AQ$4,'2017OT'!$B:$B,Report!$C55)</f>
        <v>0</v>
      </c>
      <c r="AR55" s="61">
        <f>SUMIFS('2017OT'!$H:$H,'2017OT'!$M:$M,Report!AR$4,'2017OT'!$B:$B,Report!$C55)</f>
        <v>0</v>
      </c>
      <c r="AS55" s="61">
        <f>SUMIFS('2017OT'!$H:$H,'2017OT'!$M:$M,Report!AS$4,'2017OT'!$B:$B,Report!$C55)</f>
        <v>0</v>
      </c>
      <c r="AT55" s="61">
        <f>SUMIFS('2017OT'!$H:$H,'2017OT'!$M:$M,Report!AT$4,'2017OT'!$B:$B,Report!$C55)</f>
        <v>0</v>
      </c>
      <c r="AU55" s="61">
        <f>SUMIFS('2017OT'!$H:$H,'2017OT'!$M:$M,Report!AU$4,'2017OT'!$B:$B,Report!$C55)</f>
        <v>0</v>
      </c>
      <c r="AV55" s="61"/>
      <c r="AW55" s="31">
        <f t="shared" si="28"/>
        <v>0</v>
      </c>
      <c r="AX55" s="31" t="str">
        <f>IFERROR(VLOOKUP($C55,#REF!,3,0),"")</f>
        <v/>
      </c>
      <c r="AY55" s="31" t="str">
        <f>IFERROR(VLOOKUP($C55,#REF!,3,0),"")</f>
        <v/>
      </c>
      <c r="AZ55" s="31" t="str">
        <f>IFERROR(VLOOKUP($C55,#REF!,3,0),"")</f>
        <v/>
      </c>
      <c r="BA55" s="31" t="str">
        <f>IFERROR(VLOOKUP($C55,#REF!,3,0),"")</f>
        <v/>
      </c>
      <c r="BB55" s="31" t="str">
        <f>IFERROR(VLOOKUP($C55,#REF!,3,0),"")</f>
        <v/>
      </c>
      <c r="BC55" s="31" t="str">
        <f>IFERROR(VLOOKUP($C55,#REF!,3,0),"")</f>
        <v/>
      </c>
      <c r="BD55" s="31" t="str">
        <f>IFERROR(VLOOKUP($C55,#REF!,3,0),"")</f>
        <v/>
      </c>
      <c r="BE55" s="31" t="str">
        <f>IFERROR(VLOOKUP($C55,#REF!,3,0),"")</f>
        <v/>
      </c>
      <c r="BF55" s="31" t="str">
        <f>IFERROR(VLOOKUP($C55,#REF!,3,0),"")</f>
        <v/>
      </c>
      <c r="BG55" s="31" t="str">
        <f>IFERROR(VLOOKUP($C55,#REF!,3,0),"")</f>
        <v/>
      </c>
      <c r="BH55" s="31" t="str">
        <f>IFERROR(VLOOKUP($C55,#REF!,3,0),"")</f>
        <v/>
      </c>
      <c r="BI55" s="31" t="str">
        <f>IFERROR(VLOOKUP($C55,#REF!,3,0),"")</f>
        <v/>
      </c>
      <c r="BK55" s="31">
        <f t="shared" si="29"/>
        <v>0</v>
      </c>
      <c r="BL55" s="31" t="str">
        <f t="shared" si="30"/>
        <v/>
      </c>
      <c r="BM55" s="31" t="str">
        <f t="shared" si="31"/>
        <v/>
      </c>
      <c r="BN55" s="31" t="str">
        <f t="shared" si="32"/>
        <v/>
      </c>
      <c r="BO55" s="31" t="str">
        <f t="shared" si="33"/>
        <v/>
      </c>
      <c r="BP55" s="31" t="str">
        <f t="shared" si="25"/>
        <v/>
      </c>
      <c r="BQ55" s="31" t="str">
        <f t="shared" si="18"/>
        <v/>
      </c>
      <c r="BR55" s="31" t="str">
        <f t="shared" si="19"/>
        <v/>
      </c>
      <c r="BS55" s="31" t="str">
        <f t="shared" si="20"/>
        <v/>
      </c>
      <c r="BT55" s="31" t="str">
        <f t="shared" si="21"/>
        <v/>
      </c>
      <c r="BU55" s="31" t="str">
        <f t="shared" si="22"/>
        <v/>
      </c>
      <c r="BV55" s="31" t="str">
        <f t="shared" si="23"/>
        <v/>
      </c>
      <c r="BW55" s="31" t="str">
        <f t="shared" si="24"/>
        <v/>
      </c>
    </row>
    <row r="56" spans="1:75" ht="15" customHeight="1">
      <c r="A56" s="83">
        <v>51</v>
      </c>
      <c r="B56" s="19" t="s">
        <v>22</v>
      </c>
      <c r="C56" s="19" t="s">
        <v>484</v>
      </c>
      <c r="D56" s="19"/>
      <c r="E56" s="19"/>
      <c r="F56" s="75"/>
      <c r="G56" s="31">
        <f t="shared" ref="G56:G66" si="34">SUM(J56:U56)</f>
        <v>7900.9999999999982</v>
      </c>
      <c r="H56" s="31">
        <f t="shared" ref="H56:H66" si="35">SUM(W56:AH56)</f>
        <v>6372.8333333333339</v>
      </c>
      <c r="I56" s="31">
        <f t="shared" ref="I56:I66" si="36">SUM(AJ56:AU56)</f>
        <v>3009.9999999999995</v>
      </c>
      <c r="J56" s="61">
        <f t="shared" ref="J56:U56" si="37">SUM(J6:J55)</f>
        <v>530</v>
      </c>
      <c r="K56" s="61">
        <f t="shared" si="37"/>
        <v>519.99999999999966</v>
      </c>
      <c r="L56" s="61">
        <f t="shared" si="37"/>
        <v>818.99999999999943</v>
      </c>
      <c r="M56" s="61">
        <f t="shared" si="37"/>
        <v>701.99999999999955</v>
      </c>
      <c r="N56" s="61">
        <f t="shared" si="37"/>
        <v>388.49999999999977</v>
      </c>
      <c r="O56" s="61">
        <f t="shared" si="37"/>
        <v>425.74999999999989</v>
      </c>
      <c r="P56" s="61">
        <f t="shared" si="37"/>
        <v>731</v>
      </c>
      <c r="Q56" s="61">
        <f t="shared" si="37"/>
        <v>675.49999999999977</v>
      </c>
      <c r="R56" s="61">
        <f t="shared" si="37"/>
        <v>587.49999999999966</v>
      </c>
      <c r="S56" s="61">
        <f t="shared" si="37"/>
        <v>706.99999999999977</v>
      </c>
      <c r="T56" s="61">
        <f t="shared" si="37"/>
        <v>670.74999999999977</v>
      </c>
      <c r="U56" s="61">
        <f t="shared" si="37"/>
        <v>1143.9999999999995</v>
      </c>
      <c r="W56" s="61">
        <f t="shared" ref="W56:AH56" si="38">SUM(W6:W55)</f>
        <v>778.5</v>
      </c>
      <c r="X56" s="61">
        <f t="shared" si="38"/>
        <v>380.75</v>
      </c>
      <c r="Y56" s="61">
        <f t="shared" si="38"/>
        <v>1591.75</v>
      </c>
      <c r="Z56" s="61">
        <f t="shared" si="38"/>
        <v>865.25000000000034</v>
      </c>
      <c r="AA56" s="61">
        <f t="shared" si="38"/>
        <v>597.33333333333326</v>
      </c>
      <c r="AB56" s="61">
        <f t="shared" si="38"/>
        <v>663.99999999999955</v>
      </c>
      <c r="AC56" s="61">
        <f t="shared" si="38"/>
        <v>377.25000000000011</v>
      </c>
      <c r="AD56" s="61">
        <f t="shared" si="38"/>
        <v>207.99999999999997</v>
      </c>
      <c r="AE56" s="61">
        <f t="shared" si="38"/>
        <v>167.99999999999997</v>
      </c>
      <c r="AF56" s="61">
        <f t="shared" si="38"/>
        <v>244.99999999999997</v>
      </c>
      <c r="AG56" s="61">
        <f t="shared" si="38"/>
        <v>224.49999999999997</v>
      </c>
      <c r="AH56" s="61">
        <f t="shared" si="38"/>
        <v>272.49999999999994</v>
      </c>
      <c r="AJ56" s="61">
        <f t="shared" ref="AJ56:AU56" si="39">SUM(AJ6:AJ55)</f>
        <v>490.49999999999989</v>
      </c>
      <c r="AK56" s="61">
        <f t="shared" si="39"/>
        <v>272.99999999999994</v>
      </c>
      <c r="AL56" s="61">
        <f t="shared" si="39"/>
        <v>608.99999999999989</v>
      </c>
      <c r="AM56" s="61">
        <f t="shared" si="39"/>
        <v>444.49999999999994</v>
      </c>
      <c r="AN56" s="61">
        <f t="shared" si="39"/>
        <v>405.99999999999989</v>
      </c>
      <c r="AO56" s="61">
        <f t="shared" si="39"/>
        <v>281.99999999999994</v>
      </c>
      <c r="AP56" s="61">
        <f t="shared" si="39"/>
        <v>504.99999999999994</v>
      </c>
      <c r="AQ56" s="61">
        <f t="shared" si="39"/>
        <v>0</v>
      </c>
      <c r="AR56" s="61">
        <f t="shared" si="39"/>
        <v>0</v>
      </c>
      <c r="AS56" s="61">
        <f t="shared" si="39"/>
        <v>0</v>
      </c>
      <c r="AT56" s="61">
        <f t="shared" si="39"/>
        <v>0</v>
      </c>
      <c r="AU56" s="61">
        <f t="shared" si="39"/>
        <v>0</v>
      </c>
      <c r="AV56" s="61"/>
      <c r="AW56" s="31">
        <f t="shared" ref="AW56" si="40">SUM(AX56:BI56)</f>
        <v>0</v>
      </c>
      <c r="AX56" s="31">
        <f t="shared" ref="AX56:BI56" si="41">SUM(AX6:AX55)</f>
        <v>0</v>
      </c>
      <c r="AY56" s="31">
        <f t="shared" si="41"/>
        <v>0</v>
      </c>
      <c r="AZ56" s="31">
        <f t="shared" si="41"/>
        <v>0</v>
      </c>
      <c r="BA56" s="31">
        <f t="shared" si="41"/>
        <v>0</v>
      </c>
      <c r="BB56" s="31">
        <f t="shared" si="41"/>
        <v>0</v>
      </c>
      <c r="BC56" s="31">
        <f t="shared" si="41"/>
        <v>0</v>
      </c>
      <c r="BD56" s="31">
        <f t="shared" si="41"/>
        <v>0</v>
      </c>
      <c r="BE56" s="31">
        <f t="shared" si="41"/>
        <v>0</v>
      </c>
      <c r="BF56" s="31">
        <f t="shared" si="41"/>
        <v>0</v>
      </c>
      <c r="BG56" s="31">
        <f t="shared" si="41"/>
        <v>0</v>
      </c>
      <c r="BH56" s="31">
        <f t="shared" si="41"/>
        <v>0</v>
      </c>
      <c r="BI56" s="31">
        <f t="shared" si="41"/>
        <v>0</v>
      </c>
      <c r="BK56" s="31">
        <f t="shared" ref="BK56" si="42">SUM(BL56:BW56)</f>
        <v>0</v>
      </c>
      <c r="BL56" s="31" t="str">
        <f>IF(AND((AX56&lt;&gt;""),B56=$B$6),AX56-$BJ$1,"")</f>
        <v/>
      </c>
      <c r="BM56" s="31">
        <f t="shared" ref="BM56:BW56" si="43">SUM(BM6:BM55)</f>
        <v>0</v>
      </c>
      <c r="BN56" s="31">
        <f t="shared" si="43"/>
        <v>0</v>
      </c>
      <c r="BO56" s="31">
        <f t="shared" si="43"/>
        <v>0</v>
      </c>
      <c r="BP56" s="31">
        <f t="shared" si="43"/>
        <v>0</v>
      </c>
      <c r="BQ56" s="31">
        <f t="shared" si="43"/>
        <v>0</v>
      </c>
      <c r="BR56" s="31">
        <f t="shared" si="43"/>
        <v>0</v>
      </c>
      <c r="BS56" s="31">
        <f t="shared" si="43"/>
        <v>0</v>
      </c>
      <c r="BT56" s="31">
        <f t="shared" si="43"/>
        <v>0</v>
      </c>
      <c r="BU56" s="31">
        <f t="shared" si="43"/>
        <v>0</v>
      </c>
      <c r="BV56" s="31">
        <f t="shared" si="43"/>
        <v>0</v>
      </c>
      <c r="BW56" s="31">
        <f t="shared" si="43"/>
        <v>0</v>
      </c>
    </row>
    <row r="57" spans="1:75" ht="15" customHeight="1">
      <c r="A57" s="83">
        <v>52</v>
      </c>
      <c r="B57" s="19" t="s">
        <v>22</v>
      </c>
      <c r="C57" s="19" t="s">
        <v>485</v>
      </c>
      <c r="D57" s="19"/>
      <c r="E57" s="19"/>
      <c r="F57" s="75"/>
      <c r="G57" s="31">
        <f t="shared" si="34"/>
        <v>0</v>
      </c>
      <c r="H57" s="31">
        <f t="shared" si="35"/>
        <v>0</v>
      </c>
      <c r="I57" s="31">
        <f t="shared" si="36"/>
        <v>0</v>
      </c>
    </row>
    <row r="58" spans="1:75" ht="15" customHeight="1">
      <c r="A58" s="83">
        <v>53</v>
      </c>
      <c r="B58" s="19" t="s">
        <v>22</v>
      </c>
      <c r="C58" s="19" t="s">
        <v>486</v>
      </c>
      <c r="D58" s="19"/>
      <c r="E58" s="19"/>
      <c r="F58" s="75"/>
      <c r="G58" s="31">
        <f t="shared" si="34"/>
        <v>0</v>
      </c>
      <c r="H58" s="31">
        <f t="shared" si="35"/>
        <v>0</v>
      </c>
      <c r="I58" s="31">
        <f t="shared" si="36"/>
        <v>0</v>
      </c>
    </row>
    <row r="59" spans="1:75" s="27" customFormat="1" ht="15" customHeight="1">
      <c r="A59" s="83">
        <v>54</v>
      </c>
      <c r="B59" s="19" t="s">
        <v>22</v>
      </c>
      <c r="C59" s="19" t="s">
        <v>487</v>
      </c>
      <c r="D59" s="19"/>
      <c r="E59" s="19"/>
      <c r="F59" s="75"/>
      <c r="G59" s="31">
        <f t="shared" si="34"/>
        <v>0</v>
      </c>
      <c r="H59" s="31">
        <f t="shared" si="35"/>
        <v>0</v>
      </c>
      <c r="I59" s="31">
        <f t="shared" si="36"/>
        <v>0</v>
      </c>
      <c r="AW59" s="17"/>
      <c r="AX59" s="17"/>
      <c r="AY59" s="17"/>
    </row>
    <row r="60" spans="1:75" ht="15" customHeight="1">
      <c r="A60" s="83">
        <v>55</v>
      </c>
      <c r="B60" s="19" t="s">
        <v>22</v>
      </c>
      <c r="C60" s="19" t="s">
        <v>488</v>
      </c>
      <c r="D60" s="19"/>
      <c r="E60" s="19"/>
      <c r="F60" s="75"/>
      <c r="G60" s="31">
        <f t="shared" si="34"/>
        <v>0</v>
      </c>
      <c r="H60" s="31">
        <f t="shared" si="35"/>
        <v>0</v>
      </c>
      <c r="I60" s="31">
        <f t="shared" si="36"/>
        <v>0</v>
      </c>
    </row>
    <row r="61" spans="1:75" ht="15" customHeight="1">
      <c r="A61" s="83">
        <v>56</v>
      </c>
      <c r="B61" s="19" t="s">
        <v>22</v>
      </c>
      <c r="C61" s="19" t="s">
        <v>492</v>
      </c>
      <c r="D61" s="19"/>
      <c r="E61" s="19"/>
      <c r="F61" s="75"/>
      <c r="G61" s="31">
        <f t="shared" si="34"/>
        <v>0</v>
      </c>
      <c r="H61" s="31">
        <f t="shared" si="35"/>
        <v>0</v>
      </c>
      <c r="I61" s="31">
        <f t="shared" si="36"/>
        <v>0</v>
      </c>
    </row>
    <row r="62" spans="1:75" ht="15" customHeight="1">
      <c r="A62" s="83">
        <v>57</v>
      </c>
      <c r="B62" s="19" t="s">
        <v>22</v>
      </c>
      <c r="C62" s="19" t="s">
        <v>548</v>
      </c>
      <c r="D62" s="19"/>
      <c r="E62" s="19"/>
      <c r="F62" s="75"/>
      <c r="G62" s="31">
        <f t="shared" si="34"/>
        <v>0</v>
      </c>
      <c r="H62" s="31">
        <f t="shared" si="35"/>
        <v>0</v>
      </c>
      <c r="I62" s="31">
        <f t="shared" si="36"/>
        <v>0</v>
      </c>
    </row>
    <row r="63" spans="1:75" ht="15" customHeight="1">
      <c r="A63" s="83">
        <v>58</v>
      </c>
      <c r="B63" s="19" t="s">
        <v>22</v>
      </c>
      <c r="C63" s="19" t="s">
        <v>534</v>
      </c>
      <c r="D63" s="19"/>
      <c r="E63" s="19"/>
      <c r="F63" s="75"/>
      <c r="G63" s="31">
        <f t="shared" si="34"/>
        <v>0</v>
      </c>
      <c r="H63" s="31">
        <f t="shared" si="35"/>
        <v>0</v>
      </c>
      <c r="I63" s="31">
        <f t="shared" si="36"/>
        <v>0</v>
      </c>
    </row>
    <row r="64" spans="1:75" ht="15" customHeight="1">
      <c r="A64" s="83">
        <v>59</v>
      </c>
      <c r="B64" s="19" t="s">
        <v>22</v>
      </c>
      <c r="C64" s="19" t="s">
        <v>538</v>
      </c>
      <c r="D64" s="19"/>
      <c r="E64" s="19"/>
      <c r="F64" s="75"/>
      <c r="G64" s="31">
        <f t="shared" si="34"/>
        <v>0</v>
      </c>
      <c r="H64" s="31">
        <f t="shared" si="35"/>
        <v>0</v>
      </c>
      <c r="I64" s="31">
        <f t="shared" si="36"/>
        <v>0</v>
      </c>
    </row>
    <row r="65" spans="1:9" ht="15" customHeight="1">
      <c r="A65" s="83">
        <v>60</v>
      </c>
      <c r="B65" s="19" t="s">
        <v>22</v>
      </c>
      <c r="C65" s="19" t="s">
        <v>612</v>
      </c>
      <c r="D65" s="19"/>
      <c r="E65" s="19"/>
      <c r="F65" s="75"/>
      <c r="G65" s="31">
        <f t="shared" si="34"/>
        <v>0</v>
      </c>
      <c r="H65" s="31">
        <f t="shared" si="35"/>
        <v>0</v>
      </c>
      <c r="I65" s="31">
        <f t="shared" si="36"/>
        <v>0</v>
      </c>
    </row>
    <row r="66" spans="1:9" ht="15" customHeight="1">
      <c r="A66" s="83">
        <v>61</v>
      </c>
      <c r="B66" s="19" t="s">
        <v>11</v>
      </c>
      <c r="C66" s="19" t="s">
        <v>772</v>
      </c>
      <c r="D66" s="19"/>
      <c r="E66" s="19"/>
      <c r="F66" s="75"/>
      <c r="G66" s="31">
        <f t="shared" si="34"/>
        <v>0</v>
      </c>
      <c r="H66" s="31">
        <f t="shared" si="35"/>
        <v>0</v>
      </c>
      <c r="I66" s="31">
        <f t="shared" si="36"/>
        <v>0</v>
      </c>
    </row>
  </sheetData>
  <sortState ref="A5:BU54">
    <sortCondition ref="A5:A54"/>
    <sortCondition descending="1" ref="B5:B54"/>
    <sortCondition ref="C5:C54"/>
  </sortState>
  <mergeCells count="6">
    <mergeCell ref="AW1:BI2"/>
    <mergeCell ref="BK1:BW2"/>
    <mergeCell ref="A1:I2"/>
    <mergeCell ref="J1:U2"/>
    <mergeCell ref="AJ1:AU2"/>
    <mergeCell ref="W1:AH2"/>
  </mergeCells>
  <conditionalFormatting sqref="H6:H37 K6:U55 H53:H66">
    <cfRule type="cellIs" dxfId="85" priority="177" operator="equal">
      <formula>0</formula>
    </cfRule>
  </conditionalFormatting>
  <conditionalFormatting sqref="J56:U56">
    <cfRule type="cellIs" dxfId="84" priority="173" operator="equal">
      <formula>0</formula>
    </cfRule>
  </conditionalFormatting>
  <conditionalFormatting sqref="AX56:BI56">
    <cfRule type="cellIs" dxfId="83" priority="166" operator="equal">
      <formula>0</formula>
    </cfRule>
  </conditionalFormatting>
  <conditionalFormatting sqref="AW6:AW14 BE21:BI22 AW21:AW22 AW24:AW37 BE24:BI37 AW56:BI56 BE6:BI14 BE53:BI55 AW53:AW55">
    <cfRule type="cellIs" dxfId="82" priority="165" operator="equal">
      <formula>0</formula>
    </cfRule>
  </conditionalFormatting>
  <conditionalFormatting sqref="BL56:BW56">
    <cfRule type="cellIs" dxfId="81" priority="164" operator="equal">
      <formula>0</formula>
    </cfRule>
  </conditionalFormatting>
  <conditionalFormatting sqref="BK6:BW14 BK21:BW22 BK24:BW37 BK53:BW56">
    <cfRule type="cellIs" dxfId="80" priority="163" operator="equal">
      <formula>0</formula>
    </cfRule>
  </conditionalFormatting>
  <conditionalFormatting sqref="AX6:BD14 AX21:BD22 AX24:BD37 AX53:BD55">
    <cfRule type="cellIs" dxfId="79" priority="162" operator="equal">
      <formula>0</formula>
    </cfRule>
  </conditionalFormatting>
  <conditionalFormatting sqref="AW15 BE15:BI15">
    <cfRule type="cellIs" dxfId="78" priority="159" operator="equal">
      <formula>0</formula>
    </cfRule>
  </conditionalFormatting>
  <conditionalFormatting sqref="BK15:BW15">
    <cfRule type="cellIs" dxfId="77" priority="158" operator="equal">
      <formula>0</formula>
    </cfRule>
  </conditionalFormatting>
  <conditionalFormatting sqref="AX15:BD15">
    <cfRule type="cellIs" dxfId="76" priority="157" operator="equal">
      <formula>0</formula>
    </cfRule>
  </conditionalFormatting>
  <conditionalFormatting sqref="AW18 BE18:BI18">
    <cfRule type="cellIs" dxfId="75" priority="154" operator="equal">
      <formula>0</formula>
    </cfRule>
  </conditionalFormatting>
  <conditionalFormatting sqref="BK18:BW18">
    <cfRule type="cellIs" dxfId="74" priority="153" operator="equal">
      <formula>0</formula>
    </cfRule>
  </conditionalFormatting>
  <conditionalFormatting sqref="AX18:BD18">
    <cfRule type="cellIs" dxfId="73" priority="152" operator="equal">
      <formula>0</formula>
    </cfRule>
  </conditionalFormatting>
  <conditionalFormatting sqref="AW23 BE23:BI23">
    <cfRule type="cellIs" dxfId="72" priority="148" operator="equal">
      <formula>0</formula>
    </cfRule>
  </conditionalFormatting>
  <conditionalFormatting sqref="BK23:BW23">
    <cfRule type="cellIs" dxfId="71" priority="147" operator="equal">
      <formula>0</formula>
    </cfRule>
  </conditionalFormatting>
  <conditionalFormatting sqref="AX23:BD23">
    <cfRule type="cellIs" dxfId="70" priority="146" operator="equal">
      <formula>0</formula>
    </cfRule>
  </conditionalFormatting>
  <conditionalFormatting sqref="AW16 BE16:BI16">
    <cfRule type="cellIs" dxfId="69" priority="143" operator="equal">
      <formula>0</formula>
    </cfRule>
  </conditionalFormatting>
  <conditionalFormatting sqref="BK16:BW16">
    <cfRule type="cellIs" dxfId="68" priority="142" operator="equal">
      <formula>0</formula>
    </cfRule>
  </conditionalFormatting>
  <conditionalFormatting sqref="AX16:BD16">
    <cfRule type="cellIs" dxfId="67" priority="141" operator="equal">
      <formula>0</formula>
    </cfRule>
  </conditionalFormatting>
  <conditionalFormatting sqref="AW17 BE17:BI17">
    <cfRule type="cellIs" dxfId="66" priority="138" operator="equal">
      <formula>0</formula>
    </cfRule>
  </conditionalFormatting>
  <conditionalFormatting sqref="BK17:BW17">
    <cfRule type="cellIs" dxfId="65" priority="137" operator="equal">
      <formula>0</formula>
    </cfRule>
  </conditionalFormatting>
  <conditionalFormatting sqref="AX17:BD17">
    <cfRule type="cellIs" dxfId="64" priority="136" operator="equal">
      <formula>0</formula>
    </cfRule>
  </conditionalFormatting>
  <conditionalFormatting sqref="BE20:BI20 AW20">
    <cfRule type="cellIs" dxfId="63" priority="132" operator="equal">
      <formula>0</formula>
    </cfRule>
  </conditionalFormatting>
  <conditionalFormatting sqref="BK20:BW20">
    <cfRule type="cellIs" dxfId="62" priority="131" operator="equal">
      <formula>0</formula>
    </cfRule>
  </conditionalFormatting>
  <conditionalFormatting sqref="AX20:BD20">
    <cfRule type="cellIs" dxfId="61" priority="130" operator="equal">
      <formula>0</formula>
    </cfRule>
  </conditionalFormatting>
  <conditionalFormatting sqref="BE19:BI19 AW19">
    <cfRule type="cellIs" dxfId="60" priority="126" operator="equal">
      <formula>0</formula>
    </cfRule>
  </conditionalFormatting>
  <conditionalFormatting sqref="BK19:BW19">
    <cfRule type="cellIs" dxfId="59" priority="125" operator="equal">
      <formula>0</formula>
    </cfRule>
  </conditionalFormatting>
  <conditionalFormatting sqref="AX19:BD19">
    <cfRule type="cellIs" dxfId="58" priority="124" operator="equal">
      <formula>0</formula>
    </cfRule>
  </conditionalFormatting>
  <conditionalFormatting sqref="W56:AH56">
    <cfRule type="cellIs" dxfId="57" priority="121" operator="equal">
      <formula>0</formula>
    </cfRule>
  </conditionalFormatting>
  <conditionalFormatting sqref="J6:U55">
    <cfRule type="cellIs" dxfId="56" priority="103" operator="equal">
      <formula>0</formula>
    </cfRule>
  </conditionalFormatting>
  <conditionalFormatting sqref="G6:G45 G53:G66">
    <cfRule type="cellIs" dxfId="55" priority="102" operator="equal">
      <formula>0</formula>
    </cfRule>
  </conditionalFormatting>
  <conditionalFormatting sqref="H50:H52">
    <cfRule type="cellIs" dxfId="54" priority="89" operator="equal">
      <formula>0</formula>
    </cfRule>
  </conditionalFormatting>
  <conditionalFormatting sqref="BE50:BI52 AW50:AW52">
    <cfRule type="cellIs" dxfId="53" priority="86" operator="equal">
      <formula>0</formula>
    </cfRule>
  </conditionalFormatting>
  <conditionalFormatting sqref="BK50:BW52">
    <cfRule type="cellIs" dxfId="52" priority="85" operator="equal">
      <formula>0</formula>
    </cfRule>
  </conditionalFormatting>
  <conditionalFormatting sqref="AX50:BD52">
    <cfRule type="cellIs" dxfId="51" priority="84" operator="equal">
      <formula>0</formula>
    </cfRule>
  </conditionalFormatting>
  <conditionalFormatting sqref="G50:G52">
    <cfRule type="cellIs" dxfId="50" priority="81" operator="equal">
      <formula>0</formula>
    </cfRule>
  </conditionalFormatting>
  <conditionalFormatting sqref="H48:H49">
    <cfRule type="cellIs" dxfId="49" priority="80" operator="equal">
      <formula>0</formula>
    </cfRule>
  </conditionalFormatting>
  <conditionalFormatting sqref="BE48:BI49 AW48:AW49">
    <cfRule type="cellIs" dxfId="48" priority="77" operator="equal">
      <formula>0</formula>
    </cfRule>
  </conditionalFormatting>
  <conditionalFormatting sqref="BK48:BW49">
    <cfRule type="cellIs" dxfId="47" priority="76" operator="equal">
      <formula>0</formula>
    </cfRule>
  </conditionalFormatting>
  <conditionalFormatting sqref="AX48:BD49">
    <cfRule type="cellIs" dxfId="46" priority="75" operator="equal">
      <formula>0</formula>
    </cfRule>
  </conditionalFormatting>
  <conditionalFormatting sqref="G48:G49">
    <cfRule type="cellIs" dxfId="45" priority="72" operator="equal">
      <formula>0</formula>
    </cfRule>
  </conditionalFormatting>
  <conditionalFormatting sqref="H45:H47">
    <cfRule type="cellIs" dxfId="44" priority="71" operator="equal">
      <formula>0</formula>
    </cfRule>
  </conditionalFormatting>
  <conditionalFormatting sqref="BE45:BI47 AW45:AW47">
    <cfRule type="cellIs" dxfId="43" priority="68" operator="equal">
      <formula>0</formula>
    </cfRule>
  </conditionalFormatting>
  <conditionalFormatting sqref="BK45:BW47">
    <cfRule type="cellIs" dxfId="42" priority="67" operator="equal">
      <formula>0</formula>
    </cfRule>
  </conditionalFormatting>
  <conditionalFormatting sqref="AX45:BD47">
    <cfRule type="cellIs" dxfId="41" priority="66" operator="equal">
      <formula>0</formula>
    </cfRule>
  </conditionalFormatting>
  <conditionalFormatting sqref="G46:G47">
    <cfRule type="cellIs" dxfId="40" priority="63" operator="equal">
      <formula>0</formula>
    </cfRule>
  </conditionalFormatting>
  <conditionalFormatting sqref="H43:H44">
    <cfRule type="cellIs" dxfId="39" priority="62" operator="equal">
      <formula>0</formula>
    </cfRule>
  </conditionalFormatting>
  <conditionalFormatting sqref="BE43:BI44 AW43:AW44">
    <cfRule type="cellIs" dxfId="38" priority="59" operator="equal">
      <formula>0</formula>
    </cfRule>
  </conditionalFormatting>
  <conditionalFormatting sqref="BK43:BW44">
    <cfRule type="cellIs" dxfId="37" priority="58" operator="equal">
      <formula>0</formula>
    </cfRule>
  </conditionalFormatting>
  <conditionalFormatting sqref="AX43:BD44">
    <cfRule type="cellIs" dxfId="36" priority="57" operator="equal">
      <formula>0</formula>
    </cfRule>
  </conditionalFormatting>
  <conditionalFormatting sqref="H41:H42">
    <cfRule type="cellIs" dxfId="35" priority="53" operator="equal">
      <formula>0</formula>
    </cfRule>
  </conditionalFormatting>
  <conditionalFormatting sqref="BE41:BI42 AW41:AW42">
    <cfRule type="cellIs" dxfId="34" priority="50" operator="equal">
      <formula>0</formula>
    </cfRule>
  </conditionalFormatting>
  <conditionalFormatting sqref="BK41:BW42">
    <cfRule type="cellIs" dxfId="33" priority="49" operator="equal">
      <formula>0</formula>
    </cfRule>
  </conditionalFormatting>
  <conditionalFormatting sqref="AX41:BD42">
    <cfRule type="cellIs" dxfId="32" priority="48" operator="equal">
      <formula>0</formula>
    </cfRule>
  </conditionalFormatting>
  <conditionalFormatting sqref="H38:H40">
    <cfRule type="cellIs" dxfId="31" priority="44" operator="equal">
      <formula>0</formula>
    </cfRule>
  </conditionalFormatting>
  <conditionalFormatting sqref="BE38:BI40 AW38:AW40">
    <cfRule type="cellIs" dxfId="30" priority="41" operator="equal">
      <formula>0</formula>
    </cfRule>
  </conditionalFormatting>
  <conditionalFormatting sqref="BK38:BW40">
    <cfRule type="cellIs" dxfId="29" priority="40" operator="equal">
      <formula>0</formula>
    </cfRule>
  </conditionalFormatting>
  <conditionalFormatting sqref="AX38:BD40">
    <cfRule type="cellIs" dxfId="28" priority="39" operator="equal">
      <formula>0</formula>
    </cfRule>
  </conditionalFormatting>
  <conditionalFormatting sqref="W7:AH55 X6:AH6">
    <cfRule type="cellIs" dxfId="27" priority="33" operator="equal">
      <formula>0</formula>
    </cfRule>
  </conditionalFormatting>
  <conditionalFormatting sqref="W7:AH55 X6:AH6">
    <cfRule type="cellIs" dxfId="26" priority="32" operator="equal">
      <formula>0</formula>
    </cfRule>
  </conditionalFormatting>
  <conditionalFormatting sqref="W6">
    <cfRule type="cellIs" dxfId="25" priority="31" operator="equal">
      <formula>0</formula>
    </cfRule>
  </conditionalFormatting>
  <conditionalFormatting sqref="W6">
    <cfRule type="cellIs" dxfId="24" priority="30" operator="equal">
      <formula>0</formula>
    </cfRule>
  </conditionalFormatting>
  <conditionalFormatting sqref="AJ56:AV56">
    <cfRule type="cellIs" dxfId="23" priority="29" operator="equal">
      <formula>0</formula>
    </cfRule>
  </conditionalFormatting>
  <conditionalFormatting sqref="AJ7:AV55 AK6:AV6">
    <cfRule type="cellIs" dxfId="22" priority="28" operator="equal">
      <formula>0</formula>
    </cfRule>
  </conditionalFormatting>
  <conditionalFormatting sqref="AJ7:AV55 AK6:AV6">
    <cfRule type="cellIs" dxfId="21" priority="27" operator="equal">
      <formula>0</formula>
    </cfRule>
  </conditionalFormatting>
  <conditionalFormatting sqref="AJ6">
    <cfRule type="cellIs" dxfId="20" priority="26" operator="equal">
      <formula>0</formula>
    </cfRule>
  </conditionalFormatting>
  <conditionalFormatting sqref="AJ6">
    <cfRule type="cellIs" dxfId="19" priority="25" operator="equal">
      <formula>0</formula>
    </cfRule>
  </conditionalFormatting>
  <conditionalFormatting sqref="I6:I66">
    <cfRule type="expression" dxfId="18" priority="1">
      <formula>AND(B6="Perm staff onsite",I6&gt;200)</formula>
    </cfRule>
    <cfRule type="cellIs" dxfId="17" priority="24" operator="equal">
      <formula>0</formula>
    </cfRule>
  </conditionalFormatting>
  <conditionalFormatting sqref="G6:I66">
    <cfRule type="expression" dxfId="16" priority="14">
      <formula>AND(B6="Perm staff onsite",G6&gt;200)</formula>
    </cfRule>
  </conditionalFormatting>
  <conditionalFormatting sqref="H6">
    <cfRule type="cellIs" dxfId="15" priority="13" operator="equal">
      <formula>0</formula>
    </cfRule>
  </conditionalFormatting>
  <conditionalFormatting sqref="H6:H66">
    <cfRule type="expression" dxfId="14" priority="11">
      <formula>AND(B6="perm staff onsite",H6&gt;200)</formula>
    </cfRule>
  </conditionalFormatting>
  <conditionalFormatting sqref="I53:I66 I6:I37">
    <cfRule type="cellIs" dxfId="13" priority="10" operator="equal">
      <formula>0</formula>
    </cfRule>
  </conditionalFormatting>
  <conditionalFormatting sqref="I50:I52">
    <cfRule type="cellIs" dxfId="12" priority="9" operator="equal">
      <formula>0</formula>
    </cfRule>
  </conditionalFormatting>
  <conditionalFormatting sqref="I48:I49">
    <cfRule type="cellIs" dxfId="11" priority="8" operator="equal">
      <formula>0</formula>
    </cfRule>
  </conditionalFormatting>
  <conditionalFormatting sqref="I45:I47">
    <cfRule type="cellIs" dxfId="10" priority="7" operator="equal">
      <formula>0</formula>
    </cfRule>
  </conditionalFormatting>
  <conditionalFormatting sqref="I43:I44">
    <cfRule type="cellIs" dxfId="9" priority="6" operator="equal">
      <formula>0</formula>
    </cfRule>
  </conditionalFormatting>
  <conditionalFormatting sqref="I41:I42">
    <cfRule type="cellIs" dxfId="8" priority="5" operator="equal">
      <formula>0</formula>
    </cfRule>
  </conditionalFormatting>
  <conditionalFormatting sqref="I38:I40">
    <cfRule type="cellIs" dxfId="7" priority="4" operator="equal">
      <formula>0</formula>
    </cfRule>
  </conditionalFormatting>
  <conditionalFormatting sqref="I6">
    <cfRule type="cellIs" dxfId="6" priority="3" operator="equal">
      <formula>0</formula>
    </cfRule>
  </conditionalFormatting>
  <conditionalFormatting sqref="I6:I66">
    <cfRule type="expression" dxfId="5" priority="2">
      <formula>AND(C6="perm staff onsite",I6&gt;200)</formula>
    </cfRule>
  </conditionalFormatting>
  <dataValidations disablePrompts="1" count="1">
    <dataValidation type="list" allowBlank="1" showInputMessage="1" showErrorMessage="1" sqref="C12">
      <formula1>Staff_Name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2017OT</vt:lpstr>
      <vt:lpstr>Temp</vt:lpstr>
      <vt:lpstr>PivotReport</vt:lpstr>
      <vt:lpstr>Chart_FXV Overtime</vt:lpstr>
      <vt:lpstr>Summary</vt:lpstr>
      <vt:lpstr>Report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FXML PrintRoom (FXV, HCM)</dc:creator>
  <cp:lastModifiedBy>Tran Tan Thinh</cp:lastModifiedBy>
  <dcterms:created xsi:type="dcterms:W3CDTF">2017-08-16T04:50:41Z</dcterms:created>
  <dcterms:modified xsi:type="dcterms:W3CDTF">2019-12-18T15:36:57Z</dcterms:modified>
</cp:coreProperties>
</file>