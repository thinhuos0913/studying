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8505"/>
  </bookViews>
  <sheets>
    <sheet name="Data" sheetId="1" r:id="rId1"/>
    <sheet name="Oneway interpolate" sheetId="2" r:id="rId2"/>
    <sheet name="Twoway interpolate" sheetId="3" r:id="rId3"/>
    <sheet name="Macros" sheetId="4" r:id="rId4"/>
  </sheets>
  <externalReferences>
    <externalReference r:id="rId5"/>
  </externalReferences>
  <calcPr calcId="144525"/>
</workbook>
</file>

<file path=xl/calcChain.xml><?xml version="1.0" encoding="utf-8"?>
<calcChain xmlns="http://schemas.openxmlformats.org/spreadsheetml/2006/main">
  <c r="D23" i="3" l="1"/>
  <c r="H10" i="2"/>
  <c r="H12" i="2"/>
  <c r="H8" i="2"/>
</calcChain>
</file>

<file path=xl/sharedStrings.xml><?xml version="1.0" encoding="utf-8"?>
<sst xmlns="http://schemas.openxmlformats.org/spreadsheetml/2006/main" count="156" uniqueCount="112">
  <si>
    <t>Sollie</t>
  </si>
  <si>
    <t>Fellgett</t>
  </si>
  <si>
    <t>sfellgett0@nationalgeographic.com</t>
  </si>
  <si>
    <t>Male</t>
  </si>
  <si>
    <t>Honda</t>
  </si>
  <si>
    <t>Aldrich</t>
  </si>
  <si>
    <t>Hemerijk</t>
  </si>
  <si>
    <t>ahemerijk1@tinypic.com</t>
  </si>
  <si>
    <t>Volkswagen</t>
  </si>
  <si>
    <t>Gerianna</t>
  </si>
  <si>
    <t>Thor</t>
  </si>
  <si>
    <t>gthor2@tripod.com</t>
  </si>
  <si>
    <t>Female</t>
  </si>
  <si>
    <t>Ford</t>
  </si>
  <si>
    <t>Nicolis</t>
  </si>
  <si>
    <t>Shillan</t>
  </si>
  <si>
    <t>nshillan3@princeton.edu</t>
  </si>
  <si>
    <t>Pontiac</t>
  </si>
  <si>
    <t>Edmon</t>
  </si>
  <si>
    <t>Marde</t>
  </si>
  <si>
    <t>emarde4@cbc.ca</t>
  </si>
  <si>
    <t>Mitsubishi</t>
  </si>
  <si>
    <t>Donnie</t>
  </si>
  <si>
    <t>Letty</t>
  </si>
  <si>
    <t>dletty5@behance.net</t>
  </si>
  <si>
    <t>BMW</t>
  </si>
  <si>
    <t>Sal</t>
  </si>
  <si>
    <t>Collomosse</t>
  </si>
  <si>
    <t>scollomosse6@cbsnews.com</t>
  </si>
  <si>
    <t>Chevrolet</t>
  </si>
  <si>
    <t>Xymenes</t>
  </si>
  <si>
    <t>Trodler</t>
  </si>
  <si>
    <t>xtrodler7@patch.com</t>
  </si>
  <si>
    <t>Janean</t>
  </si>
  <si>
    <t>Quiddington</t>
  </si>
  <si>
    <t>jquiddington8@cam.ac.uk</t>
  </si>
  <si>
    <t>Buick</t>
  </si>
  <si>
    <t>Victoria</t>
  </si>
  <si>
    <t>Milburn</t>
  </si>
  <si>
    <t>vmilburna@xrea.com</t>
  </si>
  <si>
    <t>Peugeot</t>
  </si>
  <si>
    <t>Kordula</t>
  </si>
  <si>
    <t>Ivanonko</t>
  </si>
  <si>
    <t>kivanonkob@nasa.gov</t>
  </si>
  <si>
    <t>Suzuki</t>
  </si>
  <si>
    <t>Ebba</t>
  </si>
  <si>
    <t>Brinkler</t>
  </si>
  <si>
    <t>ebrinklerc@wisc.edu</t>
  </si>
  <si>
    <t>Nissan</t>
  </si>
  <si>
    <t>Gregorius</t>
  </si>
  <si>
    <t>McNeil</t>
  </si>
  <si>
    <t>gmcneild@tmall.com</t>
  </si>
  <si>
    <t>GMC</t>
  </si>
  <si>
    <t>Merwyn</t>
  </si>
  <si>
    <t>Bastiman</t>
  </si>
  <si>
    <t>mbastimane@4shared.com</t>
  </si>
  <si>
    <t>Audi</t>
  </si>
  <si>
    <t>Olympie</t>
  </si>
  <si>
    <t>Bahia</t>
  </si>
  <si>
    <t>obahiaf@taobao.com</t>
  </si>
  <si>
    <t>Harwilll</t>
  </si>
  <si>
    <t>Pollington</t>
  </si>
  <si>
    <t>hpollingtong@wufoo.com</t>
  </si>
  <si>
    <t>Bentley</t>
  </si>
  <si>
    <t>Fae</t>
  </si>
  <si>
    <t>Skewes</t>
  </si>
  <si>
    <t>fskewesh@exblog.jp</t>
  </si>
  <si>
    <t>Chrysler</t>
  </si>
  <si>
    <t>Ron</t>
  </si>
  <si>
    <t>Aylesbury</t>
  </si>
  <si>
    <t>raylesburyi@deviantart.com</t>
  </si>
  <si>
    <t>Mercury</t>
  </si>
  <si>
    <t>Stevena</t>
  </si>
  <si>
    <t>Howselee</t>
  </si>
  <si>
    <t>showseleej@loc.gov</t>
  </si>
  <si>
    <t>ID</t>
  </si>
  <si>
    <t>First name</t>
  </si>
  <si>
    <t>Last name</t>
  </si>
  <si>
    <t>Email</t>
  </si>
  <si>
    <t>Gender</t>
  </si>
  <si>
    <t>Donate</t>
  </si>
  <si>
    <t>Car</t>
  </si>
  <si>
    <t>Tra các hệ số A,B,D theo φ</t>
  </si>
  <si>
    <r>
      <t>j</t>
    </r>
    <r>
      <rPr>
        <b/>
        <vertAlign val="superscript"/>
        <sz val="11"/>
        <rFont val="Arial"/>
        <family val="2"/>
      </rPr>
      <t>tc</t>
    </r>
  </si>
  <si>
    <t>A</t>
  </si>
  <si>
    <t>B</t>
  </si>
  <si>
    <t>D</t>
  </si>
  <si>
    <t>Góc ma sát trong</t>
  </si>
  <si>
    <t>Hệ số A</t>
  </si>
  <si>
    <t>Hệ số B</t>
  </si>
  <si>
    <t>Hệ số D</t>
  </si>
  <si>
    <t>z/b</t>
  </si>
  <si>
    <t>Móng tròn</t>
  </si>
  <si>
    <t>Móng chữ nhật, l/b</t>
  </si>
  <si>
    <t>Móng băng</t>
  </si>
  <si>
    <t>Giá trị z/b</t>
  </si>
  <si>
    <t>Giá trị l/b</t>
  </si>
  <si>
    <t>Hệ số K</t>
  </si>
  <si>
    <t>David</t>
  </si>
  <si>
    <t>Ferrer</t>
  </si>
  <si>
    <t>Lesly</t>
  </si>
  <si>
    <t>Huxstep</t>
  </si>
  <si>
    <t>lhuxstep9@blogspot.com</t>
  </si>
  <si>
    <t>Roberto</t>
  </si>
  <si>
    <t>Agut</t>
  </si>
  <si>
    <t>ragut@spain.tns</t>
  </si>
  <si>
    <t>Kesley</t>
  </si>
  <si>
    <t>Alves</t>
  </si>
  <si>
    <t>alveskesley@wufoo.com</t>
  </si>
  <si>
    <t>ferrerdavid@spain.tns</t>
  </si>
  <si>
    <t>KIA</t>
  </si>
  <si>
    <t>LIST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</si>
</sst>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164" formatCode="0.000"/>
    <numFmt numFmtId="165" formatCode="0.0"/>
    <numFmt numFmtId="166" formatCode="0.000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color indexed="12"/>
      <name val="Arial"/>
      <family val="2"/>
    </font>
    <font>
      <b/>
      <sz val="11"/>
      <name val="Symbol"/>
      <family val="1"/>
      <charset val="2"/>
    </font>
    <font>
      <b/>
      <vertAlign val="superscript"/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10"/>
      </bottom>
      <diagonal/>
    </border>
    <border>
      <left style="thin">
        <color indexed="64"/>
      </left>
      <right style="thin">
        <color indexed="64"/>
      </right>
      <top style="dashed">
        <color indexed="10"/>
      </top>
      <bottom style="dashed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10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xfId="0"/>
    <xf numFmtId="0" fontId="1" fillId="2" borderId="0" xfId="0" applyFont="1" applyFill="1" applyBorder="1"/>
    <xf numFmtId="0" fontId="0" fillId="0" borderId="0" xfId="0" applyBorder="1"/>
    <xf numFmtId="8" fontId="0" fillId="0" borderId="0" xfId="0" applyNumberFormat="1" applyBorder="1"/>
    <xf numFmtId="0" fontId="5" fillId="4" borderId="2" xfId="1" applyFont="1" applyFill="1" applyBorder="1" applyAlignment="1">
      <alignment horizontal="center" vertical="center"/>
    </xf>
    <xf numFmtId="0" fontId="7" fillId="4" borderId="2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2" fontId="8" fillId="0" borderId="3" xfId="1" applyNumberFormat="1" applyFont="1" applyBorder="1" applyAlignment="1">
      <alignment horizontal="center" vertical="center"/>
    </xf>
    <xf numFmtId="0" fontId="8" fillId="4" borderId="4" xfId="1" applyFont="1" applyFill="1" applyBorder="1" applyAlignment="1">
      <alignment horizontal="center" vertical="center"/>
    </xf>
    <xf numFmtId="2" fontId="8" fillId="0" borderId="4" xfId="1" applyNumberFormat="1" applyFont="1" applyBorder="1" applyAlignment="1">
      <alignment horizontal="center" vertical="center"/>
    </xf>
    <xf numFmtId="0" fontId="9" fillId="0" borderId="0" xfId="1" applyFont="1" applyAlignment="1">
      <alignment vertical="center"/>
    </xf>
    <xf numFmtId="0" fontId="3" fillId="0" borderId="0" xfId="1" applyFont="1" applyAlignment="1">
      <alignment vertical="center"/>
    </xf>
    <xf numFmtId="2" fontId="10" fillId="5" borderId="2" xfId="1" applyNumberFormat="1" applyFont="1" applyFill="1" applyBorder="1" applyAlignment="1">
      <alignment horizontal="center" vertical="center"/>
    </xf>
    <xf numFmtId="164" fontId="3" fillId="0" borderId="0" xfId="1" applyNumberFormat="1" applyFont="1" applyAlignment="1">
      <alignment vertical="center"/>
    </xf>
    <xf numFmtId="164" fontId="11" fillId="6" borderId="2" xfId="1" applyNumberFormat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2" fontId="8" fillId="0" borderId="5" xfId="1" applyNumberFormat="1" applyFont="1" applyBorder="1" applyAlignment="1">
      <alignment horizontal="center" vertical="center"/>
    </xf>
    <xf numFmtId="0" fontId="9" fillId="4" borderId="2" xfId="1" applyFont="1" applyFill="1" applyBorder="1" applyAlignment="1">
      <alignment horizontal="center" vertical="center" wrapText="1"/>
    </xf>
    <xf numFmtId="0" fontId="9" fillId="4" borderId="2" xfId="1" applyFont="1" applyFill="1" applyBorder="1" applyAlignment="1">
      <alignment horizontal="center" vertical="center"/>
    </xf>
    <xf numFmtId="165" fontId="9" fillId="4" borderId="3" xfId="1" applyNumberFormat="1" applyFont="1" applyFill="1" applyBorder="1" applyAlignment="1">
      <alignment horizontal="center" vertical="center"/>
    </xf>
    <xf numFmtId="164" fontId="3" fillId="0" borderId="3" xfId="1" applyNumberFormat="1" applyFont="1" applyFill="1" applyBorder="1" applyAlignment="1">
      <alignment horizontal="center" vertical="center"/>
    </xf>
    <xf numFmtId="165" fontId="9" fillId="4" borderId="4" xfId="1" applyNumberFormat="1" applyFont="1" applyFill="1" applyBorder="1" applyAlignment="1">
      <alignment horizontal="center" vertical="center"/>
    </xf>
    <xf numFmtId="164" fontId="3" fillId="0" borderId="4" xfId="1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8" xfId="1" applyNumberFormat="1" applyFont="1" applyFill="1" applyBorder="1" applyAlignment="1">
      <alignment horizontal="center" vertical="center"/>
    </xf>
    <xf numFmtId="164" fontId="3" fillId="0" borderId="8" xfId="1" applyNumberFormat="1" applyFont="1" applyFill="1" applyBorder="1" applyAlignment="1">
      <alignment horizontal="center" vertical="center"/>
    </xf>
    <xf numFmtId="0" fontId="8" fillId="0" borderId="0" xfId="1" applyFont="1" applyAlignment="1">
      <alignment vertical="center"/>
    </xf>
    <xf numFmtId="2" fontId="12" fillId="0" borderId="2" xfId="1" applyNumberFormat="1" applyFont="1" applyFill="1" applyBorder="1" applyAlignment="1">
      <alignment horizontal="center" vertical="center"/>
    </xf>
    <xf numFmtId="0" fontId="7" fillId="0" borderId="0" xfId="1" applyFont="1" applyAlignment="1">
      <alignment vertical="center"/>
    </xf>
    <xf numFmtId="166" fontId="11" fillId="6" borderId="2" xfId="1" applyNumberFormat="1" applyFont="1" applyFill="1" applyBorder="1" applyAlignment="1">
      <alignment horizontal="center" vertical="center"/>
    </xf>
    <xf numFmtId="0" fontId="11" fillId="0" borderId="0" xfId="1" applyFont="1" applyAlignment="1">
      <alignment vertical="center"/>
    </xf>
    <xf numFmtId="8" fontId="0" fillId="0" borderId="0" xfId="0" applyNumberFormat="1"/>
    <xf numFmtId="0" fontId="13" fillId="7" borderId="2" xfId="0" applyFont="1" applyFill="1" applyBorder="1"/>
    <xf numFmtId="0" fontId="4" fillId="3" borderId="1" xfId="1" applyFont="1" applyFill="1" applyBorder="1" applyAlignment="1">
      <alignment horizontal="center" vertical="center"/>
    </xf>
    <xf numFmtId="0" fontId="9" fillId="4" borderId="6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9" fillId="4" borderId="7" xfId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66675</xdr:rowOff>
    </xdr:from>
    <xdr:to>
      <xdr:col>2</xdr:col>
      <xdr:colOff>466725</xdr:colOff>
      <xdr:row>2</xdr:row>
      <xdr:rowOff>161925</xdr:rowOff>
    </xdr:to>
    <xdr:sp macro="[0]!Copy_Range" textlink="">
      <xdr:nvSpPr>
        <xdr:cNvPr id="2" name="Rectangle 1"/>
        <xdr:cNvSpPr/>
      </xdr:nvSpPr>
      <xdr:spPr>
        <a:xfrm>
          <a:off x="619125" y="257175"/>
          <a:ext cx="10668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A RANGE</a:t>
          </a:r>
        </a:p>
      </xdr:txBody>
    </xdr:sp>
    <xdr:clientData/>
  </xdr:twoCellAnchor>
  <xdr:twoCellAnchor>
    <xdr:from>
      <xdr:col>1</xdr:col>
      <xdr:colOff>9524</xdr:colOff>
      <xdr:row>3</xdr:row>
      <xdr:rowOff>66676</xdr:rowOff>
    </xdr:from>
    <xdr:to>
      <xdr:col>4</xdr:col>
      <xdr:colOff>142875</xdr:colOff>
      <xdr:row>4</xdr:row>
      <xdr:rowOff>161926</xdr:rowOff>
    </xdr:to>
    <xdr:sp macro="[0]!Copy_UndeterminedRange" textlink="">
      <xdr:nvSpPr>
        <xdr:cNvPr id="3" name="Rectangle 2"/>
        <xdr:cNvSpPr/>
      </xdr:nvSpPr>
      <xdr:spPr>
        <a:xfrm>
          <a:off x="619124" y="638176"/>
          <a:ext cx="1962151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</a:t>
          </a:r>
          <a:r>
            <a:rPr lang="en-US" sz="1100" baseline="0"/>
            <a:t> UNDETERMINED RANGE</a:t>
          </a:r>
          <a:endParaRPr lang="en-US" sz="1100"/>
        </a:p>
      </xdr:txBody>
    </xdr:sp>
    <xdr:clientData/>
  </xdr:twoCellAnchor>
  <xdr:twoCellAnchor>
    <xdr:from>
      <xdr:col>1</xdr:col>
      <xdr:colOff>9524</xdr:colOff>
      <xdr:row>5</xdr:row>
      <xdr:rowOff>114300</xdr:rowOff>
    </xdr:from>
    <xdr:to>
      <xdr:col>4</xdr:col>
      <xdr:colOff>590550</xdr:colOff>
      <xdr:row>7</xdr:row>
      <xdr:rowOff>9525</xdr:rowOff>
    </xdr:to>
    <xdr:sp macro="[0]!Cut_Range" textlink="">
      <xdr:nvSpPr>
        <xdr:cNvPr id="4" name="Rectangle 3"/>
        <xdr:cNvSpPr/>
      </xdr:nvSpPr>
      <xdr:spPr>
        <a:xfrm>
          <a:off x="619124" y="1066800"/>
          <a:ext cx="2409826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CUT A</a:t>
          </a:r>
          <a:r>
            <a:rPr lang="en-US" sz="1100" baseline="0"/>
            <a:t> RANGE TO ANOTHER LOCATION</a:t>
          </a:r>
          <a:endParaRPr lang="en-US" sz="1100"/>
        </a:p>
      </xdr:txBody>
    </xdr:sp>
    <xdr:clientData/>
  </xdr:twoCellAnchor>
  <xdr:twoCellAnchor>
    <xdr:from>
      <xdr:col>1</xdr:col>
      <xdr:colOff>9525</xdr:colOff>
      <xdr:row>7</xdr:row>
      <xdr:rowOff>123825</xdr:rowOff>
    </xdr:from>
    <xdr:to>
      <xdr:col>2</xdr:col>
      <xdr:colOff>552450</xdr:colOff>
      <xdr:row>9</xdr:row>
      <xdr:rowOff>19050</xdr:rowOff>
    </xdr:to>
    <xdr:sp macro="[0]!Browse_Cells" textlink="">
      <xdr:nvSpPr>
        <xdr:cNvPr id="5" name="Rectangle 4"/>
        <xdr:cNvSpPr/>
      </xdr:nvSpPr>
      <xdr:spPr>
        <a:xfrm>
          <a:off x="619125" y="1457325"/>
          <a:ext cx="11525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BROWSE CELLS</a:t>
          </a:r>
        </a:p>
      </xdr:txBody>
    </xdr:sp>
    <xdr:clientData/>
  </xdr:twoCellAnchor>
  <xdr:twoCellAnchor>
    <xdr:from>
      <xdr:col>1</xdr:col>
      <xdr:colOff>19049</xdr:colOff>
      <xdr:row>9</xdr:row>
      <xdr:rowOff>104775</xdr:rowOff>
    </xdr:from>
    <xdr:to>
      <xdr:col>3</xdr:col>
      <xdr:colOff>276224</xdr:colOff>
      <xdr:row>11</xdr:row>
      <xdr:rowOff>28575</xdr:rowOff>
    </xdr:to>
    <xdr:sp macro="[0]!Del_Emp_Rows" textlink="">
      <xdr:nvSpPr>
        <xdr:cNvPr id="6" name="Rectangle 5"/>
        <xdr:cNvSpPr/>
      </xdr:nvSpPr>
      <xdr:spPr>
        <a:xfrm>
          <a:off x="628649" y="1819275"/>
          <a:ext cx="147637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DELETE</a:t>
          </a:r>
          <a:r>
            <a:rPr lang="en-US" sz="1100" baseline="0"/>
            <a:t> EMPTY ROWS</a:t>
          </a:r>
          <a:endParaRPr lang="en-US" sz="1100"/>
        </a:p>
      </xdr:txBody>
    </xdr:sp>
    <xdr:clientData/>
  </xdr:twoCellAnchor>
  <xdr:twoCellAnchor>
    <xdr:from>
      <xdr:col>1</xdr:col>
      <xdr:colOff>9526</xdr:colOff>
      <xdr:row>11</xdr:row>
      <xdr:rowOff>123826</xdr:rowOff>
    </xdr:from>
    <xdr:to>
      <xdr:col>3</xdr:col>
      <xdr:colOff>295276</xdr:colOff>
      <xdr:row>13</xdr:row>
      <xdr:rowOff>9526</xdr:rowOff>
    </xdr:to>
    <xdr:sp macro="[0]!Del_Blank_Sheets" textlink="">
      <xdr:nvSpPr>
        <xdr:cNvPr id="7" name="Rectangle 6"/>
        <xdr:cNvSpPr/>
      </xdr:nvSpPr>
      <xdr:spPr>
        <a:xfrm>
          <a:off x="619126" y="2219326"/>
          <a:ext cx="1504950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DELETE BLANK SHEETS</a:t>
          </a:r>
        </a:p>
      </xdr:txBody>
    </xdr:sp>
    <xdr:clientData/>
  </xdr:twoCellAnchor>
  <xdr:twoCellAnchor>
    <xdr:from>
      <xdr:col>0</xdr:col>
      <xdr:colOff>609599</xdr:colOff>
      <xdr:row>13</xdr:row>
      <xdr:rowOff>123825</xdr:rowOff>
    </xdr:from>
    <xdr:to>
      <xdr:col>3</xdr:col>
      <xdr:colOff>19050</xdr:colOff>
      <xdr:row>15</xdr:row>
      <xdr:rowOff>28575</xdr:rowOff>
    </xdr:to>
    <xdr:sp macro="[0]!Insert_NewSheet" textlink="">
      <xdr:nvSpPr>
        <xdr:cNvPr id="8" name="Rectangle 7"/>
        <xdr:cNvSpPr/>
      </xdr:nvSpPr>
      <xdr:spPr>
        <a:xfrm>
          <a:off x="609599" y="2600325"/>
          <a:ext cx="1238251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ADD WORKSHEET</a:t>
          </a:r>
        </a:p>
      </xdr:txBody>
    </xdr:sp>
    <xdr:clientData/>
  </xdr:twoCellAnchor>
  <xdr:twoCellAnchor>
    <xdr:from>
      <xdr:col>1</xdr:col>
      <xdr:colOff>9526</xdr:colOff>
      <xdr:row>15</xdr:row>
      <xdr:rowOff>171450</xdr:rowOff>
    </xdr:from>
    <xdr:to>
      <xdr:col>2</xdr:col>
      <xdr:colOff>257176</xdr:colOff>
      <xdr:row>17</xdr:row>
      <xdr:rowOff>38100</xdr:rowOff>
    </xdr:to>
    <xdr:sp macro="[0]!Find_Sheet" textlink="">
      <xdr:nvSpPr>
        <xdr:cNvPr id="9" name="Rectangle 8"/>
        <xdr:cNvSpPr/>
      </xdr:nvSpPr>
      <xdr:spPr>
        <a:xfrm>
          <a:off x="619126" y="3028950"/>
          <a:ext cx="8572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FIND SHEET</a:t>
          </a:r>
        </a:p>
      </xdr:txBody>
    </xdr:sp>
    <xdr:clientData/>
  </xdr:twoCellAnchor>
  <xdr:twoCellAnchor>
    <xdr:from>
      <xdr:col>1</xdr:col>
      <xdr:colOff>0</xdr:colOff>
      <xdr:row>18</xdr:row>
      <xdr:rowOff>9524</xdr:rowOff>
    </xdr:from>
    <xdr:to>
      <xdr:col>2</xdr:col>
      <xdr:colOff>266700</xdr:colOff>
      <xdr:row>19</xdr:row>
      <xdr:rowOff>66675</xdr:rowOff>
    </xdr:to>
    <xdr:sp macro="[0]!Split_Sheet" textlink="">
      <xdr:nvSpPr>
        <xdr:cNvPr id="10" name="Rectangle 9"/>
        <xdr:cNvSpPr/>
      </xdr:nvSpPr>
      <xdr:spPr>
        <a:xfrm>
          <a:off x="609600" y="3438524"/>
          <a:ext cx="876300" cy="2476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SPLIT SHEET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Tran%20Tan%20Thinh\AppData\Roaming\Microsoft\AddIns\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Noisuy2chieu"/>
      <definedName name="One_Way_Interpol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4"/>
  <sheetViews>
    <sheetView tabSelected="1" workbookViewId="0">
      <selection activeCell="D22" sqref="D22"/>
    </sheetView>
  </sheetViews>
  <sheetFormatPr defaultRowHeight="15" x14ac:dyDescent="0.25"/>
  <cols>
    <col min="1" max="1" width="3" bestFit="1" customWidth="1"/>
    <col min="2" max="2" width="10.5703125" bestFit="1" customWidth="1"/>
    <col min="3" max="3" width="12.140625" bestFit="1" customWidth="1"/>
    <col min="4" max="4" width="33.28515625" bestFit="1" customWidth="1"/>
    <col min="5" max="5" width="7.5703125" bestFit="1" customWidth="1"/>
    <col min="6" max="6" width="7.28515625" bestFit="1" customWidth="1"/>
    <col min="7" max="7" width="11.7109375" bestFit="1" customWidth="1"/>
    <col min="9" max="9" width="11.7109375" bestFit="1" customWidth="1"/>
  </cols>
  <sheetData>
    <row r="1" spans="1:9" x14ac:dyDescent="0.25">
      <c r="A1" s="1" t="s">
        <v>75</v>
      </c>
      <c r="B1" s="1" t="s">
        <v>76</v>
      </c>
      <c r="C1" s="1" t="s">
        <v>77</v>
      </c>
      <c r="D1" s="1" t="s">
        <v>78</v>
      </c>
      <c r="E1" s="1" t="s">
        <v>79</v>
      </c>
      <c r="F1" s="1" t="s">
        <v>80</v>
      </c>
      <c r="G1" s="1" t="s">
        <v>81</v>
      </c>
    </row>
    <row r="2" spans="1:9" x14ac:dyDescent="0.25">
      <c r="A2">
        <v>1</v>
      </c>
      <c r="B2" t="s">
        <v>0</v>
      </c>
      <c r="C2" t="s">
        <v>1</v>
      </c>
      <c r="D2" t="s">
        <v>2</v>
      </c>
      <c r="E2" t="s">
        <v>3</v>
      </c>
      <c r="F2" s="31">
        <v>24.74</v>
      </c>
      <c r="G2" t="s">
        <v>4</v>
      </c>
      <c r="I2" t="s">
        <v>4</v>
      </c>
    </row>
    <row r="3" spans="1:9" x14ac:dyDescent="0.25">
      <c r="A3">
        <v>2</v>
      </c>
      <c r="B3" t="s">
        <v>5</v>
      </c>
      <c r="C3" t="s">
        <v>6</v>
      </c>
      <c r="D3" t="s">
        <v>7</v>
      </c>
      <c r="E3" t="s">
        <v>3</v>
      </c>
      <c r="F3" s="31">
        <v>38.89</v>
      </c>
      <c r="G3" t="s">
        <v>8</v>
      </c>
      <c r="I3" t="s">
        <v>8</v>
      </c>
    </row>
    <row r="4" spans="1:9" x14ac:dyDescent="0.25">
      <c r="A4">
        <v>3</v>
      </c>
      <c r="B4" t="s">
        <v>9</v>
      </c>
      <c r="C4" t="s">
        <v>10</v>
      </c>
      <c r="D4" t="s">
        <v>11</v>
      </c>
      <c r="E4" t="s">
        <v>12</v>
      </c>
      <c r="F4" s="31">
        <v>98.27</v>
      </c>
      <c r="G4" t="s">
        <v>13</v>
      </c>
      <c r="I4" t="s">
        <v>13</v>
      </c>
    </row>
    <row r="5" spans="1:9" x14ac:dyDescent="0.25">
      <c r="A5">
        <v>4</v>
      </c>
      <c r="B5" t="s">
        <v>14</v>
      </c>
      <c r="C5" t="s">
        <v>15</v>
      </c>
      <c r="D5" t="s">
        <v>16</v>
      </c>
      <c r="E5" t="s">
        <v>3</v>
      </c>
      <c r="F5" s="31">
        <v>17.04</v>
      </c>
      <c r="G5" t="s">
        <v>17</v>
      </c>
      <c r="I5" t="s">
        <v>17</v>
      </c>
    </row>
    <row r="6" spans="1:9" x14ac:dyDescent="0.25">
      <c r="A6">
        <v>5</v>
      </c>
      <c r="B6" t="s">
        <v>18</v>
      </c>
      <c r="C6" t="s">
        <v>19</v>
      </c>
      <c r="D6" t="s">
        <v>20</v>
      </c>
      <c r="E6" t="s">
        <v>3</v>
      </c>
      <c r="F6" s="31">
        <v>76.87</v>
      </c>
      <c r="G6" t="s">
        <v>21</v>
      </c>
      <c r="I6" t="s">
        <v>21</v>
      </c>
    </row>
    <row r="7" spans="1:9" x14ac:dyDescent="0.25">
      <c r="A7">
        <v>6</v>
      </c>
      <c r="B7" t="s">
        <v>22</v>
      </c>
      <c r="C7" t="s">
        <v>23</v>
      </c>
      <c r="D7" t="s">
        <v>24</v>
      </c>
      <c r="E7" t="s">
        <v>3</v>
      </c>
      <c r="F7" s="31">
        <v>77.09</v>
      </c>
      <c r="G7" t="s">
        <v>25</v>
      </c>
      <c r="I7" t="s">
        <v>25</v>
      </c>
    </row>
    <row r="8" spans="1:9" x14ac:dyDescent="0.25">
      <c r="A8">
        <v>7</v>
      </c>
      <c r="B8" t="s">
        <v>26</v>
      </c>
      <c r="C8" t="s">
        <v>27</v>
      </c>
      <c r="D8" t="s">
        <v>28</v>
      </c>
      <c r="E8" t="s">
        <v>12</v>
      </c>
      <c r="F8" s="31">
        <v>42.54</v>
      </c>
      <c r="G8" t="s">
        <v>29</v>
      </c>
      <c r="I8" t="s">
        <v>29</v>
      </c>
    </row>
    <row r="9" spans="1:9" x14ac:dyDescent="0.25">
      <c r="A9">
        <v>8</v>
      </c>
      <c r="B9" t="s">
        <v>30</v>
      </c>
      <c r="C9" t="s">
        <v>31</v>
      </c>
      <c r="D9" t="s">
        <v>32</v>
      </c>
      <c r="E9" t="s">
        <v>3</v>
      </c>
      <c r="F9" s="31">
        <v>72.540000000000006</v>
      </c>
      <c r="G9" t="s">
        <v>13</v>
      </c>
      <c r="I9" t="s">
        <v>36</v>
      </c>
    </row>
    <row r="10" spans="1:9" x14ac:dyDescent="0.25">
      <c r="A10">
        <v>9</v>
      </c>
      <c r="B10" t="s">
        <v>33</v>
      </c>
      <c r="C10" t="s">
        <v>34</v>
      </c>
      <c r="D10" t="s">
        <v>35</v>
      </c>
      <c r="E10" t="s">
        <v>12</v>
      </c>
      <c r="F10" s="31">
        <v>11.44</v>
      </c>
      <c r="G10" t="s">
        <v>36</v>
      </c>
      <c r="I10" t="s">
        <v>40</v>
      </c>
    </row>
    <row r="11" spans="1:9" x14ac:dyDescent="0.25">
      <c r="A11">
        <v>10</v>
      </c>
      <c r="B11" t="s">
        <v>100</v>
      </c>
      <c r="C11" t="s">
        <v>101</v>
      </c>
      <c r="D11" t="s">
        <v>102</v>
      </c>
      <c r="E11" t="s">
        <v>12</v>
      </c>
      <c r="F11" s="31">
        <v>92.12</v>
      </c>
      <c r="G11" t="s">
        <v>29</v>
      </c>
      <c r="I11" t="s">
        <v>44</v>
      </c>
    </row>
    <row r="12" spans="1:9" x14ac:dyDescent="0.25">
      <c r="A12">
        <v>11</v>
      </c>
      <c r="B12" t="s">
        <v>37</v>
      </c>
      <c r="C12" t="s">
        <v>38</v>
      </c>
      <c r="D12" t="s">
        <v>39</v>
      </c>
      <c r="E12" t="s">
        <v>12</v>
      </c>
      <c r="F12" s="31">
        <v>84.33</v>
      </c>
      <c r="G12" t="s">
        <v>40</v>
      </c>
      <c r="I12" t="s">
        <v>48</v>
      </c>
    </row>
    <row r="13" spans="1:9" x14ac:dyDescent="0.25">
      <c r="A13">
        <v>12</v>
      </c>
      <c r="B13" t="s">
        <v>41</v>
      </c>
      <c r="C13" t="s">
        <v>42</v>
      </c>
      <c r="D13" t="s">
        <v>43</v>
      </c>
      <c r="E13" t="s">
        <v>12</v>
      </c>
      <c r="F13" s="31">
        <v>97.15</v>
      </c>
      <c r="G13" t="s">
        <v>44</v>
      </c>
      <c r="I13" t="s">
        <v>52</v>
      </c>
    </row>
    <row r="14" spans="1:9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 s="31">
        <v>77.42</v>
      </c>
      <c r="G14" t="s">
        <v>48</v>
      </c>
      <c r="I14" t="s">
        <v>56</v>
      </c>
    </row>
    <row r="15" spans="1:9" x14ac:dyDescent="0.25">
      <c r="A15">
        <v>14</v>
      </c>
      <c r="B15" t="s">
        <v>49</v>
      </c>
      <c r="C15" t="s">
        <v>50</v>
      </c>
      <c r="D15" t="s">
        <v>51</v>
      </c>
      <c r="E15" t="s">
        <v>3</v>
      </c>
      <c r="F15" s="31">
        <v>50.84</v>
      </c>
      <c r="G15" t="s">
        <v>52</v>
      </c>
      <c r="I15" t="s">
        <v>63</v>
      </c>
    </row>
    <row r="16" spans="1:9" x14ac:dyDescent="0.25">
      <c r="A16">
        <v>15</v>
      </c>
      <c r="B16" t="s">
        <v>53</v>
      </c>
      <c r="C16" t="s">
        <v>54</v>
      </c>
      <c r="D16" t="s">
        <v>55</v>
      </c>
      <c r="E16" t="s">
        <v>3</v>
      </c>
      <c r="F16" s="31">
        <v>56.96</v>
      </c>
      <c r="G16" t="s">
        <v>56</v>
      </c>
      <c r="I16" t="s">
        <v>67</v>
      </c>
    </row>
    <row r="17" spans="1:9" x14ac:dyDescent="0.25">
      <c r="A17">
        <v>16</v>
      </c>
      <c r="B17" t="s">
        <v>57</v>
      </c>
      <c r="C17" t="s">
        <v>58</v>
      </c>
      <c r="D17" t="s">
        <v>59</v>
      </c>
      <c r="E17" t="s">
        <v>12</v>
      </c>
      <c r="F17" s="31">
        <v>16.149999999999999</v>
      </c>
      <c r="G17" t="s">
        <v>8</v>
      </c>
      <c r="I17" t="s">
        <v>71</v>
      </c>
    </row>
    <row r="18" spans="1:9" x14ac:dyDescent="0.25">
      <c r="A18">
        <v>17</v>
      </c>
      <c r="B18" t="s">
        <v>60</v>
      </c>
      <c r="C18" t="s">
        <v>61</v>
      </c>
      <c r="D18" t="s">
        <v>62</v>
      </c>
      <c r="E18" t="s">
        <v>3</v>
      </c>
      <c r="F18" s="31">
        <v>58.07</v>
      </c>
      <c r="G18" t="s">
        <v>63</v>
      </c>
      <c r="I18" t="s">
        <v>110</v>
      </c>
    </row>
    <row r="19" spans="1:9" x14ac:dyDescent="0.25">
      <c r="A19">
        <v>18</v>
      </c>
      <c r="B19" t="s">
        <v>64</v>
      </c>
      <c r="C19" t="s">
        <v>65</v>
      </c>
      <c r="D19" t="s">
        <v>66</v>
      </c>
      <c r="E19" t="s">
        <v>12</v>
      </c>
      <c r="F19" s="31">
        <v>36.68</v>
      </c>
      <c r="G19" t="s">
        <v>67</v>
      </c>
    </row>
    <row r="20" spans="1:9" x14ac:dyDescent="0.25">
      <c r="A20">
        <v>19</v>
      </c>
      <c r="B20" t="s">
        <v>68</v>
      </c>
      <c r="C20" t="s">
        <v>69</v>
      </c>
      <c r="D20" t="s">
        <v>70</v>
      </c>
      <c r="E20" t="s">
        <v>3</v>
      </c>
      <c r="F20" s="31">
        <v>57.77</v>
      </c>
      <c r="G20" t="s">
        <v>71</v>
      </c>
    </row>
    <row r="21" spans="1:9" x14ac:dyDescent="0.25">
      <c r="A21">
        <v>20</v>
      </c>
      <c r="B21" t="s">
        <v>72</v>
      </c>
      <c r="C21" t="s">
        <v>73</v>
      </c>
      <c r="D21" t="s">
        <v>74</v>
      </c>
      <c r="E21" t="s">
        <v>12</v>
      </c>
      <c r="F21" s="31">
        <v>98.41</v>
      </c>
      <c r="G21" t="s">
        <v>21</v>
      </c>
    </row>
    <row r="22" spans="1:9" x14ac:dyDescent="0.25">
      <c r="A22">
        <v>21</v>
      </c>
      <c r="B22" t="s">
        <v>98</v>
      </c>
      <c r="C22" t="s">
        <v>99</v>
      </c>
      <c r="D22" t="s">
        <v>109</v>
      </c>
      <c r="E22" s="2" t="s">
        <v>3</v>
      </c>
      <c r="F22" s="3">
        <v>72.540000000000006</v>
      </c>
      <c r="G22" s="2" t="s">
        <v>13</v>
      </c>
    </row>
    <row r="23" spans="1:9" x14ac:dyDescent="0.25">
      <c r="A23">
        <v>22</v>
      </c>
      <c r="B23" t="s">
        <v>103</v>
      </c>
      <c r="C23" t="s">
        <v>104</v>
      </c>
      <c r="D23" t="s">
        <v>105</v>
      </c>
      <c r="E23" t="s">
        <v>3</v>
      </c>
      <c r="F23" s="3">
        <v>72.540000000000006</v>
      </c>
      <c r="G23" t="s">
        <v>63</v>
      </c>
    </row>
    <row r="24" spans="1:9" x14ac:dyDescent="0.25">
      <c r="A24">
        <v>23</v>
      </c>
      <c r="B24" t="s">
        <v>106</v>
      </c>
      <c r="C24" t="s">
        <v>107</v>
      </c>
      <c r="D24" t="s">
        <v>108</v>
      </c>
      <c r="E24" t="s">
        <v>3</v>
      </c>
      <c r="F24" s="31">
        <v>58.07</v>
      </c>
      <c r="G24" t="s">
        <v>110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6"/>
  <sheetViews>
    <sheetView workbookViewId="0">
      <selection activeCell="B29" sqref="B29"/>
    </sheetView>
  </sheetViews>
  <sheetFormatPr defaultRowHeight="15" x14ac:dyDescent="0.25"/>
  <sheetData>
    <row r="1" spans="1:8" x14ac:dyDescent="0.25">
      <c r="A1" s="33" t="s">
        <v>82</v>
      </c>
      <c r="B1" s="33"/>
      <c r="C1" s="33"/>
      <c r="D1" s="33"/>
    </row>
    <row r="2" spans="1:8" ht="17.25" x14ac:dyDescent="0.25">
      <c r="A2" s="4" t="s">
        <v>83</v>
      </c>
      <c r="B2" s="5" t="s">
        <v>84</v>
      </c>
      <c r="C2" s="5" t="s">
        <v>85</v>
      </c>
      <c r="D2" s="5" t="s">
        <v>86</v>
      </c>
    </row>
    <row r="3" spans="1:8" x14ac:dyDescent="0.25">
      <c r="A3" s="6">
        <v>0</v>
      </c>
      <c r="B3" s="7">
        <v>0</v>
      </c>
      <c r="C3" s="7">
        <v>1</v>
      </c>
      <c r="D3" s="7">
        <v>3.14</v>
      </c>
    </row>
    <row r="4" spans="1:8" x14ac:dyDescent="0.25">
      <c r="A4" s="8">
        <v>2</v>
      </c>
      <c r="B4" s="9">
        <v>0.03</v>
      </c>
      <c r="C4" s="9">
        <v>1.1200000000000001</v>
      </c>
      <c r="D4" s="9">
        <v>3.32</v>
      </c>
    </row>
    <row r="5" spans="1:8" x14ac:dyDescent="0.25">
      <c r="A5" s="8">
        <v>4</v>
      </c>
      <c r="B5" s="9">
        <v>0.06</v>
      </c>
      <c r="C5" s="9">
        <v>1.25</v>
      </c>
      <c r="D5" s="9">
        <v>3.51</v>
      </c>
    </row>
    <row r="6" spans="1:8" x14ac:dyDescent="0.25">
      <c r="A6" s="8">
        <v>6</v>
      </c>
      <c r="B6" s="9">
        <v>0.1</v>
      </c>
      <c r="C6" s="9">
        <v>1.39</v>
      </c>
      <c r="D6" s="9">
        <v>3.71</v>
      </c>
      <c r="F6" s="10" t="s">
        <v>87</v>
      </c>
      <c r="G6" s="11"/>
      <c r="H6" s="12">
        <v>13.5</v>
      </c>
    </row>
    <row r="7" spans="1:8" x14ac:dyDescent="0.25">
      <c r="A7" s="8">
        <v>8</v>
      </c>
      <c r="B7" s="9">
        <v>0.14000000000000001</v>
      </c>
      <c r="C7" s="9">
        <v>1.55</v>
      </c>
      <c r="D7" s="9">
        <v>3.93</v>
      </c>
      <c r="F7" s="10"/>
      <c r="G7" s="11"/>
      <c r="H7" s="13"/>
    </row>
    <row r="8" spans="1:8" x14ac:dyDescent="0.25">
      <c r="A8" s="8">
        <v>10</v>
      </c>
      <c r="B8" s="9">
        <v>0.18</v>
      </c>
      <c r="C8" s="9">
        <v>1.73</v>
      </c>
      <c r="D8" s="9">
        <v>4.17</v>
      </c>
      <c r="F8" s="10" t="s">
        <v>88</v>
      </c>
      <c r="G8" s="11"/>
      <c r="H8" s="14">
        <f>[1]!One_Way_Interpolate(H6,A3:A26,B3:B26)</f>
        <v>0.27500000596046448</v>
      </c>
    </row>
    <row r="9" spans="1:8" x14ac:dyDescent="0.25">
      <c r="A9" s="8">
        <v>12</v>
      </c>
      <c r="B9" s="9">
        <v>0.23</v>
      </c>
      <c r="C9" s="9">
        <v>1.94</v>
      </c>
      <c r="D9" s="9">
        <v>4.42</v>
      </c>
      <c r="F9" s="10"/>
      <c r="G9" s="11"/>
      <c r="H9" s="13"/>
    </row>
    <row r="10" spans="1:8" x14ac:dyDescent="0.25">
      <c r="A10" s="8">
        <v>14</v>
      </c>
      <c r="B10" s="9">
        <v>0.28999999999999998</v>
      </c>
      <c r="C10" s="9">
        <v>2.17</v>
      </c>
      <c r="D10" s="9">
        <v>4.6900000000000004</v>
      </c>
      <c r="F10" s="10" t="s">
        <v>89</v>
      </c>
      <c r="G10" s="11"/>
      <c r="H10" s="14">
        <f>[1]!One_Way_Interpolate(H6,A3:A26,C3:C26)</f>
        <v>2.1129999160766602</v>
      </c>
    </row>
    <row r="11" spans="1:8" x14ac:dyDescent="0.25">
      <c r="A11" s="8">
        <v>16</v>
      </c>
      <c r="B11" s="9">
        <v>0.36</v>
      </c>
      <c r="C11" s="9">
        <v>2.4300000000000002</v>
      </c>
      <c r="D11" s="9">
        <v>5</v>
      </c>
      <c r="F11" s="10"/>
      <c r="G11" s="11"/>
      <c r="H11" s="13"/>
    </row>
    <row r="12" spans="1:8" x14ac:dyDescent="0.25">
      <c r="A12" s="8">
        <v>18</v>
      </c>
      <c r="B12" s="9">
        <v>0.43</v>
      </c>
      <c r="C12" s="9">
        <v>2.72</v>
      </c>
      <c r="D12" s="9">
        <v>5.31</v>
      </c>
      <c r="F12" s="10" t="s">
        <v>90</v>
      </c>
      <c r="G12" s="11"/>
      <c r="H12" s="14">
        <f>[1]!One_Way_Interpolate(H6,A3:A26,D3:D26)</f>
        <v>4.6230001449584961</v>
      </c>
    </row>
    <row r="13" spans="1:8" x14ac:dyDescent="0.25">
      <c r="A13" s="8">
        <v>20</v>
      </c>
      <c r="B13" s="9">
        <v>0.51</v>
      </c>
      <c r="C13" s="9">
        <v>3.06</v>
      </c>
      <c r="D13" s="9">
        <v>5.66</v>
      </c>
    </row>
    <row r="14" spans="1:8" x14ac:dyDescent="0.25">
      <c r="A14" s="8">
        <v>22</v>
      </c>
      <c r="B14" s="9">
        <v>0.61</v>
      </c>
      <c r="C14" s="9">
        <v>3.44</v>
      </c>
      <c r="D14" s="9">
        <v>6.04</v>
      </c>
    </row>
    <row r="15" spans="1:8" x14ac:dyDescent="0.25">
      <c r="A15" s="8">
        <v>24</v>
      </c>
      <c r="B15" s="9">
        <v>0.72</v>
      </c>
      <c r="C15" s="9">
        <v>3.87</v>
      </c>
      <c r="D15" s="9">
        <v>6.45</v>
      </c>
    </row>
    <row r="16" spans="1:8" x14ac:dyDescent="0.25">
      <c r="A16" s="8">
        <v>26</v>
      </c>
      <c r="B16" s="9">
        <v>0.84</v>
      </c>
      <c r="C16" s="9">
        <v>4.37</v>
      </c>
      <c r="D16" s="9">
        <v>6.9</v>
      </c>
    </row>
    <row r="17" spans="1:4" x14ac:dyDescent="0.25">
      <c r="A17" s="8">
        <v>28</v>
      </c>
      <c r="B17" s="9">
        <v>0.98</v>
      </c>
      <c r="C17" s="9">
        <v>4.93</v>
      </c>
      <c r="D17" s="9">
        <v>7.4</v>
      </c>
    </row>
    <row r="18" spans="1:4" x14ac:dyDescent="0.25">
      <c r="A18" s="8">
        <v>30</v>
      </c>
      <c r="B18" s="9">
        <v>1.1499999999999999</v>
      </c>
      <c r="C18" s="9">
        <v>5.59</v>
      </c>
      <c r="D18" s="9">
        <v>7.95</v>
      </c>
    </row>
    <row r="19" spans="1:4" x14ac:dyDescent="0.25">
      <c r="A19" s="8">
        <v>32</v>
      </c>
      <c r="B19" s="9">
        <v>1.34</v>
      </c>
      <c r="C19" s="9">
        <v>6.35</v>
      </c>
      <c r="D19" s="9">
        <v>8.5500000000000007</v>
      </c>
    </row>
    <row r="20" spans="1:4" x14ac:dyDescent="0.25">
      <c r="A20" s="8">
        <v>34</v>
      </c>
      <c r="B20" s="9">
        <v>1.55</v>
      </c>
      <c r="C20" s="9">
        <v>7.26</v>
      </c>
      <c r="D20" s="9">
        <v>9.2100000000000009</v>
      </c>
    </row>
    <row r="21" spans="1:4" x14ac:dyDescent="0.25">
      <c r="A21" s="8">
        <v>36</v>
      </c>
      <c r="B21" s="9">
        <v>1.81</v>
      </c>
      <c r="C21" s="9">
        <v>8.25</v>
      </c>
      <c r="D21" s="9">
        <v>9.98</v>
      </c>
    </row>
    <row r="22" spans="1:4" x14ac:dyDescent="0.25">
      <c r="A22" s="8">
        <v>38</v>
      </c>
      <c r="B22" s="9">
        <v>2.11</v>
      </c>
      <c r="C22" s="9">
        <v>9.44</v>
      </c>
      <c r="D22" s="9">
        <v>10.8</v>
      </c>
    </row>
    <row r="23" spans="1:4" x14ac:dyDescent="0.25">
      <c r="A23" s="8">
        <v>40</v>
      </c>
      <c r="B23" s="9">
        <v>2.46</v>
      </c>
      <c r="C23" s="9">
        <v>10.84</v>
      </c>
      <c r="D23" s="9">
        <v>11.73</v>
      </c>
    </row>
    <row r="24" spans="1:4" x14ac:dyDescent="0.25">
      <c r="A24" s="8">
        <v>42</v>
      </c>
      <c r="B24" s="9">
        <v>2.87</v>
      </c>
      <c r="C24" s="9">
        <v>12.5</v>
      </c>
      <c r="D24" s="9">
        <v>12.77</v>
      </c>
    </row>
    <row r="25" spans="1:4" x14ac:dyDescent="0.25">
      <c r="A25" s="8">
        <v>44</v>
      </c>
      <c r="B25" s="9">
        <v>3.37</v>
      </c>
      <c r="C25" s="9">
        <v>14.48</v>
      </c>
      <c r="D25" s="9">
        <v>13.96</v>
      </c>
    </row>
    <row r="26" spans="1:4" x14ac:dyDescent="0.25">
      <c r="A26" s="15">
        <v>45</v>
      </c>
      <c r="B26" s="16">
        <v>3.66</v>
      </c>
      <c r="C26" s="16">
        <v>15.64</v>
      </c>
      <c r="D26" s="16">
        <v>14.64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5"/>
  <sheetViews>
    <sheetView workbookViewId="0">
      <selection activeCell="C27" sqref="C27"/>
    </sheetView>
  </sheetViews>
  <sheetFormatPr defaultRowHeight="15" x14ac:dyDescent="0.25"/>
  <sheetData>
    <row r="1" spans="1:14" ht="25.5" x14ac:dyDescent="0.25">
      <c r="A1" s="34" t="s">
        <v>91</v>
      </c>
      <c r="B1" s="17" t="s">
        <v>92</v>
      </c>
      <c r="C1" s="36" t="s">
        <v>93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17" t="s">
        <v>94</v>
      </c>
    </row>
    <row r="2" spans="1:14" x14ac:dyDescent="0.25">
      <c r="A2" s="35"/>
      <c r="B2" s="18">
        <v>0</v>
      </c>
      <c r="C2" s="18">
        <v>1</v>
      </c>
      <c r="D2" s="18">
        <v>1.2</v>
      </c>
      <c r="E2" s="18">
        <v>1.4</v>
      </c>
      <c r="F2" s="18">
        <v>1.6</v>
      </c>
      <c r="G2" s="18">
        <v>1.8</v>
      </c>
      <c r="H2" s="18">
        <v>2</v>
      </c>
      <c r="I2" s="18">
        <v>3</v>
      </c>
      <c r="J2" s="18">
        <v>4</v>
      </c>
      <c r="K2" s="18">
        <v>6</v>
      </c>
      <c r="L2" s="18">
        <v>8</v>
      </c>
      <c r="M2" s="18">
        <v>10</v>
      </c>
      <c r="N2" s="18">
        <v>100</v>
      </c>
    </row>
    <row r="3" spans="1:14" x14ac:dyDescent="0.25">
      <c r="A3" s="19">
        <v>0</v>
      </c>
      <c r="B3" s="20">
        <v>1</v>
      </c>
      <c r="C3" s="20">
        <v>1</v>
      </c>
      <c r="D3" s="20">
        <v>1</v>
      </c>
      <c r="E3" s="20">
        <v>1</v>
      </c>
      <c r="F3" s="20">
        <v>1</v>
      </c>
      <c r="G3" s="20">
        <v>1</v>
      </c>
      <c r="H3" s="20">
        <v>1</v>
      </c>
      <c r="I3" s="20">
        <v>1</v>
      </c>
      <c r="J3" s="20">
        <v>1</v>
      </c>
      <c r="K3" s="20">
        <v>1</v>
      </c>
      <c r="L3" s="20">
        <v>1</v>
      </c>
      <c r="M3" s="20">
        <v>1</v>
      </c>
      <c r="N3" s="20">
        <v>1</v>
      </c>
    </row>
    <row r="4" spans="1:14" x14ac:dyDescent="0.25">
      <c r="A4" s="21">
        <v>0.2</v>
      </c>
      <c r="B4" s="22">
        <v>0.94899999999999995</v>
      </c>
      <c r="C4" s="22">
        <v>0.96</v>
      </c>
      <c r="D4" s="22">
        <v>0.96799999999999997</v>
      </c>
      <c r="E4" s="22">
        <v>0.97199999999999998</v>
      </c>
      <c r="F4" s="22">
        <v>0.97399999999999998</v>
      </c>
      <c r="G4" s="22">
        <v>0.97499999999999998</v>
      </c>
      <c r="H4" s="22">
        <v>0.97599999999999998</v>
      </c>
      <c r="I4" s="22">
        <v>0.97699999999999998</v>
      </c>
      <c r="J4" s="22">
        <v>0.97699999999999998</v>
      </c>
      <c r="K4" s="22">
        <v>0.97699999999999998</v>
      </c>
      <c r="L4" s="22">
        <v>0.97699999999999998</v>
      </c>
      <c r="M4" s="22">
        <v>0.97699999999999998</v>
      </c>
      <c r="N4" s="22">
        <v>0.97699999999999998</v>
      </c>
    </row>
    <row r="5" spans="1:14" x14ac:dyDescent="0.25">
      <c r="A5" s="21">
        <v>0.4</v>
      </c>
      <c r="B5" s="22">
        <v>0.75600000000000001</v>
      </c>
      <c r="C5" s="22">
        <v>0.8</v>
      </c>
      <c r="D5" s="22">
        <v>0.83</v>
      </c>
      <c r="E5" s="22">
        <v>0.84799999999999998</v>
      </c>
      <c r="F5" s="22">
        <v>0.85899999999999999</v>
      </c>
      <c r="G5" s="22">
        <v>0.86599999999999999</v>
      </c>
      <c r="H5" s="22">
        <v>0.87</v>
      </c>
      <c r="I5" s="22">
        <v>0.878</v>
      </c>
      <c r="J5" s="22">
        <v>0.88</v>
      </c>
      <c r="K5" s="22">
        <v>0.88100000000000001</v>
      </c>
      <c r="L5" s="22">
        <v>0.88100000000000001</v>
      </c>
      <c r="M5" s="22">
        <v>0.88100000000000001</v>
      </c>
      <c r="N5" s="22">
        <v>0.88100000000000001</v>
      </c>
    </row>
    <row r="6" spans="1:14" x14ac:dyDescent="0.25">
      <c r="A6" s="21">
        <v>0.6</v>
      </c>
      <c r="B6" s="22">
        <v>0.54700000000000004</v>
      </c>
      <c r="C6" s="22">
        <v>0.60599999999999998</v>
      </c>
      <c r="D6" s="22">
        <v>0.65100000000000002</v>
      </c>
      <c r="E6" s="22">
        <v>0.68200000000000005</v>
      </c>
      <c r="F6" s="22">
        <v>0.70299999999999996</v>
      </c>
      <c r="G6" s="22">
        <v>0.71699999999999997</v>
      </c>
      <c r="H6" s="22">
        <v>0.72699999999999998</v>
      </c>
      <c r="I6" s="22">
        <v>0.748</v>
      </c>
      <c r="J6" s="22">
        <v>0.73499999999999999</v>
      </c>
      <c r="K6" s="22">
        <v>0.755</v>
      </c>
      <c r="L6" s="22">
        <v>0.755</v>
      </c>
      <c r="M6" s="22">
        <v>0.755</v>
      </c>
      <c r="N6" s="22">
        <v>0.755</v>
      </c>
    </row>
    <row r="7" spans="1:14" x14ac:dyDescent="0.25">
      <c r="A7" s="21">
        <v>0.8</v>
      </c>
      <c r="B7" s="22">
        <v>0.39</v>
      </c>
      <c r="C7" s="22">
        <v>0.44900000000000001</v>
      </c>
      <c r="D7" s="22">
        <v>0.496</v>
      </c>
      <c r="E7" s="22">
        <v>0.53200000000000003</v>
      </c>
      <c r="F7" s="22">
        <v>0.55800000000000005</v>
      </c>
      <c r="G7" s="22">
        <v>0.57799999999999996</v>
      </c>
      <c r="H7" s="22">
        <v>0.59299999999999997</v>
      </c>
      <c r="I7" s="22">
        <v>0.627</v>
      </c>
      <c r="J7" s="22">
        <v>0.63600000000000001</v>
      </c>
      <c r="K7" s="22">
        <v>0.64</v>
      </c>
      <c r="L7" s="22">
        <v>0.64100000000000001</v>
      </c>
      <c r="M7" s="22">
        <v>0.64200000000000002</v>
      </c>
      <c r="N7" s="22">
        <v>0.64200000000000002</v>
      </c>
    </row>
    <row r="8" spans="1:14" x14ac:dyDescent="0.25">
      <c r="A8" s="21">
        <v>1</v>
      </c>
      <c r="B8" s="22">
        <v>0.28499999999999998</v>
      </c>
      <c r="C8" s="22">
        <v>0.33400000000000002</v>
      </c>
      <c r="D8" s="22">
        <v>0.378</v>
      </c>
      <c r="E8" s="22">
        <v>0.41399999999999998</v>
      </c>
      <c r="F8" s="22">
        <v>0.441</v>
      </c>
      <c r="G8" s="22">
        <v>0.46300000000000002</v>
      </c>
      <c r="H8" s="22">
        <v>0.48199999999999998</v>
      </c>
      <c r="I8" s="22">
        <v>0.52600000000000002</v>
      </c>
      <c r="J8" s="22">
        <v>0.54</v>
      </c>
      <c r="K8" s="22">
        <v>0.54700000000000004</v>
      </c>
      <c r="L8" s="22">
        <v>0.54900000000000004</v>
      </c>
      <c r="M8" s="22">
        <v>0.55000000000000004</v>
      </c>
      <c r="N8" s="22">
        <v>0.55000000000000004</v>
      </c>
    </row>
    <row r="9" spans="1:14" x14ac:dyDescent="0.25">
      <c r="A9" s="21">
        <v>1.2</v>
      </c>
      <c r="B9" s="22">
        <v>0.214</v>
      </c>
      <c r="C9" s="22">
        <v>0.25700000000000001</v>
      </c>
      <c r="D9" s="22">
        <v>0.29399999999999998</v>
      </c>
      <c r="E9" s="22">
        <v>0.32500000000000001</v>
      </c>
      <c r="F9" s="22">
        <v>0.35199999999999998</v>
      </c>
      <c r="G9" s="22">
        <v>0.374</v>
      </c>
      <c r="H9" s="22">
        <v>0.39200000000000002</v>
      </c>
      <c r="I9" s="22">
        <v>0.443</v>
      </c>
      <c r="J9" s="22">
        <v>0.46200000000000002</v>
      </c>
      <c r="K9" s="22">
        <v>0.47399999999999998</v>
      </c>
      <c r="L9" s="22">
        <v>0.47599999999999998</v>
      </c>
      <c r="M9" s="22">
        <v>0.47699999999999998</v>
      </c>
      <c r="N9" s="22">
        <v>0.47699999999999998</v>
      </c>
    </row>
    <row r="10" spans="1:14" x14ac:dyDescent="0.25">
      <c r="A10" s="21">
        <v>1.4</v>
      </c>
      <c r="B10" s="22">
        <v>0.16500000000000001</v>
      </c>
      <c r="C10" s="22">
        <v>0.20100000000000001</v>
      </c>
      <c r="D10" s="22">
        <v>0.23200000000000001</v>
      </c>
      <c r="E10" s="22">
        <v>0.26</v>
      </c>
      <c r="F10" s="22">
        <v>0.28399999999999997</v>
      </c>
      <c r="G10" s="22">
        <v>0.30399999999999999</v>
      </c>
      <c r="H10" s="22">
        <v>0.32100000000000001</v>
      </c>
      <c r="I10" s="22">
        <v>0.376</v>
      </c>
      <c r="J10" s="22">
        <v>0.4</v>
      </c>
      <c r="K10" s="22">
        <v>0.41399999999999998</v>
      </c>
      <c r="L10" s="22">
        <v>0.41799999999999998</v>
      </c>
      <c r="M10" s="22">
        <v>0.42</v>
      </c>
      <c r="N10" s="22">
        <v>0.42</v>
      </c>
    </row>
    <row r="11" spans="1:14" x14ac:dyDescent="0.25">
      <c r="A11" s="21">
        <v>1.6</v>
      </c>
      <c r="B11" s="22">
        <v>0.13</v>
      </c>
      <c r="C11" s="22">
        <v>0.16</v>
      </c>
      <c r="D11" s="22">
        <v>0.187</v>
      </c>
      <c r="E11" s="22">
        <v>0.21</v>
      </c>
      <c r="F11" s="22">
        <v>0.23200000000000001</v>
      </c>
      <c r="G11" s="22">
        <v>0.251</v>
      </c>
      <c r="H11" s="22">
        <v>0.26700000000000002</v>
      </c>
      <c r="I11" s="22">
        <v>0.32200000000000001</v>
      </c>
      <c r="J11" s="22">
        <v>0.34799999999999998</v>
      </c>
      <c r="K11" s="22">
        <v>0.36499999999999999</v>
      </c>
      <c r="L11" s="22">
        <v>0.37</v>
      </c>
      <c r="M11" s="22">
        <v>0.374</v>
      </c>
      <c r="N11" s="22">
        <v>0.374</v>
      </c>
    </row>
    <row r="12" spans="1:14" x14ac:dyDescent="0.25">
      <c r="A12" s="21">
        <v>1.8</v>
      </c>
      <c r="B12" s="22">
        <v>0.106</v>
      </c>
      <c r="C12" s="22">
        <v>0.13</v>
      </c>
      <c r="D12" s="22">
        <v>0.153</v>
      </c>
      <c r="E12" s="22">
        <v>0.17299999999999999</v>
      </c>
      <c r="F12" s="22">
        <v>0.192</v>
      </c>
      <c r="G12" s="22">
        <v>0.20899999999999999</v>
      </c>
      <c r="H12" s="22">
        <v>0.224</v>
      </c>
      <c r="I12" s="22">
        <v>0.27800000000000002</v>
      </c>
      <c r="J12" s="22">
        <v>0.30499999999999999</v>
      </c>
      <c r="K12" s="22">
        <v>0.32600000000000001</v>
      </c>
      <c r="L12" s="22">
        <v>0.33200000000000002</v>
      </c>
      <c r="M12" s="22">
        <v>0.33700000000000002</v>
      </c>
      <c r="N12" s="22">
        <v>0.33700000000000002</v>
      </c>
    </row>
    <row r="13" spans="1:14" x14ac:dyDescent="0.25">
      <c r="A13" s="21">
        <v>2</v>
      </c>
      <c r="B13" s="22">
        <v>8.6999999999999994E-2</v>
      </c>
      <c r="C13" s="22">
        <v>0.108</v>
      </c>
      <c r="D13" s="22">
        <v>0.127</v>
      </c>
      <c r="E13" s="22">
        <v>0.14499999999999999</v>
      </c>
      <c r="F13" s="22">
        <v>0.161</v>
      </c>
      <c r="G13" s="22">
        <v>0.17599999999999999</v>
      </c>
      <c r="H13" s="22">
        <v>0.189</v>
      </c>
      <c r="I13" s="22">
        <v>0.23699999999999999</v>
      </c>
      <c r="J13" s="22">
        <v>0.27</v>
      </c>
      <c r="K13" s="22">
        <v>0.29299999999999998</v>
      </c>
      <c r="L13" s="22">
        <v>0.30099999999999999</v>
      </c>
      <c r="M13" s="22">
        <v>0.30399999999999999</v>
      </c>
      <c r="N13" s="22">
        <v>0.30599999999999999</v>
      </c>
    </row>
    <row r="14" spans="1:14" x14ac:dyDescent="0.25">
      <c r="A14" s="21">
        <v>3</v>
      </c>
      <c r="B14" s="22">
        <v>0.04</v>
      </c>
      <c r="C14" s="22">
        <v>5.0999999999999997E-2</v>
      </c>
      <c r="D14" s="22">
        <v>0.06</v>
      </c>
      <c r="E14" s="22">
        <v>7.0000000000000007E-2</v>
      </c>
      <c r="F14" s="22">
        <v>7.8E-2</v>
      </c>
      <c r="G14" s="22">
        <v>8.6999999999999994E-2</v>
      </c>
      <c r="H14" s="22">
        <v>9.5000000000000001E-2</v>
      </c>
      <c r="I14" s="22">
        <v>0.13</v>
      </c>
      <c r="J14" s="22">
        <v>0.155</v>
      </c>
      <c r="K14" s="22">
        <v>0.184</v>
      </c>
      <c r="L14" s="22">
        <v>0.19700000000000001</v>
      </c>
      <c r="M14" s="22">
        <v>0.20200000000000001</v>
      </c>
      <c r="N14" s="22">
        <v>0.20799999999999999</v>
      </c>
    </row>
    <row r="15" spans="1:14" x14ac:dyDescent="0.25">
      <c r="A15" s="21">
        <v>4</v>
      </c>
      <c r="B15" s="22">
        <v>2.5000000000000001E-2</v>
      </c>
      <c r="C15" s="22">
        <v>2.9000000000000001E-2</v>
      </c>
      <c r="D15" s="22">
        <v>3.5000000000000003E-2</v>
      </c>
      <c r="E15" s="22">
        <v>0.04</v>
      </c>
      <c r="F15" s="22">
        <v>4.5999999999999999E-2</v>
      </c>
      <c r="G15" s="22">
        <v>5.0999999999999997E-2</v>
      </c>
      <c r="H15" s="22">
        <v>5.6000000000000001E-2</v>
      </c>
      <c r="I15" s="22">
        <v>0.08</v>
      </c>
      <c r="J15" s="22">
        <v>9.5000000000000001E-2</v>
      </c>
      <c r="K15" s="22">
        <v>0.125</v>
      </c>
      <c r="L15" s="22">
        <v>0.13900000000000001</v>
      </c>
      <c r="M15" s="22">
        <v>0.14699999999999999</v>
      </c>
      <c r="N15" s="22">
        <v>0.158</v>
      </c>
    </row>
    <row r="16" spans="1:14" x14ac:dyDescent="0.25">
      <c r="A16" s="21">
        <v>5</v>
      </c>
      <c r="B16" s="22">
        <v>1.7000000000000001E-2</v>
      </c>
      <c r="C16" s="22">
        <v>1.9E-2</v>
      </c>
      <c r="D16" s="22">
        <v>2.1999999999999999E-2</v>
      </c>
      <c r="E16" s="22">
        <v>2.5999999999999999E-2</v>
      </c>
      <c r="F16" s="22">
        <v>0.03</v>
      </c>
      <c r="G16" s="22">
        <v>3.3000000000000002E-2</v>
      </c>
      <c r="H16" s="22">
        <v>3.6999999999999998E-2</v>
      </c>
      <c r="I16" s="22">
        <v>5.2999999999999999E-2</v>
      </c>
      <c r="J16" s="22">
        <v>6.7000000000000004E-2</v>
      </c>
      <c r="K16" s="22">
        <v>8.8999999999999996E-2</v>
      </c>
      <c r="L16" s="22">
        <v>0.10299999999999999</v>
      </c>
      <c r="M16" s="22">
        <v>0.112</v>
      </c>
      <c r="N16" s="22">
        <v>0.127</v>
      </c>
    </row>
    <row r="17" spans="1:14" x14ac:dyDescent="0.25">
      <c r="A17" s="21">
        <v>7</v>
      </c>
      <c r="B17" s="22">
        <v>8.0000000000000002E-3</v>
      </c>
      <c r="C17" s="22">
        <v>0.01</v>
      </c>
      <c r="D17" s="22">
        <v>1.2E-2</v>
      </c>
      <c r="E17" s="22">
        <v>1.4E-2</v>
      </c>
      <c r="F17" s="22">
        <v>1.6E-2</v>
      </c>
      <c r="G17" s="22">
        <v>1.7999999999999999E-2</v>
      </c>
      <c r="H17" s="22">
        <v>1.9E-2</v>
      </c>
      <c r="I17" s="22">
        <v>2.9000000000000001E-2</v>
      </c>
      <c r="J17" s="22">
        <v>3.6999999999999998E-2</v>
      </c>
      <c r="K17" s="22">
        <v>5.0999999999999997E-2</v>
      </c>
      <c r="L17" s="22">
        <v>6.2E-2</v>
      </c>
      <c r="M17" s="22">
        <v>7.0000000000000007E-2</v>
      </c>
      <c r="N17" s="22">
        <v>9.0999999999999998E-2</v>
      </c>
    </row>
    <row r="18" spans="1:14" x14ac:dyDescent="0.25">
      <c r="A18" s="23">
        <v>10</v>
      </c>
      <c r="B18" s="22">
        <v>4.0000000000000001E-3</v>
      </c>
      <c r="C18" s="22">
        <v>5.0000000000000001E-3</v>
      </c>
      <c r="D18" s="22">
        <v>6.0000000000000001E-3</v>
      </c>
      <c r="E18" s="22">
        <v>7.0000000000000001E-3</v>
      </c>
      <c r="F18" s="22">
        <v>8.0000000000000002E-3</v>
      </c>
      <c r="G18" s="22">
        <v>8.9999999999999993E-3</v>
      </c>
      <c r="H18" s="22">
        <v>0.01</v>
      </c>
      <c r="I18" s="22">
        <v>1.4E-2</v>
      </c>
      <c r="J18" s="22">
        <v>1.9E-2</v>
      </c>
      <c r="K18" s="22">
        <v>2.7E-2</v>
      </c>
      <c r="L18" s="22">
        <v>3.3000000000000002E-2</v>
      </c>
      <c r="M18" s="22">
        <v>3.6999999999999998E-2</v>
      </c>
      <c r="N18" s="22">
        <v>6.4000000000000001E-2</v>
      </c>
    </row>
    <row r="19" spans="1:14" x14ac:dyDescent="0.25">
      <c r="A19" s="24">
        <v>100</v>
      </c>
      <c r="B19" s="25">
        <v>1E-3</v>
      </c>
      <c r="C19" s="25">
        <v>1E-3</v>
      </c>
      <c r="D19" s="25">
        <v>1E-3</v>
      </c>
      <c r="E19" s="25">
        <v>1E-3</v>
      </c>
      <c r="F19" s="25">
        <v>1E-3</v>
      </c>
      <c r="G19" s="25">
        <v>1E-3</v>
      </c>
      <c r="H19" s="25">
        <v>1E-3</v>
      </c>
      <c r="I19" s="25">
        <v>1E-3</v>
      </c>
      <c r="J19" s="25">
        <v>1E-3</v>
      </c>
      <c r="K19" s="25">
        <v>1E-3</v>
      </c>
      <c r="L19" s="25">
        <v>1E-3</v>
      </c>
      <c r="M19" s="25">
        <v>1E-3</v>
      </c>
      <c r="N19" s="25">
        <v>1E-3</v>
      </c>
    </row>
    <row r="20" spans="1:14" x14ac:dyDescent="0.25">
      <c r="A20" s="26"/>
      <c r="B20" s="26"/>
      <c r="C20" s="26"/>
      <c r="D20" s="26"/>
      <c r="E20" s="26"/>
      <c r="F20" s="11"/>
      <c r="G20" s="11"/>
      <c r="H20" s="26"/>
      <c r="I20" s="26"/>
      <c r="J20" s="26"/>
      <c r="K20" s="26"/>
      <c r="L20" s="26"/>
      <c r="M20" s="26"/>
      <c r="N20" s="26"/>
    </row>
    <row r="21" spans="1:14" x14ac:dyDescent="0.25">
      <c r="A21" s="26"/>
      <c r="B21" s="10" t="s">
        <v>95</v>
      </c>
      <c r="C21" s="11"/>
      <c r="D21" s="27">
        <v>0.5</v>
      </c>
      <c r="E21" s="11"/>
      <c r="F21" s="11"/>
      <c r="G21" s="11"/>
      <c r="H21" s="26"/>
      <c r="I21" s="26"/>
      <c r="J21" s="26"/>
      <c r="K21" s="26"/>
      <c r="L21" s="26"/>
      <c r="M21" s="26"/>
      <c r="N21" s="26"/>
    </row>
    <row r="22" spans="1:14" x14ac:dyDescent="0.25">
      <c r="A22" s="26"/>
      <c r="B22" s="10" t="s">
        <v>96</v>
      </c>
      <c r="C22" s="11"/>
      <c r="D22" s="27">
        <v>5</v>
      </c>
      <c r="E22" s="11"/>
      <c r="F22" s="11"/>
      <c r="G22" s="11"/>
      <c r="H22" s="26"/>
      <c r="I22" s="26"/>
      <c r="J22" s="26"/>
      <c r="K22" s="26"/>
      <c r="L22" s="26"/>
      <c r="M22" s="26"/>
      <c r="N22" s="26"/>
    </row>
    <row r="23" spans="1:14" x14ac:dyDescent="0.25">
      <c r="A23" s="26"/>
      <c r="B23" s="28" t="s">
        <v>97</v>
      </c>
      <c r="C23" s="11"/>
      <c r="D23" s="29">
        <f>[1]!Noisuy2chieu(D21,D22,A2:N19)</f>
        <v>0.81279999017715454</v>
      </c>
      <c r="E23" s="11"/>
      <c r="F23" s="30"/>
      <c r="G23" s="11"/>
      <c r="H23" s="26"/>
      <c r="I23" s="26"/>
      <c r="J23" s="26"/>
      <c r="K23" s="26"/>
      <c r="L23" s="26"/>
      <c r="M23" s="26"/>
      <c r="N23" s="26"/>
    </row>
    <row r="24" spans="1:14" x14ac:dyDescent="0.25">
      <c r="A24" s="26"/>
      <c r="B24" s="11"/>
      <c r="C24" s="11"/>
      <c r="D24" s="26"/>
      <c r="E24" s="11"/>
      <c r="F24" s="11"/>
      <c r="G24" s="11"/>
      <c r="H24" s="26"/>
      <c r="I24" s="26"/>
      <c r="J24" s="26"/>
      <c r="K24" s="26"/>
      <c r="L24" s="26"/>
      <c r="M24" s="26"/>
      <c r="N24" s="26"/>
    </row>
    <row r="25" spans="1:14" x14ac:dyDescent="0.25">
      <c r="A25" s="26"/>
      <c r="B25" s="11"/>
      <c r="C25" s="11"/>
      <c r="D25" s="26"/>
      <c r="E25" s="11"/>
      <c r="F25" s="11"/>
      <c r="G25" s="11"/>
      <c r="H25" s="26"/>
      <c r="I25" s="26"/>
      <c r="J25" s="26"/>
      <c r="K25" s="26"/>
      <c r="L25" s="26"/>
      <c r="M25" s="26"/>
      <c r="N25" s="26"/>
    </row>
  </sheetData>
  <mergeCells count="2">
    <mergeCell ref="A1:A2"/>
    <mergeCell ref="C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"/>
  <sheetViews>
    <sheetView workbookViewId="0">
      <selection activeCell="E22" sqref="E22"/>
    </sheetView>
  </sheetViews>
  <sheetFormatPr defaultRowHeight="15" x14ac:dyDescent="0.25"/>
  <sheetData>
    <row r="1" spans="2:2" x14ac:dyDescent="0.25">
      <c r="B1" s="32" t="s">
        <v>111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Oneway interpolate</vt:lpstr>
      <vt:lpstr>Twoway interpolate</vt:lpstr>
      <vt:lpstr>Macros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Tan Thinh</dc:creator>
  <cp:lastModifiedBy>Tran Tan Thinh</cp:lastModifiedBy>
  <dcterms:created xsi:type="dcterms:W3CDTF">2020-01-07T05:48:46Z</dcterms:created>
  <dcterms:modified xsi:type="dcterms:W3CDTF">2020-01-25T02:12:50Z</dcterms:modified>
</cp:coreProperties>
</file>