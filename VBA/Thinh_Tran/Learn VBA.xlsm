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480" yWindow="60" windowWidth="18195" windowHeight="8505"/>
  </bookViews>
  <sheets>
    <sheet name="Test" sheetId="5" r:id="rId1"/>
    <sheet name="Macro" sheetId="4" r:id="rId2"/>
    <sheet name="One way interpolate" sheetId="6" r:id="rId3"/>
    <sheet name="Two way interpolate" sheetId="7" r:id="rId4"/>
  </sheets>
  <functionGroups builtInGroupCount="17"/>
  <externalReferences>
    <externalReference r:id="rId5"/>
  </externalReferences>
  <definedNames>
    <definedName name="Pos">Test!$B$5:$B$19</definedName>
    <definedName name="Staff">Test!$A$5:$A$19</definedName>
  </definedNames>
  <calcPr calcId="144525"/>
</workbook>
</file>

<file path=xl/calcChain.xml><?xml version="1.0" encoding="utf-8"?>
<calcChain xmlns="http://schemas.openxmlformats.org/spreadsheetml/2006/main">
  <c r="B41" i="5" l="1"/>
  <c r="M2" i="6" l="1"/>
  <c r="K2" i="6"/>
  <c r="H10" i="6"/>
  <c r="D23" i="7"/>
  <c r="H8" i="6"/>
  <c r="H12" i="6"/>
</calcChain>
</file>

<file path=xl/sharedStrings.xml><?xml version="1.0" encoding="utf-8"?>
<sst xmlns="http://schemas.openxmlformats.org/spreadsheetml/2006/main" count="133" uniqueCount="59">
  <si>
    <t>Fullname</t>
  </si>
  <si>
    <t>Nguyen Thanh My</t>
  </si>
  <si>
    <t>Tran Tan Thinh</t>
  </si>
  <si>
    <t>Dang Minh Phuc</t>
  </si>
  <si>
    <t>Nguyen Nhu Y Vi</t>
  </si>
  <si>
    <t>Nguyen Minh Tuan</t>
  </si>
  <si>
    <t>Nguyen Thanh Loc</t>
  </si>
  <si>
    <t>Tran Thi Kim Oanh</t>
  </si>
  <si>
    <t>Nguyen Thi Hai Yen</t>
  </si>
  <si>
    <t>Tran Kim Thuong</t>
  </si>
  <si>
    <t>Trinh Kim Toan</t>
  </si>
  <si>
    <t>Nguyen Ngoc Truong Loc</t>
  </si>
  <si>
    <t>Le Thanh Vi</t>
  </si>
  <si>
    <t>Nguyen Thi Anh Thi</t>
  </si>
  <si>
    <t>Dinh Thi Ngoc Van</t>
  </si>
  <si>
    <t>Trinh Hoang Oanh</t>
  </si>
  <si>
    <t>Do Thi Hue</t>
  </si>
  <si>
    <t>Le Hoang Ngoc</t>
  </si>
  <si>
    <t>Tong Nguyen Kim Thao</t>
  </si>
  <si>
    <t>Name</t>
  </si>
  <si>
    <t>Average points</t>
  </si>
  <si>
    <t>Type</t>
  </si>
  <si>
    <t>Tran Quynh Nhu</t>
  </si>
  <si>
    <t>Mai The Ve</t>
  </si>
  <si>
    <t>Pham Ngan Hue</t>
  </si>
  <si>
    <t>Tra các hệ số A,B,D theo φ</t>
  </si>
  <si>
    <r>
      <t>j</t>
    </r>
    <r>
      <rPr>
        <b/>
        <vertAlign val="superscript"/>
        <sz val="11"/>
        <rFont val="Arial"/>
        <family val="2"/>
      </rPr>
      <t>tc</t>
    </r>
  </si>
  <si>
    <t>A</t>
  </si>
  <si>
    <t>B</t>
  </si>
  <si>
    <t>D</t>
  </si>
  <si>
    <t>Góc ma sát trong</t>
  </si>
  <si>
    <t>Hệ số A</t>
  </si>
  <si>
    <t>Hệ số B</t>
  </si>
  <si>
    <t>Hệ số D</t>
  </si>
  <si>
    <t>z/b</t>
  </si>
  <si>
    <t>Móng tròn</t>
  </si>
  <si>
    <t>Móng chữ nhật, l/b</t>
  </si>
  <si>
    <t>Móng băng</t>
  </si>
  <si>
    <t>Giá trị z/b</t>
  </si>
  <si>
    <t>Giá trị l/b</t>
  </si>
  <si>
    <t>Hệ số K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</si>
  <si>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</si>
  <si>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</si>
  <si>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</si>
  <si>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</si>
  <si>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</si>
  <si>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</si>
  <si>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</si>
  <si>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</si>
  <si>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</si>
  <si>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</si>
  <si>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</si>
  <si>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</si>
  <si>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</si>
  <si>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Rate</t>
  </si>
  <si>
    <t>C:\STUDYING\MS OFFICE\Microsoft Excel\VBA\Practice\PDF\</t>
  </si>
  <si>
    <t>Path to save as PDF</t>
  </si>
  <si>
    <t>Confidence Level(95.0%)</t>
  </si>
  <si>
    <t>X=5.5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</si>
</sst>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18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0"/>
      <name val="Arial"/>
      <family val="2"/>
    </font>
    <font>
      <b/>
      <sz val="11"/>
      <color indexed="12"/>
      <name val="Arial"/>
      <family val="2"/>
    </font>
    <font>
      <b/>
      <sz val="11"/>
      <name val="Symbol"/>
      <family val="1"/>
      <charset val="2"/>
    </font>
    <font>
      <b/>
      <vertAlign val="superscript"/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10"/>
      </bottom>
      <diagonal/>
    </border>
    <border>
      <left style="thin">
        <color indexed="64"/>
      </left>
      <right style="thin">
        <color indexed="64"/>
      </right>
      <top style="dashed">
        <color indexed="10"/>
      </top>
      <bottom style="dashed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1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55">
    <xf numFmtId="0" fontId="0" fillId="0" borderId="0" xfId="0"/>
    <xf numFmtId="0" fontId="0" fillId="0" borderId="0" xfId="0" applyFont="1"/>
    <xf numFmtId="0" fontId="2" fillId="0" borderId="1" xfId="0" applyFont="1" applyBorder="1"/>
    <xf numFmtId="0" fontId="3" fillId="0" borderId="0" xfId="0" applyFont="1"/>
    <xf numFmtId="0" fontId="0" fillId="0" borderId="1" xfId="0" applyBorder="1"/>
    <xf numFmtId="0" fontId="4" fillId="0" borderId="1" xfId="0" applyFont="1" applyBorder="1"/>
    <xf numFmtId="0" fontId="3" fillId="3" borderId="1" xfId="0" applyFont="1" applyFill="1" applyBorder="1"/>
    <xf numFmtId="0" fontId="2" fillId="4" borderId="2" xfId="0" applyFont="1" applyFill="1" applyBorder="1"/>
    <xf numFmtId="0" fontId="7" fillId="6" borderId="1" xfId="1" applyFont="1" applyFill="1" applyBorder="1" applyAlignment="1">
      <alignment horizontal="center" vertical="center"/>
    </xf>
    <xf numFmtId="0" fontId="9" fillId="6" borderId="1" xfId="1" applyFont="1" applyFill="1" applyBorder="1" applyAlignment="1">
      <alignment horizontal="center" vertical="center"/>
    </xf>
    <xf numFmtId="0" fontId="10" fillId="6" borderId="5" xfId="1" applyFont="1" applyFill="1" applyBorder="1" applyAlignment="1">
      <alignment horizontal="center" vertical="center"/>
    </xf>
    <xf numFmtId="2" fontId="10" fillId="0" borderId="5" xfId="1" applyNumberFormat="1" applyFont="1" applyBorder="1" applyAlignment="1">
      <alignment horizontal="center" vertical="center"/>
    </xf>
    <xf numFmtId="0" fontId="10" fillId="6" borderId="6" xfId="1" applyFont="1" applyFill="1" applyBorder="1" applyAlignment="1">
      <alignment horizontal="center" vertical="center"/>
    </xf>
    <xf numFmtId="2" fontId="10" fillId="0" borderId="6" xfId="1" applyNumberFormat="1" applyFont="1" applyBorder="1" applyAlignment="1">
      <alignment horizontal="center" vertical="center"/>
    </xf>
    <xf numFmtId="0" fontId="10" fillId="6" borderId="7" xfId="1" applyFont="1" applyFill="1" applyBorder="1" applyAlignment="1">
      <alignment horizontal="center" vertical="center"/>
    </xf>
    <xf numFmtId="2" fontId="10" fillId="0" borderId="7" xfId="1" applyNumberFormat="1" applyFont="1" applyBorder="1" applyAlignment="1">
      <alignment horizontal="center" vertical="center"/>
    </xf>
    <xf numFmtId="0" fontId="11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2" fontId="12" fillId="7" borderId="1" xfId="1" applyNumberFormat="1" applyFont="1" applyFill="1" applyBorder="1" applyAlignment="1">
      <alignment horizontal="center" vertical="center"/>
    </xf>
    <xf numFmtId="164" fontId="5" fillId="0" borderId="0" xfId="1" applyNumberFormat="1" applyFont="1" applyAlignment="1">
      <alignment vertical="center"/>
    </xf>
    <xf numFmtId="164" fontId="13" fillId="8" borderId="1" xfId="1" applyNumberFormat="1" applyFont="1" applyFill="1" applyBorder="1" applyAlignment="1">
      <alignment horizontal="center" vertical="center"/>
    </xf>
    <xf numFmtId="0" fontId="2" fillId="4" borderId="3" xfId="0" applyFont="1" applyFill="1" applyBorder="1"/>
    <xf numFmtId="2" fontId="0" fillId="0" borderId="0" xfId="0" applyNumberFormat="1"/>
    <xf numFmtId="0" fontId="11" fillId="6" borderId="1" xfId="1" applyFont="1" applyFill="1" applyBorder="1" applyAlignment="1">
      <alignment horizontal="center" vertical="center" wrapText="1"/>
    </xf>
    <xf numFmtId="0" fontId="11" fillId="6" borderId="1" xfId="1" applyFont="1" applyFill="1" applyBorder="1" applyAlignment="1">
      <alignment horizontal="center" vertical="center"/>
    </xf>
    <xf numFmtId="165" fontId="11" fillId="6" borderId="5" xfId="1" applyNumberFormat="1" applyFont="1" applyFill="1" applyBorder="1" applyAlignment="1">
      <alignment horizontal="center" vertical="center"/>
    </xf>
    <xf numFmtId="164" fontId="5" fillId="0" borderId="5" xfId="1" applyNumberFormat="1" applyFont="1" applyFill="1" applyBorder="1" applyAlignment="1">
      <alignment horizontal="center" vertical="center"/>
    </xf>
    <xf numFmtId="165" fontId="11" fillId="6" borderId="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" fontId="11" fillId="6" borderId="6" xfId="1" applyNumberFormat="1" applyFont="1" applyFill="1" applyBorder="1" applyAlignment="1">
      <alignment horizontal="center" vertical="center"/>
    </xf>
    <xf numFmtId="1" fontId="11" fillId="6" borderId="10" xfId="1" applyNumberFormat="1" applyFont="1" applyFill="1" applyBorder="1" applyAlignment="1">
      <alignment horizontal="center" vertical="center"/>
    </xf>
    <xf numFmtId="164" fontId="5" fillId="0" borderId="10" xfId="1" applyNumberFormat="1" applyFont="1" applyFill="1" applyBorder="1" applyAlignment="1">
      <alignment horizontal="center" vertical="center"/>
    </xf>
    <xf numFmtId="0" fontId="10" fillId="0" borderId="0" xfId="1" applyFont="1" applyAlignment="1">
      <alignment vertical="center"/>
    </xf>
    <xf numFmtId="2" fontId="14" fillId="0" borderId="1" xfId="1" applyNumberFormat="1" applyFont="1" applyFill="1" applyBorder="1" applyAlignment="1">
      <alignment horizontal="center" vertical="center"/>
    </xf>
    <xf numFmtId="0" fontId="9" fillId="0" borderId="0" xfId="1" applyFont="1" applyAlignment="1">
      <alignment vertical="center"/>
    </xf>
    <xf numFmtId="166" fontId="13" fillId="8" borderId="1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0" fillId="0" borderId="1" xfId="0" applyFill="1" applyBorder="1" applyAlignment="1"/>
    <xf numFmtId="0" fontId="15" fillId="0" borderId="1" xfId="0" applyFont="1" applyFill="1" applyBorder="1" applyAlignment="1"/>
    <xf numFmtId="0" fontId="3" fillId="0" borderId="1" xfId="0" applyFont="1" applyFill="1" applyBorder="1" applyAlignment="1"/>
    <xf numFmtId="0" fontId="0" fillId="0" borderId="0" xfId="0" applyNumberFormat="1"/>
    <xf numFmtId="0" fontId="0" fillId="0" borderId="0" xfId="0"/>
    <xf numFmtId="0" fontId="0" fillId="0" borderId="0" xfId="0"/>
    <xf numFmtId="0" fontId="1" fillId="0" borderId="0" xfId="0" applyFont="1" applyFill="1" applyBorder="1"/>
    <xf numFmtId="0" fontId="6" fillId="5" borderId="4" xfId="1" applyFont="1" applyFill="1" applyBorder="1" applyAlignment="1">
      <alignment horizontal="center" vertical="center"/>
    </xf>
    <xf numFmtId="0" fontId="16" fillId="2" borderId="1" xfId="0" applyNumberFormat="1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1" fillId="6" borderId="8" xfId="1" applyFont="1" applyFill="1" applyBorder="1" applyAlignment="1">
      <alignment horizontal="center" vertical="center"/>
    </xf>
    <xf numFmtId="0" fontId="5" fillId="0" borderId="7" xfId="1" applyBorder="1" applyAlignment="1">
      <alignment horizontal="center" vertical="center"/>
    </xf>
    <xf numFmtId="0" fontId="11" fillId="6" borderId="9" xfId="1" applyFont="1" applyFill="1" applyBorder="1" applyAlignment="1">
      <alignment horizontal="center" vertical="center"/>
    </xf>
    <xf numFmtId="0" fontId="14" fillId="0" borderId="11" xfId="1" applyFont="1" applyBorder="1" applyAlignment="1">
      <alignment horizontal="center" vertical="center" textRotation="180"/>
    </xf>
    <xf numFmtId="0" fontId="5" fillId="0" borderId="0" xfId="1" applyFont="1" applyAlignment="1">
      <alignment horizontal="center" vertical="center"/>
    </xf>
    <xf numFmtId="0" fontId="0" fillId="0" borderId="0" xfId="0" applyFill="1" applyBorder="1" applyAlignment="1"/>
    <xf numFmtId="0" fontId="0" fillId="0" borderId="12" xfId="0" applyFill="1" applyBorder="1" applyAlignment="1"/>
    <xf numFmtId="0" fontId="17" fillId="0" borderId="13" xfId="0" applyFont="1" applyFill="1" applyBorder="1" applyAlignment="1">
      <alignment horizontal="centerContinuous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209549</xdr:colOff>
      <xdr:row>1</xdr:row>
      <xdr:rowOff>66674</xdr:rowOff>
    </xdr:from>
    <xdr:to>
      <xdr:col>8</xdr:col>
      <xdr:colOff>466724</xdr:colOff>
      <xdr:row>2</xdr:row>
      <xdr:rowOff>123825</xdr:rowOff>
    </xdr:to>
    <xdr:sp macro="[0]!VD_Resume" textlink="">
      <xdr:nvSpPr>
        <xdr:cNvPr id="2" name="Rectangle 1"/>
        <xdr:cNvSpPr/>
      </xdr:nvSpPr>
      <xdr:spPr>
        <a:xfrm>
          <a:off x="6257924" y="257174"/>
          <a:ext cx="866775" cy="2476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SQRT NUM</a:t>
          </a:r>
        </a:p>
      </xdr:txBody>
    </xdr:sp>
    <xdr:clientData/>
  </xdr:twoCellAnchor>
  <xdr:twoCellAnchor>
    <xdr:from>
      <xdr:col>7</xdr:col>
      <xdr:colOff>219075</xdr:colOff>
      <xdr:row>3</xdr:row>
      <xdr:rowOff>85725</xdr:rowOff>
    </xdr:from>
    <xdr:to>
      <xdr:col>8</xdr:col>
      <xdr:colOff>514350</xdr:colOff>
      <xdr:row>4</xdr:row>
      <xdr:rowOff>152401</xdr:rowOff>
    </xdr:to>
    <xdr:sp macro="[0]!SaveWSAsPDF" textlink="">
      <xdr:nvSpPr>
        <xdr:cNvPr id="3" name="Rectangle 2"/>
        <xdr:cNvSpPr/>
      </xdr:nvSpPr>
      <xdr:spPr>
        <a:xfrm>
          <a:off x="6267450" y="657225"/>
          <a:ext cx="904875" cy="2571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 PDF</a:t>
          </a:r>
        </a:p>
      </xdr:txBody>
    </xdr:sp>
    <xdr:clientData/>
  </xdr:twoCellAnchor>
  <xdr:twoCellAnchor>
    <xdr:from>
      <xdr:col>7</xdr:col>
      <xdr:colOff>209550</xdr:colOff>
      <xdr:row>5</xdr:row>
      <xdr:rowOff>114301</xdr:rowOff>
    </xdr:from>
    <xdr:to>
      <xdr:col>9</xdr:col>
      <xdr:colOff>171449</xdr:colOff>
      <xdr:row>7</xdr:row>
      <xdr:rowOff>1</xdr:rowOff>
    </xdr:to>
    <xdr:sp macro="[0]!SaveWBAsPDF" textlink="">
      <xdr:nvSpPr>
        <xdr:cNvPr id="4" name="Rectangle 3"/>
        <xdr:cNvSpPr/>
      </xdr:nvSpPr>
      <xdr:spPr>
        <a:xfrm>
          <a:off x="6257925" y="1066801"/>
          <a:ext cx="1181099" cy="266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</a:t>
          </a:r>
          <a:r>
            <a:rPr lang="en-US" sz="1100" baseline="0"/>
            <a:t> WB AS PDF</a:t>
          </a:r>
          <a:endParaRPr lang="en-US" sz="1100"/>
        </a:p>
      </xdr:txBody>
    </xdr:sp>
    <xdr:clientData/>
  </xdr:twoCellAnchor>
  <xdr:twoCellAnchor>
    <xdr:from>
      <xdr:col>7</xdr:col>
      <xdr:colOff>219075</xdr:colOff>
      <xdr:row>7</xdr:row>
      <xdr:rowOff>85725</xdr:rowOff>
    </xdr:from>
    <xdr:to>
      <xdr:col>8</xdr:col>
      <xdr:colOff>447675</xdr:colOff>
      <xdr:row>8</xdr:row>
      <xdr:rowOff>161925</xdr:rowOff>
    </xdr:to>
    <xdr:sp macro="[0]!Input_Data" textlink="">
      <xdr:nvSpPr>
        <xdr:cNvPr id="5" name="Rectangle 4"/>
        <xdr:cNvSpPr/>
      </xdr:nvSpPr>
      <xdr:spPr>
        <a:xfrm>
          <a:off x="6267450" y="1419225"/>
          <a:ext cx="838200" cy="266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Input Data</a:t>
          </a:r>
        </a:p>
      </xdr:txBody>
    </xdr:sp>
    <xdr:clientData/>
  </xdr:twoCellAnchor>
  <xdr:twoCellAnchor>
    <xdr:from>
      <xdr:col>7</xdr:col>
      <xdr:colOff>200025</xdr:colOff>
      <xdr:row>9</xdr:row>
      <xdr:rowOff>66675</xdr:rowOff>
    </xdr:from>
    <xdr:to>
      <xdr:col>8</xdr:col>
      <xdr:colOff>485775</xdr:colOff>
      <xdr:row>10</xdr:row>
      <xdr:rowOff>161925</xdr:rowOff>
    </xdr:to>
    <xdr:sp macro="[0]!Tinh_Lai_Suat" textlink="">
      <xdr:nvSpPr>
        <xdr:cNvPr id="7" name="Rectangle 6"/>
        <xdr:cNvSpPr/>
      </xdr:nvSpPr>
      <xdr:spPr>
        <a:xfrm>
          <a:off x="6248400" y="1781175"/>
          <a:ext cx="89535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Tinh</a:t>
          </a:r>
          <a:r>
            <a:rPr lang="en-US" sz="1100" baseline="0"/>
            <a:t> lai suat 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Tran%20Tan%20Thinh\AppData\Roaming\Microsoft\AddIns\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Noisuy2chieu"/>
      <definedName name="One_Way_Interpol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1"/>
  <sheetViews>
    <sheetView tabSelected="1" topLeftCell="A19" workbookViewId="0">
      <selection activeCell="A41" sqref="A41"/>
    </sheetView>
  </sheetViews>
  <sheetFormatPr defaultRowHeight="15" x14ac:dyDescent="0.25"/>
  <cols>
    <col min="1" max="1" width="28.85546875" bestFit="1" customWidth="1"/>
    <col min="2" max="2" width="19.28515625" bestFit="1" customWidth="1"/>
    <col min="3" max="3" width="6.85546875" bestFit="1" customWidth="1"/>
    <col min="5" max="5" width="28.85546875" bestFit="1" customWidth="1"/>
    <col min="6" max="6" width="18.140625" bestFit="1" customWidth="1"/>
  </cols>
  <sheetData>
    <row r="1" spans="1:3" s="3" customFormat="1" ht="15" customHeight="1" x14ac:dyDescent="0.25">
      <c r="A1" s="21" t="s">
        <v>19</v>
      </c>
      <c r="B1" s="21" t="s">
        <v>20</v>
      </c>
      <c r="C1" s="7" t="s">
        <v>21</v>
      </c>
    </row>
    <row r="2" spans="1:3" s="3" customFormat="1" ht="15" customHeight="1" x14ac:dyDescent="0.25">
      <c r="A2" s="2" t="s">
        <v>1</v>
      </c>
      <c r="B2" s="2">
        <v>1</v>
      </c>
      <c r="C2"/>
    </row>
    <row r="3" spans="1:3" s="3" customFormat="1" ht="15" customHeight="1" x14ac:dyDescent="0.25">
      <c r="A3" s="2" t="s">
        <v>2</v>
      </c>
      <c r="B3" s="2">
        <v>10</v>
      </c>
      <c r="C3"/>
    </row>
    <row r="4" spans="1:3" x14ac:dyDescent="0.25">
      <c r="A4" s="2" t="s">
        <v>3</v>
      </c>
      <c r="B4" s="2">
        <v>4</v>
      </c>
    </row>
    <row r="5" spans="1:3" s="1" customFormat="1" x14ac:dyDescent="0.25">
      <c r="A5" s="2" t="s">
        <v>4</v>
      </c>
      <c r="B5" s="2">
        <v>9</v>
      </c>
      <c r="C5"/>
    </row>
    <row r="6" spans="1:3" x14ac:dyDescent="0.25">
      <c r="A6" s="2" t="s">
        <v>5</v>
      </c>
      <c r="B6" s="2">
        <v>3</v>
      </c>
    </row>
    <row r="7" spans="1:3" x14ac:dyDescent="0.25">
      <c r="A7" s="2" t="s">
        <v>6</v>
      </c>
      <c r="B7" s="2">
        <v>5</v>
      </c>
    </row>
    <row r="8" spans="1:3" x14ac:dyDescent="0.25">
      <c r="A8" s="2" t="s">
        <v>7</v>
      </c>
      <c r="B8" s="2">
        <v>2</v>
      </c>
    </row>
    <row r="9" spans="1:3" x14ac:dyDescent="0.25">
      <c r="A9" s="2" t="s">
        <v>8</v>
      </c>
      <c r="B9" s="2">
        <v>6</v>
      </c>
    </row>
    <row r="10" spans="1:3" x14ac:dyDescent="0.25">
      <c r="A10" s="2" t="s">
        <v>9</v>
      </c>
      <c r="B10" s="2">
        <v>9</v>
      </c>
    </row>
    <row r="11" spans="1:3" x14ac:dyDescent="0.25">
      <c r="A11" s="2" t="s">
        <v>10</v>
      </c>
      <c r="B11" s="2">
        <v>1</v>
      </c>
    </row>
    <row r="12" spans="1:3" x14ac:dyDescent="0.25">
      <c r="A12" s="2" t="s">
        <v>11</v>
      </c>
      <c r="B12" s="2">
        <v>5</v>
      </c>
    </row>
    <row r="13" spans="1:3" x14ac:dyDescent="0.25">
      <c r="A13" s="2" t="s">
        <v>12</v>
      </c>
      <c r="B13" s="2">
        <v>3</v>
      </c>
    </row>
    <row r="14" spans="1:3" x14ac:dyDescent="0.25">
      <c r="A14" s="2" t="s">
        <v>13</v>
      </c>
      <c r="B14" s="2">
        <v>6</v>
      </c>
    </row>
    <row r="15" spans="1:3" x14ac:dyDescent="0.25">
      <c r="A15" s="2" t="s">
        <v>14</v>
      </c>
      <c r="B15" s="2">
        <v>10</v>
      </c>
    </row>
    <row r="16" spans="1:3" x14ac:dyDescent="0.25">
      <c r="A16" s="2" t="s">
        <v>15</v>
      </c>
      <c r="B16" s="2">
        <v>6</v>
      </c>
    </row>
    <row r="17" spans="1:3" x14ac:dyDescent="0.25">
      <c r="A17" s="2" t="s">
        <v>16</v>
      </c>
      <c r="B17" s="2">
        <v>9</v>
      </c>
    </row>
    <row r="18" spans="1:3" x14ac:dyDescent="0.25">
      <c r="A18" s="2" t="s">
        <v>17</v>
      </c>
      <c r="B18" s="2">
        <v>9</v>
      </c>
    </row>
    <row r="19" spans="1:3" x14ac:dyDescent="0.25">
      <c r="A19" s="2" t="s">
        <v>18</v>
      </c>
      <c r="B19" s="2">
        <v>4</v>
      </c>
    </row>
    <row r="20" spans="1:3" x14ac:dyDescent="0.25">
      <c r="A20" s="2" t="s">
        <v>23</v>
      </c>
      <c r="B20" s="2">
        <v>7</v>
      </c>
    </row>
    <row r="21" spans="1:3" x14ac:dyDescent="0.25">
      <c r="A21" s="2" t="s">
        <v>24</v>
      </c>
      <c r="B21" s="2">
        <v>6</v>
      </c>
    </row>
    <row r="22" spans="1:3" x14ac:dyDescent="0.25">
      <c r="A22" s="2" t="s">
        <v>22</v>
      </c>
      <c r="B22" s="2">
        <v>4</v>
      </c>
    </row>
    <row r="23" spans="1:3" ht="15.75" thickBot="1" x14ac:dyDescent="0.3"/>
    <row r="24" spans="1:3" x14ac:dyDescent="0.25">
      <c r="B24" s="54" t="s">
        <v>20</v>
      </c>
      <c r="C24" s="54"/>
    </row>
    <row r="25" spans="1:3" x14ac:dyDescent="0.25">
      <c r="B25" s="52"/>
      <c r="C25" s="52"/>
    </row>
    <row r="26" spans="1:3" x14ac:dyDescent="0.25">
      <c r="B26" s="52" t="s">
        <v>41</v>
      </c>
      <c r="C26" s="52">
        <v>5.666666666666667</v>
      </c>
    </row>
    <row r="27" spans="1:3" x14ac:dyDescent="0.25">
      <c r="B27" s="52" t="s">
        <v>42</v>
      </c>
      <c r="C27" s="52">
        <v>0.62614973613624725</v>
      </c>
    </row>
    <row r="28" spans="1:3" x14ac:dyDescent="0.25">
      <c r="B28" s="52" t="s">
        <v>43</v>
      </c>
      <c r="C28" s="52">
        <v>6</v>
      </c>
    </row>
    <row r="29" spans="1:3" x14ac:dyDescent="0.25">
      <c r="B29" s="52" t="s">
        <v>44</v>
      </c>
      <c r="C29" s="52">
        <v>9</v>
      </c>
    </row>
    <row r="30" spans="1:3" x14ac:dyDescent="0.25">
      <c r="B30" s="52" t="s">
        <v>45</v>
      </c>
      <c r="C30" s="52">
        <v>2.8693785622209789</v>
      </c>
    </row>
    <row r="31" spans="1:3" x14ac:dyDescent="0.25">
      <c r="B31" s="52" t="s">
        <v>46</v>
      </c>
      <c r="C31" s="52">
        <v>8.2333333333333307</v>
      </c>
    </row>
    <row r="32" spans="1:3" x14ac:dyDescent="0.25">
      <c r="B32" s="52" t="s">
        <v>47</v>
      </c>
      <c r="C32" s="52">
        <v>-1.0613878366522296</v>
      </c>
    </row>
    <row r="33" spans="1:3" x14ac:dyDescent="0.25">
      <c r="B33" s="52" t="s">
        <v>48</v>
      </c>
      <c r="C33" s="52">
        <v>1.9753462540490641E-2</v>
      </c>
    </row>
    <row r="34" spans="1:3" x14ac:dyDescent="0.25">
      <c r="B34" s="52" t="s">
        <v>49</v>
      </c>
      <c r="C34" s="52">
        <v>9</v>
      </c>
    </row>
    <row r="35" spans="1:3" x14ac:dyDescent="0.25">
      <c r="B35" s="52" t="s">
        <v>50</v>
      </c>
      <c r="C35" s="52">
        <v>1</v>
      </c>
    </row>
    <row r="36" spans="1:3" x14ac:dyDescent="0.25">
      <c r="B36" s="52" t="s">
        <v>51</v>
      </c>
      <c r="C36" s="52">
        <v>10</v>
      </c>
    </row>
    <row r="37" spans="1:3" x14ac:dyDescent="0.25">
      <c r="B37" s="52" t="s">
        <v>52</v>
      </c>
      <c r="C37" s="52">
        <v>119</v>
      </c>
    </row>
    <row r="38" spans="1:3" x14ac:dyDescent="0.25">
      <c r="B38" s="52" t="s">
        <v>53</v>
      </c>
      <c r="C38" s="52">
        <v>21</v>
      </c>
    </row>
    <row r="39" spans="1:3" ht="15.75" thickBot="1" x14ac:dyDescent="0.3">
      <c r="B39" s="53" t="s">
        <v>57</v>
      </c>
      <c r="C39" s="53">
        <v>1.3061254620953779</v>
      </c>
    </row>
    <row r="41" spans="1:3" x14ac:dyDescent="0.25">
      <c r="A41" t="s">
        <v>58</v>
      </c>
      <c r="B41">
        <f>_xlfn.NORM.DIST(5.5,5.6667,2.8694,TRUE)</f>
        <v>0.47683617221600944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2"/>
  <sheetViews>
    <sheetView workbookViewId="0">
      <selection activeCell="B2" sqref="B2:B20"/>
    </sheetView>
  </sheetViews>
  <sheetFormatPr defaultRowHeight="15" x14ac:dyDescent="0.25"/>
  <cols>
    <col min="1" max="1" width="25" bestFit="1" customWidth="1"/>
    <col min="2" max="2" width="14.42578125" bestFit="1" customWidth="1"/>
    <col min="5" max="5" width="14.7109375" bestFit="1" customWidth="1"/>
  </cols>
  <sheetData>
    <row r="1" spans="1:5" x14ac:dyDescent="0.25">
      <c r="A1" s="6" t="s">
        <v>0</v>
      </c>
      <c r="B1" s="6" t="s">
        <v>54</v>
      </c>
      <c r="C1" s="6" t="s">
        <v>21</v>
      </c>
    </row>
    <row r="2" spans="1:5" x14ac:dyDescent="0.25">
      <c r="A2" s="2" t="s">
        <v>1</v>
      </c>
      <c r="B2" s="4">
        <v>3.8230904280312048</v>
      </c>
      <c r="C2" s="4"/>
      <c r="E2" s="40"/>
    </row>
    <row r="3" spans="1:5" x14ac:dyDescent="0.25">
      <c r="A3" s="2" t="s">
        <v>2</v>
      </c>
      <c r="B3" s="4">
        <v>6.6550267722188519</v>
      </c>
      <c r="C3" s="4"/>
    </row>
    <row r="4" spans="1:5" x14ac:dyDescent="0.25">
      <c r="A4" s="2" t="s">
        <v>3</v>
      </c>
      <c r="B4" s="4">
        <v>0.48424361867721366</v>
      </c>
      <c r="C4" s="4"/>
    </row>
    <row r="5" spans="1:5" x14ac:dyDescent="0.25">
      <c r="A5" s="2" t="s">
        <v>4</v>
      </c>
      <c r="B5" s="4">
        <v>5.9522268798973492</v>
      </c>
      <c r="C5" s="4"/>
    </row>
    <row r="6" spans="1:5" x14ac:dyDescent="0.25">
      <c r="A6" s="2" t="s">
        <v>5</v>
      </c>
      <c r="B6" s="4">
        <v>0.84946800323635441</v>
      </c>
      <c r="C6" s="4"/>
    </row>
    <row r="7" spans="1:5" x14ac:dyDescent="0.25">
      <c r="A7" s="2" t="s">
        <v>6</v>
      </c>
      <c r="B7" s="4">
        <v>0.67040306489859924</v>
      </c>
      <c r="C7" s="4"/>
    </row>
    <row r="8" spans="1:5" x14ac:dyDescent="0.25">
      <c r="A8" s="2" t="s">
        <v>7</v>
      </c>
      <c r="B8" s="4">
        <v>1.6616493501729579</v>
      </c>
      <c r="C8" s="4"/>
    </row>
    <row r="9" spans="1:5" x14ac:dyDescent="0.25">
      <c r="A9" s="2" t="s">
        <v>8</v>
      </c>
      <c r="B9" s="4">
        <v>8.6779119920168561</v>
      </c>
      <c r="C9" s="5"/>
    </row>
    <row r="10" spans="1:5" x14ac:dyDescent="0.25">
      <c r="A10" s="2" t="s">
        <v>9</v>
      </c>
      <c r="B10" s="4">
        <v>3.4802079166320388</v>
      </c>
      <c r="C10" s="4"/>
    </row>
    <row r="11" spans="1:5" x14ac:dyDescent="0.25">
      <c r="A11" s="2" t="s">
        <v>10</v>
      </c>
      <c r="B11" s="4">
        <v>0.21752364303714078</v>
      </c>
      <c r="C11" s="4"/>
    </row>
    <row r="12" spans="1:5" x14ac:dyDescent="0.25">
      <c r="A12" s="2" t="s">
        <v>11</v>
      </c>
      <c r="B12" s="4">
        <v>4.0044342769218861</v>
      </c>
      <c r="C12" s="4"/>
    </row>
    <row r="13" spans="1:5" x14ac:dyDescent="0.25">
      <c r="A13" s="2" t="s">
        <v>12</v>
      </c>
      <c r="B13" s="4">
        <v>9.6296812436012882</v>
      </c>
      <c r="C13" s="4"/>
    </row>
    <row r="14" spans="1:5" x14ac:dyDescent="0.25">
      <c r="A14" s="2" t="s">
        <v>13</v>
      </c>
      <c r="B14" s="4">
        <v>8.4570922070593486</v>
      </c>
      <c r="C14" s="4"/>
    </row>
    <row r="15" spans="1:5" x14ac:dyDescent="0.25">
      <c r="A15" s="2" t="s">
        <v>14</v>
      </c>
      <c r="B15" s="4">
        <v>2.9429578616983445</v>
      </c>
      <c r="C15" s="4"/>
    </row>
    <row r="16" spans="1:5" x14ac:dyDescent="0.25">
      <c r="A16" s="2" t="s">
        <v>15</v>
      </c>
      <c r="B16" s="4">
        <v>5.7495861332489087</v>
      </c>
      <c r="C16" s="4"/>
    </row>
    <row r="17" spans="1:3" x14ac:dyDescent="0.25">
      <c r="A17" s="2" t="s">
        <v>16</v>
      </c>
      <c r="B17" s="4">
        <v>2.6590550356292555</v>
      </c>
      <c r="C17" s="4"/>
    </row>
    <row r="18" spans="1:3" x14ac:dyDescent="0.25">
      <c r="A18" s="2" t="s">
        <v>17</v>
      </c>
      <c r="B18" s="4">
        <v>0.2380359986364422</v>
      </c>
      <c r="C18" s="4"/>
    </row>
    <row r="19" spans="1:3" x14ac:dyDescent="0.25">
      <c r="A19" s="2" t="s">
        <v>18</v>
      </c>
      <c r="B19" s="4">
        <v>8.4470842209123305</v>
      </c>
      <c r="C19" s="4"/>
    </row>
    <row r="22" spans="1:3" x14ac:dyDescent="0.25">
      <c r="A22" s="43" t="s">
        <v>56</v>
      </c>
      <c r="B22" t="s">
        <v>55</v>
      </c>
    </row>
  </sheetData>
  <sortState ref="A2:C19">
    <sortCondition descending="1" ref="A2:A10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7"/>
  <sheetViews>
    <sheetView topLeftCell="A10" workbookViewId="0">
      <selection sqref="A1:D1"/>
    </sheetView>
  </sheetViews>
  <sheetFormatPr defaultRowHeight="15" x14ac:dyDescent="0.25"/>
  <cols>
    <col min="6" max="6" width="16.5703125" bestFit="1" customWidth="1"/>
    <col min="10" max="10" width="10" customWidth="1"/>
    <col min="11" max="11" width="18.140625" bestFit="1" customWidth="1"/>
    <col min="12" max="12" width="12.7109375" bestFit="1" customWidth="1"/>
    <col min="13" max="13" width="18.140625" bestFit="1" customWidth="1"/>
    <col min="15" max="15" width="18.140625" bestFit="1" customWidth="1"/>
    <col min="17" max="17" width="18.140625" bestFit="1" customWidth="1"/>
  </cols>
  <sheetData>
    <row r="1" spans="1:18" x14ac:dyDescent="0.25">
      <c r="A1" s="44" t="s">
        <v>25</v>
      </c>
      <c r="B1" s="44"/>
      <c r="C1" s="44"/>
      <c r="D1" s="44"/>
    </row>
    <row r="2" spans="1:18" ht="17.25" x14ac:dyDescent="0.25">
      <c r="A2" s="8" t="s">
        <v>26</v>
      </c>
      <c r="B2" s="9" t="s">
        <v>27</v>
      </c>
      <c r="C2" s="9" t="s">
        <v>28</v>
      </c>
      <c r="D2" s="9" t="s">
        <v>29</v>
      </c>
      <c r="K2" s="45" t="str">
        <f>A2</f>
        <v>jtc</v>
      </c>
      <c r="L2" s="45"/>
      <c r="M2" s="46" t="str">
        <f>B2</f>
        <v>A</v>
      </c>
      <c r="N2" s="46"/>
      <c r="O2" s="46" t="s">
        <v>28</v>
      </c>
      <c r="P2" s="46"/>
      <c r="Q2" s="46" t="s">
        <v>29</v>
      </c>
      <c r="R2" s="46"/>
    </row>
    <row r="3" spans="1:18" x14ac:dyDescent="0.25">
      <c r="A3" s="10">
        <v>0</v>
      </c>
      <c r="B3" s="11">
        <v>0</v>
      </c>
      <c r="C3" s="11">
        <v>1</v>
      </c>
      <c r="D3" s="11">
        <v>3.14</v>
      </c>
      <c r="K3" s="37"/>
      <c r="L3" s="37"/>
      <c r="M3" s="37"/>
      <c r="N3" s="37"/>
      <c r="O3" s="37"/>
      <c r="P3" s="37"/>
      <c r="Q3" s="37"/>
      <c r="R3" s="37"/>
    </row>
    <row r="4" spans="1:18" x14ac:dyDescent="0.25">
      <c r="A4" s="12">
        <v>2</v>
      </c>
      <c r="B4" s="13">
        <v>0.03</v>
      </c>
      <c r="C4" s="13">
        <v>1.1200000000000001</v>
      </c>
      <c r="D4" s="13">
        <v>3.32</v>
      </c>
      <c r="K4" s="38" t="s">
        <v>41</v>
      </c>
      <c r="L4" s="39">
        <v>22.958333333333332</v>
      </c>
      <c r="M4" s="38" t="s">
        <v>41</v>
      </c>
      <c r="N4" s="39">
        <v>1.0750000000000002</v>
      </c>
      <c r="O4" s="38" t="s">
        <v>41</v>
      </c>
      <c r="P4" s="39">
        <v>5.3050000000000006</v>
      </c>
      <c r="Q4" s="38" t="s">
        <v>41</v>
      </c>
      <c r="R4" s="39">
        <v>7.2183333333333337</v>
      </c>
    </row>
    <row r="5" spans="1:18" x14ac:dyDescent="0.25">
      <c r="A5" s="12">
        <v>4</v>
      </c>
      <c r="B5" s="13">
        <v>0.06</v>
      </c>
      <c r="C5" s="13">
        <v>1.25</v>
      </c>
      <c r="D5" s="13">
        <v>3.51</v>
      </c>
      <c r="K5" s="38" t="s">
        <v>42</v>
      </c>
      <c r="L5" s="39">
        <v>2.8725835255238641</v>
      </c>
      <c r="M5" s="38" t="s">
        <v>42</v>
      </c>
      <c r="N5" s="39">
        <v>0.22477605602536677</v>
      </c>
      <c r="O5" s="38" t="s">
        <v>42</v>
      </c>
      <c r="P5" s="39">
        <v>0.89942956962990572</v>
      </c>
      <c r="Q5" s="38" t="s">
        <v>42</v>
      </c>
      <c r="R5" s="39">
        <v>0.71697928806689226</v>
      </c>
    </row>
    <row r="6" spans="1:18" x14ac:dyDescent="0.25">
      <c r="A6" s="12">
        <v>6</v>
      </c>
      <c r="B6" s="13">
        <v>0.1</v>
      </c>
      <c r="C6" s="13">
        <v>1.39</v>
      </c>
      <c r="D6" s="13">
        <v>3.71</v>
      </c>
      <c r="F6" s="16" t="s">
        <v>30</v>
      </c>
      <c r="G6" s="17"/>
      <c r="H6" s="18">
        <v>13</v>
      </c>
      <c r="K6" s="38" t="s">
        <v>43</v>
      </c>
      <c r="L6" s="39">
        <v>23</v>
      </c>
      <c r="M6" s="38" t="s">
        <v>43</v>
      </c>
      <c r="N6" s="39">
        <v>0.66500000000000004</v>
      </c>
      <c r="O6" s="38" t="s">
        <v>43</v>
      </c>
      <c r="P6" s="39">
        <v>3.6550000000000002</v>
      </c>
      <c r="Q6" s="38" t="s">
        <v>43</v>
      </c>
      <c r="R6" s="39">
        <v>6.2450000000000001</v>
      </c>
    </row>
    <row r="7" spans="1:18" x14ac:dyDescent="0.25">
      <c r="A7" s="12">
        <v>8</v>
      </c>
      <c r="B7" s="13">
        <v>0.14000000000000001</v>
      </c>
      <c r="C7" s="13">
        <v>1.55</v>
      </c>
      <c r="D7" s="13">
        <v>3.93</v>
      </c>
      <c r="F7" s="16"/>
      <c r="G7" s="17"/>
      <c r="H7" s="19"/>
      <c r="K7" s="38" t="s">
        <v>44</v>
      </c>
      <c r="L7" s="39" t="e">
        <v>#N/A</v>
      </c>
      <c r="M7" s="38" t="s">
        <v>44</v>
      </c>
      <c r="N7" s="39" t="e">
        <v>#N/A</v>
      </c>
      <c r="O7" s="38" t="s">
        <v>44</v>
      </c>
      <c r="P7" s="39" t="e">
        <v>#N/A</v>
      </c>
      <c r="Q7" s="38" t="s">
        <v>44</v>
      </c>
      <c r="R7" s="39" t="e">
        <v>#N/A</v>
      </c>
    </row>
    <row r="8" spans="1:18" x14ac:dyDescent="0.25">
      <c r="A8" s="12">
        <v>10</v>
      </c>
      <c r="B8" s="13">
        <v>0.18</v>
      </c>
      <c r="C8" s="13">
        <v>1.73</v>
      </c>
      <c r="D8" s="13">
        <v>4.17</v>
      </c>
      <c r="F8" s="16" t="s">
        <v>31</v>
      </c>
      <c r="G8" s="17"/>
      <c r="H8" s="20">
        <f>[1]!One_Way_Interpolate(H6,A3:A26,B3:B26)</f>
        <v>0.25999999046325684</v>
      </c>
      <c r="K8" s="38" t="s">
        <v>45</v>
      </c>
      <c r="L8" s="39">
        <v>14.072727762117289</v>
      </c>
      <c r="M8" s="38" t="s">
        <v>45</v>
      </c>
      <c r="N8" s="39">
        <v>1.1011732873147857</v>
      </c>
      <c r="O8" s="38" t="s">
        <v>45</v>
      </c>
      <c r="P8" s="39">
        <v>4.4062870103286844</v>
      </c>
      <c r="Q8" s="38" t="s">
        <v>45</v>
      </c>
      <c r="R8" s="39">
        <v>3.512466823815676</v>
      </c>
    </row>
    <row r="9" spans="1:18" x14ac:dyDescent="0.25">
      <c r="A9" s="12">
        <v>12</v>
      </c>
      <c r="B9" s="13">
        <v>0.23</v>
      </c>
      <c r="C9" s="13">
        <v>1.94</v>
      </c>
      <c r="D9" s="13">
        <v>4.42</v>
      </c>
      <c r="F9" s="16"/>
      <c r="G9" s="17"/>
      <c r="H9" s="19"/>
      <c r="K9" s="38" t="s">
        <v>46</v>
      </c>
      <c r="L9" s="39">
        <v>198.04166666666669</v>
      </c>
      <c r="M9" s="38" t="s">
        <v>46</v>
      </c>
      <c r="N9" s="39">
        <v>1.2125826086956517</v>
      </c>
      <c r="O9" s="38" t="s">
        <v>46</v>
      </c>
      <c r="P9" s="39">
        <v>19.415365217391294</v>
      </c>
      <c r="Q9" s="38" t="s">
        <v>46</v>
      </c>
      <c r="R9" s="39">
        <v>12.337423188405785</v>
      </c>
    </row>
    <row r="10" spans="1:18" x14ac:dyDescent="0.25">
      <c r="A10" s="12">
        <v>14</v>
      </c>
      <c r="B10" s="13">
        <v>0.28999999999999998</v>
      </c>
      <c r="C10" s="13">
        <v>2.17</v>
      </c>
      <c r="D10" s="13">
        <v>4.6900000000000004</v>
      </c>
      <c r="F10" s="16" t="s">
        <v>32</v>
      </c>
      <c r="G10" s="17"/>
      <c r="H10" s="20">
        <f>[1]!One_Way_Interpolate(H6,A3:A26,C3:C26)</f>
        <v>2.0550000667572021</v>
      </c>
      <c r="K10" s="38" t="s">
        <v>47</v>
      </c>
      <c r="L10" s="39">
        <v>-1.2215029439366787</v>
      </c>
      <c r="M10" s="38" t="s">
        <v>47</v>
      </c>
      <c r="N10" s="39">
        <v>0.22624497085508732</v>
      </c>
      <c r="O10" s="38" t="s">
        <v>47</v>
      </c>
      <c r="P10" s="39">
        <v>0.21913904950454599</v>
      </c>
      <c r="Q10" s="38" t="s">
        <v>47</v>
      </c>
      <c r="R10" s="39">
        <v>-0.502540989496159</v>
      </c>
    </row>
    <row r="11" spans="1:18" x14ac:dyDescent="0.25">
      <c r="A11" s="12">
        <v>16</v>
      </c>
      <c r="B11" s="13">
        <v>0.36</v>
      </c>
      <c r="C11" s="13">
        <v>2.4300000000000002</v>
      </c>
      <c r="D11" s="13">
        <v>5</v>
      </c>
      <c r="F11" s="16"/>
      <c r="G11" s="17"/>
      <c r="H11" s="19"/>
      <c r="K11" s="38" t="s">
        <v>48</v>
      </c>
      <c r="L11" s="39">
        <v>-1.6161422850142174E-2</v>
      </c>
      <c r="M11" s="38" t="s">
        <v>48</v>
      </c>
      <c r="N11" s="39">
        <v>1.1183256513563362</v>
      </c>
      <c r="O11" s="38" t="s">
        <v>48</v>
      </c>
      <c r="P11" s="39">
        <v>1.1161699765070794</v>
      </c>
      <c r="Q11" s="38" t="s">
        <v>48</v>
      </c>
      <c r="R11" s="39">
        <v>0.7758290723996436</v>
      </c>
    </row>
    <row r="12" spans="1:18" x14ac:dyDescent="0.25">
      <c r="A12" s="12">
        <v>18</v>
      </c>
      <c r="B12" s="13">
        <v>0.43</v>
      </c>
      <c r="C12" s="13">
        <v>2.72</v>
      </c>
      <c r="D12" s="13">
        <v>5.31</v>
      </c>
      <c r="F12" s="16" t="s">
        <v>33</v>
      </c>
      <c r="G12" s="17"/>
      <c r="H12" s="20">
        <f>[1]!One_Way_Interpolate(H6,A3:A26,D3:D26)</f>
        <v>4.554999828338623</v>
      </c>
      <c r="K12" s="38" t="s">
        <v>49</v>
      </c>
      <c r="L12" s="39">
        <v>45</v>
      </c>
      <c r="M12" s="38" t="s">
        <v>49</v>
      </c>
      <c r="N12" s="39">
        <v>3.66</v>
      </c>
      <c r="O12" s="38" t="s">
        <v>49</v>
      </c>
      <c r="P12" s="39">
        <v>14.64</v>
      </c>
      <c r="Q12" s="38" t="s">
        <v>49</v>
      </c>
      <c r="R12" s="39">
        <v>11.5</v>
      </c>
    </row>
    <row r="13" spans="1:18" x14ac:dyDescent="0.25">
      <c r="A13" s="12">
        <v>20</v>
      </c>
      <c r="B13" s="13">
        <v>0.51</v>
      </c>
      <c r="C13" s="13">
        <v>3.06</v>
      </c>
      <c r="D13" s="13">
        <v>5.66</v>
      </c>
      <c r="K13" s="38" t="s">
        <v>50</v>
      </c>
      <c r="L13" s="39">
        <v>0</v>
      </c>
      <c r="M13" s="38" t="s">
        <v>50</v>
      </c>
      <c r="N13" s="39">
        <v>0</v>
      </c>
      <c r="O13" s="38" t="s">
        <v>50</v>
      </c>
      <c r="P13" s="39">
        <v>1</v>
      </c>
      <c r="Q13" s="38" t="s">
        <v>50</v>
      </c>
      <c r="R13" s="39">
        <v>3.14</v>
      </c>
    </row>
    <row r="14" spans="1:18" x14ac:dyDescent="0.25">
      <c r="A14" s="12">
        <v>22</v>
      </c>
      <c r="B14" s="13">
        <v>0.61</v>
      </c>
      <c r="C14" s="13">
        <v>3.44</v>
      </c>
      <c r="D14" s="13">
        <v>6.04</v>
      </c>
      <c r="K14" s="38" t="s">
        <v>51</v>
      </c>
      <c r="L14" s="39">
        <v>45</v>
      </c>
      <c r="M14" s="38" t="s">
        <v>51</v>
      </c>
      <c r="N14" s="39">
        <v>3.66</v>
      </c>
      <c r="O14" s="38" t="s">
        <v>51</v>
      </c>
      <c r="P14" s="39">
        <v>15.64</v>
      </c>
      <c r="Q14" s="38" t="s">
        <v>51</v>
      </c>
      <c r="R14" s="39">
        <v>14.64</v>
      </c>
    </row>
    <row r="15" spans="1:18" x14ac:dyDescent="0.25">
      <c r="A15" s="12">
        <v>24</v>
      </c>
      <c r="B15" s="13">
        <v>0.72</v>
      </c>
      <c r="C15" s="13">
        <v>3.87</v>
      </c>
      <c r="D15" s="13">
        <v>6.45</v>
      </c>
      <c r="K15" s="38" t="s">
        <v>52</v>
      </c>
      <c r="L15" s="39">
        <v>551</v>
      </c>
      <c r="M15" s="38" t="s">
        <v>52</v>
      </c>
      <c r="N15" s="39">
        <v>25.800000000000004</v>
      </c>
      <c r="O15" s="38" t="s">
        <v>52</v>
      </c>
      <c r="P15" s="39">
        <v>127.32000000000001</v>
      </c>
      <c r="Q15" s="38" t="s">
        <v>52</v>
      </c>
      <c r="R15" s="39">
        <v>173.24</v>
      </c>
    </row>
    <row r="16" spans="1:18" x14ac:dyDescent="0.25">
      <c r="A16" s="12">
        <v>26</v>
      </c>
      <c r="B16" s="13">
        <v>0.84</v>
      </c>
      <c r="C16" s="13">
        <v>4.37</v>
      </c>
      <c r="D16" s="13">
        <v>6.9</v>
      </c>
      <c r="K16" s="38" t="s">
        <v>53</v>
      </c>
      <c r="L16" s="39">
        <v>24</v>
      </c>
      <c r="M16" s="38" t="s">
        <v>53</v>
      </c>
      <c r="N16" s="39">
        <v>24</v>
      </c>
      <c r="O16" s="38" t="s">
        <v>53</v>
      </c>
      <c r="P16" s="39">
        <v>24</v>
      </c>
      <c r="Q16" s="38" t="s">
        <v>53</v>
      </c>
      <c r="R16" s="39">
        <v>24</v>
      </c>
    </row>
    <row r="17" spans="1:10" x14ac:dyDescent="0.25">
      <c r="A17" s="12">
        <v>28</v>
      </c>
      <c r="B17" s="13">
        <v>0.98</v>
      </c>
      <c r="C17" s="13">
        <v>4.93</v>
      </c>
      <c r="D17" s="13">
        <v>7.4</v>
      </c>
    </row>
    <row r="18" spans="1:10" x14ac:dyDescent="0.25">
      <c r="A18" s="12">
        <v>30</v>
      </c>
      <c r="B18" s="13">
        <v>1.1499999999999999</v>
      </c>
      <c r="C18" s="13">
        <v>5.59</v>
      </c>
      <c r="D18" s="13">
        <v>7.95</v>
      </c>
    </row>
    <row r="19" spans="1:10" x14ac:dyDescent="0.25">
      <c r="A19" s="12">
        <v>32</v>
      </c>
      <c r="B19" s="13">
        <v>1.34</v>
      </c>
      <c r="C19" s="13">
        <v>6.35</v>
      </c>
      <c r="D19" s="13">
        <v>8.5500000000000007</v>
      </c>
    </row>
    <row r="20" spans="1:10" x14ac:dyDescent="0.25">
      <c r="A20" s="12">
        <v>34</v>
      </c>
      <c r="B20" s="13">
        <v>1.55</v>
      </c>
      <c r="C20" s="13">
        <v>7.26</v>
      </c>
      <c r="D20" s="13">
        <v>9.2100000000000009</v>
      </c>
      <c r="I20" s="42"/>
    </row>
    <row r="21" spans="1:10" x14ac:dyDescent="0.25">
      <c r="A21" s="12">
        <v>36</v>
      </c>
      <c r="B21" s="13">
        <v>1.81</v>
      </c>
      <c r="C21" s="13">
        <v>8.25</v>
      </c>
      <c r="D21" s="13">
        <v>9.98</v>
      </c>
      <c r="J21" s="41"/>
    </row>
    <row r="22" spans="1:10" x14ac:dyDescent="0.25">
      <c r="A22" s="12">
        <v>38</v>
      </c>
      <c r="B22" s="13">
        <v>2.11</v>
      </c>
      <c r="C22" s="13">
        <v>9.44</v>
      </c>
      <c r="D22" s="13">
        <v>10.8</v>
      </c>
    </row>
    <row r="23" spans="1:10" x14ac:dyDescent="0.25">
      <c r="A23" s="12">
        <v>40</v>
      </c>
      <c r="B23" s="13">
        <v>2.46</v>
      </c>
      <c r="C23" s="13">
        <v>10.84</v>
      </c>
      <c r="D23" s="13">
        <v>11.73</v>
      </c>
    </row>
    <row r="24" spans="1:10" x14ac:dyDescent="0.25">
      <c r="A24" s="12">
        <v>42</v>
      </c>
      <c r="B24" s="13">
        <v>2.87</v>
      </c>
      <c r="C24" s="13">
        <v>12.5</v>
      </c>
      <c r="D24" s="13">
        <v>12.77</v>
      </c>
    </row>
    <row r="25" spans="1:10" x14ac:dyDescent="0.25">
      <c r="A25" s="12">
        <v>44</v>
      </c>
      <c r="B25" s="13">
        <v>3.37</v>
      </c>
      <c r="C25" s="13">
        <v>14.48</v>
      </c>
      <c r="D25" s="13">
        <v>13.96</v>
      </c>
    </row>
    <row r="26" spans="1:10" x14ac:dyDescent="0.25">
      <c r="A26" s="14">
        <v>45</v>
      </c>
      <c r="B26" s="15">
        <v>3.66</v>
      </c>
      <c r="C26" s="15">
        <v>15.64</v>
      </c>
      <c r="D26" s="15">
        <v>14.64</v>
      </c>
    </row>
    <row r="27" spans="1:10" x14ac:dyDescent="0.25">
      <c r="B27" s="22"/>
    </row>
  </sheetData>
  <mergeCells count="5">
    <mergeCell ref="A1:D1"/>
    <mergeCell ref="K2:L2"/>
    <mergeCell ref="M2:N2"/>
    <mergeCell ref="O2:P2"/>
    <mergeCell ref="Q2:R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5"/>
  <sheetViews>
    <sheetView workbookViewId="0">
      <selection activeCell="J21" sqref="J21"/>
    </sheetView>
  </sheetViews>
  <sheetFormatPr defaultRowHeight="15" x14ac:dyDescent="0.25"/>
  <sheetData>
    <row r="1" spans="1:14" ht="25.5" x14ac:dyDescent="0.25">
      <c r="A1" s="47" t="s">
        <v>34</v>
      </c>
      <c r="B1" s="23" t="s">
        <v>35</v>
      </c>
      <c r="C1" s="49" t="s">
        <v>36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23" t="s">
        <v>37</v>
      </c>
    </row>
    <row r="2" spans="1:14" x14ac:dyDescent="0.25">
      <c r="A2" s="48"/>
      <c r="B2" s="24">
        <v>0</v>
      </c>
      <c r="C2" s="24">
        <v>1</v>
      </c>
      <c r="D2" s="24">
        <v>1.2</v>
      </c>
      <c r="E2" s="24">
        <v>1.4</v>
      </c>
      <c r="F2" s="24">
        <v>1.6</v>
      </c>
      <c r="G2" s="24">
        <v>1.8</v>
      </c>
      <c r="H2" s="24">
        <v>2</v>
      </c>
      <c r="I2" s="24">
        <v>3</v>
      </c>
      <c r="J2" s="24">
        <v>4</v>
      </c>
      <c r="K2" s="24">
        <v>6</v>
      </c>
      <c r="L2" s="24">
        <v>8</v>
      </c>
      <c r="M2" s="24">
        <v>10</v>
      </c>
      <c r="N2" s="24">
        <v>100</v>
      </c>
    </row>
    <row r="3" spans="1:14" x14ac:dyDescent="0.25">
      <c r="A3" s="25">
        <v>0</v>
      </c>
      <c r="B3" s="26">
        <v>1</v>
      </c>
      <c r="C3" s="26">
        <v>1</v>
      </c>
      <c r="D3" s="26">
        <v>1</v>
      </c>
      <c r="E3" s="26">
        <v>1</v>
      </c>
      <c r="F3" s="26">
        <v>1</v>
      </c>
      <c r="G3" s="26">
        <v>1</v>
      </c>
      <c r="H3" s="26">
        <v>1</v>
      </c>
      <c r="I3" s="26">
        <v>1</v>
      </c>
      <c r="J3" s="26">
        <v>1</v>
      </c>
      <c r="K3" s="26">
        <v>1</v>
      </c>
      <c r="L3" s="26">
        <v>1</v>
      </c>
      <c r="M3" s="26">
        <v>1</v>
      </c>
      <c r="N3" s="26">
        <v>1</v>
      </c>
    </row>
    <row r="4" spans="1:14" x14ac:dyDescent="0.25">
      <c r="A4" s="27">
        <v>0.2</v>
      </c>
      <c r="B4" s="28">
        <v>0.94899999999999995</v>
      </c>
      <c r="C4" s="28">
        <v>0.96</v>
      </c>
      <c r="D4" s="28">
        <v>0.96799999999999997</v>
      </c>
      <c r="E4" s="28">
        <v>0.97199999999999998</v>
      </c>
      <c r="F4" s="28">
        <v>0.97399999999999998</v>
      </c>
      <c r="G4" s="28">
        <v>0.97499999999999998</v>
      </c>
      <c r="H4" s="28">
        <v>0.97599999999999998</v>
      </c>
      <c r="I4" s="28">
        <v>0.97699999999999998</v>
      </c>
      <c r="J4" s="28">
        <v>0.97699999999999998</v>
      </c>
      <c r="K4" s="28">
        <v>0.97699999999999998</v>
      </c>
      <c r="L4" s="28">
        <v>0.97699999999999998</v>
      </c>
      <c r="M4" s="28">
        <v>0.97699999999999998</v>
      </c>
      <c r="N4" s="28">
        <v>0.97699999999999998</v>
      </c>
    </row>
    <row r="5" spans="1:14" x14ac:dyDescent="0.25">
      <c r="A5" s="27">
        <v>0.4</v>
      </c>
      <c r="B5" s="28">
        <v>0.75600000000000001</v>
      </c>
      <c r="C5" s="28">
        <v>0.8</v>
      </c>
      <c r="D5" s="28">
        <v>0.83</v>
      </c>
      <c r="E5" s="28">
        <v>0.84799999999999998</v>
      </c>
      <c r="F5" s="28">
        <v>0.85899999999999999</v>
      </c>
      <c r="G5" s="28">
        <v>0.86599999999999999</v>
      </c>
      <c r="H5" s="28">
        <v>0.87</v>
      </c>
      <c r="I5" s="28">
        <v>0.878</v>
      </c>
      <c r="J5" s="28">
        <v>0.88</v>
      </c>
      <c r="K5" s="28">
        <v>0.88100000000000001</v>
      </c>
      <c r="L5" s="28">
        <v>0.88100000000000001</v>
      </c>
      <c r="M5" s="28">
        <v>0.88100000000000001</v>
      </c>
      <c r="N5" s="28">
        <v>0.88100000000000001</v>
      </c>
    </row>
    <row r="6" spans="1:14" x14ac:dyDescent="0.25">
      <c r="A6" s="27">
        <v>0.6</v>
      </c>
      <c r="B6" s="28">
        <v>0.54700000000000004</v>
      </c>
      <c r="C6" s="28">
        <v>0.60599999999999998</v>
      </c>
      <c r="D6" s="28">
        <v>0.65100000000000002</v>
      </c>
      <c r="E6" s="28">
        <v>0.68200000000000005</v>
      </c>
      <c r="F6" s="28">
        <v>0.70299999999999996</v>
      </c>
      <c r="G6" s="28">
        <v>0.71699999999999997</v>
      </c>
      <c r="H6" s="28">
        <v>0.72699999999999998</v>
      </c>
      <c r="I6" s="28">
        <v>0.748</v>
      </c>
      <c r="J6" s="28">
        <v>0.73499999999999999</v>
      </c>
      <c r="K6" s="28">
        <v>0.755</v>
      </c>
      <c r="L6" s="28">
        <v>0.755</v>
      </c>
      <c r="M6" s="28">
        <v>0.755</v>
      </c>
      <c r="N6" s="28">
        <v>0.755</v>
      </c>
    </row>
    <row r="7" spans="1:14" x14ac:dyDescent="0.25">
      <c r="A7" s="27">
        <v>0.8</v>
      </c>
      <c r="B7" s="28">
        <v>0.39</v>
      </c>
      <c r="C7" s="28">
        <v>0.44900000000000001</v>
      </c>
      <c r="D7" s="28">
        <v>0.496</v>
      </c>
      <c r="E7" s="28">
        <v>0.53200000000000003</v>
      </c>
      <c r="F7" s="28">
        <v>0.55800000000000005</v>
      </c>
      <c r="G7" s="28">
        <v>0.57799999999999996</v>
      </c>
      <c r="H7" s="28">
        <v>0.59299999999999997</v>
      </c>
      <c r="I7" s="28">
        <v>0.627</v>
      </c>
      <c r="J7" s="28">
        <v>0.63600000000000001</v>
      </c>
      <c r="K7" s="28">
        <v>0.64</v>
      </c>
      <c r="L7" s="28">
        <v>0.64100000000000001</v>
      </c>
      <c r="M7" s="28">
        <v>0.64200000000000002</v>
      </c>
      <c r="N7" s="28">
        <v>0.64200000000000002</v>
      </c>
    </row>
    <row r="8" spans="1:14" x14ac:dyDescent="0.25">
      <c r="A8" s="27">
        <v>1</v>
      </c>
      <c r="B8" s="28">
        <v>0.28499999999999998</v>
      </c>
      <c r="C8" s="28">
        <v>0.33400000000000002</v>
      </c>
      <c r="D8" s="28">
        <v>0.378</v>
      </c>
      <c r="E8" s="28">
        <v>0.41399999999999998</v>
      </c>
      <c r="F8" s="28">
        <v>0.441</v>
      </c>
      <c r="G8" s="28">
        <v>0.46300000000000002</v>
      </c>
      <c r="H8" s="28">
        <v>0.48199999999999998</v>
      </c>
      <c r="I8" s="28">
        <v>0.52600000000000002</v>
      </c>
      <c r="J8" s="28">
        <v>0.54</v>
      </c>
      <c r="K8" s="28">
        <v>0.54700000000000004</v>
      </c>
      <c r="L8" s="28">
        <v>0.54900000000000004</v>
      </c>
      <c r="M8" s="28">
        <v>0.55000000000000004</v>
      </c>
      <c r="N8" s="28">
        <v>0.55000000000000004</v>
      </c>
    </row>
    <row r="9" spans="1:14" x14ac:dyDescent="0.25">
      <c r="A9" s="27">
        <v>1.2</v>
      </c>
      <c r="B9" s="28">
        <v>0.214</v>
      </c>
      <c r="C9" s="28">
        <v>0.25700000000000001</v>
      </c>
      <c r="D9" s="28">
        <v>0.29399999999999998</v>
      </c>
      <c r="E9" s="28">
        <v>0.32500000000000001</v>
      </c>
      <c r="F9" s="28">
        <v>0.35199999999999998</v>
      </c>
      <c r="G9" s="28">
        <v>0.374</v>
      </c>
      <c r="H9" s="28">
        <v>0.39200000000000002</v>
      </c>
      <c r="I9" s="28">
        <v>0.443</v>
      </c>
      <c r="J9" s="28">
        <v>0.46200000000000002</v>
      </c>
      <c r="K9" s="28">
        <v>0.47399999999999998</v>
      </c>
      <c r="L9" s="28">
        <v>0.47599999999999998</v>
      </c>
      <c r="M9" s="28">
        <v>0.47699999999999998</v>
      </c>
      <c r="N9" s="28">
        <v>0.47699999999999998</v>
      </c>
    </row>
    <row r="10" spans="1:14" x14ac:dyDescent="0.25">
      <c r="A10" s="27">
        <v>1.4</v>
      </c>
      <c r="B10" s="28">
        <v>0.16500000000000001</v>
      </c>
      <c r="C10" s="28">
        <v>0.20100000000000001</v>
      </c>
      <c r="D10" s="28">
        <v>0.23200000000000001</v>
      </c>
      <c r="E10" s="28">
        <v>0.26</v>
      </c>
      <c r="F10" s="28">
        <v>0.28399999999999997</v>
      </c>
      <c r="G10" s="28">
        <v>0.30399999999999999</v>
      </c>
      <c r="H10" s="28">
        <v>0.32100000000000001</v>
      </c>
      <c r="I10" s="28">
        <v>0.376</v>
      </c>
      <c r="J10" s="28">
        <v>0.4</v>
      </c>
      <c r="K10" s="28">
        <v>0.41399999999999998</v>
      </c>
      <c r="L10" s="28">
        <v>0.41799999999999998</v>
      </c>
      <c r="M10" s="28">
        <v>0.42</v>
      </c>
      <c r="N10" s="28">
        <v>0.42</v>
      </c>
    </row>
    <row r="11" spans="1:14" x14ac:dyDescent="0.25">
      <c r="A11" s="27">
        <v>1.6</v>
      </c>
      <c r="B11" s="28">
        <v>0.13</v>
      </c>
      <c r="C11" s="28">
        <v>0.16</v>
      </c>
      <c r="D11" s="28">
        <v>0.187</v>
      </c>
      <c r="E11" s="28">
        <v>0.21</v>
      </c>
      <c r="F11" s="28">
        <v>0.23200000000000001</v>
      </c>
      <c r="G11" s="28">
        <v>0.251</v>
      </c>
      <c r="H11" s="28">
        <v>0.26700000000000002</v>
      </c>
      <c r="I11" s="28">
        <v>0.32200000000000001</v>
      </c>
      <c r="J11" s="28">
        <v>0.34799999999999998</v>
      </c>
      <c r="K11" s="28">
        <v>0.36499999999999999</v>
      </c>
      <c r="L11" s="28">
        <v>0.37</v>
      </c>
      <c r="M11" s="28">
        <v>0.374</v>
      </c>
      <c r="N11" s="28">
        <v>0.374</v>
      </c>
    </row>
    <row r="12" spans="1:14" x14ac:dyDescent="0.25">
      <c r="A12" s="27">
        <v>1.8</v>
      </c>
      <c r="B12" s="28">
        <v>0.106</v>
      </c>
      <c r="C12" s="28">
        <v>0.13</v>
      </c>
      <c r="D12" s="28">
        <v>0.153</v>
      </c>
      <c r="E12" s="28">
        <v>0.17299999999999999</v>
      </c>
      <c r="F12" s="28">
        <v>0.192</v>
      </c>
      <c r="G12" s="28">
        <v>0.20899999999999999</v>
      </c>
      <c r="H12" s="28">
        <v>0.224</v>
      </c>
      <c r="I12" s="28">
        <v>0.27800000000000002</v>
      </c>
      <c r="J12" s="28">
        <v>0.30499999999999999</v>
      </c>
      <c r="K12" s="28">
        <v>0.32600000000000001</v>
      </c>
      <c r="L12" s="28">
        <v>0.33200000000000002</v>
      </c>
      <c r="M12" s="28">
        <v>0.33700000000000002</v>
      </c>
      <c r="N12" s="28">
        <v>0.33700000000000002</v>
      </c>
    </row>
    <row r="13" spans="1:14" x14ac:dyDescent="0.25">
      <c r="A13" s="27">
        <v>2</v>
      </c>
      <c r="B13" s="28">
        <v>8.6999999999999994E-2</v>
      </c>
      <c r="C13" s="28">
        <v>0.108</v>
      </c>
      <c r="D13" s="28">
        <v>0.127</v>
      </c>
      <c r="E13" s="28">
        <v>0.14499999999999999</v>
      </c>
      <c r="F13" s="28">
        <v>0.161</v>
      </c>
      <c r="G13" s="28">
        <v>0.17599999999999999</v>
      </c>
      <c r="H13" s="28">
        <v>0.189</v>
      </c>
      <c r="I13" s="28">
        <v>0.23699999999999999</v>
      </c>
      <c r="J13" s="28">
        <v>0.27</v>
      </c>
      <c r="K13" s="28">
        <v>0.29299999999999998</v>
      </c>
      <c r="L13" s="28">
        <v>0.30099999999999999</v>
      </c>
      <c r="M13" s="28">
        <v>0.30399999999999999</v>
      </c>
      <c r="N13" s="28">
        <v>0.30599999999999999</v>
      </c>
    </row>
    <row r="14" spans="1:14" x14ac:dyDescent="0.25">
      <c r="A14" s="27">
        <v>3</v>
      </c>
      <c r="B14" s="28">
        <v>0.04</v>
      </c>
      <c r="C14" s="28">
        <v>5.0999999999999997E-2</v>
      </c>
      <c r="D14" s="28">
        <v>0.06</v>
      </c>
      <c r="E14" s="28">
        <v>7.0000000000000007E-2</v>
      </c>
      <c r="F14" s="28">
        <v>7.8E-2</v>
      </c>
      <c r="G14" s="28">
        <v>8.6999999999999994E-2</v>
      </c>
      <c r="H14" s="28">
        <v>9.5000000000000001E-2</v>
      </c>
      <c r="I14" s="28">
        <v>0.13</v>
      </c>
      <c r="J14" s="28">
        <v>0.155</v>
      </c>
      <c r="K14" s="28">
        <v>0.184</v>
      </c>
      <c r="L14" s="28">
        <v>0.19700000000000001</v>
      </c>
      <c r="M14" s="28">
        <v>0.20200000000000001</v>
      </c>
      <c r="N14" s="28">
        <v>0.20799999999999999</v>
      </c>
    </row>
    <row r="15" spans="1:14" x14ac:dyDescent="0.25">
      <c r="A15" s="27">
        <v>4</v>
      </c>
      <c r="B15" s="28">
        <v>2.5000000000000001E-2</v>
      </c>
      <c r="C15" s="28">
        <v>2.9000000000000001E-2</v>
      </c>
      <c r="D15" s="28">
        <v>3.5000000000000003E-2</v>
      </c>
      <c r="E15" s="28">
        <v>0.04</v>
      </c>
      <c r="F15" s="28">
        <v>4.5999999999999999E-2</v>
      </c>
      <c r="G15" s="28">
        <v>5.0999999999999997E-2</v>
      </c>
      <c r="H15" s="28">
        <v>5.6000000000000001E-2</v>
      </c>
      <c r="I15" s="28">
        <v>0.08</v>
      </c>
      <c r="J15" s="28">
        <v>9.5000000000000001E-2</v>
      </c>
      <c r="K15" s="28">
        <v>0.125</v>
      </c>
      <c r="L15" s="28">
        <v>0.13900000000000001</v>
      </c>
      <c r="M15" s="28">
        <v>0.14699999999999999</v>
      </c>
      <c r="N15" s="28">
        <v>0.158</v>
      </c>
    </row>
    <row r="16" spans="1:14" x14ac:dyDescent="0.25">
      <c r="A16" s="27">
        <v>5</v>
      </c>
      <c r="B16" s="28">
        <v>1.7000000000000001E-2</v>
      </c>
      <c r="C16" s="28">
        <v>1.9E-2</v>
      </c>
      <c r="D16" s="28">
        <v>2.1999999999999999E-2</v>
      </c>
      <c r="E16" s="28">
        <v>2.5999999999999999E-2</v>
      </c>
      <c r="F16" s="28">
        <v>0.03</v>
      </c>
      <c r="G16" s="28">
        <v>3.3000000000000002E-2</v>
      </c>
      <c r="H16" s="28">
        <v>3.6999999999999998E-2</v>
      </c>
      <c r="I16" s="28">
        <v>5.2999999999999999E-2</v>
      </c>
      <c r="J16" s="28">
        <v>6.7000000000000004E-2</v>
      </c>
      <c r="K16" s="28">
        <v>8.8999999999999996E-2</v>
      </c>
      <c r="L16" s="28">
        <v>0.10299999999999999</v>
      </c>
      <c r="M16" s="28">
        <v>0.112</v>
      </c>
      <c r="N16" s="28">
        <v>0.127</v>
      </c>
    </row>
    <row r="17" spans="1:14" x14ac:dyDescent="0.25">
      <c r="A17" s="27">
        <v>7</v>
      </c>
      <c r="B17" s="28">
        <v>8.0000000000000002E-3</v>
      </c>
      <c r="C17" s="28">
        <v>0.01</v>
      </c>
      <c r="D17" s="28">
        <v>1.2E-2</v>
      </c>
      <c r="E17" s="28">
        <v>1.4E-2</v>
      </c>
      <c r="F17" s="28">
        <v>1.6E-2</v>
      </c>
      <c r="G17" s="28">
        <v>1.7999999999999999E-2</v>
      </c>
      <c r="H17" s="28">
        <v>1.9E-2</v>
      </c>
      <c r="I17" s="28">
        <v>2.9000000000000001E-2</v>
      </c>
      <c r="J17" s="28">
        <v>3.6999999999999998E-2</v>
      </c>
      <c r="K17" s="28">
        <v>5.0999999999999997E-2</v>
      </c>
      <c r="L17" s="28">
        <v>6.2E-2</v>
      </c>
      <c r="M17" s="28">
        <v>7.0000000000000007E-2</v>
      </c>
      <c r="N17" s="28">
        <v>9.0999999999999998E-2</v>
      </c>
    </row>
    <row r="18" spans="1:14" x14ac:dyDescent="0.25">
      <c r="A18" s="29">
        <v>10</v>
      </c>
      <c r="B18" s="28">
        <v>4.0000000000000001E-3</v>
      </c>
      <c r="C18" s="28">
        <v>5.0000000000000001E-3</v>
      </c>
      <c r="D18" s="28">
        <v>6.0000000000000001E-3</v>
      </c>
      <c r="E18" s="28">
        <v>7.0000000000000001E-3</v>
      </c>
      <c r="F18" s="28">
        <v>8.0000000000000002E-3</v>
      </c>
      <c r="G18" s="28">
        <v>8.9999999999999993E-3</v>
      </c>
      <c r="H18" s="28">
        <v>0.01</v>
      </c>
      <c r="I18" s="28">
        <v>1.4E-2</v>
      </c>
      <c r="J18" s="28">
        <v>1.9E-2</v>
      </c>
      <c r="K18" s="28">
        <v>2.7E-2</v>
      </c>
      <c r="L18" s="28">
        <v>3.3000000000000002E-2</v>
      </c>
      <c r="M18" s="28">
        <v>3.6999999999999998E-2</v>
      </c>
      <c r="N18" s="28">
        <v>6.4000000000000001E-2</v>
      </c>
    </row>
    <row r="19" spans="1:14" x14ac:dyDescent="0.25">
      <c r="A19" s="30">
        <v>100</v>
      </c>
      <c r="B19" s="31">
        <v>1E-3</v>
      </c>
      <c r="C19" s="31">
        <v>1E-3</v>
      </c>
      <c r="D19" s="31">
        <v>1E-3</v>
      </c>
      <c r="E19" s="31">
        <v>1E-3</v>
      </c>
      <c r="F19" s="31">
        <v>1E-3</v>
      </c>
      <c r="G19" s="31">
        <v>1E-3</v>
      </c>
      <c r="H19" s="31">
        <v>1E-3</v>
      </c>
      <c r="I19" s="31">
        <v>1E-3</v>
      </c>
      <c r="J19" s="31">
        <v>1E-3</v>
      </c>
      <c r="K19" s="31">
        <v>1E-3</v>
      </c>
      <c r="L19" s="31">
        <v>1E-3</v>
      </c>
      <c r="M19" s="31">
        <v>1E-3</v>
      </c>
      <c r="N19" s="31">
        <v>1E-3</v>
      </c>
    </row>
    <row r="20" spans="1:14" x14ac:dyDescent="0.25">
      <c r="A20" s="32"/>
      <c r="B20" s="32"/>
      <c r="C20" s="32"/>
      <c r="D20" s="32"/>
      <c r="E20" s="32"/>
      <c r="F20" s="17"/>
      <c r="G20" s="17"/>
      <c r="H20" s="32"/>
      <c r="I20" s="32"/>
      <c r="J20" s="32"/>
      <c r="K20" s="32"/>
      <c r="L20" s="32"/>
      <c r="M20" s="32"/>
      <c r="N20" s="50"/>
    </row>
    <row r="21" spans="1:14" x14ac:dyDescent="0.25">
      <c r="A21" s="32"/>
      <c r="B21" s="16" t="s">
        <v>38</v>
      </c>
      <c r="C21" s="17"/>
      <c r="D21" s="33">
        <v>0.5</v>
      </c>
      <c r="E21" s="17"/>
      <c r="F21" s="17"/>
      <c r="G21" s="17"/>
      <c r="H21" s="32"/>
      <c r="I21" s="32"/>
      <c r="J21" s="32"/>
      <c r="K21" s="32"/>
      <c r="L21" s="32"/>
      <c r="M21" s="32"/>
      <c r="N21" s="51"/>
    </row>
    <row r="22" spans="1:14" x14ac:dyDescent="0.25">
      <c r="A22" s="32"/>
      <c r="B22" s="16" t="s">
        <v>39</v>
      </c>
      <c r="C22" s="17"/>
      <c r="D22" s="33">
        <v>5</v>
      </c>
      <c r="E22" s="17"/>
      <c r="F22" s="17"/>
      <c r="G22" s="17"/>
      <c r="H22" s="32"/>
      <c r="I22" s="32"/>
      <c r="J22" s="32"/>
      <c r="K22" s="32"/>
      <c r="L22" s="32"/>
      <c r="M22" s="32"/>
      <c r="N22" s="51"/>
    </row>
    <row r="23" spans="1:14" x14ac:dyDescent="0.25">
      <c r="A23" s="32"/>
      <c r="B23" s="34" t="s">
        <v>40</v>
      </c>
      <c r="C23" s="17"/>
      <c r="D23" s="35">
        <f>[1]!Noisuy2chieu(D21,D22,A2:N19)</f>
        <v>0.81279999017715454</v>
      </c>
      <c r="E23" s="17"/>
      <c r="F23" s="36"/>
      <c r="G23" s="17"/>
      <c r="H23" s="32"/>
      <c r="I23" s="32"/>
      <c r="J23" s="32"/>
      <c r="K23" s="32"/>
      <c r="L23" s="32"/>
      <c r="M23" s="32"/>
      <c r="N23" s="51"/>
    </row>
    <row r="24" spans="1:14" x14ac:dyDescent="0.25">
      <c r="A24" s="32"/>
      <c r="B24" s="17"/>
      <c r="C24" s="17"/>
      <c r="D24" s="32"/>
      <c r="E24" s="17"/>
      <c r="F24" s="17"/>
      <c r="G24" s="17"/>
      <c r="H24" s="32"/>
      <c r="I24" s="32"/>
      <c r="J24" s="32"/>
      <c r="K24" s="32"/>
      <c r="L24" s="32"/>
      <c r="M24" s="32"/>
      <c r="N24" s="51"/>
    </row>
    <row r="25" spans="1:14" x14ac:dyDescent="0.25">
      <c r="A25" s="32"/>
      <c r="B25" s="17"/>
      <c r="C25" s="17"/>
      <c r="D25" s="32"/>
      <c r="E25" s="17"/>
      <c r="F25" s="17"/>
      <c r="G25" s="17"/>
      <c r="H25" s="32"/>
      <c r="I25" s="32"/>
      <c r="J25" s="32"/>
      <c r="K25" s="32"/>
      <c r="L25" s="32"/>
      <c r="M25" s="32"/>
      <c r="N25" s="51"/>
    </row>
  </sheetData>
  <mergeCells count="3">
    <mergeCell ref="A1:A2"/>
    <mergeCell ref="C1:M1"/>
    <mergeCell ref="N20:N25"/>
  </mergeCells>
  <pageMargins left="0.7" right="0.7" top="0.75" bottom="0.75" header="0.3" footer="0.3"/>
  <pageSetup paperSize="9" scale="6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Test</vt:lpstr>
      <vt:lpstr>Macro</vt:lpstr>
      <vt:lpstr>One way interpolate</vt:lpstr>
      <vt:lpstr>Two way interpolate</vt:lpstr>
      <vt:lpstr>Pos</vt:lpstr>
      <vt:lpstr>Staff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Tan Thinh</dc:creator>
  <cp:lastModifiedBy>Tran Tan Thinh</cp:lastModifiedBy>
  <cp:lastPrinted>2020-01-06T16:06:01Z</cp:lastPrinted>
  <dcterms:created xsi:type="dcterms:W3CDTF">2019-11-03T04:22:55Z</dcterms:created>
  <dcterms:modified xsi:type="dcterms:W3CDTF">2020-03-10T09:29:12Z</dcterms:modified>
</cp:coreProperties>
</file>