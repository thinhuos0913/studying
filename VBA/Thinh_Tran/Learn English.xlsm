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 activeTab="1"/>
  </bookViews>
  <sheets>
    <sheet name="Colour" sheetId="1" r:id="rId1"/>
    <sheet name="Animal" sheetId="2" r:id="rId2"/>
    <sheet name="Sheet1" sheetId="4" r:id="rId3"/>
    <sheet name="Sheet3" sheetId="3" r:id="rId4"/>
  </sheets>
  <definedNames>
    <definedName name="Animals" localSheetId="2">Sheet1!$A$1:$J$15</definedName>
  </definedNames>
  <calcPr calcId="144525"/>
</workbook>
</file>

<file path=xl/calcChain.xml><?xml version="1.0" encoding="utf-8"?>
<calcChain xmlns="http://schemas.openxmlformats.org/spreadsheetml/2006/main">
  <c r="G12" i="3" l="1"/>
  <c r="A41" i="3"/>
  <c r="G13" i="3" s="1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11" i="3"/>
  <c r="A12" i="3"/>
  <c r="A13" i="3"/>
  <c r="A10" i="3"/>
  <c r="A2" i="3"/>
  <c r="A3" i="3"/>
  <c r="A4" i="3"/>
  <c r="A5" i="3"/>
  <c r="A6" i="3"/>
  <c r="A7" i="3"/>
  <c r="A8" i="3"/>
  <c r="A9" i="3"/>
  <c r="A1" i="3"/>
  <c r="K4" i="4"/>
</calcChain>
</file>

<file path=xl/connections.xml><?xml version="1.0" encoding="utf-8"?>
<connections xmlns="http://schemas.openxmlformats.org/spreadsheetml/2006/main">
  <connection id="1" name="Animals" type="6" refreshedVersion="4" background="1" saveData="1">
    <textPr codePage="437" sourceFile="C:\STUDYING\MS OFFICE\Microsoft Excel\VBA\Practice\TTThinh\Animals.txt" tab="0" space="1" consecutive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<sst xmlns="http://schemas.openxmlformats.org/spreadsheetml/2006/main" count="113" uniqueCount="83">
  <si>
    <t>White</t>
  </si>
  <si>
    <t>Black</t>
  </si>
  <si>
    <t>Red</t>
  </si>
  <si>
    <t>Orange</t>
  </si>
  <si>
    <t>Yellow</t>
  </si>
  <si>
    <t>Blue</t>
  </si>
  <si>
    <t>Green</t>
  </si>
  <si>
    <t>Grey</t>
  </si>
  <si>
    <t>Brown</t>
  </si>
  <si>
    <t>Pink</t>
  </si>
  <si>
    <t>Purple</t>
  </si>
  <si>
    <t>Cat</t>
  </si>
  <si>
    <t>Dog</t>
  </si>
  <si>
    <t>Tiger</t>
  </si>
  <si>
    <t>Lion</t>
  </si>
  <si>
    <t>Find word</t>
  </si>
  <si>
    <t>Result</t>
  </si>
  <si>
    <t>Mouse</t>
  </si>
  <si>
    <t>Num of words</t>
  </si>
  <si>
    <t>Single-Hist</t>
  </si>
  <si>
    <t>Joint</t>
  </si>
  <si>
    <t>SVM</t>
  </si>
  <si>
    <t>Rate 1</t>
  </si>
  <si>
    <t>Rate 2</t>
  </si>
  <si>
    <t>Rate 3</t>
  </si>
  <si>
    <t>Bear</t>
  </si>
  <si>
    <t>Cougar</t>
  </si>
  <si>
    <t>Coyote</t>
  </si>
  <si>
    <t>Elephant</t>
  </si>
  <si>
    <t>Giraffe</t>
  </si>
  <si>
    <t>Goat</t>
  </si>
  <si>
    <t>Horse</t>
  </si>
  <si>
    <t>Leopard</t>
  </si>
  <si>
    <t>Panda</t>
  </si>
  <si>
    <t>Penguin</t>
  </si>
  <si>
    <t>Zebra</t>
  </si>
  <si>
    <t>Find</t>
  </si>
  <si>
    <t>Báo sư tử</t>
  </si>
  <si>
    <t>Chó sói</t>
  </si>
  <si>
    <t>Gấu</t>
  </si>
  <si>
    <t>Voi</t>
  </si>
  <si>
    <t>Hươu cao cổ</t>
  </si>
  <si>
    <t>Ngựa</t>
  </si>
  <si>
    <t>Dê</t>
  </si>
  <si>
    <t>Sư tử</t>
  </si>
  <si>
    <t>Chuột</t>
  </si>
  <si>
    <t>Gấu trúc</t>
  </si>
  <si>
    <t>Chim cánh cụt</t>
  </si>
  <si>
    <t>Hổ</t>
  </si>
  <si>
    <t>Ngựa vằn</t>
  </si>
  <si>
    <t>Báo</t>
  </si>
  <si>
    <t>Words</t>
  </si>
  <si>
    <t>Crocodile</t>
  </si>
  <si>
    <t>Kangaroo</t>
  </si>
  <si>
    <t>Wolf</t>
  </si>
  <si>
    <t>Snake</t>
  </si>
  <si>
    <t>Chimpanzee</t>
  </si>
  <si>
    <t>Squirrel</t>
  </si>
  <si>
    <t>Hippopotamus</t>
  </si>
  <si>
    <t>Whale</t>
  </si>
  <si>
    <t>Dolphin</t>
  </si>
  <si>
    <t>Deer</t>
  </si>
  <si>
    <t>Anaconda</t>
  </si>
  <si>
    <t>Rabbit</t>
  </si>
  <si>
    <t>Frog</t>
  </si>
  <si>
    <t>Bat</t>
  </si>
  <si>
    <t>Monkey</t>
  </si>
  <si>
    <t>Hedgehog</t>
  </si>
  <si>
    <t>Toad</t>
  </si>
  <si>
    <t>Fox</t>
  </si>
  <si>
    <t>Wild Animals</t>
  </si>
  <si>
    <t>Farm Animals</t>
  </si>
  <si>
    <t>Cow</t>
  </si>
  <si>
    <t>Duck</t>
  </si>
  <si>
    <t>Shrimp</t>
  </si>
  <si>
    <t>Pig</t>
  </si>
  <si>
    <t>Crab</t>
  </si>
  <si>
    <t>Sheep</t>
  </si>
  <si>
    <t>Fish</t>
  </si>
  <si>
    <t>Chicken</t>
  </si>
  <si>
    <t>Dove</t>
  </si>
  <si>
    <t>Bee</t>
  </si>
  <si>
    <t>Birds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</si>
</sst>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2" borderId="1" xfId="0" applyFill="1" applyBorder="1"/>
    <xf numFmtId="0" fontId="0" fillId="3" borderId="0" xfId="0" applyFill="1"/>
    <xf numFmtId="0" fontId="3" fillId="0" borderId="1" xfId="0" applyFont="1" applyBorder="1"/>
    <xf numFmtId="0" fontId="0" fillId="4" borderId="0" xfId="0" applyFill="1"/>
    <xf numFmtId="0" fontId="0" fillId="11" borderId="0" xfId="0" applyFill="1"/>
    <xf numFmtId="0" fontId="0" fillId="10" borderId="0" xfId="0" applyFont="1" applyFill="1"/>
    <xf numFmtId="0" fontId="0" fillId="12" borderId="0" xfId="0" applyFill="1"/>
    <xf numFmtId="0" fontId="2" fillId="13" borderId="1" xfId="0" applyFont="1" applyFill="1" applyBorder="1"/>
    <xf numFmtId="0" fontId="3" fillId="0" borderId="0" xfId="0" applyFont="1"/>
    <xf numFmtId="0" fontId="0" fillId="0" borderId="2" xfId="0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0</xdr:colOff>
      <xdr:row>2</xdr:row>
      <xdr:rowOff>171450</xdr:rowOff>
    </xdr:to>
    <xdr:sp macro="[0]!White" textlink="">
      <xdr:nvSpPr>
        <xdr:cNvPr id="2" name="Rectangle 1"/>
        <xdr:cNvSpPr/>
      </xdr:nvSpPr>
      <xdr:spPr>
        <a:xfrm>
          <a:off x="1828800" y="200025"/>
          <a:ext cx="1219200" cy="352425"/>
        </a:xfrm>
        <a:prstGeom prst="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600075</xdr:colOff>
      <xdr:row>4</xdr:row>
      <xdr:rowOff>9525</xdr:rowOff>
    </xdr:from>
    <xdr:to>
      <xdr:col>5</xdr:col>
      <xdr:colOff>0</xdr:colOff>
      <xdr:row>5</xdr:row>
      <xdr:rowOff>180975</xdr:rowOff>
    </xdr:to>
    <xdr:sp macro="[0]!Black" textlink="">
      <xdr:nvSpPr>
        <xdr:cNvPr id="3" name="Rectangle 2"/>
        <xdr:cNvSpPr/>
      </xdr:nvSpPr>
      <xdr:spPr>
        <a:xfrm>
          <a:off x="1819275" y="771525"/>
          <a:ext cx="1228725" cy="36195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7</xdr:row>
      <xdr:rowOff>0</xdr:rowOff>
    </xdr:from>
    <xdr:to>
      <xdr:col>5</xdr:col>
      <xdr:colOff>0</xdr:colOff>
      <xdr:row>8</xdr:row>
      <xdr:rowOff>180975</xdr:rowOff>
    </xdr:to>
    <xdr:sp macro="[0]!Red" textlink="">
      <xdr:nvSpPr>
        <xdr:cNvPr id="4" name="Rectangle 3"/>
        <xdr:cNvSpPr/>
      </xdr:nvSpPr>
      <xdr:spPr>
        <a:xfrm>
          <a:off x="1838325" y="1333500"/>
          <a:ext cx="1209675" cy="3714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10</xdr:row>
      <xdr:rowOff>9525</xdr:rowOff>
    </xdr:from>
    <xdr:to>
      <xdr:col>4</xdr:col>
      <xdr:colOff>600075</xdr:colOff>
      <xdr:row>12</xdr:row>
      <xdr:rowOff>0</xdr:rowOff>
    </xdr:to>
    <xdr:sp macro="[0]!Orange" textlink="">
      <xdr:nvSpPr>
        <xdr:cNvPr id="5" name="Rectangle 4"/>
        <xdr:cNvSpPr/>
      </xdr:nvSpPr>
      <xdr:spPr>
        <a:xfrm>
          <a:off x="1838325" y="1914525"/>
          <a:ext cx="1200150" cy="37147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13</xdr:row>
      <xdr:rowOff>19050</xdr:rowOff>
    </xdr:from>
    <xdr:to>
      <xdr:col>4</xdr:col>
      <xdr:colOff>590550</xdr:colOff>
      <xdr:row>14</xdr:row>
      <xdr:rowOff>180975</xdr:rowOff>
    </xdr:to>
    <xdr:sp macro="[0]!Yellow" textlink="">
      <xdr:nvSpPr>
        <xdr:cNvPr id="8" name="Rectangle 7"/>
        <xdr:cNvSpPr/>
      </xdr:nvSpPr>
      <xdr:spPr>
        <a:xfrm>
          <a:off x="1838325" y="2495550"/>
          <a:ext cx="1190625" cy="35242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9525</xdr:colOff>
      <xdr:row>15</xdr:row>
      <xdr:rowOff>180975</xdr:rowOff>
    </xdr:from>
    <xdr:to>
      <xdr:col>4</xdr:col>
      <xdr:colOff>590550</xdr:colOff>
      <xdr:row>18</xdr:row>
      <xdr:rowOff>9525</xdr:rowOff>
    </xdr:to>
    <xdr:sp macro="[0]!Blue" textlink="">
      <xdr:nvSpPr>
        <xdr:cNvPr id="18" name="Rectangle 17"/>
        <xdr:cNvSpPr/>
      </xdr:nvSpPr>
      <xdr:spPr>
        <a:xfrm>
          <a:off x="1838325" y="3038475"/>
          <a:ext cx="1190625" cy="4000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600075</xdr:colOff>
      <xdr:row>2</xdr:row>
      <xdr:rowOff>171450</xdr:rowOff>
    </xdr:to>
    <xdr:sp macro="[0]!Green" textlink="">
      <xdr:nvSpPr>
        <xdr:cNvPr id="19" name="Rectangle 18"/>
        <xdr:cNvSpPr/>
      </xdr:nvSpPr>
      <xdr:spPr>
        <a:xfrm>
          <a:off x="3657600" y="190500"/>
          <a:ext cx="1209675" cy="36195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9525</xdr:colOff>
      <xdr:row>4</xdr:row>
      <xdr:rowOff>9525</xdr:rowOff>
    </xdr:from>
    <xdr:to>
      <xdr:col>7</xdr:col>
      <xdr:colOff>600075</xdr:colOff>
      <xdr:row>6</xdr:row>
      <xdr:rowOff>0</xdr:rowOff>
    </xdr:to>
    <xdr:sp macro="[0]!Violet" textlink="">
      <xdr:nvSpPr>
        <xdr:cNvPr id="20" name="Rectangle 19"/>
        <xdr:cNvSpPr/>
      </xdr:nvSpPr>
      <xdr:spPr>
        <a:xfrm>
          <a:off x="3667125" y="771525"/>
          <a:ext cx="1200150" cy="3714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9525</xdr:colOff>
      <xdr:row>7</xdr:row>
      <xdr:rowOff>19050</xdr:rowOff>
    </xdr:from>
    <xdr:to>
      <xdr:col>7</xdr:col>
      <xdr:colOff>600075</xdr:colOff>
      <xdr:row>8</xdr:row>
      <xdr:rowOff>171450</xdr:rowOff>
    </xdr:to>
    <xdr:sp macro="[0]!Grey" textlink="">
      <xdr:nvSpPr>
        <xdr:cNvPr id="21" name="Rectangle 20"/>
        <xdr:cNvSpPr/>
      </xdr:nvSpPr>
      <xdr:spPr>
        <a:xfrm>
          <a:off x="3667125" y="1352550"/>
          <a:ext cx="1200150" cy="342900"/>
        </a:xfrm>
        <a:prstGeom prst="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9</xdr:row>
      <xdr:rowOff>180975</xdr:rowOff>
    </xdr:from>
    <xdr:to>
      <xdr:col>7</xdr:col>
      <xdr:colOff>600075</xdr:colOff>
      <xdr:row>11</xdr:row>
      <xdr:rowOff>180975</xdr:rowOff>
    </xdr:to>
    <xdr:sp macro="[0]!Brown" textlink="">
      <xdr:nvSpPr>
        <xdr:cNvPr id="22" name="Rectangle 21"/>
        <xdr:cNvSpPr/>
      </xdr:nvSpPr>
      <xdr:spPr>
        <a:xfrm>
          <a:off x="3657600" y="1895475"/>
          <a:ext cx="1209675" cy="381000"/>
        </a:xfrm>
        <a:prstGeom prst="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9525</xdr:colOff>
      <xdr:row>13</xdr:row>
      <xdr:rowOff>9525</xdr:rowOff>
    </xdr:from>
    <xdr:to>
      <xdr:col>7</xdr:col>
      <xdr:colOff>600075</xdr:colOff>
      <xdr:row>15</xdr:row>
      <xdr:rowOff>0</xdr:rowOff>
    </xdr:to>
    <xdr:sp macro="[0]!Pink" textlink="">
      <xdr:nvSpPr>
        <xdr:cNvPr id="25" name="Rectangle 24"/>
        <xdr:cNvSpPr/>
      </xdr:nvSpPr>
      <xdr:spPr>
        <a:xfrm>
          <a:off x="3667125" y="2486025"/>
          <a:ext cx="1200150" cy="371475"/>
        </a:xfrm>
        <a:prstGeom prst="rect">
          <a:avLst/>
        </a:pr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371475</xdr:colOff>
      <xdr:row>19</xdr:row>
      <xdr:rowOff>19050</xdr:rowOff>
    </xdr:from>
    <xdr:to>
      <xdr:col>6</xdr:col>
      <xdr:colOff>228600</xdr:colOff>
      <xdr:row>20</xdr:row>
      <xdr:rowOff>123825</xdr:rowOff>
    </xdr:to>
    <xdr:sp macro="[0]!Speak_Colour" textlink="">
      <xdr:nvSpPr>
        <xdr:cNvPr id="26" name="Rectangle 25"/>
        <xdr:cNvSpPr/>
      </xdr:nvSpPr>
      <xdr:spPr>
        <a:xfrm>
          <a:off x="2809875" y="3638550"/>
          <a:ext cx="1076325" cy="295275"/>
        </a:xfrm>
        <a:prstGeom prst="rect">
          <a:avLst/>
        </a:prstGeom>
        <a:gradFill flip="none" rotWithShape="1">
          <a:gsLst>
            <a:gs pos="0">
              <a:schemeClr val="accent1">
                <a:shade val="30000"/>
                <a:satMod val="115000"/>
              </a:schemeClr>
            </a:gs>
            <a:gs pos="50000">
              <a:schemeClr val="accent1">
                <a:shade val="67500"/>
                <a:satMod val="115000"/>
              </a:schemeClr>
            </a:gs>
            <a:gs pos="100000">
              <a:schemeClr val="accent1">
                <a:shade val="100000"/>
                <a:satMod val="115000"/>
              </a:schemeClr>
            </a:gs>
          </a:gsLst>
          <a:lin ang="27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Speak</a:t>
          </a:r>
          <a:r>
            <a:rPr lang="en-US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all words</a:t>
          </a:r>
          <a:endParaRPr lang="en-US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409575</xdr:colOff>
      <xdr:row>0</xdr:row>
      <xdr:rowOff>85726</xdr:rowOff>
    </xdr:from>
    <xdr:to>
      <xdr:col>5</xdr:col>
      <xdr:colOff>419100</xdr:colOff>
      <xdr:row>5</xdr:row>
      <xdr:rowOff>56714</xdr:rowOff>
    </xdr:to>
    <xdr:pic macro="[0]!Ca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75" y="85726"/>
          <a:ext cx="1228725" cy="923488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409576</xdr:colOff>
      <xdr:row>5</xdr:row>
      <xdr:rowOff>104776</xdr:rowOff>
    </xdr:from>
    <xdr:to>
      <xdr:col>6</xdr:col>
      <xdr:colOff>47626</xdr:colOff>
      <xdr:row>10</xdr:row>
      <xdr:rowOff>130176</xdr:rowOff>
    </xdr:to>
    <xdr:pic macro="[0]!Do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76" y="1057276"/>
          <a:ext cx="1466850" cy="9779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114301</xdr:colOff>
      <xdr:row>0</xdr:row>
      <xdr:rowOff>85726</xdr:rowOff>
    </xdr:from>
    <xdr:to>
      <xdr:col>2</xdr:col>
      <xdr:colOff>361951</xdr:colOff>
      <xdr:row>6</xdr:row>
      <xdr:rowOff>41448</xdr:rowOff>
    </xdr:to>
    <xdr:pic macro="[0]!Tiger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85726"/>
          <a:ext cx="1466850" cy="1098722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114301</xdr:colOff>
      <xdr:row>6</xdr:row>
      <xdr:rowOff>114302</xdr:rowOff>
    </xdr:from>
    <xdr:to>
      <xdr:col>3</xdr:col>
      <xdr:colOff>95251</xdr:colOff>
      <xdr:row>11</xdr:row>
      <xdr:rowOff>162557</xdr:rowOff>
    </xdr:to>
    <xdr:pic macro="[0]!Lion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1257302"/>
          <a:ext cx="1809750" cy="1000755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12</xdr:row>
      <xdr:rowOff>38100</xdr:rowOff>
    </xdr:from>
    <xdr:to>
      <xdr:col>3</xdr:col>
      <xdr:colOff>142875</xdr:colOff>
      <xdr:row>18</xdr:row>
      <xdr:rowOff>9525</xdr:rowOff>
    </xdr:to>
    <xdr:pic macro="[0]!Anaconda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324100"/>
          <a:ext cx="1857375" cy="1114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14</xdr:row>
      <xdr:rowOff>9525</xdr:rowOff>
    </xdr:from>
    <xdr:to>
      <xdr:col>5</xdr:col>
      <xdr:colOff>590550</xdr:colOff>
      <xdr:row>15</xdr:row>
      <xdr:rowOff>95250</xdr:rowOff>
    </xdr:to>
    <xdr:sp macro="[0]!Speak_Range" textlink="">
      <xdr:nvSpPr>
        <xdr:cNvPr id="2" name="Rectangle 1"/>
        <xdr:cNvSpPr/>
      </xdr:nvSpPr>
      <xdr:spPr>
        <a:xfrm>
          <a:off x="3343275" y="2676525"/>
          <a:ext cx="58102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Speak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Animal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8"/>
  <sheetViews>
    <sheetView zoomScaleNormal="100" workbookViewId="0">
      <selection activeCell="A17" sqref="A17"/>
    </sheetView>
  </sheetViews>
  <sheetFormatPr defaultRowHeight="15" x14ac:dyDescent="0.25"/>
  <sheetData>
    <row r="1" spans="1:8" x14ac:dyDescent="0.25">
      <c r="A1" s="18" t="s">
        <v>51</v>
      </c>
    </row>
    <row r="2" spans="1:8" x14ac:dyDescent="0.25">
      <c r="A2" s="13" t="s">
        <v>0</v>
      </c>
      <c r="B2" s="7"/>
      <c r="D2" s="12"/>
      <c r="E2" s="12"/>
      <c r="G2" s="4"/>
      <c r="H2" s="4"/>
    </row>
    <row r="3" spans="1:8" x14ac:dyDescent="0.25">
      <c r="A3" s="13" t="s">
        <v>1</v>
      </c>
      <c r="B3" s="7"/>
      <c r="D3" s="12"/>
      <c r="E3" s="12"/>
      <c r="G3" s="4"/>
      <c r="H3" s="4"/>
    </row>
    <row r="4" spans="1:8" x14ac:dyDescent="0.25">
      <c r="A4" s="13" t="s">
        <v>2</v>
      </c>
      <c r="B4" s="7"/>
    </row>
    <row r="5" spans="1:8" x14ac:dyDescent="0.25">
      <c r="A5" s="13" t="s">
        <v>3</v>
      </c>
      <c r="B5" s="7"/>
      <c r="D5" s="14"/>
      <c r="E5" s="14"/>
      <c r="G5" s="15"/>
      <c r="H5" s="15"/>
    </row>
    <row r="6" spans="1:8" x14ac:dyDescent="0.25">
      <c r="A6" s="13" t="s">
        <v>4</v>
      </c>
      <c r="B6" s="7"/>
      <c r="D6" s="14"/>
      <c r="E6" s="14"/>
      <c r="G6" s="15"/>
      <c r="H6" s="15"/>
    </row>
    <row r="7" spans="1:8" x14ac:dyDescent="0.25">
      <c r="A7" s="13" t="s">
        <v>5</v>
      </c>
      <c r="B7" s="7"/>
    </row>
    <row r="8" spans="1:8" x14ac:dyDescent="0.25">
      <c r="A8" s="13" t="s">
        <v>6</v>
      </c>
      <c r="B8" s="7"/>
      <c r="D8" s="2"/>
      <c r="E8" s="2"/>
      <c r="G8" s="16"/>
      <c r="H8" s="16"/>
    </row>
    <row r="9" spans="1:8" x14ac:dyDescent="0.25">
      <c r="A9" s="13" t="s">
        <v>10</v>
      </c>
      <c r="B9" s="7"/>
      <c r="D9" s="2"/>
      <c r="E9" s="2"/>
      <c r="G9" s="16"/>
      <c r="H9" s="16"/>
    </row>
    <row r="10" spans="1:8" x14ac:dyDescent="0.25">
      <c r="A10" s="13" t="s">
        <v>7</v>
      </c>
      <c r="B10" s="7"/>
    </row>
    <row r="11" spans="1:8" x14ac:dyDescent="0.25">
      <c r="A11" s="13" t="s">
        <v>8</v>
      </c>
      <c r="B11" s="7"/>
      <c r="D11" s="3"/>
      <c r="E11" s="3"/>
      <c r="G11" s="17"/>
      <c r="H11" s="17"/>
    </row>
    <row r="12" spans="1:8" x14ac:dyDescent="0.25">
      <c r="A12" s="13" t="s">
        <v>9</v>
      </c>
      <c r="B12" s="7"/>
      <c r="D12" s="3"/>
      <c r="E12" s="3"/>
      <c r="G12" s="17"/>
      <c r="H12" s="17"/>
    </row>
    <row r="14" spans="1:8" x14ac:dyDescent="0.25">
      <c r="D14" s="1"/>
      <c r="E14" s="1"/>
      <c r="G14" s="6"/>
      <c r="H14" s="6"/>
    </row>
    <row r="15" spans="1:8" x14ac:dyDescent="0.25">
      <c r="D15" s="1"/>
      <c r="E15" s="1"/>
      <c r="G15" s="6"/>
      <c r="H15" s="6"/>
    </row>
    <row r="17" spans="4:5" x14ac:dyDescent="0.25">
      <c r="D17" s="5"/>
      <c r="E17" s="5"/>
    </row>
    <row r="18" spans="4:5" x14ac:dyDescent="0.25">
      <c r="D18" s="5"/>
      <c r="E18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AC30"/>
  <sheetViews>
    <sheetView tabSelected="1" workbookViewId="0">
      <selection activeCell="D24" sqref="D24"/>
    </sheetView>
  </sheetViews>
  <sheetFormatPr defaultRowHeight="15" x14ac:dyDescent="0.25"/>
  <cols>
    <col min="27" max="27" width="14.140625" bestFit="1" customWidth="1"/>
    <col min="28" max="28" width="13.140625" bestFit="1" customWidth="1"/>
    <col min="29" max="29" width="5.42578125" bestFit="1" customWidth="1"/>
  </cols>
  <sheetData>
    <row r="1" spans="3:29" x14ac:dyDescent="0.25">
      <c r="AA1" s="10" t="s">
        <v>70</v>
      </c>
      <c r="AB1" s="10" t="s">
        <v>71</v>
      </c>
      <c r="AC1" s="10" t="s">
        <v>82</v>
      </c>
    </row>
    <row r="2" spans="3:29" x14ac:dyDescent="0.25">
      <c r="C2" s="19"/>
      <c r="AA2" s="9" t="s">
        <v>62</v>
      </c>
      <c r="AB2" s="20" t="s">
        <v>81</v>
      </c>
    </row>
    <row r="3" spans="3:29" x14ac:dyDescent="0.25">
      <c r="C3" s="19"/>
      <c r="AA3" s="9" t="s">
        <v>65</v>
      </c>
      <c r="AB3" s="20" t="s">
        <v>11</v>
      </c>
    </row>
    <row r="4" spans="3:29" x14ac:dyDescent="0.25">
      <c r="C4" s="19"/>
      <c r="AA4" s="9" t="s">
        <v>25</v>
      </c>
      <c r="AB4" s="20" t="s">
        <v>79</v>
      </c>
    </row>
    <row r="5" spans="3:29" x14ac:dyDescent="0.25">
      <c r="C5" s="19"/>
      <c r="AA5" s="9" t="s">
        <v>56</v>
      </c>
      <c r="AB5" s="20" t="s">
        <v>72</v>
      </c>
    </row>
    <row r="6" spans="3:29" x14ac:dyDescent="0.25">
      <c r="AA6" s="9" t="s">
        <v>26</v>
      </c>
      <c r="AB6" s="20" t="s">
        <v>76</v>
      </c>
    </row>
    <row r="7" spans="3:29" x14ac:dyDescent="0.25">
      <c r="AA7" s="9" t="s">
        <v>27</v>
      </c>
      <c r="AB7" s="20" t="s">
        <v>12</v>
      </c>
    </row>
    <row r="8" spans="3:29" x14ac:dyDescent="0.25">
      <c r="AA8" s="9" t="s">
        <v>52</v>
      </c>
      <c r="AB8" s="20" t="s">
        <v>80</v>
      </c>
    </row>
    <row r="9" spans="3:29" x14ac:dyDescent="0.25">
      <c r="AA9" s="9" t="s">
        <v>61</v>
      </c>
      <c r="AB9" s="20" t="s">
        <v>73</v>
      </c>
    </row>
    <row r="10" spans="3:29" x14ac:dyDescent="0.25">
      <c r="AA10" s="9" t="s">
        <v>60</v>
      </c>
      <c r="AB10" s="20" t="s">
        <v>78</v>
      </c>
    </row>
    <row r="11" spans="3:29" x14ac:dyDescent="0.25">
      <c r="AA11" s="9" t="s">
        <v>28</v>
      </c>
      <c r="AB11" s="20" t="s">
        <v>30</v>
      </c>
    </row>
    <row r="12" spans="3:29" x14ac:dyDescent="0.25">
      <c r="AA12" s="9" t="s">
        <v>69</v>
      </c>
      <c r="AB12" s="20" t="s">
        <v>31</v>
      </c>
    </row>
    <row r="13" spans="3:29" x14ac:dyDescent="0.25">
      <c r="AA13" s="9" t="s">
        <v>64</v>
      </c>
      <c r="AB13" s="20" t="s">
        <v>17</v>
      </c>
    </row>
    <row r="14" spans="3:29" x14ac:dyDescent="0.25">
      <c r="AA14" s="9" t="s">
        <v>29</v>
      </c>
      <c r="AB14" s="20" t="s">
        <v>75</v>
      </c>
    </row>
    <row r="15" spans="3:29" x14ac:dyDescent="0.25">
      <c r="AA15" s="9" t="s">
        <v>67</v>
      </c>
      <c r="AB15" s="20" t="s">
        <v>77</v>
      </c>
    </row>
    <row r="16" spans="3:29" x14ac:dyDescent="0.25">
      <c r="AA16" s="9" t="s">
        <v>58</v>
      </c>
      <c r="AB16" s="20" t="s">
        <v>74</v>
      </c>
    </row>
    <row r="17" spans="27:27" x14ac:dyDescent="0.25">
      <c r="AA17" s="9" t="s">
        <v>53</v>
      </c>
    </row>
    <row r="18" spans="27:27" x14ac:dyDescent="0.25">
      <c r="AA18" s="9" t="s">
        <v>32</v>
      </c>
    </row>
    <row r="19" spans="27:27" x14ac:dyDescent="0.25">
      <c r="AA19" s="9" t="s">
        <v>14</v>
      </c>
    </row>
    <row r="20" spans="27:27" x14ac:dyDescent="0.25">
      <c r="AA20" s="9" t="s">
        <v>66</v>
      </c>
    </row>
    <row r="21" spans="27:27" x14ac:dyDescent="0.25">
      <c r="AA21" s="9" t="s">
        <v>33</v>
      </c>
    </row>
    <row r="22" spans="27:27" x14ac:dyDescent="0.25">
      <c r="AA22" s="9" t="s">
        <v>34</v>
      </c>
    </row>
    <row r="23" spans="27:27" x14ac:dyDescent="0.25">
      <c r="AA23" s="9" t="s">
        <v>63</v>
      </c>
    </row>
    <row r="24" spans="27:27" x14ac:dyDescent="0.25">
      <c r="AA24" s="9" t="s">
        <v>55</v>
      </c>
    </row>
    <row r="25" spans="27:27" x14ac:dyDescent="0.25">
      <c r="AA25" s="9" t="s">
        <v>57</v>
      </c>
    </row>
    <row r="26" spans="27:27" x14ac:dyDescent="0.25">
      <c r="AA26" s="9" t="s">
        <v>13</v>
      </c>
    </row>
    <row r="27" spans="27:27" x14ac:dyDescent="0.25">
      <c r="AA27" s="9" t="s">
        <v>68</v>
      </c>
    </row>
    <row r="28" spans="27:27" x14ac:dyDescent="0.25">
      <c r="AA28" s="9" t="s">
        <v>59</v>
      </c>
    </row>
    <row r="29" spans="27:27" x14ac:dyDescent="0.25">
      <c r="AA29" s="9" t="s">
        <v>54</v>
      </c>
    </row>
    <row r="30" spans="27:27" x14ac:dyDescent="0.25">
      <c r="AA30" s="9" t="s">
        <v>35</v>
      </c>
    </row>
  </sheetData>
  <sortState ref="AB2:AB16">
    <sortCondition ref="AB2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A6" sqref="A6"/>
    </sheetView>
  </sheetViews>
  <sheetFormatPr defaultRowHeight="15" x14ac:dyDescent="0.25"/>
  <cols>
    <col min="1" max="1" width="11" bestFit="1" customWidth="1"/>
    <col min="2" max="2" width="10.5703125" bestFit="1" customWidth="1"/>
    <col min="3" max="6" width="6.42578125" bestFit="1" customWidth="1"/>
    <col min="7" max="7" width="5" bestFit="1" customWidth="1"/>
    <col min="8" max="8" width="2" bestFit="1" customWidth="1"/>
    <col min="9" max="9" width="5" bestFit="1" customWidth="1"/>
    <col min="10" max="10" width="2" bestFit="1" customWidth="1"/>
    <col min="15" max="15" width="14.140625" bestFit="1" customWidth="1"/>
    <col min="16" max="16" width="13.140625" bestFit="1" customWidth="1"/>
  </cols>
  <sheetData>
    <row r="1" spans="1:11" x14ac:dyDescent="0.25">
      <c r="A1" s="9"/>
      <c r="B1" s="10" t="s">
        <v>19</v>
      </c>
      <c r="C1" s="10" t="s">
        <v>20</v>
      </c>
      <c r="D1" s="21" t="s">
        <v>21</v>
      </c>
      <c r="E1" s="21"/>
      <c r="F1" s="21"/>
    </row>
    <row r="2" spans="1:11" x14ac:dyDescent="0.25">
      <c r="A2" s="9"/>
      <c r="B2" s="10" t="s">
        <v>22</v>
      </c>
      <c r="C2" s="10" t="s">
        <v>22</v>
      </c>
      <c r="D2" s="10" t="s">
        <v>22</v>
      </c>
      <c r="E2" s="10" t="s">
        <v>23</v>
      </c>
      <c r="F2" s="10" t="s">
        <v>24</v>
      </c>
    </row>
    <row r="3" spans="1:11" x14ac:dyDescent="0.25">
      <c r="A3" s="11" t="s">
        <v>25</v>
      </c>
      <c r="B3" s="9">
        <v>7.0000000000000007E-2</v>
      </c>
      <c r="C3" s="9">
        <v>0.42</v>
      </c>
      <c r="D3" s="9">
        <v>0.42</v>
      </c>
      <c r="E3" s="9">
        <v>0.6</v>
      </c>
      <c r="F3" s="9">
        <v>0.68</v>
      </c>
      <c r="K3" t="s">
        <v>36</v>
      </c>
    </row>
    <row r="4" spans="1:11" x14ac:dyDescent="0.25">
      <c r="A4" s="11" t="s">
        <v>26</v>
      </c>
      <c r="B4" s="9">
        <v>0.42</v>
      </c>
      <c r="C4" s="9">
        <v>0.4</v>
      </c>
      <c r="D4" s="9">
        <v>0.52</v>
      </c>
      <c r="E4" s="9">
        <v>0.66</v>
      </c>
      <c r="F4" s="9">
        <v>0.74</v>
      </c>
      <c r="K4">
        <f>INDEX($B$3:$F$15,MATCH("Goat",$A$3:$A$15,0),MATCH("Rate 1",$B$2:$F$2,0))</f>
        <v>0.18</v>
      </c>
    </row>
    <row r="5" spans="1:11" x14ac:dyDescent="0.25">
      <c r="A5" s="11" t="s">
        <v>27</v>
      </c>
      <c r="B5" s="9">
        <v>0.38</v>
      </c>
      <c r="C5" s="9">
        <v>0.52</v>
      </c>
      <c r="D5" s="9">
        <v>0.6</v>
      </c>
      <c r="E5" s="9">
        <v>0.72</v>
      </c>
      <c r="F5" s="9">
        <v>0.78</v>
      </c>
    </row>
    <row r="6" spans="1:11" x14ac:dyDescent="0.25">
      <c r="A6" s="11" t="s">
        <v>28</v>
      </c>
      <c r="B6" s="9">
        <v>0.32</v>
      </c>
      <c r="C6" s="9">
        <v>0.64</v>
      </c>
      <c r="D6" s="9">
        <v>0.9</v>
      </c>
      <c r="E6" s="9">
        <v>0.92</v>
      </c>
      <c r="F6" s="9">
        <v>0.94</v>
      </c>
    </row>
    <row r="7" spans="1:11" x14ac:dyDescent="0.25">
      <c r="A7" s="11" t="s">
        <v>29</v>
      </c>
      <c r="B7" s="9">
        <v>0.27</v>
      </c>
      <c r="C7" s="9">
        <v>0.33</v>
      </c>
      <c r="D7" s="9">
        <v>0.43</v>
      </c>
      <c r="E7" s="9">
        <v>0.6</v>
      </c>
      <c r="F7" s="9">
        <v>0.74</v>
      </c>
    </row>
    <row r="8" spans="1:11" x14ac:dyDescent="0.25">
      <c r="A8" s="11" t="s">
        <v>30</v>
      </c>
      <c r="B8" s="9">
        <v>0.18</v>
      </c>
      <c r="C8" s="9">
        <v>0.6</v>
      </c>
      <c r="D8" s="9">
        <v>0.76</v>
      </c>
      <c r="E8" s="9">
        <v>0.86</v>
      </c>
      <c r="F8" s="9">
        <v>0.88</v>
      </c>
    </row>
    <row r="9" spans="1:11" x14ac:dyDescent="0.25">
      <c r="A9" s="11" t="s">
        <v>31</v>
      </c>
      <c r="B9" s="9">
        <v>0.96</v>
      </c>
      <c r="C9" s="9">
        <v>0.96</v>
      </c>
      <c r="D9" s="9">
        <v>1</v>
      </c>
      <c r="E9" s="9">
        <v>1</v>
      </c>
      <c r="F9" s="9">
        <v>1</v>
      </c>
    </row>
    <row r="10" spans="1:11" x14ac:dyDescent="0.25">
      <c r="A10" s="11" t="s">
        <v>32</v>
      </c>
      <c r="B10" s="9">
        <v>0.35</v>
      </c>
      <c r="C10" s="9">
        <v>0.78</v>
      </c>
      <c r="D10" s="9">
        <v>0.88</v>
      </c>
      <c r="E10" s="9">
        <v>0.94</v>
      </c>
      <c r="F10" s="9">
        <v>0.96</v>
      </c>
    </row>
    <row r="11" spans="1:11" x14ac:dyDescent="0.25">
      <c r="A11" s="11" t="s">
        <v>14</v>
      </c>
      <c r="B11" s="9">
        <v>0.31</v>
      </c>
      <c r="C11" s="9">
        <v>0.88</v>
      </c>
      <c r="D11" s="9">
        <v>0.86</v>
      </c>
      <c r="E11" s="9">
        <v>0.92</v>
      </c>
      <c r="F11" s="9">
        <v>0.96</v>
      </c>
    </row>
    <row r="12" spans="1:11" x14ac:dyDescent="0.25">
      <c r="A12" s="11" t="s">
        <v>33</v>
      </c>
      <c r="B12" s="9">
        <v>0.5</v>
      </c>
      <c r="C12" s="9">
        <v>0.67</v>
      </c>
      <c r="D12" s="9">
        <v>0.84</v>
      </c>
      <c r="E12" s="9">
        <v>0.92</v>
      </c>
      <c r="F12" s="9">
        <v>0.96</v>
      </c>
    </row>
    <row r="13" spans="1:11" x14ac:dyDescent="0.25">
      <c r="A13" s="11" t="s">
        <v>34</v>
      </c>
      <c r="B13" s="9">
        <v>0.46</v>
      </c>
      <c r="C13" s="9">
        <v>0.68</v>
      </c>
      <c r="D13" s="9">
        <v>0.62</v>
      </c>
      <c r="E13" s="9">
        <v>0.85</v>
      </c>
      <c r="F13" s="9">
        <v>0.9</v>
      </c>
    </row>
    <row r="14" spans="1:11" x14ac:dyDescent="0.25">
      <c r="A14" s="11" t="s">
        <v>13</v>
      </c>
      <c r="B14" s="9">
        <v>0.18</v>
      </c>
      <c r="C14" s="9">
        <v>0.88</v>
      </c>
      <c r="D14" s="9">
        <v>0.94</v>
      </c>
      <c r="E14" s="9">
        <v>0.98</v>
      </c>
      <c r="F14" s="9">
        <v>1</v>
      </c>
    </row>
    <row r="15" spans="1:11" x14ac:dyDescent="0.25">
      <c r="A15" s="11" t="s">
        <v>35</v>
      </c>
      <c r="B15" s="9">
        <v>0.54</v>
      </c>
      <c r="C15" s="9">
        <v>0.85</v>
      </c>
      <c r="D15" s="9">
        <v>0.95</v>
      </c>
      <c r="E15" s="9">
        <v>0.97</v>
      </c>
      <c r="F15" s="9">
        <v>0.97</v>
      </c>
    </row>
  </sheetData>
  <sortState ref="O2:P30">
    <sortCondition ref="P2"/>
  </sortState>
  <mergeCells count="1">
    <mergeCell ref="D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1"/>
  <sheetViews>
    <sheetView workbookViewId="0">
      <selection activeCell="B1" sqref="B1:B14"/>
    </sheetView>
  </sheetViews>
  <sheetFormatPr defaultRowHeight="15" x14ac:dyDescent="0.25"/>
  <cols>
    <col min="3" max="3" width="13.42578125" bestFit="1" customWidth="1"/>
    <col min="6" max="6" width="13.5703125" bestFit="1" customWidth="1"/>
    <col min="7" max="7" width="29.42578125" bestFit="1" customWidth="1"/>
  </cols>
  <sheetData>
    <row r="1" spans="1:7" x14ac:dyDescent="0.25">
      <c r="A1">
        <f>IF(B1="","",1)</f>
        <v>1</v>
      </c>
      <c r="B1" t="s">
        <v>25</v>
      </c>
      <c r="C1" t="s">
        <v>39</v>
      </c>
    </row>
    <row r="2" spans="1:7" x14ac:dyDescent="0.25">
      <c r="A2">
        <f t="shared" ref="A2:A9" si="0">IF(B2="","",1)</f>
        <v>1</v>
      </c>
      <c r="B2" t="s">
        <v>26</v>
      </c>
      <c r="C2" t="s">
        <v>37</v>
      </c>
    </row>
    <row r="3" spans="1:7" x14ac:dyDescent="0.25">
      <c r="A3">
        <f t="shared" si="0"/>
        <v>1</v>
      </c>
      <c r="B3" t="s">
        <v>27</v>
      </c>
      <c r="C3" t="s">
        <v>38</v>
      </c>
    </row>
    <row r="4" spans="1:7" x14ac:dyDescent="0.25">
      <c r="A4">
        <f t="shared" si="0"/>
        <v>1</v>
      </c>
      <c r="B4" t="s">
        <v>28</v>
      </c>
      <c r="C4" t="s">
        <v>40</v>
      </c>
    </row>
    <row r="5" spans="1:7" x14ac:dyDescent="0.25">
      <c r="A5">
        <f t="shared" si="0"/>
        <v>1</v>
      </c>
      <c r="B5" t="s">
        <v>29</v>
      </c>
      <c r="C5" t="s">
        <v>41</v>
      </c>
    </row>
    <row r="6" spans="1:7" x14ac:dyDescent="0.25">
      <c r="A6">
        <f t="shared" si="0"/>
        <v>1</v>
      </c>
      <c r="B6" t="s">
        <v>30</v>
      </c>
      <c r="C6" t="s">
        <v>43</v>
      </c>
    </row>
    <row r="7" spans="1:7" x14ac:dyDescent="0.25">
      <c r="A7">
        <f t="shared" si="0"/>
        <v>1</v>
      </c>
      <c r="B7" t="s">
        <v>31</v>
      </c>
      <c r="C7" t="s">
        <v>42</v>
      </c>
    </row>
    <row r="8" spans="1:7" x14ac:dyDescent="0.25">
      <c r="A8">
        <f t="shared" si="0"/>
        <v>1</v>
      </c>
      <c r="B8" t="s">
        <v>32</v>
      </c>
      <c r="C8" t="s">
        <v>50</v>
      </c>
    </row>
    <row r="9" spans="1:7" x14ac:dyDescent="0.25">
      <c r="A9">
        <f t="shared" si="0"/>
        <v>1</v>
      </c>
      <c r="B9" t="s">
        <v>14</v>
      </c>
      <c r="C9" t="s">
        <v>44</v>
      </c>
    </row>
    <row r="10" spans="1:7" x14ac:dyDescent="0.25">
      <c r="A10">
        <f>IF(B10="","",1)</f>
        <v>1</v>
      </c>
      <c r="B10" t="s">
        <v>17</v>
      </c>
      <c r="C10" t="s">
        <v>45</v>
      </c>
    </row>
    <row r="11" spans="1:7" x14ac:dyDescent="0.25">
      <c r="A11">
        <f>IF(B11="","",1)</f>
        <v>1</v>
      </c>
      <c r="B11" t="s">
        <v>33</v>
      </c>
      <c r="C11" t="s">
        <v>46</v>
      </c>
      <c r="F11" s="8" t="s">
        <v>15</v>
      </c>
      <c r="G11" s="9" t="s">
        <v>13</v>
      </c>
    </row>
    <row r="12" spans="1:7" x14ac:dyDescent="0.25">
      <c r="A12">
        <f t="shared" ref="A12:A40" si="1">IF(B12="","",1)</f>
        <v>1</v>
      </c>
      <c r="B12" t="s">
        <v>34</v>
      </c>
      <c r="C12" t="s">
        <v>47</v>
      </c>
      <c r="F12" s="8" t="s">
        <v>16</v>
      </c>
      <c r="G12" s="9" t="str">
        <f>IF(ISNA(VLOOKUP(G11,$B:$C,2,0)),"Not found "  &amp; G11&amp; " in dictionary",VLOOKUP(G11,$B:$C,2,0))</f>
        <v>Hổ</v>
      </c>
    </row>
    <row r="13" spans="1:7" x14ac:dyDescent="0.25">
      <c r="A13">
        <f t="shared" si="1"/>
        <v>1</v>
      </c>
      <c r="B13" t="s">
        <v>13</v>
      </c>
      <c r="C13" t="s">
        <v>48</v>
      </c>
      <c r="F13" s="8" t="s">
        <v>18</v>
      </c>
      <c r="G13" s="9">
        <f>$A$41</f>
        <v>14</v>
      </c>
    </row>
    <row r="14" spans="1:7" x14ac:dyDescent="0.25">
      <c r="A14">
        <f t="shared" si="1"/>
        <v>1</v>
      </c>
      <c r="B14" t="s">
        <v>35</v>
      </c>
      <c r="C14" t="s">
        <v>49</v>
      </c>
    </row>
    <row r="15" spans="1:7" x14ac:dyDescent="0.25">
      <c r="A15" t="str">
        <f t="shared" si="1"/>
        <v/>
      </c>
    </row>
    <row r="16" spans="1:7" x14ac:dyDescent="0.25">
      <c r="A16" t="str">
        <f t="shared" si="1"/>
        <v/>
      </c>
    </row>
    <row r="17" spans="1:1" x14ac:dyDescent="0.25">
      <c r="A17" t="str">
        <f t="shared" si="1"/>
        <v/>
      </c>
    </row>
    <row r="18" spans="1:1" x14ac:dyDescent="0.25">
      <c r="A18" t="str">
        <f t="shared" si="1"/>
        <v/>
      </c>
    </row>
    <row r="19" spans="1:1" x14ac:dyDescent="0.25">
      <c r="A19" t="str">
        <f t="shared" si="1"/>
        <v/>
      </c>
    </row>
    <row r="20" spans="1:1" x14ac:dyDescent="0.25">
      <c r="A20" t="str">
        <f t="shared" si="1"/>
        <v/>
      </c>
    </row>
    <row r="21" spans="1:1" x14ac:dyDescent="0.25">
      <c r="A21" t="str">
        <f t="shared" si="1"/>
        <v/>
      </c>
    </row>
    <row r="22" spans="1:1" x14ac:dyDescent="0.25">
      <c r="A22" t="str">
        <f t="shared" si="1"/>
        <v/>
      </c>
    </row>
    <row r="23" spans="1:1" x14ac:dyDescent="0.25">
      <c r="A23" t="str">
        <f t="shared" si="1"/>
        <v/>
      </c>
    </row>
    <row r="24" spans="1:1" x14ac:dyDescent="0.25">
      <c r="A24" t="str">
        <f t="shared" si="1"/>
        <v/>
      </c>
    </row>
    <row r="25" spans="1:1" x14ac:dyDescent="0.25">
      <c r="A25" t="str">
        <f t="shared" si="1"/>
        <v/>
      </c>
    </row>
    <row r="26" spans="1:1" x14ac:dyDescent="0.25">
      <c r="A26" t="str">
        <f t="shared" si="1"/>
        <v/>
      </c>
    </row>
    <row r="27" spans="1:1" x14ac:dyDescent="0.25">
      <c r="A27" t="str">
        <f t="shared" si="1"/>
        <v/>
      </c>
    </row>
    <row r="28" spans="1:1" x14ac:dyDescent="0.25">
      <c r="A28" t="str">
        <f t="shared" si="1"/>
        <v/>
      </c>
    </row>
    <row r="29" spans="1:1" x14ac:dyDescent="0.25">
      <c r="A29" t="str">
        <f t="shared" si="1"/>
        <v/>
      </c>
    </row>
    <row r="30" spans="1:1" x14ac:dyDescent="0.25">
      <c r="A30" t="str">
        <f t="shared" si="1"/>
        <v/>
      </c>
    </row>
    <row r="31" spans="1:1" x14ac:dyDescent="0.25">
      <c r="A31" t="str">
        <f t="shared" si="1"/>
        <v/>
      </c>
    </row>
    <row r="32" spans="1:1" x14ac:dyDescent="0.25">
      <c r="A32" t="str">
        <f t="shared" si="1"/>
        <v/>
      </c>
    </row>
    <row r="33" spans="1:1" x14ac:dyDescent="0.25">
      <c r="A33" t="str">
        <f t="shared" si="1"/>
        <v/>
      </c>
    </row>
    <row r="34" spans="1:1" x14ac:dyDescent="0.25">
      <c r="A34" t="str">
        <f t="shared" si="1"/>
        <v/>
      </c>
    </row>
    <row r="35" spans="1:1" x14ac:dyDescent="0.25">
      <c r="A35" t="str">
        <f t="shared" si="1"/>
        <v/>
      </c>
    </row>
    <row r="36" spans="1:1" x14ac:dyDescent="0.25">
      <c r="A36" t="str">
        <f t="shared" si="1"/>
        <v/>
      </c>
    </row>
    <row r="37" spans="1:1" x14ac:dyDescent="0.25">
      <c r="A37" t="str">
        <f t="shared" si="1"/>
        <v/>
      </c>
    </row>
    <row r="38" spans="1:1" x14ac:dyDescent="0.25">
      <c r="A38" t="str">
        <f t="shared" si="1"/>
        <v/>
      </c>
    </row>
    <row r="39" spans="1:1" x14ac:dyDescent="0.25">
      <c r="A39" t="str">
        <f t="shared" si="1"/>
        <v/>
      </c>
    </row>
    <row r="40" spans="1:1" x14ac:dyDescent="0.25">
      <c r="A40" t="str">
        <f t="shared" si="1"/>
        <v/>
      </c>
    </row>
    <row r="41" spans="1:1" x14ac:dyDescent="0.25">
      <c r="A41">
        <f>SUM(A1:A40)</f>
        <v>14</v>
      </c>
    </row>
  </sheetData>
  <sortState ref="A1:B41">
    <sortCondition ref="B1:B41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Colour</vt:lpstr>
      <vt:lpstr>Animal</vt:lpstr>
      <vt:lpstr>Sheet1</vt:lpstr>
      <vt:lpstr>Sheet3</vt:lpstr>
      <vt:lpstr>Sheet1!Animals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Tan Thinh</dc:creator>
  <cp:lastModifiedBy>Tran Tan Thinh</cp:lastModifiedBy>
  <dcterms:created xsi:type="dcterms:W3CDTF">2020-02-10T06:41:21Z</dcterms:created>
  <dcterms:modified xsi:type="dcterms:W3CDTF">2020-03-06T06:29:12Z</dcterms:modified>
</cp:coreProperties>
</file>