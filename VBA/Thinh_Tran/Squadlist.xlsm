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ARNING\MS OFFICE\EXCEL\VBA\TTThinh\"/>
    </mc:Choice>
  </mc:AlternateContent>
  <xr:revisionPtr revIDLastSave="0" documentId="13_ncr:1_{7A4BDB1E-EA0E-4E6E-AC00-9E10C134FF76}" xr6:coauthVersionLast="47" xr6:coauthVersionMax="47" xr10:uidLastSave="{00000000-0000-0000-0000-000000000000}"/>
  <bookViews>
    <workbookView xWindow="-120" yWindow="-120" windowWidth="19440" windowHeight="11640" xr2:uid="{00000000-000D-0000-FFFF-FFFF00000000}"/>
  </bookViews>
  <sheets>
    <sheet name="Squad List" sheetId="1" r:id="rId1"/>
    <sheet name="Formation" sheetId="2" r:id="rId2"/>
    <sheet name="Sheet1" sheetId="4" r:id="rId3"/>
  </sheets>
  <definedNames>
    <definedName name="_xlnm._FilterDatabase" localSheetId="0" hidden="1">'Squad List'!$A$2:$M$2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3" i="1" l="1"/>
  <c r="P3" i="1"/>
</calcChain>
</file>

<file path=xl/sharedStrings.xml><?xml version="1.0" encoding="utf-8"?>
<sst xmlns="http://schemas.openxmlformats.org/spreadsheetml/2006/main" count="107" uniqueCount="76">
  <si>
    <t>Name</t>
  </si>
  <si>
    <t>#</t>
  </si>
  <si>
    <t>Nat</t>
  </si>
  <si>
    <t>Age</t>
  </si>
  <si>
    <t>Height</t>
  </si>
  <si>
    <t>Pos</t>
  </si>
  <si>
    <t>Ovr</t>
  </si>
  <si>
    <t>Pau López</t>
  </si>
  <si>
    <t>GK</t>
  </si>
  <si>
    <t>Daniel Fuzato</t>
  </si>
  <si>
    <t>A. Mirante</t>
  </si>
  <si>
    <t>Juan Jesus</t>
  </si>
  <si>
    <t>CB</t>
  </si>
  <si>
    <t>C. Smalling</t>
  </si>
  <si>
    <t>M. Çetin</t>
  </si>
  <si>
    <t>F. Fazio</t>
  </si>
  <si>
    <t>G. Mancini</t>
  </si>
  <si>
    <t>A. Kolarov</t>
  </si>
  <si>
    <t>LB</t>
  </si>
  <si>
    <t>D. Santon</t>
  </si>
  <si>
    <t>L. Spinazzola</t>
  </si>
  <si>
    <t>D. Zappacosta</t>
  </si>
  <si>
    <t>RB</t>
  </si>
  <si>
    <t>A. Florenzi</t>
  </si>
  <si>
    <t>A. Diawara</t>
  </si>
  <si>
    <t>DMF</t>
  </si>
  <si>
    <t>B. Cristante</t>
  </si>
  <si>
    <t>CMF</t>
  </si>
  <si>
    <t>L. Pellegrini</t>
  </si>
  <si>
    <t>J. Veretout</t>
  </si>
  <si>
    <t>A. Riccardi</t>
  </si>
  <si>
    <t>H. Mkhitaryan</t>
  </si>
  <si>
    <t>N. Zaniolo</t>
  </si>
  <si>
    <t>AMF</t>
  </si>
  <si>
    <t>J. Pastore</t>
  </si>
  <si>
    <t>D. Perotti</t>
  </si>
  <si>
    <t>M. Antonucci</t>
  </si>
  <si>
    <t>J. Kluivert</t>
  </si>
  <si>
    <t>C. Ünder</t>
  </si>
  <si>
    <t>RWF</t>
  </si>
  <si>
    <t>E. Džeko</t>
  </si>
  <si>
    <t>CF</t>
  </si>
  <si>
    <t>N. Kalinić</t>
  </si>
  <si>
    <t>G. Scamacca</t>
  </si>
  <si>
    <t xml:space="preserve">AS ROMA </t>
  </si>
  <si>
    <t>Choose player</t>
  </si>
  <si>
    <t>LOOKUP</t>
  </si>
  <si>
    <t>A. Trubin</t>
  </si>
  <si>
    <t>R. Karsdorp</t>
  </si>
  <si>
    <t>R. Calafiori</t>
  </si>
  <si>
    <t>E. Ndicka</t>
  </si>
  <si>
    <t>W. Saliba</t>
  </si>
  <si>
    <t>L. Paredes</t>
  </si>
  <si>
    <t>R. Lukaku</t>
  </si>
  <si>
    <t>P. Dybala</t>
  </si>
  <si>
    <t>T. Abraham</t>
  </si>
  <si>
    <t>M. Svilar</t>
  </si>
  <si>
    <t>N. Mendes</t>
  </si>
  <si>
    <t>P. Dwomoh</t>
  </si>
  <si>
    <t>E. Darboe</t>
  </si>
  <si>
    <t>E. Bove</t>
  </si>
  <si>
    <t>N. Zalewski</t>
  </si>
  <si>
    <t>G. Martinelli</t>
  </si>
  <si>
    <t>Z. Celik</t>
  </si>
  <si>
    <t>T. Baldanzi</t>
  </si>
  <si>
    <t>E. Smith Rowe</t>
  </si>
  <si>
    <t>M. Kumbulla</t>
  </si>
  <si>
    <t>I. Sarr</t>
  </si>
  <si>
    <t>S. Coulibaly</t>
  </si>
  <si>
    <t>F. Paleari</t>
  </si>
  <si>
    <t>A. Velasco</t>
  </si>
  <si>
    <t>Matheus N.</t>
  </si>
  <si>
    <t>L. Castan</t>
  </si>
  <si>
    <t>E. Dzeko</t>
  </si>
  <si>
    <t>SS</t>
  </si>
  <si>
    <t>LMF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</si>
</sst>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BDBDB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5" fillId="0" borderId="1" xfId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1" xfId="1" applyFont="1" applyBorder="1"/>
    <xf numFmtId="0" fontId="0" fillId="0" borderId="1" xfId="0" applyFill="1" applyBorder="1" applyAlignment="1">
      <alignment horizontal="center" vertical="center"/>
    </xf>
    <xf numFmtId="0" fontId="0" fillId="0" borderId="1" xfId="0" applyBorder="1"/>
    <xf numFmtId="0" fontId="3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">
    <dxf>
      <font>
        <b/>
        <i val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600074</xdr:colOff>
      <xdr:row>0</xdr:row>
      <xdr:rowOff>0</xdr:rowOff>
    </xdr:from>
    <xdr:to>
      <xdr:col>8</xdr:col>
      <xdr:colOff>533399</xdr:colOff>
      <xdr:row>2</xdr:row>
      <xdr:rowOff>161924</xdr:rowOff>
    </xdr:to>
    <xdr:pic>
      <xdr:nvPicPr>
        <xdr:cNvPr id="2" name="Picture 1" descr="https://www.pesmaster.com/pes-2020/graphics/players/player_61147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7274" y="0"/>
          <a:ext cx="542925" cy="542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95250</xdr:colOff>
      <xdr:row>0</xdr:row>
      <xdr:rowOff>171450</xdr:rowOff>
    </xdr:from>
    <xdr:to>
      <xdr:col>0</xdr:col>
      <xdr:colOff>476250</xdr:colOff>
      <xdr:row>2</xdr:row>
      <xdr:rowOff>171450</xdr:rowOff>
    </xdr:to>
    <xdr:pic>
      <xdr:nvPicPr>
        <xdr:cNvPr id="3" name="Picture 2" descr="https://www.pesmaster.com/pes-2019/graphics/nteamlogos/flag_ESP.png?w=4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71450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142875</xdr:colOff>
      <xdr:row>3</xdr:row>
      <xdr:rowOff>38100</xdr:rowOff>
    </xdr:from>
    <xdr:to>
      <xdr:col>19</xdr:col>
      <xdr:colOff>142875</xdr:colOff>
      <xdr:row>9</xdr:row>
      <xdr:rowOff>114300</xdr:rowOff>
    </xdr:to>
    <xdr:pic>
      <xdr:nvPicPr>
        <xdr:cNvPr id="4" name="Picture 3" descr="https://www.pesmaster.com/pes-2020/graphics/players/player_118151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06075" y="609600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2</xdr:row>
      <xdr:rowOff>161925</xdr:rowOff>
    </xdr:from>
    <xdr:to>
      <xdr:col>0</xdr:col>
      <xdr:colOff>438150</xdr:colOff>
      <xdr:row>4</xdr:row>
      <xdr:rowOff>161925</xdr:rowOff>
    </xdr:to>
    <xdr:pic>
      <xdr:nvPicPr>
        <xdr:cNvPr id="5" name="Picture 4" descr="https://www.pesmaster.com/pes-2019/graphics/nteamlogos/flag_BRA.png?w=40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5429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</xdr:colOff>
      <xdr:row>3</xdr:row>
      <xdr:rowOff>85725</xdr:rowOff>
    </xdr:from>
    <xdr:to>
      <xdr:col>17</xdr:col>
      <xdr:colOff>19050</xdr:colOff>
      <xdr:row>9</xdr:row>
      <xdr:rowOff>161925</xdr:rowOff>
    </xdr:to>
    <xdr:pic>
      <xdr:nvPicPr>
        <xdr:cNvPr id="6" name="Picture 5" descr="https://www.pesmaster.com/pes-2020/graphics/players/player_5428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65722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4</xdr:row>
      <xdr:rowOff>85725</xdr:rowOff>
    </xdr:from>
    <xdr:to>
      <xdr:col>0</xdr:col>
      <xdr:colOff>495300</xdr:colOff>
      <xdr:row>6</xdr:row>
      <xdr:rowOff>85725</xdr:rowOff>
    </xdr:to>
    <xdr:pic>
      <xdr:nvPicPr>
        <xdr:cNvPr id="7" name="Picture 6" descr="https://www.pesmaster.com/pes-2019/graphics/nteamlogos/flag_ITA.png?w=4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847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333375</xdr:colOff>
      <xdr:row>19</xdr:row>
      <xdr:rowOff>152400</xdr:rowOff>
    </xdr:from>
    <xdr:to>
      <xdr:col>17</xdr:col>
      <xdr:colOff>333375</xdr:colOff>
      <xdr:row>26</xdr:row>
      <xdr:rowOff>38100</xdr:rowOff>
    </xdr:to>
    <xdr:pic>
      <xdr:nvPicPr>
        <xdr:cNvPr id="8" name="Picture 7" descr="https://www.pesmaster.com/pes-2020/graphics/players/player_42429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7375" y="3771900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2</xdr:row>
      <xdr:rowOff>180976</xdr:rowOff>
    </xdr:from>
    <xdr:to>
      <xdr:col>10</xdr:col>
      <xdr:colOff>19049</xdr:colOff>
      <xdr:row>6</xdr:row>
      <xdr:rowOff>0</xdr:rowOff>
    </xdr:to>
    <xdr:pic>
      <xdr:nvPicPr>
        <xdr:cNvPr id="10" name="Picture 9" descr="https://www.pesmaster.com/pes-2020/graphics/players/player_40257.pn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561976"/>
          <a:ext cx="581024" cy="5810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</xdr:colOff>
      <xdr:row>6</xdr:row>
      <xdr:rowOff>171450</xdr:rowOff>
    </xdr:from>
    <xdr:to>
      <xdr:col>0</xdr:col>
      <xdr:colOff>409575</xdr:colOff>
      <xdr:row>8</xdr:row>
      <xdr:rowOff>171450</xdr:rowOff>
    </xdr:to>
    <xdr:pic>
      <xdr:nvPicPr>
        <xdr:cNvPr id="11" name="Picture 10" descr="https://www.pesmaster.com/pes-2019/graphics/nteamlogos/flag_ENG.png?w=4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314450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571501</xdr:colOff>
      <xdr:row>2</xdr:row>
      <xdr:rowOff>171451</xdr:rowOff>
    </xdr:from>
    <xdr:to>
      <xdr:col>7</xdr:col>
      <xdr:colOff>542925</xdr:colOff>
      <xdr:row>5</xdr:row>
      <xdr:rowOff>180975</xdr:rowOff>
    </xdr:to>
    <xdr:pic>
      <xdr:nvPicPr>
        <xdr:cNvPr id="12" name="Picture 11" descr="https://www.pesmaster.com/pes-2020/graphics/players/player_121126.pn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1" y="552451"/>
          <a:ext cx="581024" cy="5810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9</xdr:row>
      <xdr:rowOff>0</xdr:rowOff>
    </xdr:from>
    <xdr:to>
      <xdr:col>0</xdr:col>
      <xdr:colOff>438150</xdr:colOff>
      <xdr:row>11</xdr:row>
      <xdr:rowOff>0</xdr:rowOff>
    </xdr:to>
    <xdr:pic>
      <xdr:nvPicPr>
        <xdr:cNvPr id="13" name="Picture 12" descr="https://www.pesmaster.com/pes-2019/graphics/nteamlogos/flag_TUR.png?w=4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714500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533400</xdr:colOff>
      <xdr:row>20</xdr:row>
      <xdr:rowOff>47625</xdr:rowOff>
    </xdr:from>
    <xdr:to>
      <xdr:col>12</xdr:col>
      <xdr:colOff>533400</xdr:colOff>
      <xdr:row>26</xdr:row>
      <xdr:rowOff>123825</xdr:rowOff>
    </xdr:to>
    <xdr:pic>
      <xdr:nvPicPr>
        <xdr:cNvPr id="14" name="Picture 13" descr="https://www.pesmaster.com/pes-2020/graphics/players/player_35123.png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385762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15</xdr:row>
      <xdr:rowOff>114300</xdr:rowOff>
    </xdr:from>
    <xdr:to>
      <xdr:col>0</xdr:col>
      <xdr:colOff>419100</xdr:colOff>
      <xdr:row>17</xdr:row>
      <xdr:rowOff>114300</xdr:rowOff>
    </xdr:to>
    <xdr:pic>
      <xdr:nvPicPr>
        <xdr:cNvPr id="15" name="Picture 14" descr="https://www.pesmaster.com/pes-2019/graphics/nteamlogos/flag_ARG.png?w=40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971800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581025</xdr:colOff>
      <xdr:row>7</xdr:row>
      <xdr:rowOff>9525</xdr:rowOff>
    </xdr:from>
    <xdr:to>
      <xdr:col>7</xdr:col>
      <xdr:colOff>600075</xdr:colOff>
      <xdr:row>10</xdr:row>
      <xdr:rowOff>66675</xdr:rowOff>
    </xdr:to>
    <xdr:pic>
      <xdr:nvPicPr>
        <xdr:cNvPr id="16" name="Picture 15" descr="https://www.pesmaster.com/pes-2020/graphics/players/player_106671.png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8625" y="1343025"/>
          <a:ext cx="628650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400050</xdr:colOff>
      <xdr:row>5</xdr:row>
      <xdr:rowOff>76201</xdr:rowOff>
    </xdr:from>
    <xdr:to>
      <xdr:col>11</xdr:col>
      <xdr:colOff>419100</xdr:colOff>
      <xdr:row>8</xdr:row>
      <xdr:rowOff>133351</xdr:rowOff>
    </xdr:to>
    <xdr:pic>
      <xdr:nvPicPr>
        <xdr:cNvPr id="18" name="Picture 17" descr="https://www.pesmaster.com/pes-2020/graphics/players/player_36764.png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1028701"/>
          <a:ext cx="628650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66675</xdr:rowOff>
    </xdr:from>
    <xdr:to>
      <xdr:col>0</xdr:col>
      <xdr:colOff>381000</xdr:colOff>
      <xdr:row>15</xdr:row>
      <xdr:rowOff>66675</xdr:rowOff>
    </xdr:to>
    <xdr:pic>
      <xdr:nvPicPr>
        <xdr:cNvPr id="19" name="Picture 18" descr="https://www.pesmaster.com/pes-2019/graphics/nteamlogos/flag_SER.png?w=40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431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238125</xdr:colOff>
      <xdr:row>19</xdr:row>
      <xdr:rowOff>152400</xdr:rowOff>
    </xdr:from>
    <xdr:to>
      <xdr:col>19</xdr:col>
      <xdr:colOff>238125</xdr:colOff>
      <xdr:row>26</xdr:row>
      <xdr:rowOff>38100</xdr:rowOff>
    </xdr:to>
    <xdr:pic>
      <xdr:nvPicPr>
        <xdr:cNvPr id="20" name="Picture 19" descr="https://www.pesmaster.com/pes-2020/graphics/players/player_38682.pn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3771900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400050</xdr:colOff>
      <xdr:row>20</xdr:row>
      <xdr:rowOff>161925</xdr:rowOff>
    </xdr:from>
    <xdr:to>
      <xdr:col>7</xdr:col>
      <xdr:colOff>400050</xdr:colOff>
      <xdr:row>27</xdr:row>
      <xdr:rowOff>47625</xdr:rowOff>
    </xdr:to>
    <xdr:pic>
      <xdr:nvPicPr>
        <xdr:cNvPr id="22" name="Picture 21" descr="https://www.pesmaster.com/pes-2020/graphics/players/player_100630.pn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48050" y="397192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266700</xdr:colOff>
      <xdr:row>21</xdr:row>
      <xdr:rowOff>28575</xdr:rowOff>
    </xdr:from>
    <xdr:to>
      <xdr:col>10</xdr:col>
      <xdr:colOff>266700</xdr:colOff>
      <xdr:row>27</xdr:row>
      <xdr:rowOff>104775</xdr:rowOff>
    </xdr:to>
    <xdr:pic>
      <xdr:nvPicPr>
        <xdr:cNvPr id="24" name="Picture 23" descr="https://www.pesmaster.com/pes-2020/graphics/players/player_0.png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0" y="402907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85725</xdr:colOff>
      <xdr:row>20</xdr:row>
      <xdr:rowOff>66675</xdr:rowOff>
    </xdr:from>
    <xdr:to>
      <xdr:col>3</xdr:col>
      <xdr:colOff>85725</xdr:colOff>
      <xdr:row>26</xdr:row>
      <xdr:rowOff>142875</xdr:rowOff>
    </xdr:to>
    <xdr:pic>
      <xdr:nvPicPr>
        <xdr:cNvPr id="26" name="Picture 25" descr="https://www.pesmaster.com/pes-2020/graphics/players/player_100428.png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387667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104775</xdr:colOff>
      <xdr:row>5</xdr:row>
      <xdr:rowOff>38100</xdr:rowOff>
    </xdr:from>
    <xdr:to>
      <xdr:col>6</xdr:col>
      <xdr:colOff>142875</xdr:colOff>
      <xdr:row>8</xdr:row>
      <xdr:rowOff>114300</xdr:rowOff>
    </xdr:to>
    <xdr:pic>
      <xdr:nvPicPr>
        <xdr:cNvPr id="28" name="Picture 27" descr="https://www.pesmaster.com/pes-2020/graphics/players/player_47011.pn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2775" y="990600"/>
          <a:ext cx="64770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</xdr:colOff>
      <xdr:row>12</xdr:row>
      <xdr:rowOff>152400</xdr:rowOff>
    </xdr:from>
    <xdr:to>
      <xdr:col>17</xdr:col>
      <xdr:colOff>19050</xdr:colOff>
      <xdr:row>19</xdr:row>
      <xdr:rowOff>38100</xdr:rowOff>
    </xdr:to>
    <xdr:pic>
      <xdr:nvPicPr>
        <xdr:cNvPr id="30" name="Picture 29" descr="https://www.pesmaster.com/pes-2020/graphics/players/player_109220.png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2438400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161925</xdr:rowOff>
    </xdr:from>
    <xdr:to>
      <xdr:col>0</xdr:col>
      <xdr:colOff>381000</xdr:colOff>
      <xdr:row>12</xdr:row>
      <xdr:rowOff>161925</xdr:rowOff>
    </xdr:to>
    <xdr:pic>
      <xdr:nvPicPr>
        <xdr:cNvPr id="31" name="Picture 30" descr="https://www.pesmaster.com/pes-2019/graphics/nteamlogos/flag_GIN.png?w=4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669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17</xdr:row>
      <xdr:rowOff>66675</xdr:rowOff>
    </xdr:from>
    <xdr:to>
      <xdr:col>0</xdr:col>
      <xdr:colOff>400050</xdr:colOff>
      <xdr:row>19</xdr:row>
      <xdr:rowOff>66675</xdr:rowOff>
    </xdr:to>
    <xdr:pic>
      <xdr:nvPicPr>
        <xdr:cNvPr id="33" name="Picture 32" descr="https://www.pesmaster.com/pes-2019/graphics/nteamlogos/flag_GMB.png?w=40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3051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247650</xdr:colOff>
      <xdr:row>13</xdr:row>
      <xdr:rowOff>19050</xdr:rowOff>
    </xdr:from>
    <xdr:to>
      <xdr:col>14</xdr:col>
      <xdr:colOff>247650</xdr:colOff>
      <xdr:row>19</xdr:row>
      <xdr:rowOff>95250</xdr:rowOff>
    </xdr:to>
    <xdr:pic>
      <xdr:nvPicPr>
        <xdr:cNvPr id="34" name="Picture 33" descr="https://www.pesmaster.com/pes-2020/graphics/players/player_63520.png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62850" y="2495550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20</xdr:row>
      <xdr:rowOff>152400</xdr:rowOff>
    </xdr:from>
    <xdr:to>
      <xdr:col>5</xdr:col>
      <xdr:colOff>304800</xdr:colOff>
      <xdr:row>27</xdr:row>
      <xdr:rowOff>38100</xdr:rowOff>
    </xdr:to>
    <xdr:pic>
      <xdr:nvPicPr>
        <xdr:cNvPr id="36" name="Picture 35" descr="https://www.pesmaster.com/pes-2020/graphics/players/player_108096.png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" y="3962400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400050</xdr:colOff>
      <xdr:row>7</xdr:row>
      <xdr:rowOff>9525</xdr:rowOff>
    </xdr:from>
    <xdr:to>
      <xdr:col>9</xdr:col>
      <xdr:colOff>457200</xdr:colOff>
      <xdr:row>10</xdr:row>
      <xdr:rowOff>104775</xdr:rowOff>
    </xdr:to>
    <xdr:pic>
      <xdr:nvPicPr>
        <xdr:cNvPr id="38" name="Picture 37" descr="https://www.pesmaster.com/pes-2020/graphics/players/player_57258.png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6850" y="1343025"/>
          <a:ext cx="66675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57150</xdr:rowOff>
    </xdr:from>
    <xdr:to>
      <xdr:col>0</xdr:col>
      <xdr:colOff>381000</xdr:colOff>
      <xdr:row>21</xdr:row>
      <xdr:rowOff>57150</xdr:rowOff>
    </xdr:to>
    <xdr:pic>
      <xdr:nvPicPr>
        <xdr:cNvPr id="39" name="Picture 38" descr="https://www.pesmaster.com/pes-2019/graphics/nteamlogos/flag_FRA.png?w=40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76650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209550</xdr:colOff>
      <xdr:row>20</xdr:row>
      <xdr:rowOff>95250</xdr:rowOff>
    </xdr:from>
    <xdr:to>
      <xdr:col>15</xdr:col>
      <xdr:colOff>209550</xdr:colOff>
      <xdr:row>26</xdr:row>
      <xdr:rowOff>171450</xdr:rowOff>
    </xdr:to>
    <xdr:pic>
      <xdr:nvPicPr>
        <xdr:cNvPr id="40" name="Picture 39" descr="https://www.pesmaster.com/pes-2020/graphics/players/player_122031.png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34350" y="3905250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323850</xdr:colOff>
      <xdr:row>12</xdr:row>
      <xdr:rowOff>142875</xdr:rowOff>
    </xdr:from>
    <xdr:to>
      <xdr:col>19</xdr:col>
      <xdr:colOff>323850</xdr:colOff>
      <xdr:row>19</xdr:row>
      <xdr:rowOff>28575</xdr:rowOff>
    </xdr:to>
    <xdr:pic>
      <xdr:nvPicPr>
        <xdr:cNvPr id="42" name="Picture 41" descr="https://www.pesmaster.com/pes-2020/graphics/players/player_39936.png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87050" y="242887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21</xdr:row>
      <xdr:rowOff>85725</xdr:rowOff>
    </xdr:from>
    <xdr:to>
      <xdr:col>0</xdr:col>
      <xdr:colOff>438150</xdr:colOff>
      <xdr:row>23</xdr:row>
      <xdr:rowOff>85725</xdr:rowOff>
    </xdr:to>
    <xdr:pic>
      <xdr:nvPicPr>
        <xdr:cNvPr id="43" name="Picture 42" descr="https://www.pesmaster.com/pes-2019/graphics/nteamlogos/flag_ARM.png?w=40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0862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361950</xdr:colOff>
      <xdr:row>12</xdr:row>
      <xdr:rowOff>95250</xdr:rowOff>
    </xdr:from>
    <xdr:to>
      <xdr:col>6</xdr:col>
      <xdr:colOff>428625</xdr:colOff>
      <xdr:row>16</xdr:row>
      <xdr:rowOff>9525</xdr:rowOff>
    </xdr:to>
    <xdr:pic>
      <xdr:nvPicPr>
        <xdr:cNvPr id="44" name="Picture 43" descr="https://www.pesmaster.com/pes-2020/graphics/players/player_114909.png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9950" y="2381250"/>
          <a:ext cx="6762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514350</xdr:colOff>
      <xdr:row>11</xdr:row>
      <xdr:rowOff>161925</xdr:rowOff>
    </xdr:from>
    <xdr:to>
      <xdr:col>8</xdr:col>
      <xdr:colOff>581025</xdr:colOff>
      <xdr:row>15</xdr:row>
      <xdr:rowOff>76200</xdr:rowOff>
    </xdr:to>
    <xdr:pic>
      <xdr:nvPicPr>
        <xdr:cNvPr id="46" name="Picture 45" descr="https://www.pesmaster.com/pes-2020/graphics/players/player_40220.png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1550" y="2257425"/>
          <a:ext cx="6762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419100</xdr:colOff>
      <xdr:row>27</xdr:row>
      <xdr:rowOff>104775</xdr:rowOff>
    </xdr:from>
    <xdr:to>
      <xdr:col>10</xdr:col>
      <xdr:colOff>419100</xdr:colOff>
      <xdr:row>33</xdr:row>
      <xdr:rowOff>180975</xdr:rowOff>
    </xdr:to>
    <xdr:pic>
      <xdr:nvPicPr>
        <xdr:cNvPr id="48" name="Picture 47" descr="https://www.pesmaster.com/pes-2020/graphics/players/player_40423.png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5900" y="524827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409575</xdr:colOff>
      <xdr:row>27</xdr:row>
      <xdr:rowOff>161925</xdr:rowOff>
    </xdr:from>
    <xdr:to>
      <xdr:col>5</xdr:col>
      <xdr:colOff>409575</xdr:colOff>
      <xdr:row>34</xdr:row>
      <xdr:rowOff>47625</xdr:rowOff>
    </xdr:to>
    <xdr:pic>
      <xdr:nvPicPr>
        <xdr:cNvPr id="50" name="Picture 49" descr="https://www.pesmaster.com/pes-2020/graphics/players/player_117946.png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530542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552450</xdr:colOff>
      <xdr:row>12</xdr:row>
      <xdr:rowOff>19050</xdr:rowOff>
    </xdr:from>
    <xdr:to>
      <xdr:col>11</xdr:col>
      <xdr:colOff>0</xdr:colOff>
      <xdr:row>15</xdr:row>
      <xdr:rowOff>114300</xdr:rowOff>
    </xdr:to>
    <xdr:pic>
      <xdr:nvPicPr>
        <xdr:cNvPr id="52" name="Picture 51" descr="https://www.pesmaster.com/pes-2020/graphics/players/player_114845.png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2305050"/>
          <a:ext cx="66675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</xdr:colOff>
      <xdr:row>23</xdr:row>
      <xdr:rowOff>28575</xdr:rowOff>
    </xdr:from>
    <xdr:to>
      <xdr:col>0</xdr:col>
      <xdr:colOff>409575</xdr:colOff>
      <xdr:row>25</xdr:row>
      <xdr:rowOff>28575</xdr:rowOff>
    </xdr:to>
    <xdr:pic>
      <xdr:nvPicPr>
        <xdr:cNvPr id="53" name="Picture 52" descr="https://www.pesmaster.com/pes-2019/graphics/nteamlogos/flag_NLD.png?w=40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4100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19050</xdr:colOff>
      <xdr:row>27</xdr:row>
      <xdr:rowOff>28575</xdr:rowOff>
    </xdr:from>
    <xdr:to>
      <xdr:col>8</xdr:col>
      <xdr:colOff>19050</xdr:colOff>
      <xdr:row>33</xdr:row>
      <xdr:rowOff>104775</xdr:rowOff>
    </xdr:to>
    <xdr:pic>
      <xdr:nvPicPr>
        <xdr:cNvPr id="54" name="Picture 53" descr="https://www.pesmaster.com/pes-2020/graphics/players/player_116230.png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76650" y="517207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485775</xdr:colOff>
      <xdr:row>17</xdr:row>
      <xdr:rowOff>9525</xdr:rowOff>
    </xdr:from>
    <xdr:to>
      <xdr:col>8</xdr:col>
      <xdr:colOff>561975</xdr:colOff>
      <xdr:row>20</xdr:row>
      <xdr:rowOff>123825</xdr:rowOff>
    </xdr:to>
    <xdr:pic>
      <xdr:nvPicPr>
        <xdr:cNvPr id="56" name="Picture 55" descr="https://www.pesmaster.com/pes-2020/graphics/players/player_37638.png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3248025"/>
          <a:ext cx="6858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25</xdr:row>
      <xdr:rowOff>9525</xdr:rowOff>
    </xdr:from>
    <xdr:to>
      <xdr:col>0</xdr:col>
      <xdr:colOff>390525</xdr:colOff>
      <xdr:row>27</xdr:row>
      <xdr:rowOff>9525</xdr:rowOff>
    </xdr:to>
    <xdr:pic>
      <xdr:nvPicPr>
        <xdr:cNvPr id="57" name="Picture 56" descr="https://www.pesmaster.com/pes-2019/graphics/nteamlogos/flag_BIH.png?w=40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720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123825</xdr:colOff>
      <xdr:row>27</xdr:row>
      <xdr:rowOff>9525</xdr:rowOff>
    </xdr:from>
    <xdr:to>
      <xdr:col>3</xdr:col>
      <xdr:colOff>123825</xdr:colOff>
      <xdr:row>33</xdr:row>
      <xdr:rowOff>85725</xdr:rowOff>
    </xdr:to>
    <xdr:pic>
      <xdr:nvPicPr>
        <xdr:cNvPr id="58" name="Picture 57" descr="https://www.pesmaster.com/pes-2020/graphics/players/player_39231.png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5153025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27</xdr:row>
      <xdr:rowOff>0</xdr:rowOff>
    </xdr:from>
    <xdr:to>
      <xdr:col>0</xdr:col>
      <xdr:colOff>390525</xdr:colOff>
      <xdr:row>29</xdr:row>
      <xdr:rowOff>0</xdr:rowOff>
    </xdr:to>
    <xdr:pic>
      <xdr:nvPicPr>
        <xdr:cNvPr id="59" name="Picture 58" descr="https://www.pesmaster.com/pes-2019/graphics/nteamlogos/flag_HRV.png?w=40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5143500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142875</xdr:colOff>
      <xdr:row>27</xdr:row>
      <xdr:rowOff>114300</xdr:rowOff>
    </xdr:from>
    <xdr:to>
      <xdr:col>13</xdr:col>
      <xdr:colOff>142875</xdr:colOff>
      <xdr:row>34</xdr:row>
      <xdr:rowOff>0</xdr:rowOff>
    </xdr:to>
    <xdr:pic>
      <xdr:nvPicPr>
        <xdr:cNvPr id="61" name="Picture 60" descr="https://www.pesmaster.com/pes-2020/graphics/players/player_115117.png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5" y="5257800"/>
          <a:ext cx="121920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esmaster.com/g-mancini/pes-2020/player/106671/" TargetMode="External"/><Relationship Id="rId13" Type="http://schemas.openxmlformats.org/officeDocument/2006/relationships/hyperlink" Target="https://www.pesmaster.com/a-florenzi/pes-2020/player/47011/" TargetMode="External"/><Relationship Id="rId18" Type="http://schemas.openxmlformats.org/officeDocument/2006/relationships/hyperlink" Target="https://www.pesmaster.com/a-riccardi/pes-2020/player/122031/" TargetMode="External"/><Relationship Id="rId26" Type="http://schemas.openxmlformats.org/officeDocument/2006/relationships/hyperlink" Target="https://www.pesmaster.com/e-dzeko/pes-2020/player/37638/" TargetMode="External"/><Relationship Id="rId3" Type="http://schemas.openxmlformats.org/officeDocument/2006/relationships/hyperlink" Target="https://www.pesmaster.com/a-mirante/pes-2020/player/5428/" TargetMode="External"/><Relationship Id="rId21" Type="http://schemas.openxmlformats.org/officeDocument/2006/relationships/hyperlink" Target="https://www.pesmaster.com/j-pastore/pes-2020/player/40220/" TargetMode="External"/><Relationship Id="rId7" Type="http://schemas.openxmlformats.org/officeDocument/2006/relationships/hyperlink" Target="https://www.pesmaster.com/f-fazio/pes-2020/player/35123/" TargetMode="External"/><Relationship Id="rId12" Type="http://schemas.openxmlformats.org/officeDocument/2006/relationships/hyperlink" Target="https://www.pesmaster.com/d-zappacosta/pes-2020/player/100428/" TargetMode="External"/><Relationship Id="rId17" Type="http://schemas.openxmlformats.org/officeDocument/2006/relationships/hyperlink" Target="https://www.pesmaster.com/j-veretout/pes-2020/player/57258/" TargetMode="External"/><Relationship Id="rId25" Type="http://schemas.openxmlformats.org/officeDocument/2006/relationships/hyperlink" Target="https://www.pesmaster.com/c-under/pes-2020/player/116230/" TargetMode="External"/><Relationship Id="rId2" Type="http://schemas.openxmlformats.org/officeDocument/2006/relationships/hyperlink" Target="https://www.pesmaster.com/daniel-fuzato/pes-2020/player/118151/" TargetMode="External"/><Relationship Id="rId16" Type="http://schemas.openxmlformats.org/officeDocument/2006/relationships/hyperlink" Target="https://www.pesmaster.com/l-pellegrini/pes-2020/player/108096/" TargetMode="External"/><Relationship Id="rId20" Type="http://schemas.openxmlformats.org/officeDocument/2006/relationships/hyperlink" Target="https://www.pesmaster.com/n-zaniolo/pes-2020/player/114909/" TargetMode="External"/><Relationship Id="rId1" Type="http://schemas.openxmlformats.org/officeDocument/2006/relationships/hyperlink" Target="https://www.pesmaster.com/pau-lopez/pes-2020/player/61147/" TargetMode="External"/><Relationship Id="rId6" Type="http://schemas.openxmlformats.org/officeDocument/2006/relationships/hyperlink" Target="https://www.pesmaster.com/m-cetin/pes-2020/player/121126/" TargetMode="External"/><Relationship Id="rId11" Type="http://schemas.openxmlformats.org/officeDocument/2006/relationships/hyperlink" Target="https://www.pesmaster.com/l-spinazzola/pes-2020/player/100630/" TargetMode="External"/><Relationship Id="rId24" Type="http://schemas.openxmlformats.org/officeDocument/2006/relationships/hyperlink" Target="https://www.pesmaster.com/j-kluivert/pes-2020/player/114845/" TargetMode="External"/><Relationship Id="rId5" Type="http://schemas.openxmlformats.org/officeDocument/2006/relationships/hyperlink" Target="https://www.pesmaster.com/c-smalling/pes-2020/player/40257/" TargetMode="External"/><Relationship Id="rId15" Type="http://schemas.openxmlformats.org/officeDocument/2006/relationships/hyperlink" Target="https://www.pesmaster.com/b-cristante/pes-2020/player/63520/" TargetMode="External"/><Relationship Id="rId23" Type="http://schemas.openxmlformats.org/officeDocument/2006/relationships/hyperlink" Target="https://www.pesmaster.com/m-antonucci/pes-2020/player/117946/" TargetMode="External"/><Relationship Id="rId28" Type="http://schemas.openxmlformats.org/officeDocument/2006/relationships/hyperlink" Target="https://www.pesmaster.com/g-scamacca/pes-2020/player/115117/" TargetMode="External"/><Relationship Id="rId10" Type="http://schemas.openxmlformats.org/officeDocument/2006/relationships/hyperlink" Target="https://www.pesmaster.com/d-santon/pes-2020/player/38682/" TargetMode="External"/><Relationship Id="rId19" Type="http://schemas.openxmlformats.org/officeDocument/2006/relationships/hyperlink" Target="https://www.pesmaster.com/h-mkhitaryan/pes-2020/player/39936/" TargetMode="External"/><Relationship Id="rId4" Type="http://schemas.openxmlformats.org/officeDocument/2006/relationships/hyperlink" Target="https://www.pesmaster.com/juan-jesus/pes-2020/player/42429/" TargetMode="External"/><Relationship Id="rId9" Type="http://schemas.openxmlformats.org/officeDocument/2006/relationships/hyperlink" Target="https://www.pesmaster.com/a-kolarov/pes-2020/player/36764/" TargetMode="External"/><Relationship Id="rId14" Type="http://schemas.openxmlformats.org/officeDocument/2006/relationships/hyperlink" Target="https://www.pesmaster.com/a-diawara/pes-2020/player/109220/" TargetMode="External"/><Relationship Id="rId22" Type="http://schemas.openxmlformats.org/officeDocument/2006/relationships/hyperlink" Target="https://www.pesmaster.com/d-perotti/pes-2020/player/40423/" TargetMode="External"/><Relationship Id="rId27" Type="http://schemas.openxmlformats.org/officeDocument/2006/relationships/hyperlink" Target="https://www.pesmaster.com/n-kalinic/pes-2020/player/3923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A2" sqref="A2:G34"/>
    </sheetView>
  </sheetViews>
  <sheetFormatPr defaultRowHeight="15" x14ac:dyDescent="0.25"/>
  <cols>
    <col min="1" max="1" width="13.42578125" bestFit="1" customWidth="1"/>
    <col min="2" max="2" width="3" bestFit="1" customWidth="1"/>
    <col min="3" max="3" width="4.140625" bestFit="1" customWidth="1"/>
    <col min="4" max="4" width="4.42578125" bestFit="1" customWidth="1"/>
    <col min="5" max="5" width="6.85546875" bestFit="1" customWidth="1"/>
    <col min="6" max="6" width="5" bestFit="1" customWidth="1"/>
    <col min="7" max="7" width="4.140625" bestFit="1" customWidth="1"/>
    <col min="8" max="8" width="4" bestFit="1" customWidth="1"/>
    <col min="9" max="9" width="3.85546875" bestFit="1" customWidth="1"/>
    <col min="10" max="10" width="3.42578125" bestFit="1" customWidth="1"/>
    <col min="11" max="11" width="4.140625" bestFit="1" customWidth="1"/>
    <col min="12" max="12" width="4.28515625" bestFit="1" customWidth="1"/>
    <col min="13" max="13" width="3.5703125" bestFit="1" customWidth="1"/>
    <col min="15" max="15" width="13.7109375" bestFit="1" customWidth="1"/>
    <col min="16" max="16" width="9.7109375" customWidth="1"/>
    <col min="17" max="17" width="9.28515625" customWidth="1"/>
  </cols>
  <sheetData>
    <row r="1" spans="1:17" ht="18.75" x14ac:dyDescent="0.25">
      <c r="A1" s="11" t="s">
        <v>44</v>
      </c>
    </row>
    <row r="2" spans="1:17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O2" s="10" t="s">
        <v>45</v>
      </c>
      <c r="P2" s="10" t="s">
        <v>5</v>
      </c>
      <c r="Q2" s="10" t="s">
        <v>6</v>
      </c>
    </row>
    <row r="3" spans="1:17" x14ac:dyDescent="0.25">
      <c r="A3" s="14" t="s">
        <v>47</v>
      </c>
      <c r="B3" s="4">
        <v>1</v>
      </c>
      <c r="C3" s="4"/>
      <c r="D3" s="4">
        <v>22</v>
      </c>
      <c r="E3" s="4">
        <v>199</v>
      </c>
      <c r="F3" s="4" t="s">
        <v>8</v>
      </c>
      <c r="G3" s="5">
        <v>77</v>
      </c>
      <c r="O3" s="8" t="s">
        <v>30</v>
      </c>
      <c r="P3" s="4" t="str">
        <f>VLOOKUP(O3,A2:M30,6,0)</f>
        <v>CMF</v>
      </c>
      <c r="Q3" s="4">
        <f>VLOOKUP(O3,A2:M30,7,0)</f>
        <v>68</v>
      </c>
    </row>
    <row r="4" spans="1:17" x14ac:dyDescent="0.25">
      <c r="A4" s="14" t="s">
        <v>48</v>
      </c>
      <c r="B4" s="4">
        <v>2</v>
      </c>
      <c r="C4" s="4"/>
      <c r="D4" s="4">
        <v>28</v>
      </c>
      <c r="E4" s="4">
        <v>182</v>
      </c>
      <c r="F4" s="4" t="s">
        <v>22</v>
      </c>
      <c r="G4" s="5">
        <v>79</v>
      </c>
    </row>
    <row r="5" spans="1:17" x14ac:dyDescent="0.25">
      <c r="A5" s="14" t="s">
        <v>49</v>
      </c>
      <c r="B5" s="4">
        <v>3</v>
      </c>
      <c r="C5" s="4"/>
      <c r="D5" s="4">
        <v>22</v>
      </c>
      <c r="E5" s="4">
        <v>183</v>
      </c>
      <c r="F5" s="4" t="s">
        <v>18</v>
      </c>
      <c r="G5" s="5">
        <v>77</v>
      </c>
    </row>
    <row r="6" spans="1:17" x14ac:dyDescent="0.25">
      <c r="A6" s="14" t="s">
        <v>26</v>
      </c>
      <c r="B6" s="4">
        <v>4</v>
      </c>
      <c r="C6" s="4"/>
      <c r="D6" s="4">
        <v>28</v>
      </c>
      <c r="E6" s="4">
        <v>186</v>
      </c>
      <c r="F6" s="4" t="s">
        <v>25</v>
      </c>
      <c r="G6" s="5">
        <v>78</v>
      </c>
    </row>
    <row r="7" spans="1:17" x14ac:dyDescent="0.25">
      <c r="A7" s="14" t="s">
        <v>50</v>
      </c>
      <c r="B7" s="4">
        <v>5</v>
      </c>
      <c r="C7" s="4"/>
      <c r="D7" s="4">
        <v>24</v>
      </c>
      <c r="E7" s="4">
        <v>192</v>
      </c>
      <c r="F7" s="4" t="s">
        <v>12</v>
      </c>
      <c r="G7" s="5">
        <v>79</v>
      </c>
    </row>
    <row r="8" spans="1:17" x14ac:dyDescent="0.25">
      <c r="A8" s="14" t="s">
        <v>51</v>
      </c>
      <c r="B8" s="4">
        <v>6</v>
      </c>
      <c r="C8" s="4"/>
      <c r="D8" s="4">
        <v>22</v>
      </c>
      <c r="E8" s="4">
        <v>192</v>
      </c>
      <c r="F8" s="4" t="s">
        <v>12</v>
      </c>
      <c r="G8" s="5">
        <v>81</v>
      </c>
    </row>
    <row r="9" spans="1:17" x14ac:dyDescent="0.25">
      <c r="A9" s="14" t="s">
        <v>28</v>
      </c>
      <c r="B9" s="4">
        <v>7</v>
      </c>
      <c r="C9" s="4"/>
      <c r="D9" s="4">
        <v>26</v>
      </c>
      <c r="E9" s="4">
        <v>183</v>
      </c>
      <c r="F9" s="4" t="s">
        <v>33</v>
      </c>
      <c r="G9" s="5">
        <v>83</v>
      </c>
    </row>
    <row r="10" spans="1:17" x14ac:dyDescent="0.25">
      <c r="A10" s="14" t="s">
        <v>52</v>
      </c>
      <c r="B10" s="4">
        <v>8</v>
      </c>
      <c r="C10" s="4"/>
      <c r="D10" s="4">
        <v>29</v>
      </c>
      <c r="E10" s="4">
        <v>180</v>
      </c>
      <c r="F10" s="4" t="s">
        <v>25</v>
      </c>
      <c r="G10" s="5">
        <v>82</v>
      </c>
    </row>
    <row r="11" spans="1:17" x14ac:dyDescent="0.25">
      <c r="A11" s="14" t="s">
        <v>53</v>
      </c>
      <c r="B11" s="4">
        <v>9</v>
      </c>
      <c r="C11" s="4"/>
      <c r="D11" s="4">
        <v>30</v>
      </c>
      <c r="E11" s="4">
        <v>193</v>
      </c>
      <c r="F11" s="4" t="s">
        <v>41</v>
      </c>
      <c r="G11" s="5">
        <v>87</v>
      </c>
    </row>
    <row r="12" spans="1:17" x14ac:dyDescent="0.25">
      <c r="A12" s="14" t="s">
        <v>54</v>
      </c>
      <c r="B12" s="4">
        <v>10</v>
      </c>
      <c r="C12" s="4"/>
      <c r="D12" s="4">
        <v>30</v>
      </c>
      <c r="E12" s="4">
        <v>177</v>
      </c>
      <c r="F12" s="4" t="s">
        <v>74</v>
      </c>
      <c r="G12" s="5">
        <v>84</v>
      </c>
    </row>
    <row r="13" spans="1:17" x14ac:dyDescent="0.25">
      <c r="A13" s="14" t="s">
        <v>55</v>
      </c>
      <c r="B13" s="4">
        <v>11</v>
      </c>
      <c r="C13" s="4"/>
      <c r="D13" s="4">
        <v>26</v>
      </c>
      <c r="E13" s="4">
        <v>190</v>
      </c>
      <c r="F13" s="4" t="s">
        <v>41</v>
      </c>
      <c r="G13" s="5">
        <v>81</v>
      </c>
    </row>
    <row r="14" spans="1:17" x14ac:dyDescent="0.25">
      <c r="A14" s="14" t="s">
        <v>56</v>
      </c>
      <c r="B14" s="4">
        <v>12</v>
      </c>
      <c r="C14" s="4"/>
      <c r="D14" s="4">
        <v>24</v>
      </c>
      <c r="E14" s="4">
        <v>189</v>
      </c>
      <c r="F14" s="4" t="s">
        <v>8</v>
      </c>
      <c r="G14" s="5">
        <v>75</v>
      </c>
    </row>
    <row r="15" spans="1:17" x14ac:dyDescent="0.25">
      <c r="A15" s="14" t="s">
        <v>57</v>
      </c>
      <c r="B15" s="4">
        <v>13</v>
      </c>
      <c r="C15" s="4"/>
      <c r="D15" s="4">
        <v>22</v>
      </c>
      <c r="E15" s="4">
        <v>188</v>
      </c>
      <c r="F15" s="4" t="s">
        <v>18</v>
      </c>
      <c r="G15" s="5">
        <v>83</v>
      </c>
      <c r="O15" s="5"/>
    </row>
    <row r="16" spans="1:17" x14ac:dyDescent="0.25">
      <c r="A16" s="14" t="s">
        <v>58</v>
      </c>
      <c r="B16" s="4">
        <v>14</v>
      </c>
      <c r="C16" s="4"/>
      <c r="D16" s="4">
        <v>22</v>
      </c>
      <c r="E16" s="4">
        <v>186</v>
      </c>
      <c r="F16" s="4" t="s">
        <v>27</v>
      </c>
      <c r="G16" s="5">
        <v>69</v>
      </c>
    </row>
    <row r="17" spans="1:7" x14ac:dyDescent="0.25">
      <c r="A17" s="14" t="s">
        <v>59</v>
      </c>
      <c r="B17" s="4">
        <v>15</v>
      </c>
      <c r="C17" s="4"/>
      <c r="D17" s="4">
        <v>23</v>
      </c>
      <c r="E17" s="4">
        <v>170</v>
      </c>
      <c r="F17" s="4" t="s">
        <v>25</v>
      </c>
      <c r="G17" s="5">
        <v>75</v>
      </c>
    </row>
    <row r="18" spans="1:7" x14ac:dyDescent="0.25">
      <c r="A18" s="14" t="s">
        <v>60</v>
      </c>
      <c r="B18" s="4">
        <v>16</v>
      </c>
      <c r="C18" s="4"/>
      <c r="D18" s="4">
        <v>23</v>
      </c>
      <c r="E18" s="4">
        <v>175</v>
      </c>
      <c r="F18" s="4" t="s">
        <v>27</v>
      </c>
      <c r="G18" s="5">
        <v>69</v>
      </c>
    </row>
    <row r="19" spans="1:7" x14ac:dyDescent="0.25">
      <c r="A19" s="14" t="s">
        <v>61</v>
      </c>
      <c r="B19" s="4">
        <v>17</v>
      </c>
      <c r="C19" s="4"/>
      <c r="D19" s="4">
        <v>22</v>
      </c>
      <c r="E19" s="4">
        <v>177</v>
      </c>
      <c r="F19" s="4" t="s">
        <v>75</v>
      </c>
      <c r="G19" s="5">
        <v>74</v>
      </c>
    </row>
    <row r="20" spans="1:7" x14ac:dyDescent="0.25">
      <c r="A20" s="14" t="s">
        <v>62</v>
      </c>
      <c r="B20" s="4">
        <v>18</v>
      </c>
      <c r="C20" s="4"/>
      <c r="D20" s="4">
        <v>22</v>
      </c>
      <c r="E20" s="4">
        <v>178</v>
      </c>
      <c r="F20" s="4" t="s">
        <v>75</v>
      </c>
      <c r="G20" s="5">
        <v>81</v>
      </c>
    </row>
    <row r="21" spans="1:7" x14ac:dyDescent="0.25">
      <c r="A21" s="14" t="s">
        <v>63</v>
      </c>
      <c r="B21" s="4">
        <v>19</v>
      </c>
      <c r="C21" s="4"/>
      <c r="D21" s="4">
        <v>26</v>
      </c>
      <c r="E21" s="4">
        <v>184</v>
      </c>
      <c r="F21" s="4" t="s">
        <v>22</v>
      </c>
      <c r="G21" s="5">
        <v>80</v>
      </c>
    </row>
    <row r="22" spans="1:7" x14ac:dyDescent="0.25">
      <c r="A22" s="14" t="s">
        <v>64</v>
      </c>
      <c r="B22" s="4">
        <v>20</v>
      </c>
      <c r="C22" s="4"/>
      <c r="D22" s="4">
        <v>21</v>
      </c>
      <c r="E22" s="4">
        <v>174</v>
      </c>
      <c r="F22" s="4" t="s">
        <v>33</v>
      </c>
      <c r="G22" s="5">
        <v>70</v>
      </c>
    </row>
    <row r="23" spans="1:7" x14ac:dyDescent="0.25">
      <c r="A23" s="14" t="s">
        <v>65</v>
      </c>
      <c r="B23" s="4">
        <v>21</v>
      </c>
      <c r="C23" s="4"/>
      <c r="D23" s="4">
        <v>23</v>
      </c>
      <c r="E23" s="4">
        <v>180</v>
      </c>
      <c r="F23" s="4" t="s">
        <v>33</v>
      </c>
      <c r="G23" s="5">
        <v>81</v>
      </c>
    </row>
    <row r="24" spans="1:7" x14ac:dyDescent="0.25">
      <c r="A24" s="14" t="s">
        <v>32</v>
      </c>
      <c r="B24" s="4">
        <v>22</v>
      </c>
      <c r="C24" s="4"/>
      <c r="D24" s="4">
        <v>24</v>
      </c>
      <c r="E24" s="4">
        <v>190</v>
      </c>
      <c r="F24" s="4" t="s">
        <v>33</v>
      </c>
      <c r="G24" s="5">
        <v>85</v>
      </c>
    </row>
    <row r="25" spans="1:7" x14ac:dyDescent="0.25">
      <c r="A25" s="14" t="s">
        <v>16</v>
      </c>
      <c r="B25" s="4">
        <v>23</v>
      </c>
      <c r="C25" s="4"/>
      <c r="D25" s="4">
        <v>26</v>
      </c>
      <c r="E25" s="4">
        <v>190</v>
      </c>
      <c r="F25" s="4" t="s">
        <v>12</v>
      </c>
      <c r="G25" s="5">
        <v>82</v>
      </c>
    </row>
    <row r="26" spans="1:7" x14ac:dyDescent="0.25">
      <c r="A26" s="14" t="s">
        <v>66</v>
      </c>
      <c r="B26" s="4">
        <v>24</v>
      </c>
      <c r="C26" s="4"/>
      <c r="D26" s="4">
        <v>23</v>
      </c>
      <c r="E26" s="4">
        <v>190</v>
      </c>
      <c r="F26" s="4" t="s">
        <v>12</v>
      </c>
      <c r="G26" s="5">
        <v>80</v>
      </c>
    </row>
    <row r="27" spans="1:7" x14ac:dyDescent="0.25">
      <c r="A27" s="14" t="s">
        <v>67</v>
      </c>
      <c r="B27" s="4">
        <v>25</v>
      </c>
      <c r="C27" s="4"/>
      <c r="D27" s="4">
        <v>25</v>
      </c>
      <c r="E27" s="4">
        <v>185</v>
      </c>
      <c r="F27" s="4" t="s">
        <v>39</v>
      </c>
      <c r="G27" s="5">
        <v>81</v>
      </c>
    </row>
    <row r="28" spans="1:7" x14ac:dyDescent="0.25">
      <c r="A28" s="14" t="s">
        <v>68</v>
      </c>
      <c r="B28" s="4">
        <v>26</v>
      </c>
      <c r="C28" s="4"/>
      <c r="D28" s="4">
        <v>21</v>
      </c>
      <c r="E28" s="4">
        <v>191</v>
      </c>
      <c r="F28" s="4" t="s">
        <v>12</v>
      </c>
      <c r="G28" s="5">
        <v>77</v>
      </c>
    </row>
    <row r="29" spans="1:7" x14ac:dyDescent="0.25">
      <c r="A29" s="14" t="s">
        <v>30</v>
      </c>
      <c r="B29" s="4">
        <v>27</v>
      </c>
      <c r="C29" s="4"/>
      <c r="D29" s="4">
        <v>22</v>
      </c>
      <c r="E29" s="4">
        <v>180</v>
      </c>
      <c r="F29" s="4" t="s">
        <v>27</v>
      </c>
      <c r="G29" s="5">
        <v>68</v>
      </c>
    </row>
    <row r="30" spans="1:7" x14ac:dyDescent="0.25">
      <c r="A30" s="14" t="s">
        <v>69</v>
      </c>
      <c r="B30" s="4">
        <v>28</v>
      </c>
      <c r="C30" s="12"/>
      <c r="D30" s="7">
        <v>16</v>
      </c>
      <c r="E30" s="7">
        <v>193</v>
      </c>
      <c r="F30" s="7" t="s">
        <v>8</v>
      </c>
      <c r="G30" s="9">
        <v>63</v>
      </c>
    </row>
    <row r="31" spans="1:7" x14ac:dyDescent="0.25">
      <c r="A31" s="4" t="s">
        <v>70</v>
      </c>
      <c r="B31" s="7">
        <v>30</v>
      </c>
      <c r="C31" s="12"/>
      <c r="D31" s="12">
        <v>21</v>
      </c>
      <c r="E31" s="12">
        <v>167</v>
      </c>
      <c r="F31" s="12" t="s">
        <v>33</v>
      </c>
      <c r="G31" s="12">
        <v>77</v>
      </c>
    </row>
    <row r="32" spans="1:7" x14ac:dyDescent="0.25">
      <c r="A32" s="4" t="s">
        <v>71</v>
      </c>
      <c r="B32" s="7">
        <v>32</v>
      </c>
      <c r="C32" s="12"/>
      <c r="D32" s="12">
        <v>21</v>
      </c>
      <c r="E32" s="12">
        <v>182</v>
      </c>
      <c r="F32" s="12" t="s">
        <v>41</v>
      </c>
      <c r="G32" s="12">
        <v>73</v>
      </c>
    </row>
    <row r="33" spans="1:13" x14ac:dyDescent="0.25">
      <c r="A33" s="4" t="s">
        <v>72</v>
      </c>
      <c r="B33" s="7">
        <v>55</v>
      </c>
      <c r="C33" s="12"/>
      <c r="D33" s="12">
        <v>16</v>
      </c>
      <c r="E33" s="12">
        <v>184</v>
      </c>
      <c r="F33" s="12" t="s">
        <v>12</v>
      </c>
      <c r="G33" s="12">
        <v>69</v>
      </c>
    </row>
    <row r="34" spans="1:13" x14ac:dyDescent="0.25">
      <c r="A34" s="4" t="s">
        <v>73</v>
      </c>
      <c r="B34" s="7">
        <v>99</v>
      </c>
      <c r="C34" s="12"/>
      <c r="D34" s="12">
        <v>16</v>
      </c>
      <c r="E34" s="12">
        <v>192</v>
      </c>
      <c r="F34" s="12" t="s">
        <v>41</v>
      </c>
      <c r="G34" s="12">
        <v>74</v>
      </c>
    </row>
    <row r="35" spans="1:13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</row>
  </sheetData>
  <dataConsolidate/>
  <conditionalFormatting sqref="A3:G30 B31:B34">
    <cfRule type="expression" dxfId="4" priority="3">
      <formula>$A3=$O$3</formula>
    </cfRule>
  </conditionalFormatting>
  <conditionalFormatting sqref="A3:A30">
    <cfRule type="cellIs" dxfId="3" priority="2" operator="equal">
      <formula>$O$3</formula>
    </cfRule>
  </conditionalFormatting>
  <conditionalFormatting sqref="O15">
    <cfRule type="expression" dxfId="0" priority="1">
      <formula>$A15=$O$3</formula>
    </cfRule>
  </conditionalFormatting>
  <dataValidations count="1">
    <dataValidation type="list" allowBlank="1" showInputMessage="1" showErrorMessage="1" sqref="O3" xr:uid="{00000000-0002-0000-0000-000000000000}">
      <formula1>$A$3:$A$30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opLeftCell="A10" workbookViewId="0">
      <selection activeCell="B6" sqref="B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29"/>
  <sheetViews>
    <sheetView workbookViewId="0">
      <selection activeCell="D2" sqref="D2"/>
    </sheetView>
  </sheetViews>
  <sheetFormatPr defaultRowHeight="15" x14ac:dyDescent="0.25"/>
  <cols>
    <col min="1" max="1" width="13.42578125" bestFit="1" customWidth="1"/>
    <col min="2" max="2" width="3" bestFit="1" customWidth="1"/>
  </cols>
  <sheetData>
    <row r="1" spans="1:4" x14ac:dyDescent="0.25">
      <c r="A1" s="1" t="s">
        <v>0</v>
      </c>
      <c r="B1" s="2" t="s">
        <v>1</v>
      </c>
      <c r="D1" t="s">
        <v>46</v>
      </c>
    </row>
    <row r="2" spans="1:4" x14ac:dyDescent="0.25">
      <c r="A2" s="3" t="s">
        <v>24</v>
      </c>
      <c r="B2" s="4">
        <v>42</v>
      </c>
    </row>
    <row r="3" spans="1:4" x14ac:dyDescent="0.25">
      <c r="A3" s="3" t="s">
        <v>23</v>
      </c>
      <c r="B3" s="4">
        <v>24</v>
      </c>
    </row>
    <row r="4" spans="1:4" x14ac:dyDescent="0.25">
      <c r="A4" s="3" t="s">
        <v>17</v>
      </c>
      <c r="B4" s="4">
        <v>11</v>
      </c>
    </row>
    <row r="5" spans="1:4" x14ac:dyDescent="0.25">
      <c r="A5" s="3" t="s">
        <v>10</v>
      </c>
      <c r="B5" s="4">
        <v>83</v>
      </c>
    </row>
    <row r="6" spans="1:4" x14ac:dyDescent="0.25">
      <c r="A6" s="3" t="s">
        <v>30</v>
      </c>
      <c r="B6" s="4">
        <v>53</v>
      </c>
    </row>
    <row r="7" spans="1:4" x14ac:dyDescent="0.25">
      <c r="A7" s="3" t="s">
        <v>26</v>
      </c>
      <c r="B7" s="4">
        <v>4</v>
      </c>
    </row>
    <row r="8" spans="1:4" x14ac:dyDescent="0.25">
      <c r="A8" s="3" t="s">
        <v>13</v>
      </c>
      <c r="B8" s="4">
        <v>6</v>
      </c>
    </row>
    <row r="9" spans="1:4" x14ac:dyDescent="0.25">
      <c r="A9" s="3" t="s">
        <v>38</v>
      </c>
      <c r="B9" s="4">
        <v>17</v>
      </c>
    </row>
    <row r="10" spans="1:4" x14ac:dyDescent="0.25">
      <c r="A10" s="3" t="s">
        <v>35</v>
      </c>
      <c r="B10" s="4">
        <v>8</v>
      </c>
    </row>
    <row r="11" spans="1:4" x14ac:dyDescent="0.25">
      <c r="A11" s="3" t="s">
        <v>19</v>
      </c>
      <c r="B11" s="4">
        <v>18</v>
      </c>
    </row>
    <row r="12" spans="1:4" x14ac:dyDescent="0.25">
      <c r="A12" s="3" t="s">
        <v>21</v>
      </c>
      <c r="B12" s="4">
        <v>2</v>
      </c>
    </row>
    <row r="13" spans="1:4" x14ac:dyDescent="0.25">
      <c r="A13" s="3" t="s">
        <v>9</v>
      </c>
      <c r="B13" s="4">
        <v>63</v>
      </c>
    </row>
    <row r="14" spans="1:4" x14ac:dyDescent="0.25">
      <c r="A14" s="3" t="s">
        <v>40</v>
      </c>
      <c r="B14" s="4">
        <v>9</v>
      </c>
    </row>
    <row r="15" spans="1:4" x14ac:dyDescent="0.25">
      <c r="A15" s="3" t="s">
        <v>15</v>
      </c>
      <c r="B15" s="4">
        <v>20</v>
      </c>
    </row>
    <row r="16" spans="1:4" x14ac:dyDescent="0.25">
      <c r="A16" s="3" t="s">
        <v>16</v>
      </c>
      <c r="B16" s="4">
        <v>23</v>
      </c>
    </row>
    <row r="17" spans="1:2" x14ac:dyDescent="0.25">
      <c r="A17" s="6" t="s">
        <v>43</v>
      </c>
      <c r="B17" s="7">
        <v>97</v>
      </c>
    </row>
    <row r="18" spans="1:2" x14ac:dyDescent="0.25">
      <c r="A18" s="3" t="s">
        <v>31</v>
      </c>
      <c r="B18" s="4">
        <v>77</v>
      </c>
    </row>
    <row r="19" spans="1:2" x14ac:dyDescent="0.25">
      <c r="A19" s="3" t="s">
        <v>37</v>
      </c>
      <c r="B19" s="4">
        <v>99</v>
      </c>
    </row>
    <row r="20" spans="1:2" x14ac:dyDescent="0.25">
      <c r="A20" s="3" t="s">
        <v>34</v>
      </c>
      <c r="B20" s="4">
        <v>27</v>
      </c>
    </row>
    <row r="21" spans="1:2" x14ac:dyDescent="0.25">
      <c r="A21" s="3" t="s">
        <v>29</v>
      </c>
      <c r="B21" s="4">
        <v>21</v>
      </c>
    </row>
    <row r="22" spans="1:2" x14ac:dyDescent="0.25">
      <c r="A22" s="3" t="s">
        <v>11</v>
      </c>
      <c r="B22" s="4">
        <v>5</v>
      </c>
    </row>
    <row r="23" spans="1:2" x14ac:dyDescent="0.25">
      <c r="A23" s="3" t="s">
        <v>28</v>
      </c>
      <c r="B23" s="4">
        <v>7</v>
      </c>
    </row>
    <row r="24" spans="1:2" x14ac:dyDescent="0.25">
      <c r="A24" s="3" t="s">
        <v>20</v>
      </c>
      <c r="B24" s="4">
        <v>37</v>
      </c>
    </row>
    <row r="25" spans="1:2" x14ac:dyDescent="0.25">
      <c r="A25" s="3" t="s">
        <v>36</v>
      </c>
      <c r="B25" s="4">
        <v>48</v>
      </c>
    </row>
    <row r="26" spans="1:2" x14ac:dyDescent="0.25">
      <c r="A26" s="3" t="s">
        <v>14</v>
      </c>
      <c r="B26" s="4">
        <v>15</v>
      </c>
    </row>
    <row r="27" spans="1:2" x14ac:dyDescent="0.25">
      <c r="A27" s="3" t="s">
        <v>42</v>
      </c>
      <c r="B27" s="4">
        <v>19</v>
      </c>
    </row>
    <row r="28" spans="1:2" x14ac:dyDescent="0.25">
      <c r="A28" s="3" t="s">
        <v>32</v>
      </c>
      <c r="B28" s="4">
        <v>22</v>
      </c>
    </row>
    <row r="29" spans="1:2" x14ac:dyDescent="0.25">
      <c r="A29" s="3" t="s">
        <v>7</v>
      </c>
      <c r="B29" s="4">
        <v>13</v>
      </c>
    </row>
  </sheetData>
  <sortState xmlns:xlrd2="http://schemas.microsoft.com/office/spreadsheetml/2017/richdata2" ref="A2:B29">
    <sortCondition ref="A2:A29"/>
  </sortState>
  <conditionalFormatting sqref="A2:B29">
    <cfRule type="expression" dxfId="2" priority="2">
      <formula>$A2=$O$3</formula>
    </cfRule>
  </conditionalFormatting>
  <conditionalFormatting sqref="A2:A29">
    <cfRule type="cellIs" dxfId="1" priority="1" operator="equal">
      <formula>$O$3</formula>
    </cfRule>
  </conditionalFormatting>
  <hyperlinks>
    <hyperlink ref="A29" r:id="rId1" display="https://www.pesmaster.com/pau-lopez/pes-2020/player/61147/" xr:uid="{00000000-0004-0000-0200-000000000000}"/>
    <hyperlink ref="A13" r:id="rId2" display="https://www.pesmaster.com/daniel-fuzato/pes-2020/player/118151/" xr:uid="{00000000-0004-0000-0200-000001000000}"/>
    <hyperlink ref="A5" r:id="rId3" display="https://www.pesmaster.com/a-mirante/pes-2020/player/5428/" xr:uid="{00000000-0004-0000-0200-000002000000}"/>
    <hyperlink ref="A22" r:id="rId4" display="https://www.pesmaster.com/juan-jesus/pes-2020/player/42429/" xr:uid="{00000000-0004-0000-0200-000003000000}"/>
    <hyperlink ref="A8" r:id="rId5" display="https://www.pesmaster.com/c-smalling/pes-2020/player/40257/" xr:uid="{00000000-0004-0000-0200-000004000000}"/>
    <hyperlink ref="A26" r:id="rId6" display="https://www.pesmaster.com/m-cetin/pes-2020/player/121126/" xr:uid="{00000000-0004-0000-0200-000005000000}"/>
    <hyperlink ref="A15" r:id="rId7" display="https://www.pesmaster.com/f-fazio/pes-2020/player/35123/" xr:uid="{00000000-0004-0000-0200-000006000000}"/>
    <hyperlink ref="A16" r:id="rId8" display="https://www.pesmaster.com/g-mancini/pes-2020/player/106671/" xr:uid="{00000000-0004-0000-0200-000007000000}"/>
    <hyperlink ref="A4" r:id="rId9" display="https://www.pesmaster.com/a-kolarov/pes-2020/player/36764/" xr:uid="{00000000-0004-0000-0200-000008000000}"/>
    <hyperlink ref="A11" r:id="rId10" display="https://www.pesmaster.com/d-santon/pes-2020/player/38682/" xr:uid="{00000000-0004-0000-0200-000009000000}"/>
    <hyperlink ref="A24" r:id="rId11" display="https://www.pesmaster.com/l-spinazzola/pes-2020/player/100630/" xr:uid="{00000000-0004-0000-0200-00000A000000}"/>
    <hyperlink ref="A12" r:id="rId12" display="https://www.pesmaster.com/d-zappacosta/pes-2020/player/100428/" xr:uid="{00000000-0004-0000-0200-00000B000000}"/>
    <hyperlink ref="A3" r:id="rId13" display="https://www.pesmaster.com/a-florenzi/pes-2020/player/47011/" xr:uid="{00000000-0004-0000-0200-00000C000000}"/>
    <hyperlink ref="A2" r:id="rId14" display="https://www.pesmaster.com/a-diawara/pes-2020/player/109220/" xr:uid="{00000000-0004-0000-0200-00000D000000}"/>
    <hyperlink ref="A7" r:id="rId15" display="https://www.pesmaster.com/b-cristante/pes-2020/player/63520/" xr:uid="{00000000-0004-0000-0200-00000E000000}"/>
    <hyperlink ref="A23" r:id="rId16" display="https://www.pesmaster.com/l-pellegrini/pes-2020/player/108096/" xr:uid="{00000000-0004-0000-0200-00000F000000}"/>
    <hyperlink ref="A21" r:id="rId17" display="https://www.pesmaster.com/j-veretout/pes-2020/player/57258/" xr:uid="{00000000-0004-0000-0200-000010000000}"/>
    <hyperlink ref="A6" r:id="rId18" display="https://www.pesmaster.com/a-riccardi/pes-2020/player/122031/" xr:uid="{00000000-0004-0000-0200-000011000000}"/>
    <hyperlink ref="A18" r:id="rId19" display="https://www.pesmaster.com/h-mkhitaryan/pes-2020/player/39936/" xr:uid="{00000000-0004-0000-0200-000012000000}"/>
    <hyperlink ref="A28" r:id="rId20" display="https://www.pesmaster.com/n-zaniolo/pes-2020/player/114909/" xr:uid="{00000000-0004-0000-0200-000013000000}"/>
    <hyperlink ref="A20" r:id="rId21" display="https://www.pesmaster.com/j-pastore/pes-2020/player/40220/" xr:uid="{00000000-0004-0000-0200-000014000000}"/>
    <hyperlink ref="A10" r:id="rId22" display="https://www.pesmaster.com/d-perotti/pes-2020/player/40423/" xr:uid="{00000000-0004-0000-0200-000015000000}"/>
    <hyperlink ref="A25" r:id="rId23" display="https://www.pesmaster.com/m-antonucci/pes-2020/player/117946/" xr:uid="{00000000-0004-0000-0200-000016000000}"/>
    <hyperlink ref="A19" r:id="rId24" display="https://www.pesmaster.com/j-kluivert/pes-2020/player/114845/" xr:uid="{00000000-0004-0000-0200-000017000000}"/>
    <hyperlink ref="A9" r:id="rId25" display="https://www.pesmaster.com/c-under/pes-2020/player/116230/" xr:uid="{00000000-0004-0000-0200-000018000000}"/>
    <hyperlink ref="A14" r:id="rId26" display="https://www.pesmaster.com/e-dzeko/pes-2020/player/37638/" xr:uid="{00000000-0004-0000-0200-000019000000}"/>
    <hyperlink ref="A27" r:id="rId27" display="https://www.pesmaster.com/n-kalinic/pes-2020/player/39231/" xr:uid="{00000000-0004-0000-0200-00001A000000}"/>
    <hyperlink ref="A17" r:id="rId28" xr:uid="{00000000-0004-0000-0200-00001B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Squad List</vt:lpstr>
      <vt:lpstr>Formation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Tan Thinh</dc:creator>
  <cp:lastModifiedBy>Thịnh Trần Tấn</cp:lastModifiedBy>
  <dcterms:created xsi:type="dcterms:W3CDTF">2019-11-10T05:19:41Z</dcterms:created>
  <dcterms:modified xsi:type="dcterms:W3CDTF">2024-03-20T04:34:10Z</dcterms:modified>
</cp:coreProperties>
</file>